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2.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C:\projects\ExcelDataAnalytics\ExelStatistics\YoutubeCourse\DescriptivStatistics\"/>
    </mc:Choice>
  </mc:AlternateContent>
  <xr:revisionPtr revIDLastSave="0" documentId="13_ncr:1_{8A9B2E24-CBE9-4BED-BBC0-05E36A03E3B9}" xr6:coauthVersionLast="45" xr6:coauthVersionMax="45" xr10:uidLastSave="{00000000-0000-0000-0000-000000000000}"/>
  <bookViews>
    <workbookView xWindow="-38510" yWindow="-6710" windowWidth="38620" windowHeight="21220" tabRatio="802" firstSheet="3" activeTab="8" xr2:uid="{00000000-000D-0000-FFFF-FFFF00000000}"/>
  </bookViews>
  <sheets>
    <sheet name="Topics" sheetId="1" r:id="rId1"/>
    <sheet name="Detailed Topic List" sheetId="5" r:id="rId2"/>
    <sheet name="Keyboards" sheetId="6" r:id="rId3"/>
    <sheet name="Statistics" sheetId="2" r:id="rId4"/>
    <sheet name="Descriptive v Inferential" sheetId="8" r:id="rId5"/>
    <sheet name="Example of Statistics" sheetId="4" r:id="rId6"/>
    <sheet name="Example of Statistics (an)" sheetId="16" r:id="rId7"/>
    <sheet name="Example of Inferential Stats" sheetId="10" r:id="rId8"/>
    <sheet name="Data" sheetId="3" r:id="rId9"/>
    <sheet name="SofM" sheetId="12" r:id="rId10"/>
    <sheet name="SofM-2" sheetId="11" r:id="rId11"/>
    <sheet name="SofM-2 (an)" sheetId="20" r:id="rId12"/>
    <sheet name="CS Data" sheetId="13" r:id="rId13"/>
    <sheet name="TS Data" sheetId="14" r:id="rId14"/>
    <sheet name="Data Diagram" sheetId="7" r:id="rId15"/>
    <sheet name="Entering Data In Excel" sheetId="15" r:id="rId16"/>
  </sheets>
  <definedNames>
    <definedName name="_xlnm._FilterDatabase" localSheetId="7" hidden="1">'Example of Inferential Stats'!#REF!</definedName>
    <definedName name="_xlnm._FilterDatabase" localSheetId="5" hidden="1">'Example of Statistics'!$A$8:$G$4714</definedName>
    <definedName name="_xlnm._FilterDatabase" localSheetId="6" hidden="1">'Example of Statistics (an)'!$A$8:$G$4714</definedName>
    <definedName name="_xlnm.Print_Area" localSheetId="6">'Example of Statistics (an)'!$H$1:$N$11</definedName>
  </definedNames>
  <calcPr calcId="181029"/>
  <pivotCaches>
    <pivotCache cacheId="17"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4" i="5" l="1"/>
  <c r="B24" i="5"/>
  <c r="C24" i="5"/>
  <c r="A25" i="5"/>
  <c r="B25" i="5"/>
  <c r="C25" i="5"/>
  <c r="A26" i="5"/>
  <c r="B26" i="5"/>
  <c r="C26" i="5"/>
  <c r="A27" i="5"/>
  <c r="B27" i="5"/>
  <c r="C27" i="5"/>
  <c r="A28" i="5"/>
  <c r="B28" i="5"/>
  <c r="C28" i="5"/>
  <c r="A23" i="5"/>
  <c r="A8" i="5"/>
  <c r="A9" i="5"/>
  <c r="A10" i="5"/>
  <c r="A11" i="5"/>
  <c r="A12" i="5"/>
  <c r="A13" i="5"/>
  <c r="A14" i="5"/>
  <c r="A15" i="5"/>
  <c r="A16" i="5"/>
  <c r="A17" i="5"/>
  <c r="A18" i="5"/>
  <c r="A19" i="5"/>
  <c r="A7" i="5"/>
  <c r="C23" i="5"/>
  <c r="B23" i="5"/>
  <c r="B8" i="5"/>
  <c r="B9" i="5"/>
  <c r="B10" i="5"/>
  <c r="B11" i="5"/>
  <c r="B12" i="5"/>
  <c r="B13" i="5"/>
  <c r="B14" i="5"/>
  <c r="B15" i="5"/>
  <c r="B16" i="5"/>
  <c r="B17" i="5"/>
  <c r="B18" i="5"/>
  <c r="B19" i="5"/>
  <c r="B7" i="5"/>
  <c r="C7" i="5"/>
  <c r="O685" i="20" l="1"/>
  <c r="X685" i="20" s="1"/>
  <c r="X684" i="20"/>
  <c r="P684" i="20"/>
  <c r="X683" i="20"/>
  <c r="P683" i="20"/>
  <c r="X682" i="20"/>
  <c r="P682" i="20"/>
  <c r="X681" i="20"/>
  <c r="P681" i="20"/>
  <c r="X680" i="20"/>
  <c r="P680" i="20"/>
  <c r="X679" i="20"/>
  <c r="P679" i="20"/>
  <c r="X678" i="20"/>
  <c r="P678" i="20"/>
  <c r="X677" i="20"/>
  <c r="P677" i="20"/>
  <c r="X676" i="20"/>
  <c r="P676" i="20"/>
  <c r="X675" i="20"/>
  <c r="P675" i="20"/>
  <c r="X674" i="20"/>
  <c r="P674" i="20"/>
  <c r="X673" i="20"/>
  <c r="P673" i="20"/>
  <c r="X672" i="20"/>
  <c r="P672" i="20"/>
  <c r="X671" i="20"/>
  <c r="P671" i="20"/>
  <c r="X670" i="20"/>
  <c r="P670" i="20"/>
  <c r="X669" i="20"/>
  <c r="P669" i="20"/>
  <c r="X668" i="20"/>
  <c r="P668" i="20"/>
  <c r="X667" i="20"/>
  <c r="P667" i="20"/>
  <c r="X666" i="20"/>
  <c r="P666" i="20"/>
  <c r="X665" i="20"/>
  <c r="P665" i="20"/>
  <c r="X664" i="20"/>
  <c r="P664" i="20"/>
  <c r="X663" i="20"/>
  <c r="P663" i="20"/>
  <c r="X662" i="20"/>
  <c r="P662" i="20"/>
  <c r="X661" i="20"/>
  <c r="P661" i="20"/>
  <c r="X660" i="20"/>
  <c r="P660" i="20"/>
  <c r="X659" i="20"/>
  <c r="P659" i="20"/>
  <c r="X658" i="20"/>
  <c r="P658" i="20"/>
  <c r="X657" i="20"/>
  <c r="P657" i="20"/>
  <c r="X656" i="20"/>
  <c r="P656" i="20"/>
  <c r="X655" i="20"/>
  <c r="P655" i="20"/>
  <c r="X654" i="20"/>
  <c r="P654" i="20"/>
  <c r="X653" i="20"/>
  <c r="P653" i="20"/>
  <c r="X652" i="20"/>
  <c r="P652" i="20"/>
  <c r="X651" i="20"/>
  <c r="P651" i="20"/>
  <c r="X650" i="20"/>
  <c r="P650" i="20"/>
  <c r="X649" i="20"/>
  <c r="P649" i="20"/>
  <c r="X648" i="20"/>
  <c r="P648" i="20"/>
  <c r="X647" i="20"/>
  <c r="P647" i="20"/>
  <c r="X646" i="20"/>
  <c r="P646" i="20"/>
  <c r="X645" i="20"/>
  <c r="P645" i="20"/>
  <c r="X644" i="20"/>
  <c r="P644" i="20"/>
  <c r="X643" i="20"/>
  <c r="P643" i="20"/>
  <c r="X642" i="20"/>
  <c r="P642" i="20"/>
  <c r="X641" i="20"/>
  <c r="P641" i="20"/>
  <c r="X640" i="20"/>
  <c r="P640" i="20"/>
  <c r="X639" i="20"/>
  <c r="P639" i="20"/>
  <c r="X638" i="20"/>
  <c r="P638" i="20"/>
  <c r="X637" i="20"/>
  <c r="P637" i="20"/>
  <c r="X636" i="20"/>
  <c r="P636" i="20"/>
  <c r="X635" i="20"/>
  <c r="P635" i="20"/>
  <c r="X634" i="20"/>
  <c r="P634" i="20"/>
  <c r="X633" i="20"/>
  <c r="P633" i="20"/>
  <c r="X632" i="20"/>
  <c r="P632" i="20"/>
  <c r="X631" i="20"/>
  <c r="P631" i="20"/>
  <c r="X630" i="20"/>
  <c r="P630" i="20"/>
  <c r="X629" i="20"/>
  <c r="P629" i="20"/>
  <c r="X628" i="20"/>
  <c r="P628" i="20"/>
  <c r="X627" i="20"/>
  <c r="P627" i="20"/>
  <c r="X626" i="20"/>
  <c r="P626" i="20"/>
  <c r="X625" i="20"/>
  <c r="P625" i="20"/>
  <c r="X624" i="20"/>
  <c r="P624" i="20"/>
  <c r="X623" i="20"/>
  <c r="P623" i="20"/>
  <c r="X622" i="20"/>
  <c r="P622" i="20"/>
  <c r="X621" i="20"/>
  <c r="P621" i="20"/>
  <c r="X620" i="20"/>
  <c r="P620" i="20"/>
  <c r="X619" i="20"/>
  <c r="P619" i="20"/>
  <c r="X618" i="20"/>
  <c r="P618" i="20"/>
  <c r="X617" i="20"/>
  <c r="P617" i="20"/>
  <c r="X616" i="20"/>
  <c r="P616" i="20"/>
  <c r="X615" i="20"/>
  <c r="P615" i="20"/>
  <c r="X614" i="20"/>
  <c r="P614" i="20"/>
  <c r="X613" i="20"/>
  <c r="P613" i="20"/>
  <c r="X612" i="20"/>
  <c r="P612" i="20"/>
  <c r="X611" i="20"/>
  <c r="P611" i="20"/>
  <c r="X610" i="20"/>
  <c r="P610" i="20"/>
  <c r="X609" i="20"/>
  <c r="P609" i="20"/>
  <c r="X608" i="20"/>
  <c r="P608" i="20"/>
  <c r="X607" i="20"/>
  <c r="P607" i="20"/>
  <c r="X606" i="20"/>
  <c r="P606" i="20"/>
  <c r="X605" i="20"/>
  <c r="P605" i="20"/>
  <c r="X604" i="20"/>
  <c r="P604" i="20"/>
  <c r="X603" i="20"/>
  <c r="P603" i="20"/>
  <c r="X602" i="20"/>
  <c r="P602" i="20"/>
  <c r="X601" i="20"/>
  <c r="P601" i="20"/>
  <c r="X600" i="20"/>
  <c r="P600" i="20"/>
  <c r="X599" i="20"/>
  <c r="P599" i="20"/>
  <c r="X598" i="20"/>
  <c r="P598" i="20"/>
  <c r="X597" i="20"/>
  <c r="P597" i="20"/>
  <c r="X596" i="20"/>
  <c r="P596" i="20"/>
  <c r="X595" i="20"/>
  <c r="P595" i="20"/>
  <c r="X594" i="20"/>
  <c r="P594" i="20"/>
  <c r="X593" i="20"/>
  <c r="P593" i="20"/>
  <c r="X592" i="20"/>
  <c r="P592" i="20"/>
  <c r="X591" i="20"/>
  <c r="P591" i="20"/>
  <c r="X590" i="20"/>
  <c r="P590" i="20"/>
  <c r="X589" i="20"/>
  <c r="P589" i="20"/>
  <c r="X588" i="20"/>
  <c r="P588" i="20"/>
  <c r="X587" i="20"/>
  <c r="P587" i="20"/>
  <c r="X586" i="20"/>
  <c r="P586" i="20"/>
  <c r="X585" i="20"/>
  <c r="P585" i="20"/>
  <c r="X584" i="20"/>
  <c r="P584" i="20"/>
  <c r="X583" i="20"/>
  <c r="P583" i="20"/>
  <c r="X582" i="20"/>
  <c r="P582" i="20"/>
  <c r="X581" i="20"/>
  <c r="P581" i="20"/>
  <c r="X580" i="20"/>
  <c r="P580" i="20"/>
  <c r="X579" i="20"/>
  <c r="P579" i="20"/>
  <c r="X578" i="20"/>
  <c r="P578" i="20"/>
  <c r="X577" i="20"/>
  <c r="P577" i="20"/>
  <c r="X576" i="20"/>
  <c r="P576" i="20"/>
  <c r="X575" i="20"/>
  <c r="P575" i="20"/>
  <c r="X574" i="20"/>
  <c r="P574" i="20"/>
  <c r="X573" i="20"/>
  <c r="P573" i="20"/>
  <c r="X572" i="20"/>
  <c r="P572" i="20"/>
  <c r="X571" i="20"/>
  <c r="P571" i="20"/>
  <c r="X570" i="20"/>
  <c r="P570" i="20"/>
  <c r="X569" i="20"/>
  <c r="P569" i="20"/>
  <c r="X568" i="20"/>
  <c r="P568" i="20"/>
  <c r="X567" i="20"/>
  <c r="P567" i="20"/>
  <c r="X566" i="20"/>
  <c r="P566" i="20"/>
  <c r="X565" i="20"/>
  <c r="P565" i="20"/>
  <c r="X564" i="20"/>
  <c r="P564" i="20"/>
  <c r="X563" i="20"/>
  <c r="P563" i="20"/>
  <c r="X562" i="20"/>
  <c r="P562" i="20"/>
  <c r="X561" i="20"/>
  <c r="P561" i="20"/>
  <c r="X560" i="20"/>
  <c r="P560" i="20"/>
  <c r="X559" i="20"/>
  <c r="P559" i="20"/>
  <c r="X558" i="20"/>
  <c r="P558" i="20"/>
  <c r="X557" i="20"/>
  <c r="P557" i="20"/>
  <c r="X556" i="20"/>
  <c r="P556" i="20"/>
  <c r="X555" i="20"/>
  <c r="P555" i="20"/>
  <c r="X554" i="20"/>
  <c r="P554" i="20"/>
  <c r="X553" i="20"/>
  <c r="P553" i="20"/>
  <c r="X552" i="20"/>
  <c r="P552" i="20"/>
  <c r="X551" i="20"/>
  <c r="P551" i="20"/>
  <c r="X550" i="20"/>
  <c r="P550" i="20"/>
  <c r="X549" i="20"/>
  <c r="P549" i="20"/>
  <c r="X548" i="20"/>
  <c r="P548" i="20"/>
  <c r="X547" i="20"/>
  <c r="P547" i="20"/>
  <c r="X546" i="20"/>
  <c r="P546" i="20"/>
  <c r="X545" i="20"/>
  <c r="P545" i="20"/>
  <c r="X544" i="20"/>
  <c r="P544" i="20"/>
  <c r="X543" i="20"/>
  <c r="P543" i="20"/>
  <c r="X542" i="20"/>
  <c r="P542" i="20"/>
  <c r="X541" i="20"/>
  <c r="P541" i="20"/>
  <c r="X540" i="20"/>
  <c r="P540" i="20"/>
  <c r="X539" i="20"/>
  <c r="P539" i="20"/>
  <c r="X538" i="20"/>
  <c r="P538" i="20"/>
  <c r="X537" i="20"/>
  <c r="P537" i="20"/>
  <c r="X536" i="20"/>
  <c r="P536" i="20"/>
  <c r="X535" i="20"/>
  <c r="P535" i="20"/>
  <c r="X534" i="20"/>
  <c r="P534" i="20"/>
  <c r="X533" i="20"/>
  <c r="P533" i="20"/>
  <c r="X532" i="20"/>
  <c r="P532" i="20"/>
  <c r="X531" i="20"/>
  <c r="P531" i="20"/>
  <c r="X530" i="20"/>
  <c r="P530" i="20"/>
  <c r="X529" i="20"/>
  <c r="P529" i="20"/>
  <c r="X528" i="20"/>
  <c r="P528" i="20"/>
  <c r="X527" i="20"/>
  <c r="P527" i="20"/>
  <c r="X526" i="20"/>
  <c r="P526" i="20"/>
  <c r="X525" i="20"/>
  <c r="P525" i="20"/>
  <c r="X524" i="20"/>
  <c r="P524" i="20"/>
  <c r="X523" i="20"/>
  <c r="P523" i="20"/>
  <c r="X522" i="20"/>
  <c r="P522" i="20"/>
  <c r="X521" i="20"/>
  <c r="P521" i="20"/>
  <c r="X520" i="20"/>
  <c r="P520" i="20"/>
  <c r="X519" i="20"/>
  <c r="P519" i="20"/>
  <c r="X518" i="20"/>
  <c r="P518" i="20"/>
  <c r="X517" i="20"/>
  <c r="P517" i="20"/>
  <c r="X516" i="20"/>
  <c r="P516" i="20"/>
  <c r="X515" i="20"/>
  <c r="P515" i="20"/>
  <c r="X514" i="20"/>
  <c r="P514" i="20"/>
  <c r="X513" i="20"/>
  <c r="P513" i="20"/>
  <c r="X512" i="20"/>
  <c r="P512" i="20"/>
  <c r="X511" i="20"/>
  <c r="P511" i="20"/>
  <c r="X510" i="20"/>
  <c r="P510" i="20"/>
  <c r="X509" i="20"/>
  <c r="P509" i="20"/>
  <c r="X508" i="20"/>
  <c r="P508" i="20"/>
  <c r="X507" i="20"/>
  <c r="P507" i="20"/>
  <c r="X506" i="20"/>
  <c r="P506" i="20"/>
  <c r="X505" i="20"/>
  <c r="P505" i="20"/>
  <c r="X504" i="20"/>
  <c r="P504" i="20"/>
  <c r="X503" i="20"/>
  <c r="P503" i="20"/>
  <c r="X502" i="20"/>
  <c r="P502" i="20"/>
  <c r="X501" i="20"/>
  <c r="P501" i="20"/>
  <c r="X500" i="20"/>
  <c r="P500" i="20"/>
  <c r="X499" i="20"/>
  <c r="P499" i="20"/>
  <c r="X498" i="20"/>
  <c r="P498" i="20"/>
  <c r="X497" i="20"/>
  <c r="P497" i="20"/>
  <c r="X496" i="20"/>
  <c r="P496" i="20"/>
  <c r="X495" i="20"/>
  <c r="P495" i="20"/>
  <c r="X494" i="20"/>
  <c r="P494" i="20"/>
  <c r="X493" i="20"/>
  <c r="P493" i="20"/>
  <c r="X492" i="20"/>
  <c r="P492" i="20"/>
  <c r="X491" i="20"/>
  <c r="P491" i="20"/>
  <c r="X490" i="20"/>
  <c r="P490" i="20"/>
  <c r="X489" i="20"/>
  <c r="P489" i="20"/>
  <c r="X488" i="20"/>
  <c r="P488" i="20"/>
  <c r="X487" i="20"/>
  <c r="P487" i="20"/>
  <c r="X486" i="20"/>
  <c r="P486" i="20"/>
  <c r="X485" i="20"/>
  <c r="P485" i="20"/>
  <c r="X484" i="20"/>
  <c r="P484" i="20"/>
  <c r="X483" i="20"/>
  <c r="P483" i="20"/>
  <c r="X482" i="20"/>
  <c r="P482" i="20"/>
  <c r="X481" i="20"/>
  <c r="P481" i="20"/>
  <c r="X480" i="20"/>
  <c r="P480" i="20"/>
  <c r="X479" i="20"/>
  <c r="P479" i="20"/>
  <c r="X478" i="20"/>
  <c r="P478" i="20"/>
  <c r="X477" i="20"/>
  <c r="P477" i="20"/>
  <c r="X476" i="20"/>
  <c r="P476" i="20"/>
  <c r="X475" i="20"/>
  <c r="P475" i="20"/>
  <c r="X474" i="20"/>
  <c r="P474" i="20"/>
  <c r="X473" i="20"/>
  <c r="P473" i="20"/>
  <c r="X472" i="20"/>
  <c r="P472" i="20"/>
  <c r="X471" i="20"/>
  <c r="P471" i="20"/>
  <c r="X470" i="20"/>
  <c r="P470" i="20"/>
  <c r="X469" i="20"/>
  <c r="P469" i="20"/>
  <c r="X468" i="20"/>
  <c r="P468" i="20"/>
  <c r="X467" i="20"/>
  <c r="P467" i="20"/>
  <c r="X466" i="20"/>
  <c r="P466" i="20"/>
  <c r="X465" i="20"/>
  <c r="P465" i="20"/>
  <c r="X464" i="20"/>
  <c r="P464" i="20"/>
  <c r="X463" i="20"/>
  <c r="P463" i="20"/>
  <c r="X462" i="20"/>
  <c r="P462" i="20"/>
  <c r="X461" i="20"/>
  <c r="P461" i="20"/>
  <c r="X460" i="20"/>
  <c r="P460" i="20"/>
  <c r="X459" i="20"/>
  <c r="P459" i="20"/>
  <c r="X458" i="20"/>
  <c r="P458" i="20"/>
  <c r="X457" i="20"/>
  <c r="P457" i="20"/>
  <c r="X456" i="20"/>
  <c r="P456" i="20"/>
  <c r="X455" i="20"/>
  <c r="P455" i="20"/>
  <c r="X454" i="20"/>
  <c r="P454" i="20"/>
  <c r="X453" i="20"/>
  <c r="P453" i="20"/>
  <c r="X452" i="20"/>
  <c r="P452" i="20"/>
  <c r="X451" i="20"/>
  <c r="P451" i="20"/>
  <c r="X450" i="20"/>
  <c r="P450" i="20"/>
  <c r="X449" i="20"/>
  <c r="P449" i="20"/>
  <c r="X448" i="20"/>
  <c r="P448" i="20"/>
  <c r="X447" i="20"/>
  <c r="P447" i="20"/>
  <c r="X446" i="20"/>
  <c r="P446" i="20"/>
  <c r="X445" i="20"/>
  <c r="P445" i="20"/>
  <c r="X444" i="20"/>
  <c r="P444" i="20"/>
  <c r="X443" i="20"/>
  <c r="P443" i="20"/>
  <c r="X442" i="20"/>
  <c r="P442" i="20"/>
  <c r="X441" i="20"/>
  <c r="P441" i="20"/>
  <c r="X440" i="20"/>
  <c r="P440" i="20"/>
  <c r="X439" i="20"/>
  <c r="P439" i="20"/>
  <c r="X438" i="20"/>
  <c r="P438" i="20"/>
  <c r="X437" i="20"/>
  <c r="P437" i="20"/>
  <c r="X436" i="20"/>
  <c r="P436" i="20"/>
  <c r="X435" i="20"/>
  <c r="P435" i="20"/>
  <c r="X434" i="20"/>
  <c r="P434" i="20"/>
  <c r="X433" i="20"/>
  <c r="P433" i="20"/>
  <c r="X432" i="20"/>
  <c r="P432" i="20"/>
  <c r="X431" i="20"/>
  <c r="P431" i="20"/>
  <c r="X430" i="20"/>
  <c r="P430" i="20"/>
  <c r="X429" i="20"/>
  <c r="P429" i="20"/>
  <c r="X428" i="20"/>
  <c r="P428" i="20"/>
  <c r="X427" i="20"/>
  <c r="P427" i="20"/>
  <c r="X426" i="20"/>
  <c r="P426" i="20"/>
  <c r="X425" i="20"/>
  <c r="P425" i="20"/>
  <c r="X424" i="20"/>
  <c r="P424" i="20"/>
  <c r="X423" i="20"/>
  <c r="P423" i="20"/>
  <c r="X422" i="20"/>
  <c r="P422" i="20"/>
  <c r="X421" i="20"/>
  <c r="P421" i="20"/>
  <c r="X420" i="20"/>
  <c r="P420" i="20"/>
  <c r="X419" i="20"/>
  <c r="P419" i="20"/>
  <c r="X418" i="20"/>
  <c r="P418" i="20"/>
  <c r="X417" i="20"/>
  <c r="P417" i="20"/>
  <c r="X416" i="20"/>
  <c r="P416" i="20"/>
  <c r="X415" i="20"/>
  <c r="P415" i="20"/>
  <c r="X414" i="20"/>
  <c r="P414" i="20"/>
  <c r="X413" i="20"/>
  <c r="P413" i="20"/>
  <c r="X412" i="20"/>
  <c r="P412" i="20"/>
  <c r="X411" i="20"/>
  <c r="P411" i="20"/>
  <c r="X410" i="20"/>
  <c r="P410" i="20"/>
  <c r="X409" i="20"/>
  <c r="P409" i="20"/>
  <c r="X408" i="20"/>
  <c r="P408" i="20"/>
  <c r="X407" i="20"/>
  <c r="P407" i="20"/>
  <c r="X406" i="20"/>
  <c r="P406" i="20"/>
  <c r="X405" i="20"/>
  <c r="P405" i="20"/>
  <c r="X404" i="20"/>
  <c r="P404" i="20"/>
  <c r="X403" i="20"/>
  <c r="P403" i="20"/>
  <c r="X402" i="20"/>
  <c r="P402" i="20"/>
  <c r="X401" i="20"/>
  <c r="P401" i="20"/>
  <c r="X400" i="20"/>
  <c r="P400" i="20"/>
  <c r="X399" i="20"/>
  <c r="P399" i="20"/>
  <c r="X398" i="20"/>
  <c r="P398" i="20"/>
  <c r="X397" i="20"/>
  <c r="P397" i="20"/>
  <c r="X396" i="20"/>
  <c r="P396" i="20"/>
  <c r="X395" i="20"/>
  <c r="P395" i="20"/>
  <c r="X394" i="20"/>
  <c r="P394" i="20"/>
  <c r="X393" i="20"/>
  <c r="P393" i="20"/>
  <c r="X392" i="20"/>
  <c r="P392" i="20"/>
  <c r="X391" i="20"/>
  <c r="P391" i="20"/>
  <c r="X390" i="20"/>
  <c r="P390" i="20"/>
  <c r="X389" i="20"/>
  <c r="P389" i="20"/>
  <c r="J389" i="20"/>
  <c r="C389" i="20"/>
  <c r="X388" i="20"/>
  <c r="P388" i="20"/>
  <c r="J388" i="20"/>
  <c r="C388" i="20"/>
  <c r="X387" i="20"/>
  <c r="P387" i="20"/>
  <c r="J387" i="20"/>
  <c r="C387" i="20"/>
  <c r="X386" i="20"/>
  <c r="P386" i="20"/>
  <c r="J386" i="20"/>
  <c r="C386" i="20"/>
  <c r="X385" i="20"/>
  <c r="P385" i="20"/>
  <c r="J385" i="20"/>
  <c r="C385" i="20"/>
  <c r="X384" i="20"/>
  <c r="P384" i="20"/>
  <c r="J384" i="20"/>
  <c r="C384" i="20"/>
  <c r="X383" i="20"/>
  <c r="P383" i="20"/>
  <c r="J383" i="20"/>
  <c r="C383" i="20"/>
  <c r="X382" i="20"/>
  <c r="P382" i="20"/>
  <c r="J382" i="20"/>
  <c r="C382" i="20"/>
  <c r="X381" i="20"/>
  <c r="P381" i="20"/>
  <c r="J381" i="20"/>
  <c r="C381" i="20"/>
  <c r="X380" i="20"/>
  <c r="P380" i="20"/>
  <c r="J380" i="20"/>
  <c r="C380" i="20"/>
  <c r="X379" i="20"/>
  <c r="P379" i="20"/>
  <c r="J379" i="20"/>
  <c r="C379" i="20"/>
  <c r="X378" i="20"/>
  <c r="P378" i="20"/>
  <c r="J378" i="20"/>
  <c r="C378" i="20"/>
  <c r="X377" i="20"/>
  <c r="P377" i="20"/>
  <c r="J377" i="20"/>
  <c r="C377" i="20"/>
  <c r="X376" i="20"/>
  <c r="P376" i="20"/>
  <c r="J376" i="20"/>
  <c r="C376" i="20"/>
  <c r="X375" i="20"/>
  <c r="P375" i="20"/>
  <c r="J375" i="20"/>
  <c r="C375" i="20"/>
  <c r="X374" i="20"/>
  <c r="P374" i="20"/>
  <c r="J374" i="20"/>
  <c r="C374" i="20"/>
  <c r="X373" i="20"/>
  <c r="P373" i="20"/>
  <c r="J373" i="20"/>
  <c r="C373" i="20"/>
  <c r="X372" i="20"/>
  <c r="P372" i="20"/>
  <c r="J372" i="20"/>
  <c r="C372" i="20"/>
  <c r="X371" i="20"/>
  <c r="P371" i="20"/>
  <c r="J371" i="20"/>
  <c r="C371" i="20"/>
  <c r="X370" i="20"/>
  <c r="P370" i="20"/>
  <c r="J370" i="20"/>
  <c r="C370" i="20"/>
  <c r="X369" i="20"/>
  <c r="P369" i="20"/>
  <c r="J369" i="20"/>
  <c r="C369" i="20"/>
  <c r="X368" i="20"/>
  <c r="P368" i="20"/>
  <c r="J368" i="20"/>
  <c r="C368" i="20"/>
  <c r="X367" i="20"/>
  <c r="P367" i="20"/>
  <c r="J367" i="20"/>
  <c r="C367" i="20"/>
  <c r="X366" i="20"/>
  <c r="P366" i="20"/>
  <c r="J366" i="20"/>
  <c r="C366" i="20"/>
  <c r="X365" i="20"/>
  <c r="P365" i="20"/>
  <c r="J365" i="20"/>
  <c r="C365" i="20"/>
  <c r="X364" i="20"/>
  <c r="P364" i="20"/>
  <c r="J364" i="20"/>
  <c r="C364" i="20"/>
  <c r="X363" i="20"/>
  <c r="P363" i="20"/>
  <c r="J363" i="20"/>
  <c r="C363" i="20"/>
  <c r="X362" i="20"/>
  <c r="P362" i="20"/>
  <c r="J362" i="20"/>
  <c r="C362" i="20"/>
  <c r="X361" i="20"/>
  <c r="P361" i="20"/>
  <c r="J361" i="20"/>
  <c r="C361" i="20"/>
  <c r="X360" i="20"/>
  <c r="P360" i="20"/>
  <c r="J360" i="20"/>
  <c r="C360" i="20"/>
  <c r="X359" i="20"/>
  <c r="P359" i="20"/>
  <c r="J359" i="20"/>
  <c r="C359" i="20"/>
  <c r="X358" i="20"/>
  <c r="P358" i="20"/>
  <c r="J358" i="20"/>
  <c r="C358" i="20"/>
  <c r="X357" i="20"/>
  <c r="P357" i="20"/>
  <c r="J357" i="20"/>
  <c r="C357" i="20"/>
  <c r="X356" i="20"/>
  <c r="P356" i="20"/>
  <c r="J356" i="20"/>
  <c r="C356" i="20"/>
  <c r="X355" i="20"/>
  <c r="P355" i="20"/>
  <c r="J355" i="20"/>
  <c r="C355" i="20"/>
  <c r="X354" i="20"/>
  <c r="P354" i="20"/>
  <c r="J354" i="20"/>
  <c r="C354" i="20"/>
  <c r="X353" i="20"/>
  <c r="P353" i="20"/>
  <c r="J353" i="20"/>
  <c r="C353" i="20"/>
  <c r="X352" i="20"/>
  <c r="P352" i="20"/>
  <c r="J352" i="20"/>
  <c r="C352" i="20"/>
  <c r="X351" i="20"/>
  <c r="P351" i="20"/>
  <c r="J351" i="20"/>
  <c r="C351" i="20"/>
  <c r="X350" i="20"/>
  <c r="P350" i="20"/>
  <c r="J350" i="20"/>
  <c r="C350" i="20"/>
  <c r="X349" i="20"/>
  <c r="P349" i="20"/>
  <c r="J349" i="20"/>
  <c r="C349" i="20"/>
  <c r="X348" i="20"/>
  <c r="P348" i="20"/>
  <c r="J348" i="20"/>
  <c r="C348" i="20"/>
  <c r="X347" i="20"/>
  <c r="P347" i="20"/>
  <c r="J347" i="20"/>
  <c r="C347" i="20"/>
  <c r="X346" i="20"/>
  <c r="P346" i="20"/>
  <c r="J346" i="20"/>
  <c r="C346" i="20"/>
  <c r="X345" i="20"/>
  <c r="P345" i="20"/>
  <c r="J345" i="20"/>
  <c r="C345" i="20"/>
  <c r="X344" i="20"/>
  <c r="P344" i="20"/>
  <c r="J344" i="20"/>
  <c r="C344" i="20"/>
  <c r="X343" i="20"/>
  <c r="P343" i="20"/>
  <c r="J343" i="20"/>
  <c r="C343" i="20"/>
  <c r="X342" i="20"/>
  <c r="P342" i="20"/>
  <c r="J342" i="20"/>
  <c r="C342" i="20"/>
  <c r="X341" i="20"/>
  <c r="P341" i="20"/>
  <c r="J341" i="20"/>
  <c r="C341" i="20"/>
  <c r="X340" i="20"/>
  <c r="P340" i="20"/>
  <c r="J340" i="20"/>
  <c r="C340" i="20"/>
  <c r="X339" i="20"/>
  <c r="P339" i="20"/>
  <c r="J339" i="20"/>
  <c r="C339" i="20"/>
  <c r="X338" i="20"/>
  <c r="P338" i="20"/>
  <c r="J338" i="20"/>
  <c r="C338" i="20"/>
  <c r="X337" i="20"/>
  <c r="P337" i="20"/>
  <c r="J337" i="20"/>
  <c r="C337" i="20"/>
  <c r="X336" i="20"/>
  <c r="P336" i="20"/>
  <c r="J336" i="20"/>
  <c r="C336" i="20"/>
  <c r="X335" i="20"/>
  <c r="P335" i="20"/>
  <c r="J335" i="20"/>
  <c r="C335" i="20"/>
  <c r="X334" i="20"/>
  <c r="P334" i="20"/>
  <c r="J334" i="20"/>
  <c r="C334" i="20"/>
  <c r="X333" i="20"/>
  <c r="P333" i="20"/>
  <c r="J333" i="20"/>
  <c r="C333" i="20"/>
  <c r="X332" i="20"/>
  <c r="P332" i="20"/>
  <c r="J332" i="20"/>
  <c r="C332" i="20"/>
  <c r="X331" i="20"/>
  <c r="P331" i="20"/>
  <c r="J331" i="20"/>
  <c r="C331" i="20"/>
  <c r="X330" i="20"/>
  <c r="P330" i="20"/>
  <c r="J330" i="20"/>
  <c r="C330" i="20"/>
  <c r="X329" i="20"/>
  <c r="P329" i="20"/>
  <c r="J329" i="20"/>
  <c r="C329" i="20"/>
  <c r="X328" i="20"/>
  <c r="P328" i="20"/>
  <c r="J328" i="20"/>
  <c r="C328" i="20"/>
  <c r="X327" i="20"/>
  <c r="P327" i="20"/>
  <c r="J327" i="20"/>
  <c r="C327" i="20"/>
  <c r="X326" i="20"/>
  <c r="P326" i="20"/>
  <c r="J326" i="20"/>
  <c r="C326" i="20"/>
  <c r="X325" i="20"/>
  <c r="P325" i="20"/>
  <c r="J325" i="20"/>
  <c r="C325" i="20"/>
  <c r="X324" i="20"/>
  <c r="P324" i="20"/>
  <c r="J324" i="20"/>
  <c r="C324" i="20"/>
  <c r="X323" i="20"/>
  <c r="P323" i="20"/>
  <c r="J323" i="20"/>
  <c r="C323" i="20"/>
  <c r="X322" i="20"/>
  <c r="P322" i="20"/>
  <c r="J322" i="20"/>
  <c r="C322" i="20"/>
  <c r="X321" i="20"/>
  <c r="P321" i="20"/>
  <c r="J321" i="20"/>
  <c r="C321" i="20"/>
  <c r="X320" i="20"/>
  <c r="P320" i="20"/>
  <c r="J320" i="20"/>
  <c r="C320" i="20"/>
  <c r="X319" i="20"/>
  <c r="P319" i="20"/>
  <c r="J319" i="20"/>
  <c r="C319" i="20"/>
  <c r="X318" i="20"/>
  <c r="P318" i="20"/>
  <c r="J318" i="20"/>
  <c r="C318" i="20"/>
  <c r="X317" i="20"/>
  <c r="P317" i="20"/>
  <c r="J317" i="20"/>
  <c r="C317" i="20"/>
  <c r="X316" i="20"/>
  <c r="P316" i="20"/>
  <c r="J316" i="20"/>
  <c r="C316" i="20"/>
  <c r="X315" i="20"/>
  <c r="P315" i="20"/>
  <c r="J315" i="20"/>
  <c r="C315" i="20"/>
  <c r="X314" i="20"/>
  <c r="P314" i="20"/>
  <c r="J314" i="20"/>
  <c r="C314" i="20"/>
  <c r="X313" i="20"/>
  <c r="P313" i="20"/>
  <c r="J313" i="20"/>
  <c r="C313" i="20"/>
  <c r="X312" i="20"/>
  <c r="P312" i="20"/>
  <c r="J312" i="20"/>
  <c r="C312" i="20"/>
  <c r="X311" i="20"/>
  <c r="P311" i="20"/>
  <c r="J311" i="20"/>
  <c r="C311" i="20"/>
  <c r="X310" i="20"/>
  <c r="P310" i="20"/>
  <c r="J310" i="20"/>
  <c r="C310" i="20"/>
  <c r="X309" i="20"/>
  <c r="P309" i="20"/>
  <c r="J309" i="20"/>
  <c r="C309" i="20"/>
  <c r="X308" i="20"/>
  <c r="P308" i="20"/>
  <c r="J308" i="20"/>
  <c r="C308" i="20"/>
  <c r="X307" i="20"/>
  <c r="P307" i="20"/>
  <c r="J307" i="20"/>
  <c r="C307" i="20"/>
  <c r="X306" i="20"/>
  <c r="P306" i="20"/>
  <c r="J306" i="20"/>
  <c r="C306" i="20"/>
  <c r="X305" i="20"/>
  <c r="P305" i="20"/>
  <c r="J305" i="20"/>
  <c r="C305" i="20"/>
  <c r="X304" i="20"/>
  <c r="P304" i="20"/>
  <c r="J304" i="20"/>
  <c r="C304" i="20"/>
  <c r="X303" i="20"/>
  <c r="P303" i="20"/>
  <c r="J303" i="20"/>
  <c r="C303" i="20"/>
  <c r="X302" i="20"/>
  <c r="P302" i="20"/>
  <c r="J302" i="20"/>
  <c r="C302" i="20"/>
  <c r="X301" i="20"/>
  <c r="P301" i="20"/>
  <c r="J301" i="20"/>
  <c r="C301" i="20"/>
  <c r="X300" i="20"/>
  <c r="P300" i="20"/>
  <c r="J300" i="20"/>
  <c r="C300" i="20"/>
  <c r="X299" i="20"/>
  <c r="P299" i="20"/>
  <c r="J299" i="20"/>
  <c r="C299" i="20"/>
  <c r="X298" i="20"/>
  <c r="P298" i="20"/>
  <c r="J298" i="20"/>
  <c r="C298" i="20"/>
  <c r="X297" i="20"/>
  <c r="P297" i="20"/>
  <c r="J297" i="20"/>
  <c r="C297" i="20"/>
  <c r="X296" i="20"/>
  <c r="P296" i="20"/>
  <c r="J296" i="20"/>
  <c r="C296" i="20"/>
  <c r="X295" i="20"/>
  <c r="P295" i="20"/>
  <c r="J295" i="20"/>
  <c r="C295" i="20"/>
  <c r="X294" i="20"/>
  <c r="P294" i="20"/>
  <c r="J294" i="20"/>
  <c r="C294" i="20"/>
  <c r="X293" i="20"/>
  <c r="P293" i="20"/>
  <c r="J293" i="20"/>
  <c r="C293" i="20"/>
  <c r="X292" i="20"/>
  <c r="P292" i="20"/>
  <c r="J292" i="20"/>
  <c r="C292" i="20"/>
  <c r="X291" i="20"/>
  <c r="P291" i="20"/>
  <c r="J291" i="20"/>
  <c r="C291" i="20"/>
  <c r="X290" i="20"/>
  <c r="P290" i="20"/>
  <c r="J290" i="20"/>
  <c r="C290" i="20"/>
  <c r="X289" i="20"/>
  <c r="P289" i="20"/>
  <c r="J289" i="20"/>
  <c r="C289" i="20"/>
  <c r="X288" i="20"/>
  <c r="P288" i="20"/>
  <c r="J288" i="20"/>
  <c r="C288" i="20"/>
  <c r="X287" i="20"/>
  <c r="P287" i="20"/>
  <c r="J287" i="20"/>
  <c r="C287" i="20"/>
  <c r="X286" i="20"/>
  <c r="P286" i="20"/>
  <c r="J286" i="20"/>
  <c r="C286" i="20"/>
  <c r="X285" i="20"/>
  <c r="P285" i="20"/>
  <c r="J285" i="20"/>
  <c r="C285" i="20"/>
  <c r="X284" i="20"/>
  <c r="P284" i="20"/>
  <c r="J284" i="20"/>
  <c r="C284" i="20"/>
  <c r="X283" i="20"/>
  <c r="P283" i="20"/>
  <c r="J283" i="20"/>
  <c r="C283" i="20"/>
  <c r="X282" i="20"/>
  <c r="P282" i="20"/>
  <c r="J282" i="20"/>
  <c r="C282" i="20"/>
  <c r="X281" i="20"/>
  <c r="P281" i="20"/>
  <c r="J281" i="20"/>
  <c r="C281" i="20"/>
  <c r="X280" i="20"/>
  <c r="P280" i="20"/>
  <c r="J280" i="20"/>
  <c r="C280" i="20"/>
  <c r="X279" i="20"/>
  <c r="P279" i="20"/>
  <c r="J279" i="20"/>
  <c r="C279" i="20"/>
  <c r="X278" i="20"/>
  <c r="P278" i="20"/>
  <c r="J278" i="20"/>
  <c r="C278" i="20"/>
  <c r="X277" i="20"/>
  <c r="P277" i="20"/>
  <c r="J277" i="20"/>
  <c r="C277" i="20"/>
  <c r="X276" i="20"/>
  <c r="P276" i="20"/>
  <c r="J276" i="20"/>
  <c r="C276" i="20"/>
  <c r="X275" i="20"/>
  <c r="P275" i="20"/>
  <c r="J275" i="20"/>
  <c r="C275" i="20"/>
  <c r="X274" i="20"/>
  <c r="P274" i="20"/>
  <c r="J274" i="20"/>
  <c r="C274" i="20"/>
  <c r="X273" i="20"/>
  <c r="P273" i="20"/>
  <c r="J273" i="20"/>
  <c r="C273" i="20"/>
  <c r="X272" i="20"/>
  <c r="P272" i="20"/>
  <c r="J272" i="20"/>
  <c r="C272" i="20"/>
  <c r="X271" i="20"/>
  <c r="P271" i="20"/>
  <c r="J271" i="20"/>
  <c r="C271" i="20"/>
  <c r="X270" i="20"/>
  <c r="P270" i="20"/>
  <c r="J270" i="20"/>
  <c r="C270" i="20"/>
  <c r="X269" i="20"/>
  <c r="P269" i="20"/>
  <c r="J269" i="20"/>
  <c r="C269" i="20"/>
  <c r="X268" i="20"/>
  <c r="P268" i="20"/>
  <c r="J268" i="20"/>
  <c r="C268" i="20"/>
  <c r="X267" i="20"/>
  <c r="P267" i="20"/>
  <c r="J267" i="20"/>
  <c r="C267" i="20"/>
  <c r="X266" i="20"/>
  <c r="P266" i="20"/>
  <c r="J266" i="20"/>
  <c r="C266" i="20"/>
  <c r="X265" i="20"/>
  <c r="P265" i="20"/>
  <c r="J265" i="20"/>
  <c r="C265" i="20"/>
  <c r="X264" i="20"/>
  <c r="P264" i="20"/>
  <c r="J264" i="20"/>
  <c r="C264" i="20"/>
  <c r="X263" i="20"/>
  <c r="P263" i="20"/>
  <c r="J263" i="20"/>
  <c r="C263" i="20"/>
  <c r="X262" i="20"/>
  <c r="P262" i="20"/>
  <c r="J262" i="20"/>
  <c r="C262" i="20"/>
  <c r="X261" i="20"/>
  <c r="P261" i="20"/>
  <c r="J261" i="20"/>
  <c r="C261" i="20"/>
  <c r="X260" i="20"/>
  <c r="P260" i="20"/>
  <c r="J260" i="20"/>
  <c r="C260" i="20"/>
  <c r="X259" i="20"/>
  <c r="P259" i="20"/>
  <c r="J259" i="20"/>
  <c r="C259" i="20"/>
  <c r="X258" i="20"/>
  <c r="P258" i="20"/>
  <c r="J258" i="20"/>
  <c r="C258" i="20"/>
  <c r="X257" i="20"/>
  <c r="P257" i="20"/>
  <c r="J257" i="20"/>
  <c r="C257" i="20"/>
  <c r="X256" i="20"/>
  <c r="P256" i="20"/>
  <c r="J256" i="20"/>
  <c r="C256" i="20"/>
  <c r="X255" i="20"/>
  <c r="P255" i="20"/>
  <c r="J255" i="20"/>
  <c r="C255" i="20"/>
  <c r="X254" i="20"/>
  <c r="P254" i="20"/>
  <c r="J254" i="20"/>
  <c r="C254" i="20"/>
  <c r="X253" i="20"/>
  <c r="P253" i="20"/>
  <c r="J253" i="20"/>
  <c r="C253" i="20"/>
  <c r="X252" i="20"/>
  <c r="P252" i="20"/>
  <c r="J252" i="20"/>
  <c r="C252" i="20"/>
  <c r="X251" i="20"/>
  <c r="P251" i="20"/>
  <c r="J251" i="20"/>
  <c r="C251" i="20"/>
  <c r="X250" i="20"/>
  <c r="P250" i="20"/>
  <c r="J250" i="20"/>
  <c r="C250" i="20"/>
  <c r="X249" i="20"/>
  <c r="P249" i="20"/>
  <c r="J249" i="20"/>
  <c r="C249" i="20"/>
  <c r="X248" i="20"/>
  <c r="P248" i="20"/>
  <c r="J248" i="20"/>
  <c r="C248" i="20"/>
  <c r="X247" i="20"/>
  <c r="P247" i="20"/>
  <c r="J247" i="20"/>
  <c r="C247" i="20"/>
  <c r="X246" i="20"/>
  <c r="P246" i="20"/>
  <c r="J246" i="20"/>
  <c r="C246" i="20"/>
  <c r="X245" i="20"/>
  <c r="P245" i="20"/>
  <c r="J245" i="20"/>
  <c r="C245" i="20"/>
  <c r="X244" i="20"/>
  <c r="P244" i="20"/>
  <c r="J244" i="20"/>
  <c r="C244" i="20"/>
  <c r="X243" i="20"/>
  <c r="P243" i="20"/>
  <c r="J243" i="20"/>
  <c r="C243" i="20"/>
  <c r="X242" i="20"/>
  <c r="P242" i="20"/>
  <c r="J242" i="20"/>
  <c r="C242" i="20"/>
  <c r="X241" i="20"/>
  <c r="P241" i="20"/>
  <c r="J241" i="20"/>
  <c r="C241" i="20"/>
  <c r="X240" i="20"/>
  <c r="P240" i="20"/>
  <c r="J240" i="20"/>
  <c r="C240" i="20"/>
  <c r="X239" i="20"/>
  <c r="P239" i="20"/>
  <c r="J239" i="20"/>
  <c r="C239" i="20"/>
  <c r="X238" i="20"/>
  <c r="P238" i="20"/>
  <c r="J238" i="20"/>
  <c r="C238" i="20"/>
  <c r="X237" i="20"/>
  <c r="P237" i="20"/>
  <c r="J237" i="20"/>
  <c r="C237" i="20"/>
  <c r="X236" i="20"/>
  <c r="P236" i="20"/>
  <c r="J236" i="20"/>
  <c r="C236" i="20"/>
  <c r="X235" i="20"/>
  <c r="P235" i="20"/>
  <c r="J235" i="20"/>
  <c r="C235" i="20"/>
  <c r="X234" i="20"/>
  <c r="P234" i="20"/>
  <c r="J234" i="20"/>
  <c r="C234" i="20"/>
  <c r="X233" i="20"/>
  <c r="P233" i="20"/>
  <c r="J233" i="20"/>
  <c r="C233" i="20"/>
  <c r="X232" i="20"/>
  <c r="P232" i="20"/>
  <c r="J232" i="20"/>
  <c r="C232" i="20"/>
  <c r="X231" i="20"/>
  <c r="P231" i="20"/>
  <c r="J231" i="20"/>
  <c r="C231" i="20"/>
  <c r="X230" i="20"/>
  <c r="P230" i="20"/>
  <c r="J230" i="20"/>
  <c r="C230" i="20"/>
  <c r="X229" i="20"/>
  <c r="P229" i="20"/>
  <c r="J229" i="20"/>
  <c r="C229" i="20"/>
  <c r="X228" i="20"/>
  <c r="P228" i="20"/>
  <c r="J228" i="20"/>
  <c r="C228" i="20"/>
  <c r="X227" i="20"/>
  <c r="P227" i="20"/>
  <c r="J227" i="20"/>
  <c r="C227" i="20"/>
  <c r="X226" i="20"/>
  <c r="P226" i="20"/>
  <c r="J226" i="20"/>
  <c r="C226" i="20"/>
  <c r="X225" i="20"/>
  <c r="P225" i="20"/>
  <c r="J225" i="20"/>
  <c r="C225" i="20"/>
  <c r="X224" i="20"/>
  <c r="P224" i="20"/>
  <c r="J224" i="20"/>
  <c r="C224" i="20"/>
  <c r="X223" i="20"/>
  <c r="P223" i="20"/>
  <c r="J223" i="20"/>
  <c r="C223" i="20"/>
  <c r="X222" i="20"/>
  <c r="P222" i="20"/>
  <c r="J222" i="20"/>
  <c r="C222" i="20"/>
  <c r="X221" i="20"/>
  <c r="P221" i="20"/>
  <c r="J221" i="20"/>
  <c r="C221" i="20"/>
  <c r="X220" i="20"/>
  <c r="P220" i="20"/>
  <c r="J220" i="20"/>
  <c r="C220" i="20"/>
  <c r="X219" i="20"/>
  <c r="P219" i="20"/>
  <c r="J219" i="20"/>
  <c r="C219" i="20"/>
  <c r="X218" i="20"/>
  <c r="P218" i="20"/>
  <c r="J218" i="20"/>
  <c r="C218" i="20"/>
  <c r="X217" i="20"/>
  <c r="P217" i="20"/>
  <c r="J217" i="20"/>
  <c r="C217" i="20"/>
  <c r="X216" i="20"/>
  <c r="P216" i="20"/>
  <c r="J216" i="20"/>
  <c r="C216" i="20"/>
  <c r="X215" i="20"/>
  <c r="P215" i="20"/>
  <c r="J215" i="20"/>
  <c r="C215" i="20"/>
  <c r="X214" i="20"/>
  <c r="P214" i="20"/>
  <c r="J214" i="20"/>
  <c r="C214" i="20"/>
  <c r="X213" i="20"/>
  <c r="P213" i="20"/>
  <c r="J213" i="20"/>
  <c r="C213" i="20"/>
  <c r="X212" i="20"/>
  <c r="P212" i="20"/>
  <c r="J212" i="20"/>
  <c r="C212" i="20"/>
  <c r="X211" i="20"/>
  <c r="P211" i="20"/>
  <c r="J211" i="20"/>
  <c r="C211" i="20"/>
  <c r="X210" i="20"/>
  <c r="P210" i="20"/>
  <c r="J210" i="20"/>
  <c r="C210" i="20"/>
  <c r="X209" i="20"/>
  <c r="P209" i="20"/>
  <c r="J209" i="20"/>
  <c r="C209" i="20"/>
  <c r="X208" i="20"/>
  <c r="P208" i="20"/>
  <c r="J208" i="20"/>
  <c r="C208" i="20"/>
  <c r="X207" i="20"/>
  <c r="P207" i="20"/>
  <c r="J207" i="20"/>
  <c r="C207" i="20"/>
  <c r="X206" i="20"/>
  <c r="P206" i="20"/>
  <c r="J206" i="20"/>
  <c r="C206" i="20"/>
  <c r="X205" i="20"/>
  <c r="P205" i="20"/>
  <c r="J205" i="20"/>
  <c r="C205" i="20"/>
  <c r="X204" i="20"/>
  <c r="P204" i="20"/>
  <c r="J204" i="20"/>
  <c r="C204" i="20"/>
  <c r="X203" i="20"/>
  <c r="P203" i="20"/>
  <c r="J203" i="20"/>
  <c r="C203" i="20"/>
  <c r="X202" i="20"/>
  <c r="P202" i="20"/>
  <c r="J202" i="20"/>
  <c r="C202" i="20"/>
  <c r="X201" i="20"/>
  <c r="P201" i="20"/>
  <c r="J201" i="20"/>
  <c r="C201" i="20"/>
  <c r="X200" i="20"/>
  <c r="P200" i="20"/>
  <c r="J200" i="20"/>
  <c r="C200" i="20"/>
  <c r="X199" i="20"/>
  <c r="P199" i="20"/>
  <c r="J199" i="20"/>
  <c r="C199" i="20"/>
  <c r="X198" i="20"/>
  <c r="P198" i="20"/>
  <c r="J198" i="20"/>
  <c r="C198" i="20"/>
  <c r="X197" i="20"/>
  <c r="P197" i="20"/>
  <c r="J197" i="20"/>
  <c r="C197" i="20"/>
  <c r="X196" i="20"/>
  <c r="P196" i="20"/>
  <c r="J196" i="20"/>
  <c r="C196" i="20"/>
  <c r="X195" i="20"/>
  <c r="P195" i="20"/>
  <c r="J195" i="20"/>
  <c r="C195" i="20"/>
  <c r="X194" i="20"/>
  <c r="P194" i="20"/>
  <c r="J194" i="20"/>
  <c r="C194" i="20"/>
  <c r="X193" i="20"/>
  <c r="P193" i="20"/>
  <c r="J193" i="20"/>
  <c r="C193" i="20"/>
  <c r="X192" i="20"/>
  <c r="P192" i="20"/>
  <c r="J192" i="20"/>
  <c r="C192" i="20"/>
  <c r="X191" i="20"/>
  <c r="P191" i="20"/>
  <c r="J191" i="20"/>
  <c r="C191" i="20"/>
  <c r="X190" i="20"/>
  <c r="P190" i="20"/>
  <c r="J190" i="20"/>
  <c r="C190" i="20"/>
  <c r="X189" i="20"/>
  <c r="P189" i="20"/>
  <c r="J189" i="20"/>
  <c r="C189" i="20"/>
  <c r="X188" i="20"/>
  <c r="P188" i="20"/>
  <c r="J188" i="20"/>
  <c r="C188" i="20"/>
  <c r="X187" i="20"/>
  <c r="P187" i="20"/>
  <c r="J187" i="20"/>
  <c r="C187" i="20"/>
  <c r="X186" i="20"/>
  <c r="P186" i="20"/>
  <c r="J186" i="20"/>
  <c r="C186" i="20"/>
  <c r="X185" i="20"/>
  <c r="P185" i="20"/>
  <c r="J185" i="20"/>
  <c r="C185" i="20"/>
  <c r="X184" i="20"/>
  <c r="P184" i="20"/>
  <c r="J184" i="20"/>
  <c r="C184" i="20"/>
  <c r="X183" i="20"/>
  <c r="P183" i="20"/>
  <c r="J183" i="20"/>
  <c r="C183" i="20"/>
  <c r="X182" i="20"/>
  <c r="P182" i="20"/>
  <c r="J182" i="20"/>
  <c r="C182" i="20"/>
  <c r="X181" i="20"/>
  <c r="P181" i="20"/>
  <c r="J181" i="20"/>
  <c r="C181" i="20"/>
  <c r="X180" i="20"/>
  <c r="P180" i="20"/>
  <c r="J180" i="20"/>
  <c r="C180" i="20"/>
  <c r="X179" i="20"/>
  <c r="P179" i="20"/>
  <c r="J179" i="20"/>
  <c r="C179" i="20"/>
  <c r="X178" i="20"/>
  <c r="P178" i="20"/>
  <c r="J178" i="20"/>
  <c r="C178" i="20"/>
  <c r="X177" i="20"/>
  <c r="P177" i="20"/>
  <c r="J177" i="20"/>
  <c r="C177" i="20"/>
  <c r="X176" i="20"/>
  <c r="P176" i="20"/>
  <c r="J176" i="20"/>
  <c r="C176" i="20"/>
  <c r="X175" i="20"/>
  <c r="P175" i="20"/>
  <c r="J175" i="20"/>
  <c r="C175" i="20"/>
  <c r="X174" i="20"/>
  <c r="P174" i="20"/>
  <c r="J174" i="20"/>
  <c r="C174" i="20"/>
  <c r="X173" i="20"/>
  <c r="P173" i="20"/>
  <c r="J173" i="20"/>
  <c r="C173" i="20"/>
  <c r="X172" i="20"/>
  <c r="P172" i="20"/>
  <c r="J172" i="20"/>
  <c r="C172" i="20"/>
  <c r="X171" i="20"/>
  <c r="P171" i="20"/>
  <c r="J171" i="20"/>
  <c r="C171" i="20"/>
  <c r="X170" i="20"/>
  <c r="P170" i="20"/>
  <c r="J170" i="20"/>
  <c r="C170" i="20"/>
  <c r="X169" i="20"/>
  <c r="P169" i="20"/>
  <c r="J169" i="20"/>
  <c r="C169" i="20"/>
  <c r="X168" i="20"/>
  <c r="P168" i="20"/>
  <c r="J168" i="20"/>
  <c r="C168" i="20"/>
  <c r="X167" i="20"/>
  <c r="P167" i="20"/>
  <c r="J167" i="20"/>
  <c r="C167" i="20"/>
  <c r="X166" i="20"/>
  <c r="P166" i="20"/>
  <c r="J166" i="20"/>
  <c r="C166" i="20"/>
  <c r="X165" i="20"/>
  <c r="P165" i="20"/>
  <c r="J165" i="20"/>
  <c r="C165" i="20"/>
  <c r="X164" i="20"/>
  <c r="P164" i="20"/>
  <c r="J164" i="20"/>
  <c r="C164" i="20"/>
  <c r="X163" i="20"/>
  <c r="P163" i="20"/>
  <c r="J163" i="20"/>
  <c r="C163" i="20"/>
  <c r="X162" i="20"/>
  <c r="P162" i="20"/>
  <c r="J162" i="20"/>
  <c r="C162" i="20"/>
  <c r="X161" i="20"/>
  <c r="P161" i="20"/>
  <c r="J161" i="20"/>
  <c r="C161" i="20"/>
  <c r="X160" i="20"/>
  <c r="P160" i="20"/>
  <c r="J160" i="20"/>
  <c r="C160" i="20"/>
  <c r="X159" i="20"/>
  <c r="P159" i="20"/>
  <c r="J159" i="20"/>
  <c r="C159" i="20"/>
  <c r="X158" i="20"/>
  <c r="P158" i="20"/>
  <c r="J158" i="20"/>
  <c r="C158" i="20"/>
  <c r="X157" i="20"/>
  <c r="P157" i="20"/>
  <c r="J157" i="20"/>
  <c r="C157" i="20"/>
  <c r="X156" i="20"/>
  <c r="P156" i="20"/>
  <c r="J156" i="20"/>
  <c r="C156" i="20"/>
  <c r="X155" i="20"/>
  <c r="P155" i="20"/>
  <c r="J155" i="20"/>
  <c r="C155" i="20"/>
  <c r="X154" i="20"/>
  <c r="P154" i="20"/>
  <c r="J154" i="20"/>
  <c r="C154" i="20"/>
  <c r="X153" i="20"/>
  <c r="P153" i="20"/>
  <c r="J153" i="20"/>
  <c r="C153" i="20"/>
  <c r="X152" i="20"/>
  <c r="P152" i="20"/>
  <c r="J152" i="20"/>
  <c r="C152" i="20"/>
  <c r="X151" i="20"/>
  <c r="P151" i="20"/>
  <c r="J151" i="20"/>
  <c r="C151" i="20"/>
  <c r="X150" i="20"/>
  <c r="P150" i="20"/>
  <c r="J150" i="20"/>
  <c r="C150" i="20"/>
  <c r="X149" i="20"/>
  <c r="P149" i="20"/>
  <c r="J149" i="20"/>
  <c r="C149" i="20"/>
  <c r="X148" i="20"/>
  <c r="P148" i="20"/>
  <c r="J148" i="20"/>
  <c r="C148" i="20"/>
  <c r="X147" i="20"/>
  <c r="P147" i="20"/>
  <c r="J147" i="20"/>
  <c r="C147" i="20"/>
  <c r="X146" i="20"/>
  <c r="P146" i="20"/>
  <c r="J146" i="20"/>
  <c r="C146" i="20"/>
  <c r="X145" i="20"/>
  <c r="P145" i="20"/>
  <c r="J145" i="20"/>
  <c r="C145" i="20"/>
  <c r="X144" i="20"/>
  <c r="P144" i="20"/>
  <c r="J144" i="20"/>
  <c r="C144" i="20"/>
  <c r="X143" i="20"/>
  <c r="P143" i="20"/>
  <c r="J143" i="20"/>
  <c r="C143" i="20"/>
  <c r="X142" i="20"/>
  <c r="P142" i="20"/>
  <c r="J142" i="20"/>
  <c r="C142" i="20"/>
  <c r="X141" i="20"/>
  <c r="P141" i="20"/>
  <c r="J141" i="20"/>
  <c r="C141" i="20"/>
  <c r="X140" i="20"/>
  <c r="P140" i="20"/>
  <c r="J140" i="20"/>
  <c r="C140" i="20"/>
  <c r="X139" i="20"/>
  <c r="P139" i="20"/>
  <c r="J139" i="20"/>
  <c r="C139" i="20"/>
  <c r="X138" i="20"/>
  <c r="P138" i="20"/>
  <c r="J138" i="20"/>
  <c r="C138" i="20"/>
  <c r="X137" i="20"/>
  <c r="P137" i="20"/>
  <c r="J137" i="20"/>
  <c r="C137" i="20"/>
  <c r="X136" i="20"/>
  <c r="P136" i="20"/>
  <c r="J136" i="20"/>
  <c r="C136" i="20"/>
  <c r="X135" i="20"/>
  <c r="P135" i="20"/>
  <c r="J135" i="20"/>
  <c r="C135" i="20"/>
  <c r="X134" i="20"/>
  <c r="P134" i="20"/>
  <c r="J134" i="20"/>
  <c r="C134" i="20"/>
  <c r="X133" i="20"/>
  <c r="P133" i="20"/>
  <c r="J133" i="20"/>
  <c r="C133" i="20"/>
  <c r="X132" i="20"/>
  <c r="P132" i="20"/>
  <c r="J132" i="20"/>
  <c r="C132" i="20"/>
  <c r="X131" i="20"/>
  <c r="P131" i="20"/>
  <c r="J131" i="20"/>
  <c r="C131" i="20"/>
  <c r="X130" i="20"/>
  <c r="P130" i="20"/>
  <c r="J130" i="20"/>
  <c r="C130" i="20"/>
  <c r="X129" i="20"/>
  <c r="P129" i="20"/>
  <c r="J129" i="20"/>
  <c r="C129" i="20"/>
  <c r="X128" i="20"/>
  <c r="P128" i="20"/>
  <c r="J128" i="20"/>
  <c r="C128" i="20"/>
  <c r="X127" i="20"/>
  <c r="P127" i="20"/>
  <c r="J127" i="20"/>
  <c r="C127" i="20"/>
  <c r="X126" i="20"/>
  <c r="P126" i="20"/>
  <c r="J126" i="20"/>
  <c r="C126" i="20"/>
  <c r="X125" i="20"/>
  <c r="P125" i="20"/>
  <c r="J125" i="20"/>
  <c r="C125" i="20"/>
  <c r="X124" i="20"/>
  <c r="P124" i="20"/>
  <c r="J124" i="20"/>
  <c r="C124" i="20"/>
  <c r="X123" i="20"/>
  <c r="P123" i="20"/>
  <c r="J123" i="20"/>
  <c r="C123" i="20"/>
  <c r="X122" i="20"/>
  <c r="P122" i="20"/>
  <c r="J122" i="20"/>
  <c r="C122" i="20"/>
  <c r="X121" i="20"/>
  <c r="P121" i="20"/>
  <c r="J121" i="20"/>
  <c r="C121" i="20"/>
  <c r="X120" i="20"/>
  <c r="P120" i="20"/>
  <c r="J120" i="20"/>
  <c r="C120" i="20"/>
  <c r="X119" i="20"/>
  <c r="P119" i="20"/>
  <c r="J119" i="20"/>
  <c r="C119" i="20"/>
  <c r="X118" i="20"/>
  <c r="P118" i="20"/>
  <c r="J118" i="20"/>
  <c r="C118" i="20"/>
  <c r="X117" i="20"/>
  <c r="P117" i="20"/>
  <c r="J117" i="20"/>
  <c r="C117" i="20"/>
  <c r="X116" i="20"/>
  <c r="P116" i="20"/>
  <c r="J116" i="20"/>
  <c r="C116" i="20"/>
  <c r="X115" i="20"/>
  <c r="P115" i="20"/>
  <c r="J115" i="20"/>
  <c r="C115" i="20"/>
  <c r="X114" i="20"/>
  <c r="P114" i="20"/>
  <c r="J114" i="20"/>
  <c r="C114" i="20"/>
  <c r="X113" i="20"/>
  <c r="P113" i="20"/>
  <c r="J113" i="20"/>
  <c r="C113" i="20"/>
  <c r="X112" i="20"/>
  <c r="P112" i="20"/>
  <c r="J112" i="20"/>
  <c r="C112" i="20"/>
  <c r="X111" i="20"/>
  <c r="P111" i="20"/>
  <c r="J111" i="20"/>
  <c r="C111" i="20"/>
  <c r="X110" i="20"/>
  <c r="P110" i="20"/>
  <c r="J110" i="20"/>
  <c r="C110" i="20"/>
  <c r="X109" i="20"/>
  <c r="P109" i="20"/>
  <c r="J109" i="20"/>
  <c r="C109" i="20"/>
  <c r="X108" i="20"/>
  <c r="P108" i="20"/>
  <c r="J108" i="20"/>
  <c r="C108" i="20"/>
  <c r="X107" i="20"/>
  <c r="P107" i="20"/>
  <c r="J107" i="20"/>
  <c r="C107" i="20"/>
  <c r="X106" i="20"/>
  <c r="P106" i="20"/>
  <c r="J106" i="20"/>
  <c r="C106" i="20"/>
  <c r="X105" i="20"/>
  <c r="P105" i="20"/>
  <c r="J105" i="20"/>
  <c r="C105" i="20"/>
  <c r="X104" i="20"/>
  <c r="P104" i="20"/>
  <c r="J104" i="20"/>
  <c r="C104" i="20"/>
  <c r="X103" i="20"/>
  <c r="P103" i="20"/>
  <c r="J103" i="20"/>
  <c r="C103" i="20"/>
  <c r="X102" i="20"/>
  <c r="P102" i="20"/>
  <c r="J102" i="20"/>
  <c r="C102" i="20"/>
  <c r="X101" i="20"/>
  <c r="P101" i="20"/>
  <c r="J101" i="20"/>
  <c r="C101" i="20"/>
  <c r="X100" i="20"/>
  <c r="P100" i="20"/>
  <c r="J100" i="20"/>
  <c r="C100" i="20"/>
  <c r="X99" i="20"/>
  <c r="P99" i="20"/>
  <c r="J99" i="20"/>
  <c r="C99" i="20"/>
  <c r="X98" i="20"/>
  <c r="P98" i="20"/>
  <c r="J98" i="20"/>
  <c r="C98" i="20"/>
  <c r="X97" i="20"/>
  <c r="P97" i="20"/>
  <c r="J97" i="20"/>
  <c r="C97" i="20"/>
  <c r="X96" i="20"/>
  <c r="P96" i="20"/>
  <c r="J96" i="20"/>
  <c r="C96" i="20"/>
  <c r="X95" i="20"/>
  <c r="P95" i="20"/>
  <c r="J95" i="20"/>
  <c r="C95" i="20"/>
  <c r="X94" i="20"/>
  <c r="P94" i="20"/>
  <c r="J94" i="20"/>
  <c r="C94" i="20"/>
  <c r="X93" i="20"/>
  <c r="P93" i="20"/>
  <c r="J93" i="20"/>
  <c r="C93" i="20"/>
  <c r="X92" i="20"/>
  <c r="P92" i="20"/>
  <c r="J92" i="20"/>
  <c r="C92" i="20"/>
  <c r="X91" i="20"/>
  <c r="P91" i="20"/>
  <c r="J91" i="20"/>
  <c r="C91" i="20"/>
  <c r="X90" i="20"/>
  <c r="P90" i="20"/>
  <c r="J90" i="20"/>
  <c r="C90" i="20"/>
  <c r="X89" i="20"/>
  <c r="P89" i="20"/>
  <c r="J89" i="20"/>
  <c r="C89" i="20"/>
  <c r="X88" i="20"/>
  <c r="P88" i="20"/>
  <c r="J88" i="20"/>
  <c r="C88" i="20"/>
  <c r="X87" i="20"/>
  <c r="P87" i="20"/>
  <c r="J87" i="20"/>
  <c r="C87" i="20"/>
  <c r="X86" i="20"/>
  <c r="P86" i="20"/>
  <c r="J86" i="20"/>
  <c r="C86" i="20"/>
  <c r="X85" i="20"/>
  <c r="P85" i="20"/>
  <c r="J85" i="20"/>
  <c r="C85" i="20"/>
  <c r="X84" i="20"/>
  <c r="P84" i="20"/>
  <c r="J84" i="20"/>
  <c r="C84" i="20"/>
  <c r="X83" i="20"/>
  <c r="P83" i="20"/>
  <c r="J83" i="20"/>
  <c r="C83" i="20"/>
  <c r="X82" i="20"/>
  <c r="P82" i="20"/>
  <c r="J82" i="20"/>
  <c r="C82" i="20"/>
  <c r="X81" i="20"/>
  <c r="P81" i="20"/>
  <c r="J81" i="20"/>
  <c r="C81" i="20"/>
  <c r="X80" i="20"/>
  <c r="P80" i="20"/>
  <c r="J80" i="20"/>
  <c r="C80" i="20"/>
  <c r="X79" i="20"/>
  <c r="P79" i="20"/>
  <c r="J79" i="20"/>
  <c r="C79" i="20"/>
  <c r="X78" i="20"/>
  <c r="P78" i="20"/>
  <c r="J78" i="20"/>
  <c r="C78" i="20"/>
  <c r="X77" i="20"/>
  <c r="P77" i="20"/>
  <c r="J77" i="20"/>
  <c r="C77" i="20"/>
  <c r="X76" i="20"/>
  <c r="P76" i="20"/>
  <c r="J76" i="20"/>
  <c r="C76" i="20"/>
  <c r="X75" i="20"/>
  <c r="P75" i="20"/>
  <c r="J75" i="20"/>
  <c r="C75" i="20"/>
  <c r="X74" i="20"/>
  <c r="P74" i="20"/>
  <c r="J74" i="20"/>
  <c r="C74" i="20"/>
  <c r="X73" i="20"/>
  <c r="P73" i="20"/>
  <c r="J73" i="20"/>
  <c r="C73" i="20"/>
  <c r="X72" i="20"/>
  <c r="P72" i="20"/>
  <c r="J72" i="20"/>
  <c r="C72" i="20"/>
  <c r="X71" i="20"/>
  <c r="P71" i="20"/>
  <c r="J71" i="20"/>
  <c r="C71" i="20"/>
  <c r="X70" i="20"/>
  <c r="P70" i="20"/>
  <c r="J70" i="20"/>
  <c r="C70" i="20"/>
  <c r="X69" i="20"/>
  <c r="P69" i="20"/>
  <c r="J69" i="20"/>
  <c r="C69" i="20"/>
  <c r="X68" i="20"/>
  <c r="P68" i="20"/>
  <c r="J68" i="20"/>
  <c r="C68" i="20"/>
  <c r="X67" i="20"/>
  <c r="P67" i="20"/>
  <c r="J67" i="20"/>
  <c r="C67" i="20"/>
  <c r="X66" i="20"/>
  <c r="P66" i="20"/>
  <c r="J66" i="20"/>
  <c r="C66" i="20"/>
  <c r="X65" i="20"/>
  <c r="P65" i="20"/>
  <c r="J65" i="20"/>
  <c r="C65" i="20"/>
  <c r="X64" i="20"/>
  <c r="P64" i="20"/>
  <c r="J64" i="20"/>
  <c r="C64" i="20"/>
  <c r="X63" i="20"/>
  <c r="P63" i="20"/>
  <c r="J63" i="20"/>
  <c r="C63" i="20"/>
  <c r="X62" i="20"/>
  <c r="P62" i="20"/>
  <c r="J62" i="20"/>
  <c r="C62" i="20"/>
  <c r="X61" i="20"/>
  <c r="P61" i="20"/>
  <c r="J61" i="20"/>
  <c r="C61" i="20"/>
  <c r="X60" i="20"/>
  <c r="P60" i="20"/>
  <c r="J60" i="20"/>
  <c r="C60" i="20"/>
  <c r="X59" i="20"/>
  <c r="P59" i="20"/>
  <c r="J59" i="20"/>
  <c r="C59" i="20"/>
  <c r="X58" i="20"/>
  <c r="P58" i="20"/>
  <c r="J58" i="20"/>
  <c r="C58" i="20"/>
  <c r="X57" i="20"/>
  <c r="P57" i="20"/>
  <c r="J57" i="20"/>
  <c r="C57" i="20"/>
  <c r="X56" i="20"/>
  <c r="P56" i="20"/>
  <c r="J56" i="20"/>
  <c r="C56" i="20"/>
  <c r="X55" i="20"/>
  <c r="P55" i="20"/>
  <c r="J55" i="20"/>
  <c r="C55" i="20"/>
  <c r="X54" i="20"/>
  <c r="P54" i="20"/>
  <c r="J54" i="20"/>
  <c r="C54" i="20"/>
  <c r="X53" i="20"/>
  <c r="P53" i="20"/>
  <c r="J53" i="20"/>
  <c r="C53" i="20"/>
  <c r="X52" i="20"/>
  <c r="P52" i="20"/>
  <c r="J52" i="20"/>
  <c r="C52" i="20"/>
  <c r="X51" i="20"/>
  <c r="P51" i="20"/>
  <c r="J51" i="20"/>
  <c r="C51" i="20"/>
  <c r="X50" i="20"/>
  <c r="P50" i="20"/>
  <c r="J50" i="20"/>
  <c r="C50" i="20"/>
  <c r="X49" i="20"/>
  <c r="P49" i="20"/>
  <c r="J49" i="20"/>
  <c r="C49" i="20"/>
  <c r="X48" i="20"/>
  <c r="P48" i="20"/>
  <c r="J48" i="20"/>
  <c r="C48" i="20"/>
  <c r="X47" i="20"/>
  <c r="P47" i="20"/>
  <c r="J47" i="20"/>
  <c r="C47" i="20"/>
  <c r="X46" i="20"/>
  <c r="P46" i="20"/>
  <c r="J46" i="20"/>
  <c r="C46" i="20"/>
  <c r="X45" i="20"/>
  <c r="P45" i="20"/>
  <c r="J45" i="20"/>
  <c r="C45" i="20"/>
  <c r="X44" i="20"/>
  <c r="P44" i="20"/>
  <c r="J44" i="20"/>
  <c r="C44" i="20"/>
  <c r="X43" i="20"/>
  <c r="P43" i="20"/>
  <c r="J43" i="20"/>
  <c r="C43" i="20"/>
  <c r="X42" i="20"/>
  <c r="P42" i="20"/>
  <c r="J42" i="20"/>
  <c r="C42" i="20"/>
  <c r="X41" i="20"/>
  <c r="P41" i="20"/>
  <c r="J41" i="20"/>
  <c r="C41" i="20"/>
  <c r="X40" i="20"/>
  <c r="P40" i="20"/>
  <c r="J40" i="20"/>
  <c r="C40" i="20"/>
  <c r="X39" i="20"/>
  <c r="P39" i="20"/>
  <c r="J39" i="20"/>
  <c r="C39" i="20"/>
  <c r="X38" i="20"/>
  <c r="P38" i="20"/>
  <c r="J38" i="20"/>
  <c r="C38" i="20"/>
  <c r="X37" i="20"/>
  <c r="P37" i="20"/>
  <c r="J37" i="20"/>
  <c r="C37" i="20"/>
  <c r="X36" i="20"/>
  <c r="P36" i="20"/>
  <c r="J36" i="20"/>
  <c r="C36" i="20"/>
  <c r="X35" i="20"/>
  <c r="P35" i="20"/>
  <c r="J35" i="20"/>
  <c r="C35" i="20"/>
  <c r="X34" i="20"/>
  <c r="P34" i="20"/>
  <c r="J34" i="20"/>
  <c r="C34" i="20"/>
  <c r="X33" i="20"/>
  <c r="P33" i="20"/>
  <c r="J33" i="20"/>
  <c r="C33" i="20"/>
  <c r="X32" i="20"/>
  <c r="P32" i="20"/>
  <c r="J32" i="20"/>
  <c r="C32" i="20"/>
  <c r="X31" i="20"/>
  <c r="P31" i="20"/>
  <c r="J31" i="20"/>
  <c r="C31" i="20"/>
  <c r="X30" i="20"/>
  <c r="P30" i="20"/>
  <c r="J30" i="20"/>
  <c r="C30" i="20"/>
  <c r="X29" i="20"/>
  <c r="P29" i="20"/>
  <c r="J29" i="20"/>
  <c r="C29" i="20"/>
  <c r="X28" i="20"/>
  <c r="P28" i="20"/>
  <c r="J28" i="20"/>
  <c r="C28" i="20"/>
  <c r="X27" i="20"/>
  <c r="P27" i="20"/>
  <c r="J27" i="20"/>
  <c r="C27" i="20"/>
  <c r="X26" i="20"/>
  <c r="P26" i="20"/>
  <c r="J26" i="20"/>
  <c r="C26" i="20"/>
  <c r="X25" i="20"/>
  <c r="P25" i="20"/>
  <c r="J25" i="20"/>
  <c r="C25" i="20"/>
  <c r="X24" i="20"/>
  <c r="P24" i="20"/>
  <c r="J24" i="20"/>
  <c r="C24" i="20"/>
  <c r="X23" i="20"/>
  <c r="P23" i="20"/>
  <c r="J23" i="20"/>
  <c r="C23" i="20"/>
  <c r="X22" i="20"/>
  <c r="P22" i="20"/>
  <c r="J22" i="20"/>
  <c r="C22" i="20"/>
  <c r="X21" i="20"/>
  <c r="P21" i="20"/>
  <c r="J21" i="20"/>
  <c r="C21" i="20"/>
  <c r="X20" i="20"/>
  <c r="P20" i="20"/>
  <c r="J20" i="20"/>
  <c r="C20" i="20"/>
  <c r="X19" i="20"/>
  <c r="P19" i="20"/>
  <c r="J19" i="20"/>
  <c r="C19" i="20"/>
  <c r="X18" i="20"/>
  <c r="P18" i="20"/>
  <c r="J18" i="20"/>
  <c r="C18" i="20"/>
  <c r="X17" i="20"/>
  <c r="P17" i="20"/>
  <c r="J17" i="20"/>
  <c r="C17" i="20"/>
  <c r="X16" i="20"/>
  <c r="P16" i="20"/>
  <c r="J16" i="20"/>
  <c r="C16" i="20"/>
  <c r="AC15" i="20"/>
  <c r="AD15" i="20" s="1"/>
  <c r="X15" i="20"/>
  <c r="V15" i="20"/>
  <c r="P15" i="20"/>
  <c r="J15" i="20"/>
  <c r="C15" i="20"/>
  <c r="AC14" i="20"/>
  <c r="X14" i="20"/>
  <c r="V14" i="20"/>
  <c r="V17" i="20" s="1"/>
  <c r="P14" i="20"/>
  <c r="J14" i="20"/>
  <c r="C14" i="20"/>
  <c r="AA13" i="20"/>
  <c r="AD14" i="20" s="1"/>
  <c r="X13" i="20"/>
  <c r="P13" i="20"/>
  <c r="J13" i="20"/>
  <c r="C13" i="20"/>
  <c r="AD12" i="20"/>
  <c r="X12" i="20"/>
  <c r="V12" i="20"/>
  <c r="P12" i="20"/>
  <c r="J12" i="20"/>
  <c r="C12" i="20"/>
  <c r="X11" i="20"/>
  <c r="P11" i="20"/>
  <c r="J11" i="20"/>
  <c r="C11" i="20"/>
  <c r="X10" i="20"/>
  <c r="P10" i="20"/>
  <c r="J10" i="20"/>
  <c r="C10" i="20"/>
  <c r="X9" i="20"/>
  <c r="P9" i="20"/>
  <c r="J9" i="20"/>
  <c r="C9" i="20"/>
  <c r="X8" i="20"/>
  <c r="P8" i="20"/>
  <c r="M8" i="20"/>
  <c r="J8" i="20"/>
  <c r="C8" i="20"/>
  <c r="X7" i="20"/>
  <c r="P7" i="20"/>
  <c r="M7" i="20"/>
  <c r="J7" i="20"/>
  <c r="C7" i="20"/>
  <c r="AI6" i="20"/>
  <c r="AJ6" i="20" s="1"/>
  <c r="AI7" i="20" s="1"/>
  <c r="X6" i="20"/>
  <c r="P6" i="20"/>
  <c r="M6" i="20"/>
  <c r="J6" i="20"/>
  <c r="C6" i="20"/>
  <c r="AM5" i="20"/>
  <c r="AL6" i="20" s="1"/>
  <c r="AJ5" i="20"/>
  <c r="AD5" i="20"/>
  <c r="X5" i="20"/>
  <c r="V5" i="20"/>
  <c r="U5" i="20"/>
  <c r="P5" i="20"/>
  <c r="M5" i="20"/>
  <c r="J5" i="20"/>
  <c r="C5" i="20"/>
  <c r="V12" i="11"/>
  <c r="M14" i="20" l="1"/>
  <c r="M13" i="20"/>
  <c r="AC5" i="20"/>
  <c r="U18" i="20"/>
  <c r="AD16" i="20"/>
  <c r="AD17" i="20"/>
  <c r="AC18" i="20"/>
  <c r="AM6" i="20"/>
  <c r="AL7" i="20" s="1"/>
  <c r="AD6" i="20"/>
  <c r="AJ7" i="20"/>
  <c r="AI8" i="20" s="1"/>
  <c r="U7" i="20"/>
  <c r="V6" i="20"/>
  <c r="P685" i="20"/>
  <c r="U6" i="20"/>
  <c r="V16" i="20"/>
  <c r="M11" i="20"/>
  <c r="M12" i="20"/>
  <c r="M16" i="20"/>
  <c r="I3" i="16"/>
  <c r="I2" i="16"/>
  <c r="I1" i="16"/>
  <c r="V7" i="20" l="1"/>
  <c r="AC6" i="20"/>
  <c r="AJ8" i="20"/>
  <c r="AI9" i="20" s="1"/>
  <c r="AM7" i="20"/>
  <c r="AL8" i="20" s="1"/>
  <c r="AC7" i="20"/>
  <c r="O685" i="11"/>
  <c r="X685" i="11" s="1"/>
  <c r="X684" i="11"/>
  <c r="P684" i="11"/>
  <c r="X683" i="11"/>
  <c r="P683" i="11"/>
  <c r="X682" i="11"/>
  <c r="P682" i="11"/>
  <c r="X681" i="11"/>
  <c r="P681" i="11"/>
  <c r="X680" i="11"/>
  <c r="P680" i="11"/>
  <c r="X679" i="11"/>
  <c r="P679" i="11"/>
  <c r="X678" i="11"/>
  <c r="P678" i="11"/>
  <c r="X677" i="11"/>
  <c r="P677" i="11"/>
  <c r="X676" i="11"/>
  <c r="P676" i="11"/>
  <c r="X675" i="11"/>
  <c r="P675" i="11"/>
  <c r="X674" i="11"/>
  <c r="P674" i="11"/>
  <c r="X673" i="11"/>
  <c r="P673" i="11"/>
  <c r="X672" i="11"/>
  <c r="P672" i="11"/>
  <c r="X671" i="11"/>
  <c r="P671" i="11"/>
  <c r="X670" i="11"/>
  <c r="P670" i="11"/>
  <c r="X669" i="11"/>
  <c r="P669" i="11"/>
  <c r="X668" i="11"/>
  <c r="P668" i="11"/>
  <c r="X667" i="11"/>
  <c r="P667" i="11"/>
  <c r="X666" i="11"/>
  <c r="P666" i="11"/>
  <c r="X665" i="11"/>
  <c r="P665" i="11"/>
  <c r="X664" i="11"/>
  <c r="P664" i="11"/>
  <c r="X663" i="11"/>
  <c r="P663" i="11"/>
  <c r="X662" i="11"/>
  <c r="P662" i="11"/>
  <c r="X661" i="11"/>
  <c r="P661" i="11"/>
  <c r="X660" i="11"/>
  <c r="P660" i="11"/>
  <c r="X659" i="11"/>
  <c r="P659" i="11"/>
  <c r="X658" i="11"/>
  <c r="P658" i="11"/>
  <c r="X657" i="11"/>
  <c r="P657" i="11"/>
  <c r="X656" i="11"/>
  <c r="P656" i="11"/>
  <c r="X655" i="11"/>
  <c r="P655" i="11"/>
  <c r="X654" i="11"/>
  <c r="P654" i="11"/>
  <c r="X653" i="11"/>
  <c r="P653" i="11"/>
  <c r="X652" i="11"/>
  <c r="P652" i="11"/>
  <c r="X651" i="11"/>
  <c r="P651" i="11"/>
  <c r="X650" i="11"/>
  <c r="P650" i="11"/>
  <c r="X649" i="11"/>
  <c r="P649" i="11"/>
  <c r="X648" i="11"/>
  <c r="P648" i="11"/>
  <c r="X647" i="11"/>
  <c r="P647" i="11"/>
  <c r="X646" i="11"/>
  <c r="P646" i="11"/>
  <c r="X645" i="11"/>
  <c r="P645" i="11"/>
  <c r="X644" i="11"/>
  <c r="P644" i="11"/>
  <c r="X643" i="11"/>
  <c r="P643" i="11"/>
  <c r="X642" i="11"/>
  <c r="P642" i="11"/>
  <c r="X641" i="11"/>
  <c r="P641" i="11"/>
  <c r="X640" i="11"/>
  <c r="P640" i="11"/>
  <c r="X639" i="11"/>
  <c r="P639" i="11"/>
  <c r="X638" i="11"/>
  <c r="P638" i="11"/>
  <c r="X637" i="11"/>
  <c r="P637" i="11"/>
  <c r="X636" i="11"/>
  <c r="P636" i="11"/>
  <c r="X635" i="11"/>
  <c r="P635" i="11"/>
  <c r="X634" i="11"/>
  <c r="P634" i="11"/>
  <c r="X633" i="11"/>
  <c r="P633" i="11"/>
  <c r="X632" i="11"/>
  <c r="P632" i="11"/>
  <c r="X631" i="11"/>
  <c r="P631" i="11"/>
  <c r="X630" i="11"/>
  <c r="P630" i="11"/>
  <c r="X629" i="11"/>
  <c r="P629" i="11"/>
  <c r="X628" i="11"/>
  <c r="P628" i="11"/>
  <c r="X627" i="11"/>
  <c r="P627" i="11"/>
  <c r="X626" i="11"/>
  <c r="P626" i="11"/>
  <c r="X625" i="11"/>
  <c r="P625" i="11"/>
  <c r="X624" i="11"/>
  <c r="P624" i="11"/>
  <c r="X623" i="11"/>
  <c r="P623" i="11"/>
  <c r="X622" i="11"/>
  <c r="P622" i="11"/>
  <c r="X621" i="11"/>
  <c r="P621" i="11"/>
  <c r="X620" i="11"/>
  <c r="P620" i="11"/>
  <c r="X619" i="11"/>
  <c r="P619" i="11"/>
  <c r="X618" i="11"/>
  <c r="P618" i="11"/>
  <c r="X617" i="11"/>
  <c r="P617" i="11"/>
  <c r="X616" i="11"/>
  <c r="P616" i="11"/>
  <c r="X615" i="11"/>
  <c r="P615" i="11"/>
  <c r="X614" i="11"/>
  <c r="P614" i="11"/>
  <c r="X613" i="11"/>
  <c r="P613" i="11"/>
  <c r="X612" i="11"/>
  <c r="P612" i="11"/>
  <c r="X611" i="11"/>
  <c r="P611" i="11"/>
  <c r="X610" i="11"/>
  <c r="P610" i="11"/>
  <c r="X609" i="11"/>
  <c r="P609" i="11"/>
  <c r="X608" i="11"/>
  <c r="P608" i="11"/>
  <c r="X607" i="11"/>
  <c r="P607" i="11"/>
  <c r="X606" i="11"/>
  <c r="P606" i="11"/>
  <c r="X605" i="11"/>
  <c r="P605" i="11"/>
  <c r="X604" i="11"/>
  <c r="P604" i="11"/>
  <c r="X603" i="11"/>
  <c r="P603" i="11"/>
  <c r="X602" i="11"/>
  <c r="P602" i="11"/>
  <c r="X601" i="11"/>
  <c r="P601" i="11"/>
  <c r="X600" i="11"/>
  <c r="P600" i="11"/>
  <c r="X599" i="11"/>
  <c r="P599" i="11"/>
  <c r="X598" i="11"/>
  <c r="P598" i="11"/>
  <c r="X597" i="11"/>
  <c r="P597" i="11"/>
  <c r="X596" i="11"/>
  <c r="P596" i="11"/>
  <c r="X595" i="11"/>
  <c r="P595" i="11"/>
  <c r="X594" i="11"/>
  <c r="P594" i="11"/>
  <c r="X593" i="11"/>
  <c r="P593" i="11"/>
  <c r="X592" i="11"/>
  <c r="P592" i="11"/>
  <c r="X591" i="11"/>
  <c r="P591" i="11"/>
  <c r="X590" i="11"/>
  <c r="P590" i="11"/>
  <c r="X589" i="11"/>
  <c r="P589" i="11"/>
  <c r="X588" i="11"/>
  <c r="P588" i="11"/>
  <c r="X587" i="11"/>
  <c r="P587" i="11"/>
  <c r="X586" i="11"/>
  <c r="P586" i="11"/>
  <c r="X585" i="11"/>
  <c r="P585" i="11"/>
  <c r="X584" i="11"/>
  <c r="P584" i="11"/>
  <c r="X583" i="11"/>
  <c r="P583" i="11"/>
  <c r="X582" i="11"/>
  <c r="P582" i="11"/>
  <c r="X581" i="11"/>
  <c r="P581" i="11"/>
  <c r="X580" i="11"/>
  <c r="P580" i="11"/>
  <c r="X579" i="11"/>
  <c r="P579" i="11"/>
  <c r="X578" i="11"/>
  <c r="P578" i="11"/>
  <c r="X577" i="11"/>
  <c r="P577" i="11"/>
  <c r="X576" i="11"/>
  <c r="P576" i="11"/>
  <c r="X575" i="11"/>
  <c r="P575" i="11"/>
  <c r="X574" i="11"/>
  <c r="P574" i="11"/>
  <c r="X573" i="11"/>
  <c r="P573" i="11"/>
  <c r="X572" i="11"/>
  <c r="P572" i="11"/>
  <c r="X571" i="11"/>
  <c r="P571" i="11"/>
  <c r="X570" i="11"/>
  <c r="P570" i="11"/>
  <c r="X569" i="11"/>
  <c r="P569" i="11"/>
  <c r="X568" i="11"/>
  <c r="P568" i="11"/>
  <c r="X567" i="11"/>
  <c r="P567" i="11"/>
  <c r="X566" i="11"/>
  <c r="P566" i="11"/>
  <c r="X565" i="11"/>
  <c r="P565" i="11"/>
  <c r="X564" i="11"/>
  <c r="P564" i="11"/>
  <c r="X563" i="11"/>
  <c r="P563" i="11"/>
  <c r="X562" i="11"/>
  <c r="P562" i="11"/>
  <c r="X561" i="11"/>
  <c r="P561" i="11"/>
  <c r="X560" i="11"/>
  <c r="P560" i="11"/>
  <c r="X559" i="11"/>
  <c r="P559" i="11"/>
  <c r="X558" i="11"/>
  <c r="P558" i="11"/>
  <c r="X557" i="11"/>
  <c r="P557" i="11"/>
  <c r="X556" i="11"/>
  <c r="P556" i="11"/>
  <c r="X555" i="11"/>
  <c r="P555" i="11"/>
  <c r="X554" i="11"/>
  <c r="P554" i="11"/>
  <c r="X553" i="11"/>
  <c r="P553" i="11"/>
  <c r="X552" i="11"/>
  <c r="P552" i="11"/>
  <c r="X551" i="11"/>
  <c r="P551" i="11"/>
  <c r="X550" i="11"/>
  <c r="P550" i="11"/>
  <c r="X549" i="11"/>
  <c r="P549" i="11"/>
  <c r="X548" i="11"/>
  <c r="P548" i="11"/>
  <c r="X547" i="11"/>
  <c r="P547" i="11"/>
  <c r="X546" i="11"/>
  <c r="P546" i="11"/>
  <c r="X545" i="11"/>
  <c r="P545" i="11"/>
  <c r="X544" i="11"/>
  <c r="P544" i="11"/>
  <c r="X543" i="11"/>
  <c r="P543" i="11"/>
  <c r="X542" i="11"/>
  <c r="P542" i="11"/>
  <c r="X541" i="11"/>
  <c r="P541" i="11"/>
  <c r="X540" i="11"/>
  <c r="P540" i="11"/>
  <c r="X539" i="11"/>
  <c r="P539" i="11"/>
  <c r="X538" i="11"/>
  <c r="P538" i="11"/>
  <c r="X537" i="11"/>
  <c r="P537" i="11"/>
  <c r="X536" i="11"/>
  <c r="P536" i="11"/>
  <c r="X535" i="11"/>
  <c r="P535" i="11"/>
  <c r="X534" i="11"/>
  <c r="P534" i="11"/>
  <c r="X533" i="11"/>
  <c r="P533" i="11"/>
  <c r="X532" i="11"/>
  <c r="P532" i="11"/>
  <c r="X531" i="11"/>
  <c r="P531" i="11"/>
  <c r="X530" i="11"/>
  <c r="P530" i="11"/>
  <c r="X529" i="11"/>
  <c r="P529" i="11"/>
  <c r="X528" i="11"/>
  <c r="P528" i="11"/>
  <c r="X527" i="11"/>
  <c r="P527" i="11"/>
  <c r="X526" i="11"/>
  <c r="P526" i="11"/>
  <c r="X525" i="11"/>
  <c r="P525" i="11"/>
  <c r="X524" i="11"/>
  <c r="P524" i="11"/>
  <c r="X523" i="11"/>
  <c r="P523" i="11"/>
  <c r="X522" i="11"/>
  <c r="P522" i="11"/>
  <c r="X521" i="11"/>
  <c r="P521" i="11"/>
  <c r="X520" i="11"/>
  <c r="P520" i="11"/>
  <c r="X519" i="11"/>
  <c r="P519" i="11"/>
  <c r="X518" i="11"/>
  <c r="P518" i="11"/>
  <c r="X517" i="11"/>
  <c r="P517" i="11"/>
  <c r="X516" i="11"/>
  <c r="P516" i="11"/>
  <c r="X515" i="11"/>
  <c r="P515" i="11"/>
  <c r="X514" i="11"/>
  <c r="P514" i="11"/>
  <c r="X513" i="11"/>
  <c r="P513" i="11"/>
  <c r="X512" i="11"/>
  <c r="P512" i="11"/>
  <c r="X511" i="11"/>
  <c r="P511" i="11"/>
  <c r="X510" i="11"/>
  <c r="P510" i="11"/>
  <c r="X509" i="11"/>
  <c r="P509" i="11"/>
  <c r="X508" i="11"/>
  <c r="P508" i="11"/>
  <c r="X507" i="11"/>
  <c r="P507" i="11"/>
  <c r="X506" i="11"/>
  <c r="P506" i="11"/>
  <c r="X505" i="11"/>
  <c r="P505" i="11"/>
  <c r="X504" i="11"/>
  <c r="P504" i="11"/>
  <c r="X503" i="11"/>
  <c r="P503" i="11"/>
  <c r="X502" i="11"/>
  <c r="P502" i="11"/>
  <c r="X501" i="11"/>
  <c r="P501" i="11"/>
  <c r="X500" i="11"/>
  <c r="P500" i="11"/>
  <c r="X499" i="11"/>
  <c r="P499" i="11"/>
  <c r="X498" i="11"/>
  <c r="P498" i="11"/>
  <c r="X497" i="11"/>
  <c r="P497" i="11"/>
  <c r="X496" i="11"/>
  <c r="P496" i="11"/>
  <c r="X495" i="11"/>
  <c r="P495" i="11"/>
  <c r="X494" i="11"/>
  <c r="P494" i="11"/>
  <c r="X493" i="11"/>
  <c r="P493" i="11"/>
  <c r="X492" i="11"/>
  <c r="P492" i="11"/>
  <c r="X491" i="11"/>
  <c r="P491" i="11"/>
  <c r="X490" i="11"/>
  <c r="P490" i="11"/>
  <c r="X489" i="11"/>
  <c r="P489" i="11"/>
  <c r="X488" i="11"/>
  <c r="P488" i="11"/>
  <c r="X487" i="11"/>
  <c r="P487" i="11"/>
  <c r="X486" i="11"/>
  <c r="P486" i="11"/>
  <c r="X485" i="11"/>
  <c r="P485" i="11"/>
  <c r="X484" i="11"/>
  <c r="P484" i="11"/>
  <c r="X483" i="11"/>
  <c r="P483" i="11"/>
  <c r="X482" i="11"/>
  <c r="P482" i="11"/>
  <c r="X481" i="11"/>
  <c r="P481" i="11"/>
  <c r="X480" i="11"/>
  <c r="P480" i="11"/>
  <c r="X479" i="11"/>
  <c r="P479" i="11"/>
  <c r="X478" i="11"/>
  <c r="P478" i="11"/>
  <c r="X477" i="11"/>
  <c r="P477" i="11"/>
  <c r="X476" i="11"/>
  <c r="P476" i="11"/>
  <c r="X475" i="11"/>
  <c r="P475" i="11"/>
  <c r="X474" i="11"/>
  <c r="P474" i="11"/>
  <c r="X473" i="11"/>
  <c r="P473" i="11"/>
  <c r="X472" i="11"/>
  <c r="P472" i="11"/>
  <c r="X471" i="11"/>
  <c r="P471" i="11"/>
  <c r="X470" i="11"/>
  <c r="P470" i="11"/>
  <c r="X469" i="11"/>
  <c r="P469" i="11"/>
  <c r="X468" i="11"/>
  <c r="P468" i="11"/>
  <c r="X467" i="11"/>
  <c r="P467" i="11"/>
  <c r="X466" i="11"/>
  <c r="P466" i="11"/>
  <c r="X465" i="11"/>
  <c r="P465" i="11"/>
  <c r="X464" i="11"/>
  <c r="P464" i="11"/>
  <c r="X463" i="11"/>
  <c r="P463" i="11"/>
  <c r="X462" i="11"/>
  <c r="P462" i="11"/>
  <c r="X461" i="11"/>
  <c r="P461" i="11"/>
  <c r="X460" i="11"/>
  <c r="P460" i="11"/>
  <c r="X459" i="11"/>
  <c r="P459" i="11"/>
  <c r="X458" i="11"/>
  <c r="P458" i="11"/>
  <c r="X457" i="11"/>
  <c r="P457" i="11"/>
  <c r="X456" i="11"/>
  <c r="P456" i="11"/>
  <c r="X455" i="11"/>
  <c r="P455" i="11"/>
  <c r="X454" i="11"/>
  <c r="P454" i="11"/>
  <c r="X453" i="11"/>
  <c r="P453" i="11"/>
  <c r="X452" i="11"/>
  <c r="P452" i="11"/>
  <c r="X451" i="11"/>
  <c r="P451" i="11"/>
  <c r="X450" i="11"/>
  <c r="P450" i="11"/>
  <c r="X449" i="11"/>
  <c r="P449" i="11"/>
  <c r="X448" i="11"/>
  <c r="P448" i="11"/>
  <c r="X447" i="11"/>
  <c r="P447" i="11"/>
  <c r="X446" i="11"/>
  <c r="P446" i="11"/>
  <c r="X445" i="11"/>
  <c r="P445" i="11"/>
  <c r="X444" i="11"/>
  <c r="P444" i="11"/>
  <c r="X443" i="11"/>
  <c r="P443" i="11"/>
  <c r="X442" i="11"/>
  <c r="P442" i="11"/>
  <c r="X441" i="11"/>
  <c r="P441" i="11"/>
  <c r="X440" i="11"/>
  <c r="P440" i="11"/>
  <c r="X439" i="11"/>
  <c r="P439" i="11"/>
  <c r="X438" i="11"/>
  <c r="P438" i="11"/>
  <c r="X437" i="11"/>
  <c r="P437" i="11"/>
  <c r="X436" i="11"/>
  <c r="P436" i="11"/>
  <c r="X435" i="11"/>
  <c r="P435" i="11"/>
  <c r="X434" i="11"/>
  <c r="P434" i="11"/>
  <c r="X433" i="11"/>
  <c r="P433" i="11"/>
  <c r="X432" i="11"/>
  <c r="P432" i="11"/>
  <c r="X431" i="11"/>
  <c r="P431" i="11"/>
  <c r="X430" i="11"/>
  <c r="P430" i="11"/>
  <c r="X429" i="11"/>
  <c r="P429" i="11"/>
  <c r="X428" i="11"/>
  <c r="P428" i="11"/>
  <c r="X427" i="11"/>
  <c r="P427" i="11"/>
  <c r="X426" i="11"/>
  <c r="P426" i="11"/>
  <c r="X425" i="11"/>
  <c r="P425" i="11"/>
  <c r="X424" i="11"/>
  <c r="P424" i="11"/>
  <c r="X423" i="11"/>
  <c r="P423" i="11"/>
  <c r="X422" i="11"/>
  <c r="P422" i="11"/>
  <c r="X421" i="11"/>
  <c r="P421" i="11"/>
  <c r="X420" i="11"/>
  <c r="P420" i="11"/>
  <c r="X419" i="11"/>
  <c r="P419" i="11"/>
  <c r="X418" i="11"/>
  <c r="P418" i="11"/>
  <c r="X417" i="11"/>
  <c r="P417" i="11"/>
  <c r="X416" i="11"/>
  <c r="P416" i="11"/>
  <c r="X415" i="11"/>
  <c r="P415" i="11"/>
  <c r="X414" i="11"/>
  <c r="P414" i="11"/>
  <c r="X413" i="11"/>
  <c r="P413" i="11"/>
  <c r="X412" i="11"/>
  <c r="P412" i="11"/>
  <c r="X411" i="11"/>
  <c r="P411" i="11"/>
  <c r="X410" i="11"/>
  <c r="P410" i="11"/>
  <c r="X409" i="11"/>
  <c r="P409" i="11"/>
  <c r="X408" i="11"/>
  <c r="P408" i="11"/>
  <c r="X407" i="11"/>
  <c r="P407" i="11"/>
  <c r="X406" i="11"/>
  <c r="P406" i="11"/>
  <c r="X405" i="11"/>
  <c r="P405" i="11"/>
  <c r="X404" i="11"/>
  <c r="P404" i="11"/>
  <c r="X403" i="11"/>
  <c r="P403" i="11"/>
  <c r="X402" i="11"/>
  <c r="P402" i="11"/>
  <c r="X401" i="11"/>
  <c r="P401" i="11"/>
  <c r="X400" i="11"/>
  <c r="P400" i="11"/>
  <c r="X399" i="11"/>
  <c r="P399" i="11"/>
  <c r="X398" i="11"/>
  <c r="P398" i="11"/>
  <c r="X397" i="11"/>
  <c r="P397" i="11"/>
  <c r="X396" i="11"/>
  <c r="P396" i="11"/>
  <c r="X395" i="11"/>
  <c r="P395" i="11"/>
  <c r="X394" i="11"/>
  <c r="P394" i="11"/>
  <c r="X393" i="11"/>
  <c r="P393" i="11"/>
  <c r="X392" i="11"/>
  <c r="P392" i="11"/>
  <c r="X391" i="11"/>
  <c r="P391" i="11"/>
  <c r="X390" i="11"/>
  <c r="P390" i="11"/>
  <c r="X389" i="11"/>
  <c r="P389" i="11"/>
  <c r="J389" i="11"/>
  <c r="C389" i="11"/>
  <c r="X388" i="11"/>
  <c r="P388" i="11"/>
  <c r="J388" i="11"/>
  <c r="C388" i="11"/>
  <c r="X387" i="11"/>
  <c r="P387" i="11"/>
  <c r="J387" i="11"/>
  <c r="C387" i="11"/>
  <c r="X386" i="11"/>
  <c r="P386" i="11"/>
  <c r="J386" i="11"/>
  <c r="C386" i="11"/>
  <c r="X385" i="11"/>
  <c r="P385" i="11"/>
  <c r="J385" i="11"/>
  <c r="C385" i="11"/>
  <c r="X384" i="11"/>
  <c r="P384" i="11"/>
  <c r="J384" i="11"/>
  <c r="C384" i="11"/>
  <c r="X383" i="11"/>
  <c r="P383" i="11"/>
  <c r="J383" i="11"/>
  <c r="C383" i="11"/>
  <c r="X382" i="11"/>
  <c r="P382" i="11"/>
  <c r="J382" i="11"/>
  <c r="C382" i="11"/>
  <c r="X381" i="11"/>
  <c r="P381" i="11"/>
  <c r="J381" i="11"/>
  <c r="C381" i="11"/>
  <c r="X380" i="11"/>
  <c r="P380" i="11"/>
  <c r="J380" i="11"/>
  <c r="C380" i="11"/>
  <c r="X379" i="11"/>
  <c r="P379" i="11"/>
  <c r="J379" i="11"/>
  <c r="C379" i="11"/>
  <c r="X378" i="11"/>
  <c r="P378" i="11"/>
  <c r="J378" i="11"/>
  <c r="C378" i="11"/>
  <c r="X377" i="11"/>
  <c r="P377" i="11"/>
  <c r="J377" i="11"/>
  <c r="C377" i="11"/>
  <c r="X376" i="11"/>
  <c r="P376" i="11"/>
  <c r="J376" i="11"/>
  <c r="C376" i="11"/>
  <c r="X375" i="11"/>
  <c r="P375" i="11"/>
  <c r="J375" i="11"/>
  <c r="C375" i="11"/>
  <c r="X374" i="11"/>
  <c r="P374" i="11"/>
  <c r="J374" i="11"/>
  <c r="C374" i="11"/>
  <c r="X373" i="11"/>
  <c r="P373" i="11"/>
  <c r="J373" i="11"/>
  <c r="C373" i="11"/>
  <c r="X372" i="11"/>
  <c r="P372" i="11"/>
  <c r="J372" i="11"/>
  <c r="C372" i="11"/>
  <c r="X371" i="11"/>
  <c r="P371" i="11"/>
  <c r="J371" i="11"/>
  <c r="C371" i="11"/>
  <c r="X370" i="11"/>
  <c r="P370" i="11"/>
  <c r="J370" i="11"/>
  <c r="C370" i="11"/>
  <c r="X369" i="11"/>
  <c r="P369" i="11"/>
  <c r="J369" i="11"/>
  <c r="C369" i="11"/>
  <c r="X368" i="11"/>
  <c r="P368" i="11"/>
  <c r="J368" i="11"/>
  <c r="C368" i="11"/>
  <c r="X367" i="11"/>
  <c r="P367" i="11"/>
  <c r="J367" i="11"/>
  <c r="C367" i="11"/>
  <c r="X366" i="11"/>
  <c r="P366" i="11"/>
  <c r="J366" i="11"/>
  <c r="C366" i="11"/>
  <c r="X365" i="11"/>
  <c r="P365" i="11"/>
  <c r="J365" i="11"/>
  <c r="C365" i="11"/>
  <c r="X364" i="11"/>
  <c r="P364" i="11"/>
  <c r="J364" i="11"/>
  <c r="C364" i="11"/>
  <c r="X363" i="11"/>
  <c r="P363" i="11"/>
  <c r="J363" i="11"/>
  <c r="C363" i="11"/>
  <c r="X362" i="11"/>
  <c r="P362" i="11"/>
  <c r="J362" i="11"/>
  <c r="C362" i="11"/>
  <c r="X361" i="11"/>
  <c r="P361" i="11"/>
  <c r="J361" i="11"/>
  <c r="C361" i="11"/>
  <c r="X360" i="11"/>
  <c r="P360" i="11"/>
  <c r="J360" i="11"/>
  <c r="C360" i="11"/>
  <c r="X359" i="11"/>
  <c r="P359" i="11"/>
  <c r="J359" i="11"/>
  <c r="C359" i="11"/>
  <c r="X358" i="11"/>
  <c r="P358" i="11"/>
  <c r="J358" i="11"/>
  <c r="C358" i="11"/>
  <c r="X357" i="11"/>
  <c r="P357" i="11"/>
  <c r="J357" i="11"/>
  <c r="C357" i="11"/>
  <c r="X356" i="11"/>
  <c r="P356" i="11"/>
  <c r="J356" i="11"/>
  <c r="C356" i="11"/>
  <c r="X355" i="11"/>
  <c r="P355" i="11"/>
  <c r="J355" i="11"/>
  <c r="C355" i="11"/>
  <c r="X354" i="11"/>
  <c r="P354" i="11"/>
  <c r="J354" i="11"/>
  <c r="C354" i="11"/>
  <c r="X353" i="11"/>
  <c r="P353" i="11"/>
  <c r="J353" i="11"/>
  <c r="C353" i="11"/>
  <c r="X352" i="11"/>
  <c r="P352" i="11"/>
  <c r="J352" i="11"/>
  <c r="C352" i="11"/>
  <c r="X351" i="11"/>
  <c r="P351" i="11"/>
  <c r="J351" i="11"/>
  <c r="C351" i="11"/>
  <c r="X350" i="11"/>
  <c r="P350" i="11"/>
  <c r="J350" i="11"/>
  <c r="C350" i="11"/>
  <c r="X349" i="11"/>
  <c r="P349" i="11"/>
  <c r="J349" i="11"/>
  <c r="C349" i="11"/>
  <c r="X348" i="11"/>
  <c r="P348" i="11"/>
  <c r="J348" i="11"/>
  <c r="C348" i="11"/>
  <c r="X347" i="11"/>
  <c r="P347" i="11"/>
  <c r="J347" i="11"/>
  <c r="C347" i="11"/>
  <c r="X346" i="11"/>
  <c r="P346" i="11"/>
  <c r="J346" i="11"/>
  <c r="C346" i="11"/>
  <c r="X345" i="11"/>
  <c r="P345" i="11"/>
  <c r="J345" i="11"/>
  <c r="C345" i="11"/>
  <c r="X344" i="11"/>
  <c r="P344" i="11"/>
  <c r="J344" i="11"/>
  <c r="C344" i="11"/>
  <c r="X343" i="11"/>
  <c r="P343" i="11"/>
  <c r="J343" i="11"/>
  <c r="C343" i="11"/>
  <c r="X342" i="11"/>
  <c r="P342" i="11"/>
  <c r="J342" i="11"/>
  <c r="C342" i="11"/>
  <c r="X341" i="11"/>
  <c r="P341" i="11"/>
  <c r="J341" i="11"/>
  <c r="C341" i="11"/>
  <c r="X340" i="11"/>
  <c r="P340" i="11"/>
  <c r="J340" i="11"/>
  <c r="C340" i="11"/>
  <c r="X339" i="11"/>
  <c r="P339" i="11"/>
  <c r="J339" i="11"/>
  <c r="C339" i="11"/>
  <c r="X338" i="11"/>
  <c r="P338" i="11"/>
  <c r="J338" i="11"/>
  <c r="C338" i="11"/>
  <c r="X337" i="11"/>
  <c r="P337" i="11"/>
  <c r="J337" i="11"/>
  <c r="C337" i="11"/>
  <c r="X336" i="11"/>
  <c r="P336" i="11"/>
  <c r="J336" i="11"/>
  <c r="C336" i="11"/>
  <c r="X335" i="11"/>
  <c r="P335" i="11"/>
  <c r="J335" i="11"/>
  <c r="C335" i="11"/>
  <c r="X334" i="11"/>
  <c r="P334" i="11"/>
  <c r="J334" i="11"/>
  <c r="C334" i="11"/>
  <c r="X333" i="11"/>
  <c r="P333" i="11"/>
  <c r="J333" i="11"/>
  <c r="C333" i="11"/>
  <c r="X332" i="11"/>
  <c r="P332" i="11"/>
  <c r="J332" i="11"/>
  <c r="C332" i="11"/>
  <c r="X331" i="11"/>
  <c r="P331" i="11"/>
  <c r="J331" i="11"/>
  <c r="C331" i="11"/>
  <c r="X330" i="11"/>
  <c r="P330" i="11"/>
  <c r="J330" i="11"/>
  <c r="C330" i="11"/>
  <c r="X329" i="11"/>
  <c r="P329" i="11"/>
  <c r="J329" i="11"/>
  <c r="C329" i="11"/>
  <c r="X328" i="11"/>
  <c r="P328" i="11"/>
  <c r="J328" i="11"/>
  <c r="C328" i="11"/>
  <c r="X327" i="11"/>
  <c r="P327" i="11"/>
  <c r="J327" i="11"/>
  <c r="C327" i="11"/>
  <c r="X326" i="11"/>
  <c r="P326" i="11"/>
  <c r="J326" i="11"/>
  <c r="C326" i="11"/>
  <c r="X325" i="11"/>
  <c r="P325" i="11"/>
  <c r="J325" i="11"/>
  <c r="C325" i="11"/>
  <c r="X324" i="11"/>
  <c r="P324" i="11"/>
  <c r="J324" i="11"/>
  <c r="C324" i="11"/>
  <c r="X323" i="11"/>
  <c r="P323" i="11"/>
  <c r="J323" i="11"/>
  <c r="C323" i="11"/>
  <c r="X322" i="11"/>
  <c r="P322" i="11"/>
  <c r="J322" i="11"/>
  <c r="C322" i="11"/>
  <c r="X321" i="11"/>
  <c r="P321" i="11"/>
  <c r="J321" i="11"/>
  <c r="C321" i="11"/>
  <c r="X320" i="11"/>
  <c r="P320" i="11"/>
  <c r="J320" i="11"/>
  <c r="C320" i="11"/>
  <c r="X319" i="11"/>
  <c r="P319" i="11"/>
  <c r="J319" i="11"/>
  <c r="C319" i="11"/>
  <c r="X318" i="11"/>
  <c r="P318" i="11"/>
  <c r="J318" i="11"/>
  <c r="C318" i="11"/>
  <c r="X317" i="11"/>
  <c r="P317" i="11"/>
  <c r="J317" i="11"/>
  <c r="C317" i="11"/>
  <c r="X316" i="11"/>
  <c r="P316" i="11"/>
  <c r="J316" i="11"/>
  <c r="C316" i="11"/>
  <c r="X315" i="11"/>
  <c r="P315" i="11"/>
  <c r="J315" i="11"/>
  <c r="C315" i="11"/>
  <c r="X314" i="11"/>
  <c r="P314" i="11"/>
  <c r="J314" i="11"/>
  <c r="C314" i="11"/>
  <c r="X313" i="11"/>
  <c r="P313" i="11"/>
  <c r="J313" i="11"/>
  <c r="C313" i="11"/>
  <c r="X312" i="11"/>
  <c r="P312" i="11"/>
  <c r="J312" i="11"/>
  <c r="C312" i="11"/>
  <c r="X311" i="11"/>
  <c r="P311" i="11"/>
  <c r="J311" i="11"/>
  <c r="C311" i="11"/>
  <c r="X310" i="11"/>
  <c r="P310" i="11"/>
  <c r="J310" i="11"/>
  <c r="C310" i="11"/>
  <c r="X309" i="11"/>
  <c r="P309" i="11"/>
  <c r="J309" i="11"/>
  <c r="C309" i="11"/>
  <c r="X308" i="11"/>
  <c r="P308" i="11"/>
  <c r="J308" i="11"/>
  <c r="C308" i="11"/>
  <c r="X307" i="11"/>
  <c r="P307" i="11"/>
  <c r="J307" i="11"/>
  <c r="C307" i="11"/>
  <c r="X306" i="11"/>
  <c r="P306" i="11"/>
  <c r="J306" i="11"/>
  <c r="C306" i="11"/>
  <c r="X305" i="11"/>
  <c r="P305" i="11"/>
  <c r="J305" i="11"/>
  <c r="C305" i="11"/>
  <c r="X304" i="11"/>
  <c r="P304" i="11"/>
  <c r="J304" i="11"/>
  <c r="C304" i="11"/>
  <c r="X303" i="11"/>
  <c r="P303" i="11"/>
  <c r="J303" i="11"/>
  <c r="C303" i="11"/>
  <c r="X302" i="11"/>
  <c r="P302" i="11"/>
  <c r="J302" i="11"/>
  <c r="C302" i="11"/>
  <c r="X301" i="11"/>
  <c r="P301" i="11"/>
  <c r="J301" i="11"/>
  <c r="C301" i="11"/>
  <c r="X300" i="11"/>
  <c r="P300" i="11"/>
  <c r="J300" i="11"/>
  <c r="C300" i="11"/>
  <c r="X299" i="11"/>
  <c r="P299" i="11"/>
  <c r="J299" i="11"/>
  <c r="C299" i="11"/>
  <c r="X298" i="11"/>
  <c r="P298" i="11"/>
  <c r="J298" i="11"/>
  <c r="C298" i="11"/>
  <c r="X297" i="11"/>
  <c r="P297" i="11"/>
  <c r="J297" i="11"/>
  <c r="C297" i="11"/>
  <c r="X296" i="11"/>
  <c r="P296" i="11"/>
  <c r="J296" i="11"/>
  <c r="C296" i="11"/>
  <c r="X295" i="11"/>
  <c r="P295" i="11"/>
  <c r="J295" i="11"/>
  <c r="C295" i="11"/>
  <c r="X294" i="11"/>
  <c r="P294" i="11"/>
  <c r="J294" i="11"/>
  <c r="C294" i="11"/>
  <c r="X293" i="11"/>
  <c r="P293" i="11"/>
  <c r="J293" i="11"/>
  <c r="C293" i="11"/>
  <c r="X292" i="11"/>
  <c r="P292" i="11"/>
  <c r="J292" i="11"/>
  <c r="C292" i="11"/>
  <c r="X291" i="11"/>
  <c r="P291" i="11"/>
  <c r="J291" i="11"/>
  <c r="C291" i="11"/>
  <c r="X290" i="11"/>
  <c r="P290" i="11"/>
  <c r="J290" i="11"/>
  <c r="C290" i="11"/>
  <c r="X289" i="11"/>
  <c r="P289" i="11"/>
  <c r="J289" i="11"/>
  <c r="C289" i="11"/>
  <c r="X288" i="11"/>
  <c r="P288" i="11"/>
  <c r="J288" i="11"/>
  <c r="C288" i="11"/>
  <c r="X287" i="11"/>
  <c r="P287" i="11"/>
  <c r="J287" i="11"/>
  <c r="C287" i="11"/>
  <c r="X286" i="11"/>
  <c r="P286" i="11"/>
  <c r="J286" i="11"/>
  <c r="C286" i="11"/>
  <c r="X285" i="11"/>
  <c r="P285" i="11"/>
  <c r="J285" i="11"/>
  <c r="C285" i="11"/>
  <c r="X284" i="11"/>
  <c r="P284" i="11"/>
  <c r="J284" i="11"/>
  <c r="C284" i="11"/>
  <c r="X283" i="11"/>
  <c r="P283" i="11"/>
  <c r="J283" i="11"/>
  <c r="C283" i="11"/>
  <c r="X282" i="11"/>
  <c r="P282" i="11"/>
  <c r="J282" i="11"/>
  <c r="C282" i="11"/>
  <c r="X281" i="11"/>
  <c r="P281" i="11"/>
  <c r="J281" i="11"/>
  <c r="C281" i="11"/>
  <c r="X280" i="11"/>
  <c r="P280" i="11"/>
  <c r="J280" i="11"/>
  <c r="C280" i="11"/>
  <c r="X279" i="11"/>
  <c r="P279" i="11"/>
  <c r="J279" i="11"/>
  <c r="C279" i="11"/>
  <c r="X278" i="11"/>
  <c r="P278" i="11"/>
  <c r="J278" i="11"/>
  <c r="C278" i="11"/>
  <c r="X277" i="11"/>
  <c r="P277" i="11"/>
  <c r="J277" i="11"/>
  <c r="C277" i="11"/>
  <c r="X276" i="11"/>
  <c r="P276" i="11"/>
  <c r="J276" i="11"/>
  <c r="C276" i="11"/>
  <c r="X275" i="11"/>
  <c r="P275" i="11"/>
  <c r="J275" i="11"/>
  <c r="C275" i="11"/>
  <c r="X274" i="11"/>
  <c r="P274" i="11"/>
  <c r="J274" i="11"/>
  <c r="C274" i="11"/>
  <c r="X273" i="11"/>
  <c r="P273" i="11"/>
  <c r="J273" i="11"/>
  <c r="C273" i="11"/>
  <c r="X272" i="11"/>
  <c r="P272" i="11"/>
  <c r="J272" i="11"/>
  <c r="C272" i="11"/>
  <c r="X271" i="11"/>
  <c r="P271" i="11"/>
  <c r="J271" i="11"/>
  <c r="C271" i="11"/>
  <c r="X270" i="11"/>
  <c r="P270" i="11"/>
  <c r="J270" i="11"/>
  <c r="C270" i="11"/>
  <c r="X269" i="11"/>
  <c r="P269" i="11"/>
  <c r="J269" i="11"/>
  <c r="C269" i="11"/>
  <c r="X268" i="11"/>
  <c r="P268" i="11"/>
  <c r="J268" i="11"/>
  <c r="C268" i="11"/>
  <c r="X267" i="11"/>
  <c r="P267" i="11"/>
  <c r="J267" i="11"/>
  <c r="C267" i="11"/>
  <c r="X266" i="11"/>
  <c r="P266" i="11"/>
  <c r="J266" i="11"/>
  <c r="C266" i="11"/>
  <c r="X265" i="11"/>
  <c r="P265" i="11"/>
  <c r="J265" i="11"/>
  <c r="C265" i="11"/>
  <c r="X264" i="11"/>
  <c r="P264" i="11"/>
  <c r="J264" i="11"/>
  <c r="C264" i="11"/>
  <c r="X263" i="11"/>
  <c r="P263" i="11"/>
  <c r="J263" i="11"/>
  <c r="C263" i="11"/>
  <c r="X262" i="11"/>
  <c r="P262" i="11"/>
  <c r="J262" i="11"/>
  <c r="C262" i="11"/>
  <c r="X261" i="11"/>
  <c r="P261" i="11"/>
  <c r="J261" i="11"/>
  <c r="C261" i="11"/>
  <c r="X260" i="11"/>
  <c r="P260" i="11"/>
  <c r="J260" i="11"/>
  <c r="C260" i="11"/>
  <c r="X259" i="11"/>
  <c r="P259" i="11"/>
  <c r="J259" i="11"/>
  <c r="C259" i="11"/>
  <c r="X258" i="11"/>
  <c r="P258" i="11"/>
  <c r="J258" i="11"/>
  <c r="C258" i="11"/>
  <c r="X257" i="11"/>
  <c r="P257" i="11"/>
  <c r="J257" i="11"/>
  <c r="C257" i="11"/>
  <c r="X256" i="11"/>
  <c r="P256" i="11"/>
  <c r="J256" i="11"/>
  <c r="C256" i="11"/>
  <c r="X255" i="11"/>
  <c r="P255" i="11"/>
  <c r="J255" i="11"/>
  <c r="C255" i="11"/>
  <c r="X254" i="11"/>
  <c r="P254" i="11"/>
  <c r="J254" i="11"/>
  <c r="C254" i="11"/>
  <c r="X253" i="11"/>
  <c r="P253" i="11"/>
  <c r="J253" i="11"/>
  <c r="C253" i="11"/>
  <c r="X252" i="11"/>
  <c r="P252" i="11"/>
  <c r="J252" i="11"/>
  <c r="C252" i="11"/>
  <c r="X251" i="11"/>
  <c r="P251" i="11"/>
  <c r="J251" i="11"/>
  <c r="C251" i="11"/>
  <c r="X250" i="11"/>
  <c r="P250" i="11"/>
  <c r="J250" i="11"/>
  <c r="C250" i="11"/>
  <c r="X249" i="11"/>
  <c r="P249" i="11"/>
  <c r="J249" i="11"/>
  <c r="C249" i="11"/>
  <c r="X248" i="11"/>
  <c r="P248" i="11"/>
  <c r="J248" i="11"/>
  <c r="C248" i="11"/>
  <c r="X247" i="11"/>
  <c r="P247" i="11"/>
  <c r="J247" i="11"/>
  <c r="C247" i="11"/>
  <c r="X246" i="11"/>
  <c r="P246" i="11"/>
  <c r="J246" i="11"/>
  <c r="C246" i="11"/>
  <c r="X245" i="11"/>
  <c r="P245" i="11"/>
  <c r="J245" i="11"/>
  <c r="C245" i="11"/>
  <c r="X244" i="11"/>
  <c r="P244" i="11"/>
  <c r="J244" i="11"/>
  <c r="C244" i="11"/>
  <c r="X243" i="11"/>
  <c r="P243" i="11"/>
  <c r="J243" i="11"/>
  <c r="C243" i="11"/>
  <c r="X242" i="11"/>
  <c r="P242" i="11"/>
  <c r="J242" i="11"/>
  <c r="C242" i="11"/>
  <c r="X241" i="11"/>
  <c r="P241" i="11"/>
  <c r="J241" i="11"/>
  <c r="C241" i="11"/>
  <c r="X240" i="11"/>
  <c r="P240" i="11"/>
  <c r="J240" i="11"/>
  <c r="C240" i="11"/>
  <c r="X239" i="11"/>
  <c r="P239" i="11"/>
  <c r="J239" i="11"/>
  <c r="C239" i="11"/>
  <c r="X238" i="11"/>
  <c r="P238" i="11"/>
  <c r="J238" i="11"/>
  <c r="C238" i="11"/>
  <c r="X237" i="11"/>
  <c r="P237" i="11"/>
  <c r="J237" i="11"/>
  <c r="C237" i="11"/>
  <c r="X236" i="11"/>
  <c r="P236" i="11"/>
  <c r="J236" i="11"/>
  <c r="C236" i="11"/>
  <c r="X235" i="11"/>
  <c r="P235" i="11"/>
  <c r="J235" i="11"/>
  <c r="C235" i="11"/>
  <c r="X234" i="11"/>
  <c r="P234" i="11"/>
  <c r="J234" i="11"/>
  <c r="C234" i="11"/>
  <c r="X233" i="11"/>
  <c r="P233" i="11"/>
  <c r="J233" i="11"/>
  <c r="C233" i="11"/>
  <c r="X232" i="11"/>
  <c r="P232" i="11"/>
  <c r="J232" i="11"/>
  <c r="C232" i="11"/>
  <c r="X231" i="11"/>
  <c r="P231" i="11"/>
  <c r="J231" i="11"/>
  <c r="C231" i="11"/>
  <c r="X230" i="11"/>
  <c r="P230" i="11"/>
  <c r="J230" i="11"/>
  <c r="C230" i="11"/>
  <c r="X229" i="11"/>
  <c r="P229" i="11"/>
  <c r="J229" i="11"/>
  <c r="C229" i="11"/>
  <c r="X228" i="11"/>
  <c r="P228" i="11"/>
  <c r="J228" i="11"/>
  <c r="C228" i="11"/>
  <c r="X227" i="11"/>
  <c r="P227" i="11"/>
  <c r="J227" i="11"/>
  <c r="C227" i="11"/>
  <c r="X226" i="11"/>
  <c r="P226" i="11"/>
  <c r="J226" i="11"/>
  <c r="C226" i="11"/>
  <c r="X225" i="11"/>
  <c r="P225" i="11"/>
  <c r="J225" i="11"/>
  <c r="C225" i="11"/>
  <c r="X224" i="11"/>
  <c r="P224" i="11"/>
  <c r="J224" i="11"/>
  <c r="C224" i="11"/>
  <c r="X223" i="11"/>
  <c r="P223" i="11"/>
  <c r="J223" i="11"/>
  <c r="C223" i="11"/>
  <c r="X222" i="11"/>
  <c r="P222" i="11"/>
  <c r="J222" i="11"/>
  <c r="C222" i="11"/>
  <c r="X221" i="11"/>
  <c r="P221" i="11"/>
  <c r="J221" i="11"/>
  <c r="C221" i="11"/>
  <c r="X220" i="11"/>
  <c r="P220" i="11"/>
  <c r="J220" i="11"/>
  <c r="C220" i="11"/>
  <c r="X219" i="11"/>
  <c r="P219" i="11"/>
  <c r="J219" i="11"/>
  <c r="C219" i="11"/>
  <c r="X218" i="11"/>
  <c r="P218" i="11"/>
  <c r="J218" i="11"/>
  <c r="C218" i="11"/>
  <c r="X217" i="11"/>
  <c r="P217" i="11"/>
  <c r="J217" i="11"/>
  <c r="C217" i="11"/>
  <c r="X216" i="11"/>
  <c r="P216" i="11"/>
  <c r="J216" i="11"/>
  <c r="C216" i="11"/>
  <c r="X215" i="11"/>
  <c r="P215" i="11"/>
  <c r="J215" i="11"/>
  <c r="C215" i="11"/>
  <c r="X214" i="11"/>
  <c r="P214" i="11"/>
  <c r="J214" i="11"/>
  <c r="C214" i="11"/>
  <c r="X213" i="11"/>
  <c r="P213" i="11"/>
  <c r="J213" i="11"/>
  <c r="C213" i="11"/>
  <c r="X212" i="11"/>
  <c r="P212" i="11"/>
  <c r="J212" i="11"/>
  <c r="C212" i="11"/>
  <c r="X211" i="11"/>
  <c r="P211" i="11"/>
  <c r="J211" i="11"/>
  <c r="C211" i="11"/>
  <c r="X210" i="11"/>
  <c r="P210" i="11"/>
  <c r="J210" i="11"/>
  <c r="C210" i="11"/>
  <c r="X209" i="11"/>
  <c r="P209" i="11"/>
  <c r="J209" i="11"/>
  <c r="C209" i="11"/>
  <c r="X208" i="11"/>
  <c r="P208" i="11"/>
  <c r="J208" i="11"/>
  <c r="C208" i="11"/>
  <c r="X207" i="11"/>
  <c r="P207" i="11"/>
  <c r="J207" i="11"/>
  <c r="C207" i="11"/>
  <c r="X206" i="11"/>
  <c r="P206" i="11"/>
  <c r="J206" i="11"/>
  <c r="C206" i="11"/>
  <c r="X205" i="11"/>
  <c r="P205" i="11"/>
  <c r="J205" i="11"/>
  <c r="C205" i="11"/>
  <c r="X204" i="11"/>
  <c r="P204" i="11"/>
  <c r="J204" i="11"/>
  <c r="C204" i="11"/>
  <c r="X203" i="11"/>
  <c r="P203" i="11"/>
  <c r="J203" i="11"/>
  <c r="C203" i="11"/>
  <c r="X202" i="11"/>
  <c r="P202" i="11"/>
  <c r="J202" i="11"/>
  <c r="C202" i="11"/>
  <c r="X201" i="11"/>
  <c r="P201" i="11"/>
  <c r="J201" i="11"/>
  <c r="C201" i="11"/>
  <c r="X200" i="11"/>
  <c r="P200" i="11"/>
  <c r="J200" i="11"/>
  <c r="C200" i="11"/>
  <c r="X199" i="11"/>
  <c r="P199" i="11"/>
  <c r="J199" i="11"/>
  <c r="C199" i="11"/>
  <c r="X198" i="11"/>
  <c r="P198" i="11"/>
  <c r="J198" i="11"/>
  <c r="C198" i="11"/>
  <c r="X197" i="11"/>
  <c r="P197" i="11"/>
  <c r="J197" i="11"/>
  <c r="C197" i="11"/>
  <c r="X196" i="11"/>
  <c r="P196" i="11"/>
  <c r="J196" i="11"/>
  <c r="C196" i="11"/>
  <c r="X195" i="11"/>
  <c r="P195" i="11"/>
  <c r="J195" i="11"/>
  <c r="C195" i="11"/>
  <c r="X194" i="11"/>
  <c r="P194" i="11"/>
  <c r="J194" i="11"/>
  <c r="C194" i="11"/>
  <c r="X193" i="11"/>
  <c r="P193" i="11"/>
  <c r="J193" i="11"/>
  <c r="C193" i="11"/>
  <c r="X192" i="11"/>
  <c r="P192" i="11"/>
  <c r="J192" i="11"/>
  <c r="C192" i="11"/>
  <c r="X191" i="11"/>
  <c r="P191" i="11"/>
  <c r="J191" i="11"/>
  <c r="C191" i="11"/>
  <c r="X190" i="11"/>
  <c r="P190" i="11"/>
  <c r="J190" i="11"/>
  <c r="C190" i="11"/>
  <c r="X189" i="11"/>
  <c r="P189" i="11"/>
  <c r="J189" i="11"/>
  <c r="C189" i="11"/>
  <c r="X188" i="11"/>
  <c r="P188" i="11"/>
  <c r="J188" i="11"/>
  <c r="C188" i="11"/>
  <c r="X187" i="11"/>
  <c r="P187" i="11"/>
  <c r="J187" i="11"/>
  <c r="C187" i="11"/>
  <c r="X186" i="11"/>
  <c r="P186" i="11"/>
  <c r="J186" i="11"/>
  <c r="C186" i="11"/>
  <c r="X185" i="11"/>
  <c r="P185" i="11"/>
  <c r="J185" i="11"/>
  <c r="C185" i="11"/>
  <c r="X184" i="11"/>
  <c r="P184" i="11"/>
  <c r="J184" i="11"/>
  <c r="C184" i="11"/>
  <c r="X183" i="11"/>
  <c r="P183" i="11"/>
  <c r="J183" i="11"/>
  <c r="C183" i="11"/>
  <c r="X182" i="11"/>
  <c r="P182" i="11"/>
  <c r="J182" i="11"/>
  <c r="C182" i="11"/>
  <c r="X181" i="11"/>
  <c r="P181" i="11"/>
  <c r="J181" i="11"/>
  <c r="C181" i="11"/>
  <c r="X180" i="11"/>
  <c r="P180" i="11"/>
  <c r="J180" i="11"/>
  <c r="C180" i="11"/>
  <c r="X179" i="11"/>
  <c r="P179" i="11"/>
  <c r="J179" i="11"/>
  <c r="C179" i="11"/>
  <c r="X178" i="11"/>
  <c r="P178" i="11"/>
  <c r="J178" i="11"/>
  <c r="C178" i="11"/>
  <c r="X177" i="11"/>
  <c r="P177" i="11"/>
  <c r="J177" i="11"/>
  <c r="C177" i="11"/>
  <c r="X176" i="11"/>
  <c r="P176" i="11"/>
  <c r="J176" i="11"/>
  <c r="C176" i="11"/>
  <c r="X175" i="11"/>
  <c r="P175" i="11"/>
  <c r="J175" i="11"/>
  <c r="C175" i="11"/>
  <c r="X174" i="11"/>
  <c r="P174" i="11"/>
  <c r="J174" i="11"/>
  <c r="C174" i="11"/>
  <c r="X173" i="11"/>
  <c r="P173" i="11"/>
  <c r="J173" i="11"/>
  <c r="C173" i="11"/>
  <c r="X172" i="11"/>
  <c r="P172" i="11"/>
  <c r="J172" i="11"/>
  <c r="C172" i="11"/>
  <c r="X171" i="11"/>
  <c r="P171" i="11"/>
  <c r="J171" i="11"/>
  <c r="C171" i="11"/>
  <c r="X170" i="11"/>
  <c r="P170" i="11"/>
  <c r="J170" i="11"/>
  <c r="C170" i="11"/>
  <c r="X169" i="11"/>
  <c r="P169" i="11"/>
  <c r="J169" i="11"/>
  <c r="C169" i="11"/>
  <c r="X168" i="11"/>
  <c r="P168" i="11"/>
  <c r="J168" i="11"/>
  <c r="C168" i="11"/>
  <c r="X167" i="11"/>
  <c r="P167" i="11"/>
  <c r="J167" i="11"/>
  <c r="C167" i="11"/>
  <c r="X166" i="11"/>
  <c r="P166" i="11"/>
  <c r="J166" i="11"/>
  <c r="C166" i="11"/>
  <c r="X165" i="11"/>
  <c r="P165" i="11"/>
  <c r="J165" i="11"/>
  <c r="C165" i="11"/>
  <c r="X164" i="11"/>
  <c r="P164" i="11"/>
  <c r="J164" i="11"/>
  <c r="C164" i="11"/>
  <c r="X163" i="11"/>
  <c r="P163" i="11"/>
  <c r="J163" i="11"/>
  <c r="C163" i="11"/>
  <c r="X162" i="11"/>
  <c r="P162" i="11"/>
  <c r="J162" i="11"/>
  <c r="C162" i="11"/>
  <c r="X161" i="11"/>
  <c r="P161" i="11"/>
  <c r="J161" i="11"/>
  <c r="C161" i="11"/>
  <c r="X160" i="11"/>
  <c r="P160" i="11"/>
  <c r="J160" i="11"/>
  <c r="C160" i="11"/>
  <c r="X159" i="11"/>
  <c r="P159" i="11"/>
  <c r="J159" i="11"/>
  <c r="C159" i="11"/>
  <c r="X158" i="11"/>
  <c r="P158" i="11"/>
  <c r="J158" i="11"/>
  <c r="C158" i="11"/>
  <c r="X157" i="11"/>
  <c r="P157" i="11"/>
  <c r="J157" i="11"/>
  <c r="C157" i="11"/>
  <c r="X156" i="11"/>
  <c r="P156" i="11"/>
  <c r="J156" i="11"/>
  <c r="C156" i="11"/>
  <c r="X155" i="11"/>
  <c r="P155" i="11"/>
  <c r="J155" i="11"/>
  <c r="C155" i="11"/>
  <c r="X154" i="11"/>
  <c r="P154" i="11"/>
  <c r="J154" i="11"/>
  <c r="C154" i="11"/>
  <c r="X153" i="11"/>
  <c r="P153" i="11"/>
  <c r="J153" i="11"/>
  <c r="C153" i="11"/>
  <c r="X152" i="11"/>
  <c r="P152" i="11"/>
  <c r="J152" i="11"/>
  <c r="C152" i="11"/>
  <c r="X151" i="11"/>
  <c r="P151" i="11"/>
  <c r="J151" i="11"/>
  <c r="C151" i="11"/>
  <c r="X150" i="11"/>
  <c r="P150" i="11"/>
  <c r="J150" i="11"/>
  <c r="C150" i="11"/>
  <c r="X149" i="11"/>
  <c r="P149" i="11"/>
  <c r="J149" i="11"/>
  <c r="C149" i="11"/>
  <c r="X148" i="11"/>
  <c r="P148" i="11"/>
  <c r="J148" i="11"/>
  <c r="C148" i="11"/>
  <c r="X147" i="11"/>
  <c r="P147" i="11"/>
  <c r="J147" i="11"/>
  <c r="C147" i="11"/>
  <c r="X146" i="11"/>
  <c r="P146" i="11"/>
  <c r="J146" i="11"/>
  <c r="C146" i="11"/>
  <c r="X145" i="11"/>
  <c r="P145" i="11"/>
  <c r="J145" i="11"/>
  <c r="C145" i="11"/>
  <c r="X144" i="11"/>
  <c r="P144" i="11"/>
  <c r="J144" i="11"/>
  <c r="C144" i="11"/>
  <c r="X143" i="11"/>
  <c r="P143" i="11"/>
  <c r="J143" i="11"/>
  <c r="C143" i="11"/>
  <c r="X142" i="11"/>
  <c r="P142" i="11"/>
  <c r="J142" i="11"/>
  <c r="C142" i="11"/>
  <c r="X141" i="11"/>
  <c r="P141" i="11"/>
  <c r="J141" i="11"/>
  <c r="C141" i="11"/>
  <c r="X140" i="11"/>
  <c r="P140" i="11"/>
  <c r="J140" i="11"/>
  <c r="C140" i="11"/>
  <c r="X139" i="11"/>
  <c r="P139" i="11"/>
  <c r="J139" i="11"/>
  <c r="C139" i="11"/>
  <c r="X138" i="11"/>
  <c r="P138" i="11"/>
  <c r="J138" i="11"/>
  <c r="C138" i="11"/>
  <c r="X137" i="11"/>
  <c r="P137" i="11"/>
  <c r="J137" i="11"/>
  <c r="C137" i="11"/>
  <c r="X136" i="11"/>
  <c r="P136" i="11"/>
  <c r="J136" i="11"/>
  <c r="C136" i="11"/>
  <c r="X135" i="11"/>
  <c r="P135" i="11"/>
  <c r="J135" i="11"/>
  <c r="C135" i="11"/>
  <c r="X134" i="11"/>
  <c r="P134" i="11"/>
  <c r="J134" i="11"/>
  <c r="C134" i="11"/>
  <c r="X133" i="11"/>
  <c r="P133" i="11"/>
  <c r="J133" i="11"/>
  <c r="C133" i="11"/>
  <c r="X132" i="11"/>
  <c r="P132" i="11"/>
  <c r="J132" i="11"/>
  <c r="C132" i="11"/>
  <c r="X131" i="11"/>
  <c r="P131" i="11"/>
  <c r="J131" i="11"/>
  <c r="C131" i="11"/>
  <c r="X130" i="11"/>
  <c r="P130" i="11"/>
  <c r="J130" i="11"/>
  <c r="C130" i="11"/>
  <c r="X129" i="11"/>
  <c r="P129" i="11"/>
  <c r="J129" i="11"/>
  <c r="C129" i="11"/>
  <c r="X128" i="11"/>
  <c r="P128" i="11"/>
  <c r="J128" i="11"/>
  <c r="C128" i="11"/>
  <c r="X127" i="11"/>
  <c r="P127" i="11"/>
  <c r="J127" i="11"/>
  <c r="C127" i="11"/>
  <c r="X126" i="11"/>
  <c r="P126" i="11"/>
  <c r="J126" i="11"/>
  <c r="C126" i="11"/>
  <c r="X125" i="11"/>
  <c r="P125" i="11"/>
  <c r="J125" i="11"/>
  <c r="C125" i="11"/>
  <c r="X124" i="11"/>
  <c r="P124" i="11"/>
  <c r="J124" i="11"/>
  <c r="C124" i="11"/>
  <c r="X123" i="11"/>
  <c r="P123" i="11"/>
  <c r="J123" i="11"/>
  <c r="C123" i="11"/>
  <c r="X122" i="11"/>
  <c r="P122" i="11"/>
  <c r="J122" i="11"/>
  <c r="C122" i="11"/>
  <c r="X121" i="11"/>
  <c r="P121" i="11"/>
  <c r="J121" i="11"/>
  <c r="C121" i="11"/>
  <c r="X120" i="11"/>
  <c r="P120" i="11"/>
  <c r="J120" i="11"/>
  <c r="C120" i="11"/>
  <c r="X119" i="11"/>
  <c r="P119" i="11"/>
  <c r="J119" i="11"/>
  <c r="C119" i="11"/>
  <c r="X118" i="11"/>
  <c r="P118" i="11"/>
  <c r="J118" i="11"/>
  <c r="C118" i="11"/>
  <c r="X117" i="11"/>
  <c r="P117" i="11"/>
  <c r="J117" i="11"/>
  <c r="C117" i="11"/>
  <c r="X116" i="11"/>
  <c r="P116" i="11"/>
  <c r="J116" i="11"/>
  <c r="C116" i="11"/>
  <c r="X115" i="11"/>
  <c r="P115" i="11"/>
  <c r="J115" i="11"/>
  <c r="C115" i="11"/>
  <c r="X114" i="11"/>
  <c r="P114" i="11"/>
  <c r="J114" i="11"/>
  <c r="C114" i="11"/>
  <c r="X113" i="11"/>
  <c r="P113" i="11"/>
  <c r="J113" i="11"/>
  <c r="C113" i="11"/>
  <c r="X112" i="11"/>
  <c r="P112" i="11"/>
  <c r="J112" i="11"/>
  <c r="C112" i="11"/>
  <c r="X111" i="11"/>
  <c r="P111" i="11"/>
  <c r="J111" i="11"/>
  <c r="C111" i="11"/>
  <c r="X110" i="11"/>
  <c r="P110" i="11"/>
  <c r="J110" i="11"/>
  <c r="C110" i="11"/>
  <c r="X109" i="11"/>
  <c r="P109" i="11"/>
  <c r="J109" i="11"/>
  <c r="C109" i="11"/>
  <c r="X108" i="11"/>
  <c r="P108" i="11"/>
  <c r="J108" i="11"/>
  <c r="C108" i="11"/>
  <c r="X107" i="11"/>
  <c r="P107" i="11"/>
  <c r="J107" i="11"/>
  <c r="C107" i="11"/>
  <c r="X106" i="11"/>
  <c r="P106" i="11"/>
  <c r="J106" i="11"/>
  <c r="C106" i="11"/>
  <c r="X105" i="11"/>
  <c r="P105" i="11"/>
  <c r="J105" i="11"/>
  <c r="C105" i="11"/>
  <c r="X104" i="11"/>
  <c r="P104" i="11"/>
  <c r="J104" i="11"/>
  <c r="C104" i="11"/>
  <c r="X103" i="11"/>
  <c r="P103" i="11"/>
  <c r="J103" i="11"/>
  <c r="C103" i="11"/>
  <c r="X102" i="11"/>
  <c r="P102" i="11"/>
  <c r="J102" i="11"/>
  <c r="C102" i="11"/>
  <c r="X101" i="11"/>
  <c r="P101" i="11"/>
  <c r="J101" i="11"/>
  <c r="C101" i="11"/>
  <c r="X100" i="11"/>
  <c r="P100" i="11"/>
  <c r="J100" i="11"/>
  <c r="C100" i="11"/>
  <c r="X99" i="11"/>
  <c r="P99" i="11"/>
  <c r="J99" i="11"/>
  <c r="C99" i="11"/>
  <c r="X98" i="11"/>
  <c r="P98" i="11"/>
  <c r="J98" i="11"/>
  <c r="C98" i="11"/>
  <c r="X97" i="11"/>
  <c r="P97" i="11"/>
  <c r="J97" i="11"/>
  <c r="C97" i="11"/>
  <c r="X96" i="11"/>
  <c r="P96" i="11"/>
  <c r="J96" i="11"/>
  <c r="C96" i="11"/>
  <c r="X95" i="11"/>
  <c r="P95" i="11"/>
  <c r="J95" i="11"/>
  <c r="C95" i="11"/>
  <c r="X94" i="11"/>
  <c r="P94" i="11"/>
  <c r="J94" i="11"/>
  <c r="C94" i="11"/>
  <c r="X93" i="11"/>
  <c r="P93" i="11"/>
  <c r="J93" i="11"/>
  <c r="C93" i="11"/>
  <c r="X92" i="11"/>
  <c r="P92" i="11"/>
  <c r="J92" i="11"/>
  <c r="C92" i="11"/>
  <c r="X91" i="11"/>
  <c r="P91" i="11"/>
  <c r="J91" i="11"/>
  <c r="C91" i="11"/>
  <c r="X90" i="11"/>
  <c r="P90" i="11"/>
  <c r="J90" i="11"/>
  <c r="C90" i="11"/>
  <c r="X89" i="11"/>
  <c r="P89" i="11"/>
  <c r="J89" i="11"/>
  <c r="C89" i="11"/>
  <c r="X88" i="11"/>
  <c r="P88" i="11"/>
  <c r="J88" i="11"/>
  <c r="C88" i="11"/>
  <c r="X87" i="11"/>
  <c r="P87" i="11"/>
  <c r="J87" i="11"/>
  <c r="C87" i="11"/>
  <c r="X86" i="11"/>
  <c r="P86" i="11"/>
  <c r="J86" i="11"/>
  <c r="C86" i="11"/>
  <c r="X85" i="11"/>
  <c r="P85" i="11"/>
  <c r="J85" i="11"/>
  <c r="C85" i="11"/>
  <c r="X84" i="11"/>
  <c r="P84" i="11"/>
  <c r="J84" i="11"/>
  <c r="C84" i="11"/>
  <c r="X83" i="11"/>
  <c r="P83" i="11"/>
  <c r="J83" i="11"/>
  <c r="C83" i="11"/>
  <c r="X82" i="11"/>
  <c r="P82" i="11"/>
  <c r="J82" i="11"/>
  <c r="C82" i="11"/>
  <c r="X81" i="11"/>
  <c r="P81" i="11"/>
  <c r="J81" i="11"/>
  <c r="C81" i="11"/>
  <c r="X80" i="11"/>
  <c r="P80" i="11"/>
  <c r="J80" i="11"/>
  <c r="C80" i="11"/>
  <c r="X79" i="11"/>
  <c r="P79" i="11"/>
  <c r="J79" i="11"/>
  <c r="C79" i="11"/>
  <c r="X78" i="11"/>
  <c r="P78" i="11"/>
  <c r="J78" i="11"/>
  <c r="C78" i="11"/>
  <c r="X77" i="11"/>
  <c r="P77" i="11"/>
  <c r="J77" i="11"/>
  <c r="C77" i="11"/>
  <c r="X76" i="11"/>
  <c r="P76" i="11"/>
  <c r="J76" i="11"/>
  <c r="C76" i="11"/>
  <c r="X75" i="11"/>
  <c r="P75" i="11"/>
  <c r="J75" i="11"/>
  <c r="C75" i="11"/>
  <c r="X74" i="11"/>
  <c r="P74" i="11"/>
  <c r="J74" i="11"/>
  <c r="C74" i="11"/>
  <c r="X73" i="11"/>
  <c r="P73" i="11"/>
  <c r="J73" i="11"/>
  <c r="C73" i="11"/>
  <c r="X72" i="11"/>
  <c r="P72" i="11"/>
  <c r="J72" i="11"/>
  <c r="C72" i="11"/>
  <c r="X71" i="11"/>
  <c r="P71" i="11"/>
  <c r="J71" i="11"/>
  <c r="C71" i="11"/>
  <c r="X70" i="11"/>
  <c r="P70" i="11"/>
  <c r="J70" i="11"/>
  <c r="C70" i="11"/>
  <c r="X69" i="11"/>
  <c r="P69" i="11"/>
  <c r="J69" i="11"/>
  <c r="C69" i="11"/>
  <c r="X68" i="11"/>
  <c r="P68" i="11"/>
  <c r="J68" i="11"/>
  <c r="C68" i="11"/>
  <c r="X67" i="11"/>
  <c r="P67" i="11"/>
  <c r="J67" i="11"/>
  <c r="C67" i="11"/>
  <c r="X66" i="11"/>
  <c r="P66" i="11"/>
  <c r="J66" i="11"/>
  <c r="C66" i="11"/>
  <c r="X65" i="11"/>
  <c r="P65" i="11"/>
  <c r="J65" i="11"/>
  <c r="C65" i="11"/>
  <c r="X64" i="11"/>
  <c r="P64" i="11"/>
  <c r="J64" i="11"/>
  <c r="C64" i="11"/>
  <c r="X63" i="11"/>
  <c r="P63" i="11"/>
  <c r="J63" i="11"/>
  <c r="C63" i="11"/>
  <c r="X62" i="11"/>
  <c r="P62" i="11"/>
  <c r="J62" i="11"/>
  <c r="C62" i="11"/>
  <c r="X61" i="11"/>
  <c r="P61" i="11"/>
  <c r="J61" i="11"/>
  <c r="C61" i="11"/>
  <c r="X60" i="11"/>
  <c r="P60" i="11"/>
  <c r="J60" i="11"/>
  <c r="C60" i="11"/>
  <c r="X59" i="11"/>
  <c r="P59" i="11"/>
  <c r="J59" i="11"/>
  <c r="C59" i="11"/>
  <c r="X58" i="11"/>
  <c r="P58" i="11"/>
  <c r="J58" i="11"/>
  <c r="C58" i="11"/>
  <c r="X57" i="11"/>
  <c r="P57" i="11"/>
  <c r="J57" i="11"/>
  <c r="C57" i="11"/>
  <c r="X56" i="11"/>
  <c r="P56" i="11"/>
  <c r="J56" i="11"/>
  <c r="C56" i="11"/>
  <c r="X55" i="11"/>
  <c r="P55" i="11"/>
  <c r="J55" i="11"/>
  <c r="C55" i="11"/>
  <c r="X54" i="11"/>
  <c r="P54" i="11"/>
  <c r="J54" i="11"/>
  <c r="C54" i="11"/>
  <c r="X53" i="11"/>
  <c r="P53" i="11"/>
  <c r="J53" i="11"/>
  <c r="C53" i="11"/>
  <c r="X52" i="11"/>
  <c r="P52" i="11"/>
  <c r="J52" i="11"/>
  <c r="C52" i="11"/>
  <c r="X51" i="11"/>
  <c r="P51" i="11"/>
  <c r="J51" i="11"/>
  <c r="C51" i="11"/>
  <c r="X50" i="11"/>
  <c r="P50" i="11"/>
  <c r="J50" i="11"/>
  <c r="C50" i="11"/>
  <c r="X49" i="11"/>
  <c r="P49" i="11"/>
  <c r="J49" i="11"/>
  <c r="C49" i="11"/>
  <c r="X48" i="11"/>
  <c r="P48" i="11"/>
  <c r="J48" i="11"/>
  <c r="C48" i="11"/>
  <c r="X47" i="11"/>
  <c r="P47" i="11"/>
  <c r="J47" i="11"/>
  <c r="C47" i="11"/>
  <c r="X46" i="11"/>
  <c r="P46" i="11"/>
  <c r="J46" i="11"/>
  <c r="C46" i="11"/>
  <c r="X45" i="11"/>
  <c r="P45" i="11"/>
  <c r="J45" i="11"/>
  <c r="C45" i="11"/>
  <c r="X44" i="11"/>
  <c r="P44" i="11"/>
  <c r="J44" i="11"/>
  <c r="C44" i="11"/>
  <c r="X43" i="11"/>
  <c r="P43" i="11"/>
  <c r="J43" i="11"/>
  <c r="C43" i="11"/>
  <c r="X42" i="11"/>
  <c r="P42" i="11"/>
  <c r="J42" i="11"/>
  <c r="C42" i="11"/>
  <c r="X41" i="11"/>
  <c r="P41" i="11"/>
  <c r="J41" i="11"/>
  <c r="C41" i="11"/>
  <c r="X40" i="11"/>
  <c r="P40" i="11"/>
  <c r="J40" i="11"/>
  <c r="C40" i="11"/>
  <c r="X39" i="11"/>
  <c r="P39" i="11"/>
  <c r="J39" i="11"/>
  <c r="C39" i="11"/>
  <c r="X38" i="11"/>
  <c r="P38" i="11"/>
  <c r="J38" i="11"/>
  <c r="C38" i="11"/>
  <c r="X37" i="11"/>
  <c r="P37" i="11"/>
  <c r="J37" i="11"/>
  <c r="C37" i="11"/>
  <c r="X36" i="11"/>
  <c r="P36" i="11"/>
  <c r="J36" i="11"/>
  <c r="C36" i="11"/>
  <c r="X35" i="11"/>
  <c r="P35" i="11"/>
  <c r="J35" i="11"/>
  <c r="C35" i="11"/>
  <c r="X34" i="11"/>
  <c r="P34" i="11"/>
  <c r="J34" i="11"/>
  <c r="C34" i="11"/>
  <c r="X33" i="11"/>
  <c r="P33" i="11"/>
  <c r="J33" i="11"/>
  <c r="C33" i="11"/>
  <c r="X32" i="11"/>
  <c r="P32" i="11"/>
  <c r="J32" i="11"/>
  <c r="C32" i="11"/>
  <c r="X31" i="11"/>
  <c r="P31" i="11"/>
  <c r="J31" i="11"/>
  <c r="C31" i="11"/>
  <c r="X30" i="11"/>
  <c r="P30" i="11"/>
  <c r="J30" i="11"/>
  <c r="C30" i="11"/>
  <c r="X29" i="11"/>
  <c r="P29" i="11"/>
  <c r="J29" i="11"/>
  <c r="C29" i="11"/>
  <c r="X28" i="11"/>
  <c r="P28" i="11"/>
  <c r="J28" i="11"/>
  <c r="C28" i="11"/>
  <c r="X27" i="11"/>
  <c r="P27" i="11"/>
  <c r="J27" i="11"/>
  <c r="C27" i="11"/>
  <c r="X26" i="11"/>
  <c r="P26" i="11"/>
  <c r="J26" i="11"/>
  <c r="C26" i="11"/>
  <c r="X25" i="11"/>
  <c r="P25" i="11"/>
  <c r="J25" i="11"/>
  <c r="C25" i="11"/>
  <c r="X24" i="11"/>
  <c r="P24" i="11"/>
  <c r="J24" i="11"/>
  <c r="C24" i="11"/>
  <c r="X23" i="11"/>
  <c r="P23" i="11"/>
  <c r="J23" i="11"/>
  <c r="C23" i="11"/>
  <c r="X22" i="11"/>
  <c r="P22" i="11"/>
  <c r="J22" i="11"/>
  <c r="C22" i="11"/>
  <c r="X21" i="11"/>
  <c r="P21" i="11"/>
  <c r="J21" i="11"/>
  <c r="C21" i="11"/>
  <c r="X20" i="11"/>
  <c r="P20" i="11"/>
  <c r="J20" i="11"/>
  <c r="C20" i="11"/>
  <c r="X19" i="11"/>
  <c r="P19" i="11"/>
  <c r="J19" i="11"/>
  <c r="C19" i="11"/>
  <c r="X18" i="11"/>
  <c r="P18" i="11"/>
  <c r="J18" i="11"/>
  <c r="C18" i="11"/>
  <c r="X17" i="11"/>
  <c r="P17" i="11"/>
  <c r="J17" i="11"/>
  <c r="C17" i="11"/>
  <c r="X16" i="11"/>
  <c r="P16" i="11"/>
  <c r="J16" i="11"/>
  <c r="C16" i="11"/>
  <c r="AC15" i="11"/>
  <c r="AD15" i="11" s="1"/>
  <c r="X15" i="11"/>
  <c r="V15" i="11"/>
  <c r="P15" i="11"/>
  <c r="J15" i="11"/>
  <c r="C15" i="11"/>
  <c r="AC14" i="11"/>
  <c r="X14" i="11"/>
  <c r="V14" i="11"/>
  <c r="P14" i="11"/>
  <c r="J14" i="11"/>
  <c r="C14" i="11"/>
  <c r="AA13" i="11"/>
  <c r="X13" i="11"/>
  <c r="P13" i="11"/>
  <c r="J13" i="11"/>
  <c r="C13" i="11"/>
  <c r="X12" i="11"/>
  <c r="P12" i="11"/>
  <c r="J12" i="11"/>
  <c r="C12" i="11"/>
  <c r="X11" i="11"/>
  <c r="P11" i="11"/>
  <c r="J11" i="11"/>
  <c r="C11" i="11"/>
  <c r="X10" i="11"/>
  <c r="P10" i="11"/>
  <c r="J10" i="11"/>
  <c r="C10" i="11"/>
  <c r="X9" i="11"/>
  <c r="P9" i="11"/>
  <c r="J9" i="11"/>
  <c r="C9" i="11"/>
  <c r="X8" i="11"/>
  <c r="P8" i="11"/>
  <c r="J8" i="11"/>
  <c r="C8" i="11"/>
  <c r="X7" i="11"/>
  <c r="P7" i="11"/>
  <c r="J7" i="11"/>
  <c r="C7" i="11"/>
  <c r="AI6" i="11"/>
  <c r="AJ6" i="11" s="1"/>
  <c r="X6" i="11"/>
  <c r="P6" i="11"/>
  <c r="J6" i="11"/>
  <c r="C6" i="11"/>
  <c r="AM5" i="11"/>
  <c r="AL6" i="11" s="1"/>
  <c r="AJ5" i="11"/>
  <c r="V5" i="11" s="1"/>
  <c r="AC5" i="11"/>
  <c r="X5" i="11"/>
  <c r="P5" i="11"/>
  <c r="J5" i="11"/>
  <c r="C5" i="11"/>
  <c r="AD5" i="11" l="1"/>
  <c r="AD12" i="11"/>
  <c r="U5" i="11"/>
  <c r="U8" i="20"/>
  <c r="AD7" i="20"/>
  <c r="AJ9" i="20"/>
  <c r="AI10" i="20" s="1"/>
  <c r="U9" i="20"/>
  <c r="AD8" i="20"/>
  <c r="AM8" i="20"/>
  <c r="AL9" i="20" s="1"/>
  <c r="AC8" i="20"/>
  <c r="V8" i="20"/>
  <c r="V6" i="11"/>
  <c r="AI7" i="11"/>
  <c r="U6" i="11"/>
  <c r="AM6" i="11"/>
  <c r="AL7" i="11" s="1"/>
  <c r="P685" i="11"/>
  <c r="AD14" i="11"/>
  <c r="AC18" i="11" s="1"/>
  <c r="U18" i="11"/>
  <c r="AJ10" i="20" l="1"/>
  <c r="V10" i="20" s="1"/>
  <c r="AM9" i="20"/>
  <c r="AL10" i="20" s="1"/>
  <c r="V9" i="20"/>
  <c r="AM7" i="11"/>
  <c r="AL8" i="11" s="1"/>
  <c r="AC6" i="11"/>
  <c r="AJ7" i="11"/>
  <c r="AI8" i="11" s="1"/>
  <c r="AD6" i="11"/>
  <c r="AD7" i="11" l="1"/>
  <c r="AD9" i="20"/>
  <c r="AC7" i="11"/>
  <c r="AC9" i="20"/>
  <c r="U10" i="20"/>
  <c r="AM10" i="20"/>
  <c r="AD10" i="20" s="1"/>
  <c r="U7" i="11"/>
  <c r="AJ8" i="11"/>
  <c r="AI9" i="11" s="1"/>
  <c r="V7" i="11"/>
  <c r="AM8" i="11"/>
  <c r="AL9" i="11" s="1"/>
  <c r="AD8" i="11"/>
  <c r="AC8" i="11" l="1"/>
  <c r="AC10" i="20"/>
  <c r="AJ9" i="11"/>
  <c r="AI10" i="11" s="1"/>
  <c r="U8" i="11"/>
  <c r="AM9" i="11"/>
  <c r="AL10" i="11" s="1"/>
  <c r="V8" i="11"/>
  <c r="AC9" i="11" l="1"/>
  <c r="AD9" i="11"/>
  <c r="U9" i="11"/>
  <c r="AJ10" i="11"/>
  <c r="V10" i="11" s="1"/>
  <c r="AM10" i="11"/>
  <c r="AD10" i="11" s="1"/>
  <c r="V9" i="11"/>
  <c r="U10" i="11" l="1"/>
  <c r="AC10" i="11"/>
  <c r="B104" i="10" l="1"/>
  <c r="B105" i="10" s="1"/>
  <c r="C103" i="10"/>
  <c r="E103" i="10" s="1"/>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B7" i="10"/>
  <c r="B8" i="10" l="1"/>
  <c r="D102" i="10" s="1"/>
  <c r="C13" i="10" s="1"/>
  <c r="B9" i="10"/>
  <c r="B106" i="10"/>
  <c r="C105" i="10"/>
  <c r="B10" i="10"/>
  <c r="B11" i="10" s="1"/>
  <c r="A103" i="10" s="1"/>
  <c r="C104" i="10"/>
  <c r="E105" i="10" l="1"/>
  <c r="B12" i="10"/>
  <c r="B14" i="10"/>
  <c r="D103" i="10" s="1"/>
  <c r="E104" i="10"/>
  <c r="A105" i="10"/>
  <c r="A104" i="10"/>
  <c r="A106" i="10"/>
  <c r="B107" i="10"/>
  <c r="C106" i="10"/>
  <c r="E106" i="10" l="1"/>
  <c r="D106" i="10"/>
  <c r="B13" i="10"/>
  <c r="B15" i="10"/>
  <c r="A16" i="10" s="1"/>
  <c r="B108" i="10"/>
  <c r="C107" i="10"/>
  <c r="A107" i="10"/>
  <c r="D105" i="10"/>
  <c r="D104" i="10"/>
  <c r="D107" i="10" l="1"/>
  <c r="E107" i="10"/>
  <c r="B109" i="10"/>
  <c r="C108" i="10"/>
  <c r="A108" i="10"/>
  <c r="D108" i="10" l="1"/>
  <c r="E108" i="10"/>
  <c r="B110" i="10"/>
  <c r="A109" i="10"/>
  <c r="C109" i="10"/>
  <c r="A110" i="10" l="1"/>
  <c r="B111" i="10"/>
  <c r="C110" i="10"/>
  <c r="E109" i="10"/>
  <c r="D109" i="10"/>
  <c r="B112" i="10" l="1"/>
  <c r="C111" i="10"/>
  <c r="A111" i="10"/>
  <c r="E110" i="10"/>
  <c r="D110" i="10"/>
  <c r="D111" i="10" l="1"/>
  <c r="E111" i="10"/>
  <c r="B113" i="10"/>
  <c r="C112" i="10"/>
  <c r="A112" i="10"/>
  <c r="D112" i="10" l="1"/>
  <c r="E112" i="10"/>
  <c r="A113" i="10"/>
  <c r="B114" i="10"/>
  <c r="C113" i="10"/>
  <c r="A114" i="10" l="1"/>
  <c r="B115" i="10"/>
  <c r="C114" i="10"/>
  <c r="E113" i="10"/>
  <c r="D113" i="10"/>
  <c r="A115" i="10" l="1"/>
  <c r="B116" i="10"/>
  <c r="C115" i="10"/>
  <c r="E114" i="10"/>
  <c r="D114" i="10"/>
  <c r="B117" i="10" l="1"/>
  <c r="C116" i="10"/>
  <c r="A116" i="10"/>
  <c r="D115" i="10"/>
  <c r="E115" i="10"/>
  <c r="D116" i="10" l="1"/>
  <c r="E116" i="10"/>
  <c r="C117" i="10"/>
  <c r="A117" i="10"/>
  <c r="B118" i="10"/>
  <c r="A118" i="10" l="1"/>
  <c r="B119" i="10"/>
  <c r="C118" i="10"/>
  <c r="E117" i="10"/>
  <c r="D117" i="10"/>
  <c r="B120" i="10" l="1"/>
  <c r="C119" i="10"/>
  <c r="A119" i="10"/>
  <c r="E118" i="10"/>
  <c r="D118" i="10"/>
  <c r="D119" i="10" l="1"/>
  <c r="E119" i="10"/>
  <c r="B121" i="10"/>
  <c r="C120" i="10"/>
  <c r="A120" i="10"/>
  <c r="D120" i="10" l="1"/>
  <c r="E120" i="10"/>
  <c r="B122" i="10"/>
  <c r="A121" i="10"/>
  <c r="C121" i="10"/>
  <c r="E121" i="10" l="1"/>
  <c r="D121" i="10"/>
  <c r="A122" i="10"/>
  <c r="B123" i="10"/>
  <c r="C122" i="10"/>
  <c r="E122" i="10" l="1"/>
  <c r="D122" i="10"/>
  <c r="B124" i="10"/>
  <c r="C123" i="10"/>
  <c r="A123" i="10"/>
  <c r="D123" i="10" l="1"/>
  <c r="E123" i="10"/>
  <c r="B125" i="10"/>
  <c r="C124" i="10"/>
  <c r="A124" i="10"/>
  <c r="D124" i="10" l="1"/>
  <c r="E124" i="10"/>
  <c r="A125" i="10"/>
  <c r="C125" i="10"/>
  <c r="B126" i="10"/>
  <c r="A126" i="10" l="1"/>
  <c r="B127" i="10"/>
  <c r="C126" i="10"/>
  <c r="E125" i="10"/>
  <c r="D125" i="10"/>
  <c r="E126" i="10" l="1"/>
  <c r="D126" i="10"/>
  <c r="A127" i="10"/>
  <c r="B128" i="10"/>
  <c r="C127" i="10"/>
  <c r="B129" i="10" l="1"/>
  <c r="C128" i="10"/>
  <c r="A128" i="10"/>
  <c r="D127" i="10"/>
  <c r="E127" i="10"/>
  <c r="C129" i="10" l="1"/>
  <c r="A129" i="10"/>
  <c r="B130" i="10"/>
  <c r="E128" i="10"/>
  <c r="D128" i="10"/>
  <c r="A130" i="10" l="1"/>
  <c r="B131" i="10"/>
  <c r="C130" i="10"/>
  <c r="E129" i="10"/>
  <c r="D129" i="10"/>
  <c r="E130" i="10" l="1"/>
  <c r="D130" i="10"/>
  <c r="B132" i="10"/>
  <c r="C131" i="10"/>
  <c r="A131" i="10"/>
  <c r="D131" i="10" l="1"/>
  <c r="E131" i="10"/>
  <c r="B133" i="10"/>
  <c r="C132" i="10"/>
  <c r="A132" i="10"/>
  <c r="D132" i="10" l="1"/>
  <c r="E132" i="10"/>
  <c r="B134" i="10"/>
  <c r="A133" i="10"/>
  <c r="C133" i="10"/>
  <c r="A134" i="10" l="1"/>
  <c r="B135" i="10"/>
  <c r="C134" i="10"/>
  <c r="E133" i="10"/>
  <c r="D133" i="10"/>
  <c r="E134" i="10" l="1"/>
  <c r="D134" i="10"/>
  <c r="B136" i="10"/>
  <c r="C135" i="10"/>
  <c r="A135" i="10"/>
  <c r="D135" i="10" l="1"/>
  <c r="E135" i="10"/>
  <c r="B137" i="10"/>
  <c r="C136" i="10"/>
  <c r="A136" i="10"/>
  <c r="D136" i="10" l="1"/>
  <c r="E136" i="10"/>
  <c r="A137" i="10"/>
  <c r="C137" i="10"/>
  <c r="B138" i="10"/>
  <c r="E137" i="10" l="1"/>
  <c r="D137" i="10"/>
  <c r="A138" i="10"/>
  <c r="B139" i="10"/>
  <c r="C138" i="10"/>
  <c r="A139" i="10" l="1"/>
  <c r="B140" i="10"/>
  <c r="C139" i="10"/>
  <c r="E138" i="10"/>
  <c r="D138" i="10"/>
  <c r="D139" i="10" l="1"/>
  <c r="E139" i="10"/>
  <c r="B141" i="10"/>
  <c r="C140" i="10"/>
  <c r="A140" i="10"/>
  <c r="E140" i="10" l="1"/>
  <c r="D140" i="10"/>
  <c r="C141" i="10"/>
  <c r="A141" i="10"/>
  <c r="B142" i="10"/>
  <c r="E141" i="10" l="1"/>
  <c r="D141" i="10"/>
  <c r="A142" i="10"/>
  <c r="B143" i="10"/>
  <c r="C142" i="10"/>
  <c r="A143" i="10" l="1"/>
  <c r="B144" i="10"/>
  <c r="C143" i="10"/>
  <c r="E142" i="10"/>
  <c r="D142" i="10"/>
  <c r="D143" i="10" l="1"/>
  <c r="E143" i="10"/>
  <c r="B145" i="10"/>
  <c r="C144" i="10"/>
  <c r="A144" i="10"/>
  <c r="D144" i="10" l="1"/>
  <c r="E144" i="10"/>
  <c r="C145" i="10"/>
  <c r="A145" i="10"/>
  <c r="B146" i="10"/>
  <c r="E145" i="10" l="1"/>
  <c r="D145" i="10"/>
  <c r="A146" i="10"/>
  <c r="B147" i="10"/>
  <c r="C146" i="10"/>
  <c r="B148" i="10" l="1"/>
  <c r="C147" i="10"/>
  <c r="A147" i="10"/>
  <c r="E146" i="10"/>
  <c r="D146" i="10"/>
  <c r="D147" i="10" l="1"/>
  <c r="E147" i="10"/>
  <c r="B149" i="10"/>
  <c r="C148" i="10"/>
  <c r="A148" i="10"/>
  <c r="E148" i="10" l="1"/>
  <c r="D148" i="10"/>
  <c r="B150" i="10"/>
  <c r="A149" i="10"/>
  <c r="C149" i="10"/>
  <c r="A150" i="10" l="1"/>
  <c r="B151" i="10"/>
  <c r="C150" i="10"/>
  <c r="E149" i="10"/>
  <c r="D149" i="10"/>
  <c r="E150" i="10" l="1"/>
  <c r="D150" i="10"/>
  <c r="B152" i="10"/>
  <c r="C151" i="10"/>
  <c r="A151" i="10"/>
  <c r="D151" i="10" l="1"/>
  <c r="E151" i="10"/>
  <c r="B153" i="10"/>
  <c r="C152" i="10"/>
  <c r="A152" i="10"/>
  <c r="D152" i="10" l="1"/>
  <c r="E152" i="10"/>
  <c r="A153" i="10"/>
  <c r="C153" i="10"/>
  <c r="B154" i="10"/>
  <c r="E153" i="10" l="1"/>
  <c r="D153" i="10"/>
  <c r="A154" i="10"/>
  <c r="B155" i="10"/>
  <c r="C154" i="10"/>
  <c r="A155" i="10" l="1"/>
  <c r="B156" i="10"/>
  <c r="C155" i="10"/>
  <c r="E154" i="10"/>
  <c r="D154" i="10"/>
  <c r="D155" i="10" l="1"/>
  <c r="E155" i="10"/>
  <c r="B157" i="10"/>
  <c r="C156" i="10"/>
  <c r="A156" i="10"/>
  <c r="E156" i="10" l="1"/>
  <c r="D156" i="10"/>
  <c r="C157" i="10"/>
  <c r="A157" i="10"/>
  <c r="B158" i="10"/>
  <c r="E157" i="10" l="1"/>
  <c r="D157" i="10"/>
  <c r="A158" i="10"/>
  <c r="B159" i="10"/>
  <c r="C158" i="10"/>
  <c r="B160" i="10" l="1"/>
  <c r="C159" i="10"/>
  <c r="A159" i="10"/>
  <c r="E158" i="10"/>
  <c r="D158" i="10"/>
  <c r="D159" i="10" l="1"/>
  <c r="E159" i="10"/>
  <c r="B161" i="10"/>
  <c r="C160" i="10"/>
  <c r="A160" i="10"/>
  <c r="C161" i="10" l="1"/>
  <c r="A161" i="10"/>
  <c r="B162" i="10"/>
  <c r="E160" i="10"/>
  <c r="D160" i="10"/>
  <c r="A162" i="10" l="1"/>
  <c r="B163" i="10"/>
  <c r="C162" i="10"/>
  <c r="E161" i="10"/>
  <c r="D161" i="10"/>
  <c r="B164" i="10" l="1"/>
  <c r="C163" i="10"/>
  <c r="A163" i="10"/>
  <c r="E162" i="10"/>
  <c r="D162" i="10"/>
  <c r="D163" i="10" l="1"/>
  <c r="E163" i="10"/>
  <c r="B165" i="10"/>
  <c r="C164" i="10"/>
  <c r="A164" i="10"/>
  <c r="B166" i="10" l="1"/>
  <c r="A165" i="10"/>
  <c r="C165" i="10"/>
  <c r="D164" i="10"/>
  <c r="E164" i="10"/>
  <c r="E165" i="10" l="1"/>
  <c r="D165" i="10"/>
  <c r="A166" i="10"/>
  <c r="B167" i="10"/>
  <c r="C166" i="10"/>
  <c r="B168" i="10" l="1"/>
  <c r="C167" i="10"/>
  <c r="A167" i="10"/>
  <c r="E166" i="10"/>
  <c r="D166" i="10"/>
  <c r="D167" i="10" l="1"/>
  <c r="E167" i="10"/>
  <c r="B169" i="10"/>
  <c r="C168" i="10"/>
  <c r="A168" i="10"/>
  <c r="D168" i="10" l="1"/>
  <c r="E168" i="10"/>
  <c r="A169" i="10"/>
  <c r="C169" i="10"/>
  <c r="B170" i="10"/>
  <c r="E169" i="10" l="1"/>
  <c r="D169" i="10"/>
  <c r="A170" i="10"/>
  <c r="B171" i="10"/>
  <c r="C170" i="10"/>
  <c r="A171" i="10" l="1"/>
  <c r="B172" i="10"/>
  <c r="C171" i="10"/>
  <c r="E170" i="10"/>
  <c r="D170" i="10"/>
  <c r="D171" i="10" l="1"/>
  <c r="E171" i="10"/>
  <c r="B173" i="10"/>
  <c r="C172" i="10"/>
  <c r="A172" i="10"/>
  <c r="E172" i="10" l="1"/>
  <c r="D172" i="10"/>
  <c r="C173" i="10"/>
  <c r="A173" i="10"/>
  <c r="B174" i="10"/>
  <c r="E173" i="10" l="1"/>
  <c r="D173" i="10"/>
  <c r="A174" i="10"/>
  <c r="B175" i="10"/>
  <c r="C174" i="10"/>
  <c r="B176" i="10" l="1"/>
  <c r="C175" i="10"/>
  <c r="A175" i="10"/>
  <c r="E174" i="10"/>
  <c r="D174" i="10"/>
  <c r="D175" i="10" l="1"/>
  <c r="E175" i="10"/>
  <c r="B177" i="10"/>
  <c r="C176" i="10"/>
  <c r="A176" i="10"/>
  <c r="B178" i="10" l="1"/>
  <c r="A177" i="10"/>
  <c r="C177" i="10"/>
  <c r="D176" i="10"/>
  <c r="E176" i="10"/>
  <c r="E177" i="10" l="1"/>
  <c r="D177" i="10"/>
  <c r="A178" i="10"/>
  <c r="B179" i="10"/>
  <c r="C178" i="10"/>
  <c r="B180" i="10" l="1"/>
  <c r="C179" i="10"/>
  <c r="A179" i="10"/>
  <c r="E178" i="10"/>
  <c r="D178" i="10"/>
  <c r="D179" i="10" l="1"/>
  <c r="E179" i="10"/>
  <c r="B181" i="10"/>
  <c r="C180" i="10"/>
  <c r="A180" i="10"/>
  <c r="D180" i="10" l="1"/>
  <c r="E180" i="10"/>
  <c r="A181" i="10"/>
  <c r="C181" i="10"/>
  <c r="B182" i="10"/>
  <c r="E181" i="10" l="1"/>
  <c r="D181" i="10"/>
  <c r="A182" i="10"/>
  <c r="B183" i="10"/>
  <c r="C182" i="10"/>
  <c r="A183" i="10" l="1"/>
  <c r="B184" i="10"/>
  <c r="C183" i="10"/>
  <c r="E182" i="10"/>
  <c r="D182" i="10"/>
  <c r="D183" i="10" l="1"/>
  <c r="E183" i="10"/>
  <c r="B185" i="10"/>
  <c r="C184" i="10"/>
  <c r="A184" i="10"/>
  <c r="C185" i="10" l="1"/>
  <c r="A185" i="10"/>
  <c r="B186" i="10"/>
  <c r="E184" i="10"/>
  <c r="D184" i="10"/>
  <c r="A186" i="10" l="1"/>
  <c r="B187" i="10"/>
  <c r="C186" i="10"/>
  <c r="E185" i="10"/>
  <c r="D185" i="10"/>
  <c r="B188" i="10" l="1"/>
  <c r="C187" i="10"/>
  <c r="A187" i="10"/>
  <c r="E186" i="10"/>
  <c r="D186" i="10"/>
  <c r="D187" i="10" l="1"/>
  <c r="E187" i="10"/>
  <c r="B189" i="10"/>
  <c r="C188" i="10"/>
  <c r="A188" i="10"/>
  <c r="D188" i="10" l="1"/>
  <c r="E188" i="10"/>
  <c r="B190" i="10"/>
  <c r="A189" i="10"/>
  <c r="C189" i="10"/>
  <c r="A190" i="10" l="1"/>
  <c r="B191" i="10"/>
  <c r="C190" i="10"/>
  <c r="E189" i="10"/>
  <c r="D189" i="10"/>
  <c r="E190" i="10" l="1"/>
  <c r="D190" i="10"/>
  <c r="B192" i="10"/>
  <c r="C191" i="10"/>
  <c r="A191" i="10"/>
  <c r="B193" i="10" l="1"/>
  <c r="C192" i="10"/>
  <c r="A192" i="10"/>
  <c r="D191" i="10"/>
  <c r="E191" i="10"/>
  <c r="D192" i="10" l="1"/>
  <c r="E192" i="10"/>
  <c r="A193" i="10"/>
  <c r="C193" i="10"/>
  <c r="B194" i="10"/>
  <c r="E193" i="10" l="1"/>
  <c r="D193" i="10"/>
  <c r="A194" i="10"/>
  <c r="B195" i="10"/>
  <c r="C194" i="10"/>
  <c r="A195" i="10" l="1"/>
  <c r="B196" i="10"/>
  <c r="C195" i="10"/>
  <c r="E194" i="10"/>
  <c r="D194" i="10"/>
  <c r="D195" i="10" l="1"/>
  <c r="E195" i="10"/>
  <c r="B197" i="10"/>
  <c r="C196" i="10"/>
  <c r="A196" i="10"/>
  <c r="C197" i="10" l="1"/>
  <c r="A197" i="10"/>
  <c r="B198" i="10"/>
  <c r="E196" i="10"/>
  <c r="D196" i="10"/>
  <c r="A198" i="10" l="1"/>
  <c r="B199" i="10"/>
  <c r="C198" i="10"/>
  <c r="E197" i="10"/>
  <c r="D197" i="10"/>
  <c r="B200" i="10" l="1"/>
  <c r="C199" i="10"/>
  <c r="A199" i="10"/>
  <c r="E198" i="10"/>
  <c r="D198" i="10"/>
  <c r="D199" i="10" l="1"/>
  <c r="E199" i="10"/>
  <c r="B201" i="10"/>
  <c r="C200" i="10"/>
  <c r="A200" i="10"/>
  <c r="B202" i="10" l="1"/>
  <c r="A201" i="10"/>
  <c r="C201" i="10"/>
  <c r="D200" i="10"/>
  <c r="E200" i="10"/>
  <c r="E201" i="10" l="1"/>
  <c r="D201" i="10"/>
  <c r="A202" i="10"/>
  <c r="B203" i="10"/>
  <c r="C202" i="10"/>
  <c r="B204" i="10" l="1"/>
  <c r="C203" i="10"/>
  <c r="A203" i="10"/>
  <c r="E202" i="10"/>
  <c r="D202" i="10"/>
  <c r="D203" i="10" l="1"/>
  <c r="E203" i="10"/>
  <c r="B205" i="10"/>
  <c r="C204" i="10"/>
  <c r="A204" i="10"/>
  <c r="A205" i="10" l="1"/>
  <c r="C205" i="10"/>
  <c r="B206" i="10"/>
  <c r="D204" i="10"/>
  <c r="E204" i="10"/>
  <c r="A206" i="10" l="1"/>
  <c r="B207" i="10"/>
  <c r="C206" i="10"/>
  <c r="E205" i="10"/>
  <c r="D205" i="10"/>
  <c r="E206" i="10" l="1"/>
  <c r="D206" i="10"/>
  <c r="A207" i="10"/>
  <c r="B208" i="10"/>
  <c r="C207" i="10"/>
  <c r="B209" i="10" l="1"/>
  <c r="C208" i="10"/>
  <c r="A208" i="10"/>
  <c r="D207" i="10"/>
  <c r="E207" i="10"/>
  <c r="E208" i="10" l="1"/>
  <c r="D208" i="10"/>
  <c r="C209" i="10"/>
  <c r="A209" i="10"/>
  <c r="B210" i="10"/>
  <c r="E209" i="10" l="1"/>
  <c r="D209" i="10"/>
  <c r="A210" i="10"/>
  <c r="B211" i="10"/>
  <c r="C210" i="10"/>
  <c r="B212" i="10" l="1"/>
  <c r="C211" i="10"/>
  <c r="A211" i="10"/>
  <c r="E210" i="10"/>
  <c r="D210" i="10"/>
  <c r="D211" i="10" l="1"/>
  <c r="E211" i="10"/>
  <c r="B213" i="10"/>
  <c r="C212" i="10"/>
  <c r="A212" i="10"/>
  <c r="D212" i="10" l="1"/>
  <c r="E212" i="10"/>
  <c r="B214" i="10"/>
  <c r="A213" i="10"/>
  <c r="C213" i="10"/>
  <c r="A214" i="10" l="1"/>
  <c r="B215" i="10"/>
  <c r="C214" i="10"/>
  <c r="E213" i="10"/>
  <c r="D213" i="10"/>
  <c r="E214" i="10" l="1"/>
  <c r="D214" i="10"/>
  <c r="B216" i="10"/>
  <c r="C215" i="10"/>
  <c r="A215" i="10"/>
  <c r="B217" i="10" l="1"/>
  <c r="C216" i="10"/>
  <c r="A216" i="10"/>
  <c r="D215" i="10"/>
  <c r="E215" i="10"/>
  <c r="D216" i="10" l="1"/>
  <c r="E216" i="10"/>
  <c r="A217" i="10"/>
  <c r="C217" i="10"/>
  <c r="B218" i="10"/>
  <c r="E217" i="10" l="1"/>
  <c r="D217" i="10"/>
  <c r="A218" i="10"/>
  <c r="B219" i="10"/>
  <c r="C218" i="10"/>
  <c r="A219" i="10" l="1"/>
  <c r="B220" i="10"/>
  <c r="C219" i="10"/>
  <c r="E218" i="10"/>
  <c r="D218" i="10"/>
  <c r="D219" i="10" l="1"/>
  <c r="E219" i="10"/>
  <c r="B221" i="10"/>
  <c r="C220" i="10"/>
  <c r="A220" i="10"/>
  <c r="E220" i="10" l="1"/>
  <c r="D220" i="10"/>
  <c r="C221" i="10"/>
  <c r="A221" i="10"/>
  <c r="B222" i="10"/>
  <c r="E221" i="10" l="1"/>
  <c r="D221" i="10"/>
  <c r="A222" i="10"/>
  <c r="B223" i="10"/>
  <c r="C222" i="10"/>
  <c r="B224" i="10" l="1"/>
  <c r="C223" i="10"/>
  <c r="A223" i="10"/>
  <c r="E222" i="10"/>
  <c r="D222" i="10"/>
  <c r="D223" i="10" l="1"/>
  <c r="E223" i="10"/>
  <c r="B225" i="10"/>
  <c r="C224" i="10"/>
  <c r="A224" i="10"/>
  <c r="D224" i="10" l="1"/>
  <c r="E224" i="10"/>
  <c r="B226" i="10"/>
  <c r="A225" i="10"/>
  <c r="C225" i="10"/>
  <c r="A226" i="10" l="1"/>
  <c r="B227" i="10"/>
  <c r="C226" i="10"/>
  <c r="E225" i="10"/>
  <c r="D225" i="10"/>
  <c r="E226" i="10" l="1"/>
  <c r="D226" i="10"/>
  <c r="B228" i="10"/>
  <c r="C227" i="10"/>
  <c r="A227" i="10"/>
  <c r="D227" i="10" l="1"/>
  <c r="E227" i="10"/>
  <c r="B229" i="10"/>
  <c r="C228" i="10"/>
  <c r="A228" i="10"/>
  <c r="D228" i="10" l="1"/>
  <c r="E228" i="10"/>
  <c r="A229" i="10"/>
  <c r="C229" i="10"/>
  <c r="B230" i="10"/>
  <c r="E229" i="10" l="1"/>
  <c r="D229" i="10"/>
  <c r="A230" i="10"/>
  <c r="B231" i="10"/>
  <c r="C230" i="10"/>
  <c r="B232" i="10" l="1"/>
  <c r="A231" i="10"/>
  <c r="C231" i="10"/>
  <c r="E230" i="10"/>
  <c r="D230" i="10"/>
  <c r="D231" i="10" l="1"/>
  <c r="E231" i="10"/>
  <c r="B233" i="10"/>
  <c r="C232" i="10"/>
  <c r="A232" i="10"/>
  <c r="E232" i="10" l="1"/>
  <c r="D232" i="10"/>
  <c r="A233" i="10"/>
  <c r="C233" i="10"/>
  <c r="B234" i="10"/>
  <c r="E233" i="10" l="1"/>
  <c r="D233" i="10"/>
  <c r="A234" i="10"/>
  <c r="B235" i="10"/>
  <c r="C234" i="10"/>
  <c r="B236" i="10" l="1"/>
  <c r="C235" i="10"/>
  <c r="A235" i="10"/>
  <c r="E234" i="10"/>
  <c r="D234" i="10"/>
  <c r="D235" i="10" l="1"/>
  <c r="E235" i="10"/>
  <c r="B237" i="10"/>
  <c r="C236" i="10"/>
  <c r="A236" i="10"/>
  <c r="E236" i="10" l="1"/>
  <c r="D236" i="10"/>
  <c r="A237" i="10"/>
  <c r="B238" i="10"/>
  <c r="C237" i="10"/>
  <c r="A238" i="10" l="1"/>
  <c r="B239" i="10"/>
  <c r="C238" i="10"/>
  <c r="E237" i="10"/>
  <c r="D237" i="10"/>
  <c r="E238" i="10" l="1"/>
  <c r="D238" i="10"/>
  <c r="B240" i="10"/>
  <c r="C239" i="10"/>
  <c r="A239" i="10"/>
  <c r="D239" i="10" l="1"/>
  <c r="E239" i="10"/>
  <c r="B241" i="10"/>
  <c r="C240" i="10"/>
  <c r="A240" i="10"/>
  <c r="A241" i="10" l="1"/>
  <c r="B242" i="10"/>
  <c r="C241" i="10"/>
  <c r="E240" i="10"/>
  <c r="D240" i="10"/>
  <c r="A242" i="10" l="1"/>
  <c r="B243" i="10"/>
  <c r="C242" i="10"/>
  <c r="E241" i="10"/>
  <c r="D241" i="10"/>
  <c r="B244" i="10" l="1"/>
  <c r="C243" i="10"/>
  <c r="A243" i="10"/>
  <c r="E242" i="10"/>
  <c r="D242" i="10"/>
  <c r="D243" i="10" l="1"/>
  <c r="E243" i="10"/>
  <c r="B245" i="10"/>
  <c r="C244" i="10"/>
  <c r="A244" i="10"/>
  <c r="E244" i="10" l="1"/>
  <c r="D244" i="10"/>
  <c r="A245" i="10"/>
  <c r="B246" i="10"/>
  <c r="C245" i="10"/>
  <c r="A246" i="10" l="1"/>
  <c r="B247" i="10"/>
  <c r="C246" i="10"/>
  <c r="E245" i="10"/>
  <c r="D245" i="10"/>
  <c r="E246" i="10" l="1"/>
  <c r="D246" i="10"/>
  <c r="B248" i="10"/>
  <c r="C247" i="10"/>
  <c r="A247" i="10"/>
  <c r="D247" i="10" l="1"/>
  <c r="E247" i="10"/>
  <c r="B249" i="10"/>
  <c r="C248" i="10"/>
  <c r="A248" i="10"/>
  <c r="A249" i="10" l="1"/>
  <c r="C249" i="10"/>
  <c r="B250" i="10"/>
  <c r="E248" i="10"/>
  <c r="D248" i="10"/>
  <c r="E249" i="10" l="1"/>
  <c r="D249" i="10"/>
  <c r="A250" i="10"/>
  <c r="B251" i="10"/>
  <c r="C250" i="10"/>
  <c r="B252" i="10" l="1"/>
  <c r="C251" i="10"/>
  <c r="A251" i="10"/>
  <c r="E250" i="10"/>
  <c r="D250" i="10"/>
  <c r="D251" i="10" l="1"/>
  <c r="E251" i="10"/>
  <c r="B253" i="10"/>
  <c r="C252" i="10"/>
  <c r="A252" i="10"/>
  <c r="E252" i="10" l="1"/>
  <c r="D252" i="10"/>
  <c r="A253" i="10"/>
  <c r="C253" i="10"/>
  <c r="B254" i="10"/>
  <c r="E253" i="10" l="1"/>
  <c r="D253" i="10"/>
  <c r="A254" i="10"/>
  <c r="B255" i="10"/>
  <c r="C254" i="10"/>
  <c r="B256" i="10" l="1"/>
  <c r="C255" i="10"/>
  <c r="A255" i="10"/>
  <c r="E254" i="10"/>
  <c r="D254" i="10"/>
  <c r="D255" i="10" l="1"/>
  <c r="E255" i="10"/>
  <c r="B257" i="10"/>
  <c r="C256" i="10"/>
  <c r="A256" i="10"/>
  <c r="E256" i="10" l="1"/>
  <c r="D256" i="10"/>
  <c r="A257" i="10"/>
  <c r="B258" i="10"/>
  <c r="C257" i="10"/>
  <c r="A258" i="10" l="1"/>
  <c r="B259" i="10"/>
  <c r="C258" i="10"/>
  <c r="E257" i="10"/>
  <c r="D257" i="10"/>
  <c r="E258" i="10" l="1"/>
  <c r="D258" i="10"/>
  <c r="B260" i="10"/>
  <c r="C259" i="10"/>
  <c r="A259" i="10"/>
  <c r="D259" i="10" l="1"/>
  <c r="E259" i="10"/>
  <c r="B261" i="10"/>
  <c r="C260" i="10"/>
  <c r="A260" i="10"/>
  <c r="E260" i="10" l="1"/>
  <c r="D260" i="10"/>
  <c r="A261" i="10"/>
  <c r="B262" i="10"/>
  <c r="C261" i="10"/>
  <c r="A262" i="10" l="1"/>
  <c r="B263" i="10"/>
  <c r="C262" i="10"/>
  <c r="E261" i="10"/>
  <c r="D261" i="10"/>
  <c r="E262" i="10" l="1"/>
  <c r="D262" i="10"/>
  <c r="B264" i="10"/>
  <c r="C263" i="10"/>
  <c r="A263" i="10"/>
  <c r="D263" i="10" l="1"/>
  <c r="E263" i="10"/>
  <c r="B265" i="10"/>
  <c r="C264" i="10"/>
  <c r="A264" i="10"/>
  <c r="A265" i="10" l="1"/>
  <c r="C265" i="10"/>
  <c r="B266" i="10"/>
  <c r="E264" i="10"/>
  <c r="D264" i="10"/>
  <c r="E265" i="10" l="1"/>
  <c r="D265" i="10"/>
  <c r="A266" i="10"/>
  <c r="B267" i="10"/>
  <c r="C266" i="10"/>
  <c r="B268" i="10" l="1"/>
  <c r="C267" i="10"/>
  <c r="A267" i="10"/>
  <c r="E266" i="10"/>
  <c r="D266" i="10"/>
  <c r="D267" i="10" l="1"/>
  <c r="E267" i="10"/>
  <c r="B269" i="10"/>
  <c r="C268" i="10"/>
  <c r="A268" i="10"/>
  <c r="E268" i="10" l="1"/>
  <c r="D268" i="10"/>
  <c r="A269" i="10"/>
  <c r="B270" i="10"/>
  <c r="C269" i="10"/>
  <c r="A270" i="10" l="1"/>
  <c r="B271" i="10"/>
  <c r="C270" i="10"/>
  <c r="E269" i="10"/>
  <c r="D269" i="10"/>
  <c r="E270" i="10" l="1"/>
  <c r="D270" i="10"/>
  <c r="B272" i="10"/>
  <c r="C271" i="10"/>
  <c r="A271" i="10"/>
  <c r="D271" i="10" l="1"/>
  <c r="E271" i="10"/>
  <c r="B273" i="10"/>
  <c r="C272" i="10"/>
  <c r="A272" i="10"/>
  <c r="A273" i="10" l="1"/>
  <c r="B274" i="10"/>
  <c r="C273" i="10"/>
  <c r="E272" i="10"/>
  <c r="D272" i="10"/>
  <c r="E273" i="10" l="1"/>
  <c r="D273" i="10"/>
  <c r="A274" i="10"/>
  <c r="B275" i="10"/>
  <c r="C274" i="10"/>
  <c r="B276" i="10" l="1"/>
  <c r="C275" i="10"/>
  <c r="A275" i="10"/>
  <c r="E274" i="10"/>
  <c r="D274" i="10"/>
  <c r="D275" i="10" l="1"/>
  <c r="E275" i="10"/>
  <c r="B277" i="10"/>
  <c r="C276" i="10"/>
  <c r="A276" i="10"/>
  <c r="A277" i="10" l="1"/>
  <c r="B278" i="10"/>
  <c r="C277" i="10"/>
  <c r="E276" i="10"/>
  <c r="D276" i="10"/>
  <c r="A278" i="10" l="1"/>
  <c r="B279" i="10"/>
  <c r="C278" i="10"/>
  <c r="E277" i="10"/>
  <c r="D277" i="10"/>
  <c r="E278" i="10" l="1"/>
  <c r="D278" i="10"/>
  <c r="B280" i="10"/>
  <c r="C279" i="10"/>
  <c r="A279" i="10"/>
  <c r="B281" i="10" l="1"/>
  <c r="C280" i="10"/>
  <c r="A280" i="10"/>
  <c r="D279" i="10"/>
  <c r="E279" i="10"/>
  <c r="E280" i="10" l="1"/>
  <c r="D280" i="10"/>
  <c r="A281" i="10"/>
  <c r="C281" i="10"/>
  <c r="B282" i="10"/>
  <c r="E281" i="10" l="1"/>
  <c r="D281" i="10"/>
  <c r="A282" i="10"/>
  <c r="B283" i="10"/>
  <c r="C282" i="10"/>
  <c r="B284" i="10" l="1"/>
  <c r="C283" i="10"/>
  <c r="A283" i="10"/>
  <c r="E282" i="10"/>
  <c r="D282" i="10"/>
  <c r="D283" i="10" l="1"/>
  <c r="E283" i="10"/>
  <c r="B285" i="10"/>
  <c r="C284" i="10"/>
  <c r="A284" i="10"/>
  <c r="A285" i="10" l="1"/>
  <c r="C285" i="10"/>
  <c r="B286" i="10"/>
  <c r="E284" i="10"/>
  <c r="D284" i="10"/>
  <c r="A286" i="10" l="1"/>
  <c r="B287" i="10"/>
  <c r="C286" i="10"/>
  <c r="E285" i="10"/>
  <c r="D285" i="10"/>
  <c r="E286" i="10" l="1"/>
  <c r="D286" i="10"/>
  <c r="B288" i="10"/>
  <c r="C287" i="10"/>
  <c r="A287" i="10"/>
  <c r="B289" i="10" l="1"/>
  <c r="C288" i="10"/>
  <c r="A288" i="10"/>
  <c r="D287" i="10"/>
  <c r="E287" i="10"/>
  <c r="E288" i="10" l="1"/>
  <c r="D288" i="10"/>
  <c r="A289" i="10"/>
  <c r="B290" i="10"/>
  <c r="C289" i="10"/>
  <c r="A290" i="10" l="1"/>
  <c r="B291" i="10"/>
  <c r="C290" i="10"/>
  <c r="E289" i="10"/>
  <c r="D289" i="10"/>
  <c r="B292" i="10" l="1"/>
  <c r="C291" i="10"/>
  <c r="A291" i="10"/>
  <c r="E290" i="10"/>
  <c r="D290" i="10"/>
  <c r="D291" i="10" l="1"/>
  <c r="E291" i="10"/>
  <c r="B293" i="10"/>
  <c r="C292" i="10"/>
  <c r="A292" i="10"/>
  <c r="A293" i="10" l="1"/>
  <c r="B294" i="10"/>
  <c r="C293" i="10"/>
  <c r="E292" i="10"/>
  <c r="D292" i="10"/>
  <c r="E293" i="10" l="1"/>
  <c r="D293" i="10"/>
  <c r="A294" i="10"/>
  <c r="B295" i="10"/>
  <c r="C294" i="10"/>
  <c r="B296" i="10" l="1"/>
  <c r="C295" i="10"/>
  <c r="A295" i="10"/>
  <c r="E294" i="10"/>
  <c r="D294" i="10"/>
  <c r="D295" i="10" l="1"/>
  <c r="E295" i="10"/>
  <c r="B297" i="10"/>
  <c r="C296" i="10"/>
  <c r="A296" i="10"/>
  <c r="E296" i="10" l="1"/>
  <c r="D296" i="10"/>
  <c r="A297" i="10"/>
  <c r="C297" i="10"/>
  <c r="B298" i="10"/>
  <c r="E297" i="10" l="1"/>
  <c r="D297" i="10"/>
  <c r="A298" i="10"/>
  <c r="B299" i="10"/>
  <c r="C298" i="10"/>
  <c r="B300" i="10" l="1"/>
  <c r="C299" i="10"/>
  <c r="A299" i="10"/>
  <c r="E298" i="10"/>
  <c r="D298" i="10"/>
  <c r="D299" i="10" l="1"/>
  <c r="E299" i="10"/>
  <c r="B301" i="10"/>
  <c r="C300" i="10"/>
  <c r="A300" i="10"/>
  <c r="E300" i="10" l="1"/>
  <c r="D300" i="10"/>
  <c r="A301" i="10"/>
  <c r="C301" i="10"/>
  <c r="B302" i="10"/>
  <c r="E301" i="10" l="1"/>
  <c r="D301" i="10"/>
  <c r="A302" i="10"/>
  <c r="B303" i="10"/>
  <c r="C302" i="10"/>
  <c r="B304" i="10" l="1"/>
  <c r="C303" i="10"/>
  <c r="A303" i="10"/>
  <c r="E302" i="10"/>
  <c r="D302" i="10"/>
  <c r="D303" i="10" l="1"/>
  <c r="E303" i="10"/>
  <c r="B305" i="10"/>
  <c r="C304" i="10"/>
  <c r="A304" i="10"/>
  <c r="A305" i="10" l="1"/>
  <c r="B306" i="10"/>
  <c r="C305" i="10"/>
  <c r="E304" i="10"/>
  <c r="D304" i="10"/>
  <c r="E305" i="10" l="1"/>
  <c r="D305" i="10"/>
  <c r="A306" i="10"/>
  <c r="B307" i="10"/>
  <c r="C306" i="10"/>
  <c r="B308" i="10" l="1"/>
  <c r="C307" i="10"/>
  <c r="A307" i="10"/>
  <c r="E306" i="10"/>
  <c r="D306" i="10"/>
  <c r="D307" i="10" l="1"/>
  <c r="E307" i="10"/>
  <c r="B309" i="10"/>
  <c r="C308" i="10"/>
  <c r="A308" i="10"/>
  <c r="E308" i="10" l="1"/>
  <c r="D308" i="10"/>
  <c r="A309" i="10"/>
  <c r="B310" i="10"/>
  <c r="C309" i="10"/>
  <c r="A310" i="10" l="1"/>
  <c r="B311" i="10"/>
  <c r="C310" i="10"/>
  <c r="E309" i="10"/>
  <c r="D309" i="10"/>
  <c r="E310" i="10" l="1"/>
  <c r="D310" i="10"/>
  <c r="B312" i="10"/>
  <c r="C311" i="10"/>
  <c r="A311" i="10"/>
  <c r="B313" i="10" l="1"/>
  <c r="C312" i="10"/>
  <c r="A312" i="10"/>
  <c r="D311" i="10"/>
  <c r="E311" i="10"/>
  <c r="E312" i="10" l="1"/>
  <c r="D312" i="10"/>
  <c r="A313" i="10"/>
  <c r="C313" i="10"/>
  <c r="B314" i="10"/>
  <c r="E313" i="10" l="1"/>
  <c r="D313" i="10"/>
  <c r="A314" i="10"/>
  <c r="B315" i="10"/>
  <c r="C314" i="10"/>
  <c r="B316" i="10" l="1"/>
  <c r="C315" i="10"/>
  <c r="A315" i="10"/>
  <c r="E314" i="10"/>
  <c r="D314" i="10"/>
  <c r="D315" i="10" l="1"/>
  <c r="E315" i="10"/>
  <c r="B317" i="10"/>
  <c r="C316" i="10"/>
  <c r="A316" i="10"/>
  <c r="A317" i="10" l="1"/>
  <c r="C317" i="10"/>
  <c r="B318" i="10"/>
  <c r="E316" i="10"/>
  <c r="D316" i="10"/>
  <c r="A318" i="10" l="1"/>
  <c r="B319" i="10"/>
  <c r="C318" i="10"/>
  <c r="E317" i="10"/>
  <c r="D317" i="10"/>
  <c r="B320" i="10" l="1"/>
  <c r="C319" i="10"/>
  <c r="A319" i="10"/>
  <c r="E318" i="10"/>
  <c r="D318" i="10"/>
  <c r="D319" i="10" l="1"/>
  <c r="E319" i="10"/>
  <c r="B321" i="10"/>
  <c r="C320" i="10"/>
  <c r="A320" i="10"/>
  <c r="E320" i="10" l="1"/>
  <c r="D320" i="10"/>
  <c r="A321" i="10"/>
  <c r="B322" i="10"/>
  <c r="C321" i="10"/>
  <c r="A322" i="10" l="1"/>
  <c r="B323" i="10"/>
  <c r="C322" i="10"/>
  <c r="E321" i="10"/>
  <c r="D321" i="10"/>
  <c r="E322" i="10" l="1"/>
  <c r="D322" i="10"/>
  <c r="B324" i="10"/>
  <c r="C323" i="10"/>
  <c r="A323" i="10"/>
  <c r="D323" i="10" l="1"/>
  <c r="E323" i="10"/>
  <c r="B325" i="10"/>
  <c r="C324" i="10"/>
  <c r="A324" i="10"/>
  <c r="A325" i="10" l="1"/>
  <c r="B326" i="10"/>
  <c r="C325" i="10"/>
  <c r="E324" i="10"/>
  <c r="D324" i="10"/>
  <c r="E325" i="10" l="1"/>
  <c r="D325" i="10"/>
  <c r="A326" i="10"/>
  <c r="B327" i="10"/>
  <c r="C326" i="10"/>
  <c r="B328" i="10" l="1"/>
  <c r="C327" i="10"/>
  <c r="A327" i="10"/>
  <c r="E326" i="10"/>
  <c r="D326" i="10"/>
  <c r="D327" i="10" l="1"/>
  <c r="E327" i="10"/>
  <c r="B329" i="10"/>
  <c r="C328" i="10"/>
  <c r="A328" i="10"/>
  <c r="A329" i="10" l="1"/>
  <c r="C329" i="10"/>
  <c r="B330" i="10"/>
  <c r="E328" i="10"/>
  <c r="D328" i="10"/>
  <c r="E329" i="10" l="1"/>
  <c r="D329" i="10"/>
  <c r="A330" i="10"/>
  <c r="B331" i="10"/>
  <c r="C330" i="10"/>
  <c r="B332" i="10" l="1"/>
  <c r="C331" i="10"/>
  <c r="A331" i="10"/>
  <c r="E330" i="10"/>
  <c r="D330" i="10"/>
  <c r="D331" i="10" l="1"/>
  <c r="E331" i="10"/>
  <c r="B333" i="10"/>
  <c r="C332" i="10"/>
  <c r="A332" i="10"/>
  <c r="A333" i="10" l="1"/>
  <c r="C333" i="10"/>
  <c r="B334" i="10"/>
  <c r="E332" i="10"/>
  <c r="D332" i="10"/>
  <c r="E333" i="10" l="1"/>
  <c r="D333" i="10"/>
  <c r="B335" i="10"/>
  <c r="A334" i="10"/>
  <c r="C334" i="10"/>
  <c r="A335" i="10" l="1"/>
  <c r="C335" i="10"/>
  <c r="B336" i="10"/>
  <c r="E334" i="10"/>
  <c r="D334" i="10"/>
  <c r="E335" i="10" l="1"/>
  <c r="D335" i="10"/>
  <c r="A336" i="10"/>
  <c r="B337" i="10"/>
  <c r="C336" i="10"/>
  <c r="B338" i="10" l="1"/>
  <c r="C337" i="10"/>
  <c r="A337" i="10"/>
  <c r="E336" i="10"/>
  <c r="D336" i="10"/>
  <c r="D337" i="10" l="1"/>
  <c r="E337" i="10"/>
  <c r="B339" i="10"/>
  <c r="C338" i="10"/>
  <c r="A338" i="10"/>
  <c r="A339" i="10" l="1"/>
  <c r="B340" i="10"/>
  <c r="C339" i="10"/>
  <c r="E338" i="10"/>
  <c r="D338" i="10"/>
  <c r="E339" i="10" l="1"/>
  <c r="D339" i="10"/>
  <c r="A340" i="10"/>
  <c r="B341" i="10"/>
  <c r="C340" i="10"/>
  <c r="B342" i="10" l="1"/>
  <c r="C341" i="10"/>
  <c r="A341" i="10"/>
  <c r="E340" i="10"/>
  <c r="D340" i="10"/>
  <c r="D341" i="10" l="1"/>
  <c r="E341" i="10"/>
  <c r="B343" i="10"/>
  <c r="C342" i="10"/>
  <c r="A342" i="10"/>
  <c r="E342" i="10" l="1"/>
  <c r="D342" i="10"/>
  <c r="A343" i="10"/>
  <c r="B344" i="10"/>
  <c r="C343" i="10"/>
  <c r="A344" i="10" l="1"/>
  <c r="B345" i="10"/>
  <c r="C344" i="10"/>
  <c r="E343" i="10"/>
  <c r="D343" i="10"/>
  <c r="E344" i="10" l="1"/>
  <c r="D344" i="10"/>
  <c r="B346" i="10"/>
  <c r="C345" i="10"/>
  <c r="A345" i="10"/>
  <c r="D345" i="10" l="1"/>
  <c r="E345" i="10"/>
  <c r="B347" i="10"/>
  <c r="C346" i="10"/>
  <c r="A346" i="10"/>
  <c r="A347" i="10" l="1"/>
  <c r="B348" i="10"/>
  <c r="C347" i="10"/>
  <c r="E346" i="10"/>
  <c r="D346" i="10"/>
  <c r="E347" i="10" l="1"/>
  <c r="D347" i="10"/>
  <c r="A348" i="10"/>
  <c r="B349" i="10"/>
  <c r="C348" i="10"/>
  <c r="B350" i="10" l="1"/>
  <c r="C349" i="10"/>
  <c r="A349" i="10"/>
  <c r="E348" i="10"/>
  <c r="D348" i="10"/>
  <c r="D349" i="10" l="1"/>
  <c r="E349" i="10"/>
  <c r="B351" i="10"/>
  <c r="C350" i="10"/>
  <c r="A350" i="10"/>
  <c r="E350" i="10" l="1"/>
  <c r="D350" i="10"/>
  <c r="A351" i="10"/>
  <c r="C351" i="10"/>
  <c r="B352" i="10"/>
  <c r="E351" i="10" l="1"/>
  <c r="D351" i="10"/>
  <c r="A352" i="10"/>
  <c r="B353" i="10"/>
  <c r="C352" i="10"/>
  <c r="H13" i="10"/>
  <c r="B354" i="10" l="1"/>
  <c r="C353" i="10"/>
  <c r="A353" i="10"/>
  <c r="E352" i="10"/>
  <c r="D352" i="10"/>
  <c r="D353" i="10" l="1"/>
  <c r="E353" i="10"/>
  <c r="B355" i="10"/>
  <c r="C354" i="10"/>
  <c r="A354" i="10"/>
  <c r="E354" i="10" l="1"/>
  <c r="D354" i="10"/>
  <c r="A355" i="10"/>
  <c r="B356" i="10"/>
  <c r="C355" i="10"/>
  <c r="A356" i="10" l="1"/>
  <c r="B357" i="10"/>
  <c r="C356" i="10"/>
  <c r="E355" i="10"/>
  <c r="D355" i="10"/>
  <c r="E356" i="10" l="1"/>
  <c r="D356" i="10"/>
  <c r="B358" i="10"/>
  <c r="C357" i="10"/>
  <c r="A357" i="10"/>
  <c r="D357" i="10" l="1"/>
  <c r="E357" i="10"/>
  <c r="B359" i="10"/>
  <c r="C358" i="10"/>
  <c r="A358" i="10"/>
  <c r="E358" i="10" l="1"/>
  <c r="D358" i="10"/>
  <c r="A359" i="10"/>
  <c r="B360" i="10"/>
  <c r="C359" i="10"/>
  <c r="E359" i="10" l="1"/>
  <c r="D359" i="10"/>
  <c r="A360" i="10"/>
  <c r="B361" i="10"/>
  <c r="C360" i="10"/>
  <c r="B362" i="10" l="1"/>
  <c r="C361" i="10"/>
  <c r="A361" i="10"/>
  <c r="E360" i="10"/>
  <c r="D360" i="10"/>
  <c r="D361" i="10" l="1"/>
  <c r="E361" i="10"/>
  <c r="B363" i="10"/>
  <c r="C362" i="10"/>
  <c r="A362" i="10"/>
  <c r="E362" i="10" l="1"/>
  <c r="D362" i="10"/>
  <c r="A363" i="10"/>
  <c r="B364" i="10"/>
  <c r="C363" i="10"/>
  <c r="A364" i="10" l="1"/>
  <c r="B365" i="10"/>
  <c r="C364" i="10"/>
  <c r="E363" i="10"/>
  <c r="D363" i="10"/>
  <c r="B366" i="10" l="1"/>
  <c r="C365" i="10"/>
  <c r="A365" i="10"/>
  <c r="E364" i="10"/>
  <c r="D364" i="10"/>
  <c r="D365" i="10" l="1"/>
  <c r="E365" i="10"/>
  <c r="B367" i="10"/>
  <c r="C366" i="10"/>
  <c r="A366" i="10"/>
  <c r="E366" i="10" l="1"/>
  <c r="D366" i="10"/>
  <c r="A367" i="10"/>
  <c r="C367" i="10"/>
  <c r="B368" i="10"/>
  <c r="E367" i="10" l="1"/>
  <c r="D367" i="10"/>
  <c r="A368" i="10"/>
  <c r="B369" i="10"/>
  <c r="C368" i="10"/>
  <c r="B370" i="10" l="1"/>
  <c r="C369" i="10"/>
  <c r="A369" i="10"/>
  <c r="E368" i="10"/>
  <c r="D368" i="10"/>
  <c r="D369" i="10" l="1"/>
  <c r="E369" i="10"/>
  <c r="B371" i="10"/>
  <c r="C370" i="10"/>
  <c r="A370" i="10"/>
  <c r="E370" i="10" l="1"/>
  <c r="D370" i="10"/>
  <c r="A371" i="10"/>
  <c r="B372" i="10"/>
  <c r="C371" i="10"/>
  <c r="A372" i="10" l="1"/>
  <c r="B373" i="10"/>
  <c r="C372" i="10"/>
  <c r="E371" i="10"/>
  <c r="D371" i="10"/>
  <c r="E372" i="10" l="1"/>
  <c r="D372" i="10"/>
  <c r="B374" i="10"/>
  <c r="C373" i="10"/>
  <c r="A373" i="10"/>
  <c r="D373" i="10" l="1"/>
  <c r="E373" i="10"/>
  <c r="B375" i="10"/>
  <c r="C374" i="10"/>
  <c r="A374" i="10"/>
  <c r="E374" i="10" l="1"/>
  <c r="D374" i="10"/>
  <c r="A375" i="10"/>
  <c r="B376" i="10"/>
  <c r="C375" i="10"/>
  <c r="A376" i="10" l="1"/>
  <c r="B377" i="10"/>
  <c r="C376" i="10"/>
  <c r="E375" i="10"/>
  <c r="D375" i="10"/>
  <c r="E376" i="10" l="1"/>
  <c r="D376" i="10"/>
  <c r="B378" i="10"/>
  <c r="C377" i="10"/>
  <c r="A377" i="10"/>
  <c r="D377" i="10" l="1"/>
  <c r="E377" i="10"/>
  <c r="B379" i="10"/>
  <c r="C378" i="10"/>
  <c r="A378" i="10"/>
  <c r="E378" i="10" l="1"/>
  <c r="D378" i="10"/>
  <c r="A379" i="10"/>
  <c r="B380" i="10"/>
  <c r="C379" i="10"/>
  <c r="A380" i="10" l="1"/>
  <c r="B381" i="10"/>
  <c r="C380" i="10"/>
  <c r="E379" i="10"/>
  <c r="D379" i="10"/>
  <c r="E380" i="10" l="1"/>
  <c r="D380" i="10"/>
  <c r="B382" i="10"/>
  <c r="C381" i="10"/>
  <c r="A381" i="10"/>
  <c r="D381" i="10" l="1"/>
  <c r="E381" i="10"/>
  <c r="B383" i="10"/>
  <c r="C382" i="10"/>
  <c r="A382" i="10"/>
  <c r="E382" i="10" l="1"/>
  <c r="D382" i="10"/>
  <c r="A383" i="10"/>
  <c r="C383" i="10"/>
  <c r="B384" i="10"/>
  <c r="E383" i="10" l="1"/>
  <c r="D383" i="10"/>
  <c r="A384" i="10"/>
  <c r="B385" i="10"/>
  <c r="C384" i="10"/>
  <c r="B386" i="10" l="1"/>
  <c r="C385" i="10"/>
  <c r="A385" i="10"/>
  <c r="E384" i="10"/>
  <c r="D384" i="10"/>
  <c r="D385" i="10" l="1"/>
  <c r="E385" i="10"/>
  <c r="B387" i="10"/>
  <c r="C386" i="10"/>
  <c r="A386" i="10"/>
  <c r="E386" i="10" l="1"/>
  <c r="D386" i="10"/>
  <c r="A387" i="10"/>
  <c r="B388" i="10"/>
  <c r="C387" i="10"/>
  <c r="A388" i="10" l="1"/>
  <c r="B389" i="10"/>
  <c r="C388" i="10"/>
  <c r="E387" i="10"/>
  <c r="D387" i="10"/>
  <c r="E388" i="10" l="1"/>
  <c r="D388" i="10"/>
  <c r="B390" i="10"/>
  <c r="C389" i="10"/>
  <c r="A389" i="10"/>
  <c r="D389" i="10" l="1"/>
  <c r="E389" i="10"/>
  <c r="B391" i="10"/>
  <c r="C390" i="10"/>
  <c r="A390" i="10"/>
  <c r="E390" i="10" l="1"/>
  <c r="D390" i="10"/>
  <c r="A391" i="10"/>
  <c r="B392" i="10"/>
  <c r="C391" i="10"/>
  <c r="A392" i="10" l="1"/>
  <c r="B393" i="10"/>
  <c r="C392" i="10"/>
  <c r="E391" i="10"/>
  <c r="D391" i="10"/>
  <c r="E392" i="10" l="1"/>
  <c r="D392" i="10"/>
  <c r="B394" i="10"/>
  <c r="C393" i="10"/>
  <c r="A393" i="10"/>
  <c r="D393" i="10" l="1"/>
  <c r="E393" i="10"/>
  <c r="B395" i="10"/>
  <c r="C394" i="10"/>
  <c r="A394" i="10"/>
  <c r="E394" i="10" l="1"/>
  <c r="D394" i="10"/>
  <c r="A395" i="10"/>
  <c r="B396" i="10"/>
  <c r="C395" i="10"/>
  <c r="A396" i="10" l="1"/>
  <c r="B397" i="10"/>
  <c r="C396" i="10"/>
  <c r="E395" i="10"/>
  <c r="D395" i="10"/>
  <c r="E396" i="10" l="1"/>
  <c r="D396" i="10"/>
  <c r="B398" i="10"/>
  <c r="C397" i="10"/>
  <c r="A397" i="10"/>
  <c r="D397" i="10" l="1"/>
  <c r="E397" i="10"/>
  <c r="B399" i="10"/>
  <c r="C398" i="10"/>
  <c r="A398" i="10"/>
  <c r="E398" i="10" l="1"/>
  <c r="D398" i="10"/>
  <c r="A399" i="10"/>
  <c r="C399" i="10"/>
  <c r="B400" i="10"/>
  <c r="E399" i="10" l="1"/>
  <c r="D399" i="10"/>
  <c r="A400" i="10"/>
  <c r="B401" i="10"/>
  <c r="C400" i="10"/>
  <c r="B402" i="10" l="1"/>
  <c r="C401" i="10"/>
  <c r="A401" i="10"/>
  <c r="E400" i="10"/>
  <c r="D400" i="10"/>
  <c r="D401" i="10" l="1"/>
  <c r="E401" i="10"/>
  <c r="B403" i="10"/>
  <c r="C402" i="10"/>
  <c r="A402" i="10"/>
  <c r="E402" i="10" l="1"/>
  <c r="D402" i="10"/>
  <c r="A403" i="10"/>
  <c r="B404" i="10"/>
  <c r="C403" i="10"/>
  <c r="A404" i="10" l="1"/>
  <c r="B405" i="10"/>
  <c r="C404" i="10"/>
  <c r="E403" i="10"/>
  <c r="D403" i="10"/>
  <c r="E404" i="10" l="1"/>
  <c r="D404" i="10"/>
  <c r="B406" i="10"/>
  <c r="C405" i="10"/>
  <c r="A405" i="10"/>
  <c r="D405" i="10" l="1"/>
  <c r="E405" i="10"/>
  <c r="B407" i="10"/>
  <c r="C406" i="10"/>
  <c r="A406" i="10"/>
  <c r="E406" i="10" l="1"/>
  <c r="D406" i="10"/>
  <c r="A407" i="10"/>
  <c r="B408" i="10"/>
  <c r="C407" i="10"/>
  <c r="A408" i="10" l="1"/>
  <c r="B409" i="10"/>
  <c r="C408" i="10"/>
  <c r="E407" i="10"/>
  <c r="D407" i="10"/>
  <c r="E408" i="10" l="1"/>
  <c r="D408" i="10"/>
  <c r="B410" i="10"/>
  <c r="C409" i="10"/>
  <c r="A409" i="10"/>
  <c r="D409" i="10" l="1"/>
  <c r="E409" i="10"/>
  <c r="B411" i="10"/>
  <c r="C410" i="10"/>
  <c r="A410" i="10"/>
  <c r="E410" i="10" l="1"/>
  <c r="D410" i="10"/>
  <c r="A411" i="10"/>
  <c r="B412" i="10"/>
  <c r="C411" i="10"/>
  <c r="A412" i="10" l="1"/>
  <c r="B413" i="10"/>
  <c r="C412" i="10"/>
  <c r="E411" i="10"/>
  <c r="D411" i="10"/>
  <c r="E412" i="10" l="1"/>
  <c r="D412" i="10"/>
  <c r="B414" i="10"/>
  <c r="C413" i="10"/>
  <c r="A413" i="10"/>
  <c r="D413" i="10" l="1"/>
  <c r="E413" i="10"/>
  <c r="B415" i="10"/>
  <c r="C414" i="10"/>
  <c r="A414" i="10"/>
  <c r="E414" i="10" l="1"/>
  <c r="D414" i="10"/>
  <c r="A415" i="10"/>
  <c r="C415" i="10"/>
  <c r="B416" i="10"/>
  <c r="E415" i="10" l="1"/>
  <c r="D415" i="10"/>
  <c r="A416" i="10"/>
  <c r="B417" i="10"/>
  <c r="C416" i="10"/>
  <c r="B418" i="10" l="1"/>
  <c r="C417" i="10"/>
  <c r="A417" i="10"/>
  <c r="E416" i="10"/>
  <c r="D416" i="10"/>
  <c r="D417" i="10" l="1"/>
  <c r="E417" i="10"/>
  <c r="B419" i="10"/>
  <c r="C418" i="10"/>
  <c r="A418" i="10"/>
  <c r="E418" i="10" l="1"/>
  <c r="D418" i="10"/>
  <c r="A419" i="10"/>
  <c r="B420" i="10"/>
  <c r="C419" i="10"/>
  <c r="A420" i="10" l="1"/>
  <c r="B421" i="10"/>
  <c r="C420" i="10"/>
  <c r="E419" i="10"/>
  <c r="D419" i="10"/>
  <c r="E420" i="10" l="1"/>
  <c r="D420" i="10"/>
  <c r="B422" i="10"/>
  <c r="C421" i="10"/>
  <c r="A421" i="10"/>
  <c r="D421" i="10" l="1"/>
  <c r="E421" i="10"/>
  <c r="B423" i="10"/>
  <c r="C422" i="10"/>
  <c r="A422" i="10"/>
  <c r="E422" i="10" l="1"/>
  <c r="D422" i="10"/>
  <c r="A423" i="10"/>
  <c r="B424" i="10"/>
  <c r="C423" i="10"/>
  <c r="A424" i="10" l="1"/>
  <c r="B425" i="10"/>
  <c r="C424" i="10"/>
  <c r="E423" i="10"/>
  <c r="D423" i="10"/>
  <c r="E424" i="10" l="1"/>
  <c r="D424" i="10"/>
  <c r="B426" i="10"/>
  <c r="C425" i="10"/>
  <c r="A425" i="10"/>
  <c r="D425" i="10" l="1"/>
  <c r="E425" i="10"/>
  <c r="B427" i="10"/>
  <c r="C426" i="10"/>
  <c r="A426" i="10"/>
  <c r="E426" i="10" l="1"/>
  <c r="D426" i="10"/>
  <c r="A427" i="10"/>
  <c r="B428" i="10"/>
  <c r="C427" i="10"/>
  <c r="A428" i="10" l="1"/>
  <c r="B429" i="10"/>
  <c r="C428" i="10"/>
  <c r="E427" i="10"/>
  <c r="D427" i="10"/>
  <c r="E428" i="10" l="1"/>
  <c r="D428" i="10"/>
  <c r="B430" i="10"/>
  <c r="C429" i="10"/>
  <c r="A429" i="10"/>
  <c r="D429" i="10" l="1"/>
  <c r="E429" i="10"/>
  <c r="B431" i="10"/>
  <c r="C430" i="10"/>
  <c r="A430" i="10"/>
  <c r="E430" i="10" l="1"/>
  <c r="D430" i="10"/>
  <c r="A431" i="10"/>
  <c r="C431" i="10"/>
  <c r="B432" i="10"/>
  <c r="E431" i="10" l="1"/>
  <c r="D431" i="10"/>
  <c r="A432" i="10"/>
  <c r="B433" i="10"/>
  <c r="C432" i="10"/>
  <c r="B434" i="10" l="1"/>
  <c r="C433" i="10"/>
  <c r="A433" i="10"/>
  <c r="E432" i="10"/>
  <c r="D432" i="10"/>
  <c r="D433" i="10" l="1"/>
  <c r="E433" i="10"/>
  <c r="B435" i="10"/>
  <c r="C434" i="10"/>
  <c r="A434" i="10"/>
  <c r="E434" i="10" l="1"/>
  <c r="D434" i="10"/>
  <c r="A435" i="10"/>
  <c r="B436" i="10"/>
  <c r="C435" i="10"/>
  <c r="A436" i="10" l="1"/>
  <c r="B437" i="10"/>
  <c r="C436" i="10"/>
  <c r="E435" i="10"/>
  <c r="D435" i="10"/>
  <c r="E436" i="10" l="1"/>
  <c r="D436" i="10"/>
  <c r="B438" i="10"/>
  <c r="C437" i="10"/>
  <c r="A437" i="10"/>
  <c r="D437" i="10" l="1"/>
  <c r="E437" i="10"/>
  <c r="B439" i="10"/>
  <c r="C438" i="10"/>
  <c r="A438" i="10"/>
  <c r="E438" i="10" l="1"/>
  <c r="D438" i="10"/>
  <c r="A439" i="10"/>
  <c r="B440" i="10"/>
  <c r="C439" i="10"/>
  <c r="A440" i="10" l="1"/>
  <c r="B441" i="10"/>
  <c r="C440" i="10"/>
  <c r="E439" i="10"/>
  <c r="D439" i="10"/>
  <c r="E440" i="10" l="1"/>
  <c r="D440" i="10"/>
  <c r="B442" i="10"/>
  <c r="C441" i="10"/>
  <c r="A441" i="10"/>
  <c r="D441" i="10" l="1"/>
  <c r="E441" i="10"/>
  <c r="B443" i="10"/>
  <c r="C442" i="10"/>
  <c r="A442" i="10"/>
  <c r="E442" i="10" l="1"/>
  <c r="D442" i="10"/>
  <c r="A443" i="10"/>
  <c r="B444" i="10"/>
  <c r="C443" i="10"/>
  <c r="A444" i="10" l="1"/>
  <c r="B445" i="10"/>
  <c r="C444" i="10"/>
  <c r="E443" i="10"/>
  <c r="D443" i="10"/>
  <c r="B446" i="10" l="1"/>
  <c r="C445" i="10"/>
  <c r="A445" i="10"/>
  <c r="E444" i="10"/>
  <c r="D444" i="10"/>
  <c r="D445" i="10" l="1"/>
  <c r="E445" i="10"/>
  <c r="B447" i="10"/>
  <c r="C446" i="10"/>
  <c r="A446" i="10"/>
  <c r="E446" i="10" l="1"/>
  <c r="D446" i="10"/>
  <c r="A447" i="10"/>
  <c r="C447" i="10"/>
  <c r="B448" i="10"/>
  <c r="E447" i="10" l="1"/>
  <c r="D447" i="10"/>
  <c r="A448" i="10"/>
  <c r="B449" i="10"/>
  <c r="C448" i="10"/>
  <c r="B450" i="10" l="1"/>
  <c r="C449" i="10"/>
  <c r="A449" i="10"/>
  <c r="E448" i="10"/>
  <c r="D448" i="10"/>
  <c r="D449" i="10" l="1"/>
  <c r="E449" i="10"/>
  <c r="B451" i="10"/>
  <c r="C450" i="10"/>
  <c r="A450" i="10"/>
  <c r="E450" i="10" l="1"/>
  <c r="D450" i="10"/>
  <c r="A451" i="10"/>
  <c r="B452" i="10"/>
  <c r="C451" i="10"/>
  <c r="A452" i="10" l="1"/>
  <c r="B453" i="10"/>
  <c r="C452" i="10"/>
  <c r="E451" i="10"/>
  <c r="D451" i="10"/>
  <c r="E452" i="10" l="1"/>
  <c r="D452" i="10"/>
  <c r="B454" i="10"/>
  <c r="C453" i="10"/>
  <c r="A453" i="10"/>
  <c r="E453" i="10" l="1"/>
  <c r="D453" i="10"/>
  <c r="A454" i="10"/>
  <c r="B455" i="10"/>
  <c r="C454" i="10"/>
  <c r="A455" i="10" l="1"/>
  <c r="B456" i="10"/>
  <c r="C455" i="10"/>
  <c r="E454" i="10"/>
  <c r="D454" i="10"/>
  <c r="E455" i="10" l="1"/>
  <c r="D455" i="10"/>
  <c r="B457" i="10"/>
  <c r="C456" i="10"/>
  <c r="A456" i="10"/>
  <c r="D456" i="10" l="1"/>
  <c r="E456" i="10"/>
  <c r="B458" i="10"/>
  <c r="C457" i="10"/>
  <c r="A457" i="10"/>
  <c r="E457" i="10" l="1"/>
  <c r="D457" i="10"/>
  <c r="A458" i="10"/>
  <c r="B459" i="10"/>
  <c r="C458" i="10"/>
  <c r="A459" i="10" l="1"/>
  <c r="B460" i="10"/>
  <c r="C459" i="10"/>
  <c r="E458" i="10"/>
  <c r="D458" i="10"/>
  <c r="E459" i="10" l="1"/>
  <c r="D459" i="10"/>
  <c r="B461" i="10"/>
  <c r="C460" i="10"/>
  <c r="A460" i="10"/>
  <c r="D460" i="10" l="1"/>
  <c r="E460" i="10"/>
  <c r="B462" i="10"/>
  <c r="C461" i="10"/>
  <c r="A461" i="10"/>
  <c r="E461" i="10" l="1"/>
  <c r="D461" i="10"/>
  <c r="A462" i="10"/>
  <c r="B463" i="10"/>
  <c r="C462" i="10"/>
  <c r="A463" i="10" l="1"/>
  <c r="B464" i="10"/>
  <c r="C463" i="10"/>
  <c r="E462" i="10"/>
  <c r="D462" i="10"/>
  <c r="E463" i="10" l="1"/>
  <c r="D463" i="10"/>
  <c r="B465" i="10"/>
  <c r="C464" i="10"/>
  <c r="A464" i="10"/>
  <c r="D464" i="10" l="1"/>
  <c r="E464" i="10"/>
  <c r="B466" i="10"/>
  <c r="C465" i="10"/>
  <c r="A465" i="10"/>
  <c r="E465" i="10" l="1"/>
  <c r="D465" i="10"/>
  <c r="A466" i="10"/>
  <c r="C466" i="10"/>
  <c r="B467" i="10"/>
  <c r="E466" i="10" l="1"/>
  <c r="D466" i="10"/>
  <c r="A467" i="10"/>
  <c r="B468" i="10"/>
  <c r="C467" i="10"/>
  <c r="B469" i="10" l="1"/>
  <c r="C468" i="10"/>
  <c r="A468" i="10"/>
  <c r="E467" i="10"/>
  <c r="D467" i="10"/>
  <c r="D468" i="10" l="1"/>
  <c r="E468" i="10"/>
  <c r="B470" i="10"/>
  <c r="C469" i="10"/>
  <c r="A469" i="10"/>
  <c r="E469" i="10" l="1"/>
  <c r="D469" i="10"/>
  <c r="A470" i="10"/>
  <c r="B471" i="10"/>
  <c r="C470" i="10"/>
  <c r="A471" i="10" l="1"/>
  <c r="B472" i="10"/>
  <c r="C471" i="10"/>
  <c r="E470" i="10"/>
  <c r="D470" i="10"/>
  <c r="E471" i="10" l="1"/>
  <c r="D471" i="10"/>
  <c r="B473" i="10"/>
  <c r="C472" i="10"/>
  <c r="A472" i="10"/>
  <c r="D472" i="10" l="1"/>
  <c r="E472" i="10"/>
  <c r="B474" i="10"/>
  <c r="C473" i="10"/>
  <c r="A473" i="10"/>
  <c r="E473" i="10" l="1"/>
  <c r="D473" i="10"/>
  <c r="A474" i="10"/>
  <c r="B475" i="10"/>
  <c r="C474" i="10"/>
  <c r="A475" i="10" l="1"/>
  <c r="B476" i="10"/>
  <c r="C475" i="10"/>
  <c r="E474" i="10"/>
  <c r="D474" i="10"/>
  <c r="E475" i="10" l="1"/>
  <c r="D475" i="10"/>
  <c r="B477" i="10"/>
  <c r="C476" i="10"/>
  <c r="A476" i="10"/>
  <c r="D476" i="10" l="1"/>
  <c r="E476" i="10"/>
  <c r="B478" i="10"/>
  <c r="C477" i="10"/>
  <c r="A477" i="10"/>
  <c r="E477" i="10" l="1"/>
  <c r="D477" i="10"/>
  <c r="A478" i="10"/>
  <c r="B479" i="10"/>
  <c r="C478" i="10"/>
  <c r="A479" i="10" l="1"/>
  <c r="B480" i="10"/>
  <c r="C479" i="10"/>
  <c r="E478" i="10"/>
  <c r="D478" i="10"/>
  <c r="E479" i="10" l="1"/>
  <c r="D479" i="10"/>
  <c r="B481" i="10"/>
  <c r="C480" i="10"/>
  <c r="A480" i="10"/>
  <c r="D480" i="10" l="1"/>
  <c r="E480" i="10"/>
  <c r="B482" i="10"/>
  <c r="C481" i="10"/>
  <c r="A481" i="10"/>
  <c r="E481" i="10" l="1"/>
  <c r="D481" i="10"/>
  <c r="A482" i="10"/>
  <c r="C482" i="10"/>
  <c r="B483" i="10"/>
  <c r="E482" i="10" l="1"/>
  <c r="D482" i="10"/>
  <c r="A483" i="10"/>
  <c r="B484" i="10"/>
  <c r="C483" i="10"/>
  <c r="B485" i="10" l="1"/>
  <c r="C484" i="10"/>
  <c r="A484" i="10"/>
  <c r="E483" i="10"/>
  <c r="D483" i="10"/>
  <c r="D484" i="10" l="1"/>
  <c r="E484" i="10"/>
  <c r="B486" i="10"/>
  <c r="C485" i="10"/>
  <c r="A485" i="10"/>
  <c r="E485" i="10" l="1"/>
  <c r="D485" i="10"/>
  <c r="A486" i="10"/>
  <c r="B487" i="10"/>
  <c r="C486" i="10"/>
  <c r="A487" i="10" l="1"/>
  <c r="B488" i="10"/>
  <c r="C487" i="10"/>
  <c r="E486" i="10"/>
  <c r="D486" i="10"/>
  <c r="E487" i="10" l="1"/>
  <c r="D487" i="10"/>
  <c r="B489" i="10"/>
  <c r="C488" i="10"/>
  <c r="A488" i="10"/>
  <c r="D488" i="10" l="1"/>
  <c r="E488" i="10"/>
  <c r="B490" i="10"/>
  <c r="C489" i="10"/>
  <c r="A489" i="10"/>
  <c r="E489" i="10" l="1"/>
  <c r="D489" i="10"/>
  <c r="A490" i="10"/>
  <c r="B491" i="10"/>
  <c r="C490" i="10"/>
  <c r="A491" i="10" l="1"/>
  <c r="B492" i="10"/>
  <c r="C491" i="10"/>
  <c r="E490" i="10"/>
  <c r="D490" i="10"/>
  <c r="E491" i="10" l="1"/>
  <c r="D491" i="10"/>
  <c r="B493" i="10"/>
  <c r="C492" i="10"/>
  <c r="A492" i="10"/>
  <c r="D492" i="10" l="1"/>
  <c r="E492" i="10"/>
  <c r="B494" i="10"/>
  <c r="C493" i="10"/>
  <c r="A493" i="10"/>
  <c r="E493" i="10" l="1"/>
  <c r="D493" i="10"/>
  <c r="A494" i="10"/>
  <c r="B495" i="10"/>
  <c r="C494" i="10"/>
  <c r="A495" i="10" l="1"/>
  <c r="B496" i="10"/>
  <c r="C495" i="10"/>
  <c r="E494" i="10"/>
  <c r="D494" i="10"/>
  <c r="E495" i="10" l="1"/>
  <c r="D495" i="10"/>
  <c r="B497" i="10"/>
  <c r="C496" i="10"/>
  <c r="A496" i="10"/>
  <c r="D496" i="10" l="1"/>
  <c r="E496" i="10"/>
  <c r="B498" i="10"/>
  <c r="C497" i="10"/>
  <c r="A497" i="10"/>
  <c r="E497" i="10" l="1"/>
  <c r="D497" i="10"/>
  <c r="A498" i="10"/>
  <c r="C498" i="10"/>
  <c r="B499" i="10"/>
  <c r="E498" i="10" l="1"/>
  <c r="D498" i="10"/>
  <c r="A499" i="10"/>
  <c r="B500" i="10"/>
  <c r="C499" i="10"/>
  <c r="B501" i="10" l="1"/>
  <c r="C500" i="10"/>
  <c r="A500" i="10"/>
  <c r="E499" i="10"/>
  <c r="D499" i="10"/>
  <c r="D500" i="10" l="1"/>
  <c r="E500" i="10"/>
  <c r="B502" i="10"/>
  <c r="C501" i="10"/>
  <c r="A501" i="10"/>
  <c r="E501" i="10" l="1"/>
  <c r="D501" i="10"/>
  <c r="A502" i="10"/>
  <c r="B503" i="10"/>
  <c r="C502" i="10"/>
  <c r="A503" i="10" l="1"/>
  <c r="B504" i="10"/>
  <c r="C503" i="10"/>
  <c r="E502" i="10"/>
  <c r="D502" i="10"/>
  <c r="E503" i="10" l="1"/>
  <c r="D503" i="10"/>
  <c r="B505" i="10"/>
  <c r="C504" i="10"/>
  <c r="A504" i="10"/>
  <c r="E504" i="10" l="1"/>
  <c r="D504" i="10"/>
  <c r="A505" i="10"/>
  <c r="B506" i="10"/>
  <c r="C505" i="10"/>
  <c r="A506" i="10" l="1"/>
  <c r="B507" i="10"/>
  <c r="C506" i="10"/>
  <c r="E505" i="10"/>
  <c r="D505" i="10"/>
  <c r="E506" i="10" l="1"/>
  <c r="D506" i="10"/>
  <c r="B508" i="10"/>
  <c r="C507" i="10"/>
  <c r="A507" i="10"/>
  <c r="D507" i="10" l="1"/>
  <c r="E507" i="10"/>
  <c r="B509" i="10"/>
  <c r="C508" i="10"/>
  <c r="A508" i="10"/>
  <c r="E508" i="10" l="1"/>
  <c r="D508" i="10"/>
  <c r="A509" i="10"/>
  <c r="B510" i="10"/>
  <c r="C509" i="10"/>
  <c r="A510" i="10" l="1"/>
  <c r="B511" i="10"/>
  <c r="C510" i="10"/>
  <c r="E509" i="10"/>
  <c r="D509" i="10"/>
  <c r="E510" i="10" l="1"/>
  <c r="D510" i="10"/>
  <c r="B512" i="10"/>
  <c r="C511" i="10"/>
  <c r="A511" i="10"/>
  <c r="D511" i="10" l="1"/>
  <c r="E511" i="10"/>
  <c r="B513" i="10"/>
  <c r="C512" i="10"/>
  <c r="A512" i="10"/>
  <c r="E512" i="10" l="1"/>
  <c r="D512" i="10"/>
  <c r="A513" i="10"/>
  <c r="B514" i="10"/>
  <c r="C513" i="10"/>
  <c r="A514" i="10" l="1"/>
  <c r="B515" i="10"/>
  <c r="C514" i="10"/>
  <c r="E513" i="10"/>
  <c r="D513" i="10"/>
  <c r="B516" i="10" l="1"/>
  <c r="C515" i="10"/>
  <c r="A515" i="10"/>
  <c r="E514" i="10"/>
  <c r="D514" i="10"/>
  <c r="D515" i="10" l="1"/>
  <c r="E515" i="10"/>
  <c r="B517" i="10"/>
  <c r="C516" i="10"/>
  <c r="A516" i="10"/>
  <c r="E516" i="10" l="1"/>
  <c r="D516" i="10"/>
  <c r="A517" i="10"/>
  <c r="C517" i="10"/>
  <c r="B518" i="10"/>
  <c r="E517" i="10" l="1"/>
  <c r="D517" i="10"/>
  <c r="A518" i="10"/>
  <c r="B519" i="10"/>
  <c r="C518" i="10"/>
  <c r="B520" i="10" l="1"/>
  <c r="C519" i="10"/>
  <c r="A519" i="10"/>
  <c r="E518" i="10"/>
  <c r="D518" i="10"/>
  <c r="D519" i="10" l="1"/>
  <c r="E519" i="10"/>
  <c r="B521" i="10"/>
  <c r="C520" i="10"/>
  <c r="A520" i="10"/>
  <c r="E520" i="10" l="1"/>
  <c r="D520" i="10"/>
  <c r="A521" i="10"/>
  <c r="B522" i="10"/>
  <c r="C521" i="10"/>
  <c r="A522" i="10" l="1"/>
  <c r="B523" i="10"/>
  <c r="C522" i="10"/>
  <c r="E521" i="10"/>
  <c r="D521" i="10"/>
  <c r="E522" i="10" l="1"/>
  <c r="D522" i="10"/>
  <c r="B524" i="10"/>
  <c r="C523" i="10"/>
  <c r="A523" i="10"/>
  <c r="D523" i="10" l="1"/>
  <c r="E523" i="10"/>
  <c r="B525" i="10"/>
  <c r="C524" i="10"/>
  <c r="A524" i="10"/>
  <c r="E524" i="10" l="1"/>
  <c r="D524" i="10"/>
  <c r="A525" i="10"/>
  <c r="B526" i="10"/>
  <c r="C525" i="10"/>
  <c r="A526" i="10" l="1"/>
  <c r="B527" i="10"/>
  <c r="C526" i="10"/>
  <c r="E525" i="10"/>
  <c r="D525" i="10"/>
  <c r="E526" i="10" l="1"/>
  <c r="D526" i="10"/>
  <c r="B528" i="10"/>
  <c r="C527" i="10"/>
  <c r="A527" i="10"/>
  <c r="D527" i="10" l="1"/>
  <c r="E527" i="10"/>
  <c r="B529" i="10"/>
  <c r="C528" i="10"/>
  <c r="A528" i="10"/>
  <c r="E528" i="10" l="1"/>
  <c r="D528" i="10"/>
  <c r="A529" i="10"/>
  <c r="B530" i="10"/>
  <c r="C529" i="10"/>
  <c r="A530" i="10" l="1"/>
  <c r="B531" i="10"/>
  <c r="C530" i="10"/>
  <c r="E529" i="10"/>
  <c r="D529" i="10"/>
  <c r="E530" i="10" l="1"/>
  <c r="D530" i="10"/>
  <c r="B532" i="10"/>
  <c r="C531" i="10"/>
  <c r="A531" i="10"/>
  <c r="D531" i="10" l="1"/>
  <c r="E531" i="10"/>
  <c r="B533" i="10"/>
  <c r="C532" i="10"/>
  <c r="A532" i="10"/>
  <c r="E532" i="10" l="1"/>
  <c r="D532" i="10"/>
  <c r="A533" i="10"/>
  <c r="C533" i="10"/>
  <c r="B534" i="10"/>
  <c r="E533" i="10" l="1"/>
  <c r="D533" i="10"/>
  <c r="B535" i="10"/>
  <c r="A534" i="10"/>
  <c r="C534" i="10"/>
  <c r="C535" i="10" l="1"/>
  <c r="B536" i="10"/>
  <c r="A535" i="10"/>
  <c r="E534" i="10"/>
  <c r="D534" i="10"/>
  <c r="A536" i="10" l="1"/>
  <c r="C536" i="10"/>
  <c r="B537" i="10"/>
  <c r="E535" i="10"/>
  <c r="D535" i="10"/>
  <c r="A537" i="10" l="1"/>
  <c r="C537" i="10"/>
  <c r="B538" i="10"/>
  <c r="E536" i="10"/>
  <c r="D536" i="10"/>
  <c r="B539" i="10" l="1"/>
  <c r="C538" i="10"/>
  <c r="A538" i="10"/>
  <c r="D537" i="10"/>
  <c r="E537" i="10"/>
  <c r="E538" i="10" l="1"/>
  <c r="D538" i="10"/>
  <c r="B540" i="10"/>
  <c r="A539" i="10"/>
  <c r="C539" i="10"/>
  <c r="A540" i="10" l="1"/>
  <c r="B541" i="10"/>
  <c r="C540" i="10"/>
  <c r="E539" i="10"/>
  <c r="D539" i="10"/>
  <c r="E540" i="10" l="1"/>
  <c r="D540" i="10"/>
  <c r="B542" i="10"/>
  <c r="A541" i="10"/>
  <c r="C541" i="10"/>
  <c r="B543" i="10" l="1"/>
  <c r="C542" i="10"/>
  <c r="A542" i="10"/>
  <c r="D541" i="10"/>
  <c r="E541" i="10"/>
  <c r="E542" i="10" l="1"/>
  <c r="D542" i="10"/>
  <c r="C543" i="10"/>
  <c r="B544" i="10"/>
  <c r="A543" i="10"/>
  <c r="A544" i="10" l="1"/>
  <c r="C544" i="10"/>
  <c r="B545" i="10"/>
  <c r="E543" i="10"/>
  <c r="D543" i="10"/>
  <c r="C545" i="10" l="1"/>
  <c r="B546" i="10"/>
  <c r="A545" i="10"/>
  <c r="E544" i="10"/>
  <c r="D544" i="10"/>
  <c r="B547" i="10" l="1"/>
  <c r="C546" i="10"/>
  <c r="A546" i="10"/>
  <c r="D545" i="10"/>
  <c r="E545" i="10"/>
  <c r="D546" i="10" l="1"/>
  <c r="E546" i="10"/>
  <c r="C547" i="10"/>
  <c r="B548" i="10"/>
  <c r="A547" i="10"/>
  <c r="A548" i="10" l="1"/>
  <c r="C548" i="10"/>
  <c r="B549" i="10"/>
  <c r="D547" i="10"/>
  <c r="E547" i="10"/>
  <c r="C549" i="10" l="1"/>
  <c r="B550" i="10"/>
  <c r="A549" i="10"/>
  <c r="E548" i="10"/>
  <c r="D548" i="10"/>
  <c r="A550" i="10" l="1"/>
  <c r="B551" i="10"/>
  <c r="C550" i="10"/>
  <c r="D549" i="10"/>
  <c r="E549" i="10"/>
  <c r="E550" i="10" l="1"/>
  <c r="D550" i="10"/>
  <c r="C551" i="10"/>
  <c r="A551" i="10"/>
  <c r="B552" i="10"/>
  <c r="D551" i="10" l="1"/>
  <c r="E551" i="10"/>
  <c r="B553" i="10"/>
  <c r="C552" i="10"/>
  <c r="A552" i="10"/>
  <c r="E552" i="10" l="1"/>
  <c r="D552" i="10"/>
  <c r="A553" i="10"/>
  <c r="B554" i="10"/>
  <c r="C553" i="10"/>
  <c r="A554" i="10" l="1"/>
  <c r="B555" i="10"/>
  <c r="C554" i="10"/>
  <c r="D553" i="10"/>
  <c r="E553" i="10"/>
  <c r="B556" i="10" l="1"/>
  <c r="C555" i="10"/>
  <c r="A555" i="10"/>
  <c r="E554" i="10"/>
  <c r="D554" i="10"/>
  <c r="D555" i="10" l="1"/>
  <c r="E555" i="10"/>
  <c r="B557" i="10"/>
  <c r="C556" i="10"/>
  <c r="A556" i="10"/>
  <c r="E556" i="10" l="1"/>
  <c r="D556" i="10"/>
  <c r="C557" i="10"/>
  <c r="A557" i="10"/>
  <c r="B558" i="10"/>
  <c r="D557" i="10" l="1"/>
  <c r="E557" i="10"/>
  <c r="A558" i="10"/>
  <c r="B559" i="10"/>
  <c r="C558" i="10"/>
  <c r="C559" i="10" l="1"/>
  <c r="A559" i="10"/>
  <c r="B560" i="10"/>
  <c r="E558" i="10"/>
  <c r="D558" i="10"/>
  <c r="B561" i="10" l="1"/>
  <c r="C560" i="10"/>
  <c r="A560" i="10"/>
  <c r="D559" i="10"/>
  <c r="E559" i="10"/>
  <c r="E560" i="10" l="1"/>
  <c r="D560" i="10"/>
  <c r="A561" i="10"/>
  <c r="B562" i="10"/>
  <c r="C561" i="10"/>
  <c r="A562" i="10" l="1"/>
  <c r="B563" i="10"/>
  <c r="C562" i="10"/>
  <c r="D561" i="10"/>
  <c r="E561" i="10"/>
  <c r="E562" i="10" l="1"/>
  <c r="D562" i="10"/>
  <c r="B564" i="10"/>
  <c r="C563" i="10"/>
  <c r="A563" i="10"/>
  <c r="D563" i="10" l="1"/>
  <c r="E563" i="10"/>
  <c r="B565" i="10"/>
  <c r="C564" i="10"/>
  <c r="A564" i="10"/>
  <c r="E564" i="10" l="1"/>
  <c r="D564" i="10"/>
  <c r="C565" i="10"/>
  <c r="A565" i="10"/>
  <c r="B566" i="10"/>
  <c r="D565" i="10" l="1"/>
  <c r="E565" i="10"/>
  <c r="A566" i="10"/>
  <c r="B567" i="10"/>
  <c r="C566" i="10"/>
  <c r="C567" i="10" l="1"/>
  <c r="A567" i="10"/>
  <c r="B568" i="10"/>
  <c r="E566" i="10"/>
  <c r="D566" i="10"/>
  <c r="B569" i="10" l="1"/>
  <c r="C568" i="10"/>
  <c r="A568" i="10"/>
  <c r="D567" i="10"/>
  <c r="E567" i="10"/>
  <c r="E568" i="10" l="1"/>
  <c r="D568" i="10"/>
  <c r="A569" i="10"/>
  <c r="B570" i="10"/>
  <c r="C569" i="10"/>
  <c r="A570" i="10" l="1"/>
  <c r="B571" i="10"/>
  <c r="C570" i="10"/>
  <c r="D569" i="10"/>
  <c r="E569" i="10"/>
  <c r="B572" i="10" l="1"/>
  <c r="C571" i="10"/>
  <c r="A571" i="10"/>
  <c r="E570" i="10"/>
  <c r="D570" i="10"/>
  <c r="D571" i="10" l="1"/>
  <c r="E571" i="10"/>
  <c r="B573" i="10"/>
  <c r="C572" i="10"/>
  <c r="A572" i="10"/>
  <c r="E572" i="10" l="1"/>
  <c r="D572" i="10"/>
  <c r="C573" i="10"/>
  <c r="A573" i="10"/>
  <c r="B574" i="10"/>
  <c r="D573" i="10" l="1"/>
  <c r="E573" i="10"/>
  <c r="A574" i="10"/>
  <c r="B575" i="10"/>
  <c r="C574" i="10"/>
  <c r="C575" i="10" l="1"/>
  <c r="A575" i="10"/>
  <c r="B576" i="10"/>
  <c r="E574" i="10"/>
  <c r="D574" i="10"/>
  <c r="B577" i="10" l="1"/>
  <c r="C576" i="10"/>
  <c r="A576" i="10"/>
  <c r="D575" i="10"/>
  <c r="E575" i="10"/>
  <c r="E576" i="10" l="1"/>
  <c r="D576" i="10"/>
  <c r="A577" i="10"/>
  <c r="B578" i="10"/>
  <c r="C577" i="10"/>
  <c r="A578" i="10" l="1"/>
  <c r="B579" i="10"/>
  <c r="C578" i="10"/>
  <c r="D577" i="10"/>
  <c r="E577" i="10"/>
  <c r="E578" i="10" l="1"/>
  <c r="D578" i="10"/>
  <c r="B580" i="10"/>
  <c r="C579" i="10"/>
  <c r="A579" i="10"/>
  <c r="D579" i="10" l="1"/>
  <c r="E579" i="10"/>
  <c r="B581" i="10"/>
  <c r="C580" i="10"/>
  <c r="A580" i="10"/>
  <c r="E580" i="10" l="1"/>
  <c r="D580" i="10"/>
  <c r="C581" i="10"/>
  <c r="A581" i="10"/>
  <c r="B582" i="10"/>
  <c r="D581" i="10" l="1"/>
  <c r="E581" i="10"/>
  <c r="A582" i="10"/>
  <c r="B583" i="10"/>
  <c r="C582" i="10"/>
  <c r="C583" i="10" l="1"/>
  <c r="A583" i="10"/>
  <c r="B584" i="10"/>
  <c r="E582" i="10"/>
  <c r="D582" i="10"/>
  <c r="B585" i="10" l="1"/>
  <c r="C584" i="10"/>
  <c r="A584" i="10"/>
  <c r="D583" i="10"/>
  <c r="E583" i="10"/>
  <c r="E584" i="10" l="1"/>
  <c r="D584" i="10"/>
  <c r="A585" i="10"/>
  <c r="B586" i="10"/>
  <c r="C585" i="10"/>
  <c r="A586" i="10" l="1"/>
  <c r="B587" i="10"/>
  <c r="C586" i="10"/>
  <c r="D585" i="10"/>
  <c r="E585" i="10"/>
  <c r="E586" i="10" l="1"/>
  <c r="D586" i="10"/>
  <c r="B588" i="10"/>
  <c r="C587" i="10"/>
  <c r="A587" i="10"/>
  <c r="D587" i="10" l="1"/>
  <c r="E587" i="10"/>
  <c r="B589" i="10"/>
  <c r="C588" i="10"/>
  <c r="A588" i="10"/>
  <c r="E588" i="10" l="1"/>
  <c r="D588" i="10"/>
  <c r="C589" i="10"/>
  <c r="A589" i="10"/>
  <c r="B590" i="10"/>
  <c r="D589" i="10" l="1"/>
  <c r="E589" i="10"/>
  <c r="A590" i="10"/>
  <c r="B591" i="10"/>
  <c r="C590" i="10"/>
  <c r="C591" i="10" l="1"/>
  <c r="A591" i="10"/>
  <c r="B592" i="10"/>
  <c r="E590" i="10"/>
  <c r="D590" i="10"/>
  <c r="B593" i="10" l="1"/>
  <c r="C592" i="10"/>
  <c r="A592" i="10"/>
  <c r="D591" i="10"/>
  <c r="E591" i="10"/>
  <c r="E592" i="10" l="1"/>
  <c r="D592" i="10"/>
  <c r="A593" i="10"/>
  <c r="B594" i="10"/>
  <c r="C593" i="10"/>
  <c r="A594" i="10" l="1"/>
  <c r="B595" i="10"/>
  <c r="C594" i="10"/>
  <c r="D593" i="10"/>
  <c r="E593" i="10"/>
  <c r="E594" i="10" l="1"/>
  <c r="D594" i="10"/>
  <c r="B596" i="10"/>
  <c r="C595" i="10"/>
  <c r="A595" i="10"/>
  <c r="D595" i="10" l="1"/>
  <c r="E595" i="10"/>
  <c r="B597" i="10"/>
  <c r="C596" i="10"/>
  <c r="A596" i="10"/>
  <c r="E596" i="10" l="1"/>
  <c r="D596" i="10"/>
  <c r="C597" i="10"/>
  <c r="A597" i="10"/>
  <c r="B598" i="10"/>
  <c r="D597" i="10" l="1"/>
  <c r="E597" i="10"/>
  <c r="A598" i="10"/>
  <c r="B599" i="10"/>
  <c r="C598" i="10"/>
  <c r="C599" i="10" l="1"/>
  <c r="A599" i="10"/>
  <c r="B600" i="10"/>
  <c r="E598" i="10"/>
  <c r="D598" i="10"/>
  <c r="B601" i="10" l="1"/>
  <c r="C600" i="10"/>
  <c r="A600" i="10"/>
  <c r="D599" i="10"/>
  <c r="E599" i="10"/>
  <c r="E600" i="10" l="1"/>
  <c r="D600" i="10"/>
  <c r="A601" i="10"/>
  <c r="B602" i="10"/>
  <c r="C601" i="10"/>
  <c r="A602" i="10" l="1"/>
  <c r="C602" i="10"/>
  <c r="D601" i="10"/>
  <c r="E601" i="10"/>
  <c r="E602" i="10" l="1"/>
  <c r="D602" i="10"/>
</calcChain>
</file>

<file path=xl/sharedStrings.xml><?xml version="1.0" encoding="utf-8"?>
<sst xmlns="http://schemas.openxmlformats.org/spreadsheetml/2006/main" count="3791" uniqueCount="871">
  <si>
    <t>Topics</t>
  </si>
  <si>
    <t>Sheet Name (link to jump)</t>
  </si>
  <si>
    <t>What are/is Statistics?</t>
  </si>
  <si>
    <t>Data</t>
  </si>
  <si>
    <t>What are Statistics?</t>
  </si>
  <si>
    <t>Numerical facts like:</t>
  </si>
  <si>
    <t>Examples:</t>
  </si>
  <si>
    <t>5% of the people who took the CPA exam earned a score of 90 or above.</t>
  </si>
  <si>
    <t>The probability that you will get a six when you roll a die is 1/6 or 0.167.</t>
  </si>
  <si>
    <t>Percentages, averages, probability…</t>
  </si>
  <si>
    <t>What is Statistics?</t>
  </si>
  <si>
    <t>The definition of statistics for our class is:</t>
  </si>
  <si>
    <t>Raw Data ==&gt;&gt; Use Statistical Methods ==&gt;&gt; Useful information for Decision Makers</t>
  </si>
  <si>
    <t>Statistics is the art and science of collecting, analyzing, presenting and interpreting data to help make informed decisions.</t>
  </si>
  <si>
    <t>Art &amp; science of:</t>
  </si>
  <si>
    <t xml:space="preserve"> collecting raw data</t>
  </si>
  <si>
    <t xml:space="preserve"> analyzing raw data = raw data ==&gt; useful information</t>
  </si>
  <si>
    <t xml:space="preserve"> interpreting information</t>
  </si>
  <si>
    <t xml:space="preserve"> to help make informed decisions</t>
  </si>
  <si>
    <t>Number</t>
  </si>
  <si>
    <t>Topic In Video and minute mark in Video.</t>
  </si>
  <si>
    <t>Time In Video</t>
  </si>
  <si>
    <t>Primary Key</t>
  </si>
  <si>
    <t>Action</t>
  </si>
  <si>
    <t>Keyboard Short Cut</t>
  </si>
  <si>
    <t>Category</t>
  </si>
  <si>
    <t>Move the Active Worksheet up or down</t>
  </si>
  <si>
    <t>Ctrl + PageUp/PageDown</t>
  </si>
  <si>
    <t>Navigation</t>
  </si>
  <si>
    <t>Put content in Cell and move selected Cell down</t>
  </si>
  <si>
    <t>Enter</t>
  </si>
  <si>
    <t>Entering Data in a Cell</t>
  </si>
  <si>
    <t>Put content in Cell and keep Cell selected</t>
  </si>
  <si>
    <t>Ctrl + Enter</t>
  </si>
  <si>
    <t>Undo</t>
  </si>
  <si>
    <t>Ctrl + Z</t>
  </si>
  <si>
    <t>Basic</t>
  </si>
  <si>
    <t>Copy</t>
  </si>
  <si>
    <t>Ctrl + C</t>
  </si>
  <si>
    <t>Paste</t>
  </si>
  <si>
    <t>Ctrl + V</t>
  </si>
  <si>
    <t>Cut</t>
  </si>
  <si>
    <t>Ctrl + X</t>
  </si>
  <si>
    <t>Bold</t>
  </si>
  <si>
    <t>Ctrl + B</t>
  </si>
  <si>
    <t>Put Cell in Edit Mode</t>
  </si>
  <si>
    <t>F2</t>
  </si>
  <si>
    <t>Formula Edit Mode Keys</t>
  </si>
  <si>
    <t>Arrow to point to a formula Cell Reference</t>
  </si>
  <si>
    <t>Arrow Keys</t>
  </si>
  <si>
    <t>SUM function</t>
  </si>
  <si>
    <t>Alt + =</t>
  </si>
  <si>
    <t>Delete Cell content</t>
  </si>
  <si>
    <t>Delete</t>
  </si>
  <si>
    <t>Lock Cell Reference (make Absolute)</t>
  </si>
  <si>
    <t>F4</t>
  </si>
  <si>
    <t>Put content in Cell and move selected Cell to right</t>
  </si>
  <si>
    <t>Tab</t>
  </si>
  <si>
    <t>Put content in Cell and move selected Cell to left</t>
  </si>
  <si>
    <t>Shift + Tab</t>
  </si>
  <si>
    <t>Ctrl + Arrow</t>
  </si>
  <si>
    <t>Ctrl + Shift + Enter</t>
  </si>
  <si>
    <t>Put content in Cell and move selected Cell up</t>
  </si>
  <si>
    <t>Shift + Enter</t>
  </si>
  <si>
    <t>Jump Back to Active Cell</t>
  </si>
  <si>
    <t>Ctrl + Backspace</t>
  </si>
  <si>
    <t>Open Create PivotTable  dialog box</t>
  </si>
  <si>
    <t>Alt, N, V</t>
  </si>
  <si>
    <t>PivotTable</t>
  </si>
  <si>
    <t>Format Chart Element with Task Pane</t>
  </si>
  <si>
    <t>Ctrl + 1</t>
  </si>
  <si>
    <t>Chart</t>
  </si>
  <si>
    <t>Open Format Cells dialog box</t>
  </si>
  <si>
    <t>Format Cells</t>
  </si>
  <si>
    <t>Jump to Cell A1</t>
  </si>
  <si>
    <t>Ctrl + Home</t>
  </si>
  <si>
    <t>Jump to last Cell used</t>
  </si>
  <si>
    <t>Ctrl + End</t>
  </si>
  <si>
    <t>Example of Statistics</t>
  </si>
  <si>
    <t>Descriptive Statistics:</t>
  </si>
  <si>
    <t>Raw Data that is summarized and presented</t>
  </si>
  <si>
    <t>Inferential Statistics:</t>
  </si>
  <si>
    <t>Define Terms:</t>
  </si>
  <si>
    <t>The process of using data obtained from a sample to make estimates and test hypotheses about the characteristics/attribute of a population</t>
  </si>
  <si>
    <t>Take a sample from the population and draw reasonable conclusions that can help to estimate the unknown future.</t>
  </si>
  <si>
    <t xml:space="preserve"> presenting newly created information (tabular, graphical, numeric)</t>
  </si>
  <si>
    <t>Statistics</t>
  </si>
  <si>
    <r>
      <rPr>
        <b/>
        <sz val="11"/>
        <color theme="1"/>
        <rFont val="Calibri"/>
        <family val="2"/>
        <scheme val="minor"/>
      </rPr>
      <t>Population</t>
    </r>
    <r>
      <rPr>
        <sz val="11"/>
        <color theme="1"/>
        <rFont val="Calibri"/>
        <family val="2"/>
        <scheme val="minor"/>
      </rPr>
      <t>: The set of all elements of interest in a particular study</t>
    </r>
  </si>
  <si>
    <r>
      <rPr>
        <b/>
        <sz val="11"/>
        <color theme="1"/>
        <rFont val="Calibri"/>
        <family val="2"/>
        <scheme val="minor"/>
      </rPr>
      <t>Sample</t>
    </r>
    <r>
      <rPr>
        <sz val="11"/>
        <color theme="1"/>
        <rFont val="Calibri"/>
        <family val="2"/>
        <scheme val="minor"/>
      </rPr>
      <t>: A subset of the population</t>
    </r>
  </si>
  <si>
    <t>(In many situations it is too costly to get data from all the elements in the population)</t>
  </si>
  <si>
    <t>Example ==&gt;&gt; Census: Collecting data for a population</t>
  </si>
  <si>
    <t>Example ==&gt;&gt; Sample survey: Collecting data for a sample</t>
  </si>
  <si>
    <t>Production: Sampling box weight to see if filling machine is filling accurately (chapter 9)</t>
  </si>
  <si>
    <r>
      <t>H</t>
    </r>
    <r>
      <rPr>
        <vertAlign val="subscript"/>
        <sz val="11"/>
        <color indexed="8"/>
        <rFont val="Calibri"/>
        <family val="2"/>
      </rPr>
      <t>0</t>
    </r>
    <r>
      <rPr>
        <sz val="11"/>
        <color theme="1"/>
        <rFont val="Calibri"/>
        <family val="2"/>
        <scheme val="minor"/>
      </rPr>
      <t xml:space="preserve"> : Mu = 10 grams</t>
    </r>
  </si>
  <si>
    <r>
      <t>H</t>
    </r>
    <r>
      <rPr>
        <vertAlign val="subscript"/>
        <sz val="11"/>
        <color indexed="8"/>
        <rFont val="Calibri"/>
        <family val="2"/>
      </rPr>
      <t>1</t>
    </r>
    <r>
      <rPr>
        <sz val="11"/>
        <color theme="1"/>
        <rFont val="Calibri"/>
        <family val="2"/>
        <scheme val="minor"/>
      </rPr>
      <t xml:space="preserve"> : Mu &lt;&gt; 10 grams</t>
    </r>
  </si>
  <si>
    <t>Historical Average =</t>
  </si>
  <si>
    <t>grams</t>
  </si>
  <si>
    <t>Historical Standard Deviation =</t>
  </si>
  <si>
    <t>Level of Significance =</t>
  </si>
  <si>
    <t>Level of Significance Divided by 2 =</t>
  </si>
  <si>
    <t>Sample Mean = AVERAGE =</t>
  </si>
  <si>
    <t>Sample Standard Deviation = STDEV =</t>
  </si>
  <si>
    <t>Sample size = COUNT =</t>
  </si>
  <si>
    <t>Standard Error</t>
  </si>
  <si>
    <t>z</t>
  </si>
  <si>
    <t>X</t>
  </si>
  <si>
    <t>p-value =</t>
  </si>
  <si>
    <t>Sample data</t>
  </si>
  <si>
    <t>Chart Data:</t>
  </si>
  <si>
    <t>P(Exactly x)</t>
  </si>
  <si>
    <t>P(alpha)</t>
  </si>
  <si>
    <t>Descriptive v Inferential</t>
  </si>
  <si>
    <t>Example of Inferential Stats</t>
  </si>
  <si>
    <t>Data Diagram</t>
  </si>
  <si>
    <t>Data stored in its smallest size in a Field (Variable):</t>
  </si>
  <si>
    <t>Store “1234 San Pablo Ave., Oakland, CA 94688” in its smallest bits:</t>
  </si>
  <si>
    <t>Address = 1234 San Pablo Ave.</t>
  </si>
  <si>
    <t>City = Oakland</t>
  </si>
  <si>
    <t>Zip = 94688</t>
  </si>
  <si>
    <t>Proper Data Set:</t>
  </si>
  <si>
    <t>Raw data is stored in a Proper Data Set so that the raw data is easily analyzed</t>
  </si>
  <si>
    <t>Raw Data:</t>
  </si>
  <si>
    <t>Raw Data = The characteristics or attributes of the Elements</t>
  </si>
  <si>
    <t>Tabular: Table of information</t>
  </si>
  <si>
    <t>Graphical: Charts and Graphs</t>
  </si>
  <si>
    <t>Numerical: Like an average (mean) or proportion</t>
  </si>
  <si>
    <r>
      <rPr>
        <b/>
        <sz val="11"/>
        <color theme="1"/>
        <rFont val="Calibri"/>
        <family val="2"/>
        <scheme val="minor"/>
      </rPr>
      <t>Element</t>
    </r>
    <r>
      <rPr>
        <sz val="11"/>
        <color theme="1"/>
        <rFont val="Calibri"/>
        <family val="2"/>
        <scheme val="minor"/>
      </rPr>
      <t xml:space="preserve">: entities on which data are collected. </t>
    </r>
  </si>
  <si>
    <r>
      <rPr>
        <b/>
        <sz val="11"/>
        <color theme="1"/>
        <rFont val="Calibri"/>
        <family val="2"/>
        <scheme val="minor"/>
      </rPr>
      <t>Records (Observations)</t>
    </r>
    <r>
      <rPr>
        <sz val="11"/>
        <color theme="1"/>
        <rFont val="Calibri"/>
        <family val="2"/>
        <scheme val="minor"/>
      </rPr>
      <t>: The set of measurements collected for a particular element.</t>
    </r>
  </si>
  <si>
    <r>
      <rPr>
        <b/>
        <sz val="11"/>
        <color theme="1"/>
        <rFont val="Calibri"/>
        <family val="2"/>
        <scheme val="minor"/>
      </rPr>
      <t>Field Names (Variables)</t>
    </r>
    <r>
      <rPr>
        <sz val="11"/>
        <color theme="1"/>
        <rFont val="Calibri"/>
        <family val="2"/>
        <scheme val="minor"/>
      </rPr>
      <t>: characteristics or attributes of interest for the elements.</t>
    </r>
  </si>
  <si>
    <t>1) Fields in 1st row</t>
  </si>
  <si>
    <t>3) Records or Observations are stored in rows</t>
  </si>
  <si>
    <t>State = CA</t>
  </si>
  <si>
    <t>4) No empty field names, no completely empty rows or columns, try not to have empty cells in record</t>
  </si>
  <si>
    <t>5) For Excel, you must have empty cells or Excel Column Headers (letters) or Excel Row Headers (numbers) all round the data set.</t>
  </si>
  <si>
    <t>2) First column is a Primary Key (no duplicates) which contains a unique list of Elements. Exception sometimes because we have a proper data set that we will subsequently summarize into a table with a unique list of elements.</t>
  </si>
  <si>
    <t>The average cost for a Toyota Camry last year was $23,000.</t>
  </si>
  <si>
    <t>The definition of the type of data analysis that we will do:</t>
  </si>
  <si>
    <t>Scales of Measurement for Raw Data</t>
  </si>
  <si>
    <t>Scales of Measurement = the amount of information that is contained in the data and what sort of summarization, math and statistical techniques we can use.</t>
  </si>
  <si>
    <t>Nominal</t>
  </si>
  <si>
    <t>Names or labels or categories without rank</t>
  </si>
  <si>
    <t>Nothing intrinsic in category except a name</t>
  </si>
  <si>
    <t>Using numbers is only for convenience of data storage, like in a database.</t>
  </si>
  <si>
    <t>Information contained in data = Name.</t>
  </si>
  <si>
    <t>No math operations on Nominal data</t>
  </si>
  <si>
    <t>Count only. Once we count we can then calculate the proportion that each got as compared to the total count.</t>
  </si>
  <si>
    <t>Can't use Bell Curve</t>
  </si>
  <si>
    <t>Ordinal</t>
  </si>
  <si>
    <t>Names or labels or categories with an order (ordinal) or rank</t>
  </si>
  <si>
    <t>Categories are ranked and have an order, but you don't know the distance between each ranking or ordered item</t>
  </si>
  <si>
    <t>Below Par, Par, Above Par</t>
  </si>
  <si>
    <t>Rating of 1, 2, 3, 4</t>
  </si>
  <si>
    <t>Rating of: *, **, ***, ****</t>
  </si>
  <si>
    <t>Rank in a class, a race or in voting: 1, 2, 3, 4</t>
  </si>
  <si>
    <t>In a race with rankings: You can say who got 1st, 2nd, 3rd, but you don't know by how much</t>
  </si>
  <si>
    <t>Jan, Feb, Mar…</t>
  </si>
  <si>
    <t>Information contained in data = Name and Rank, but not distance between each rank</t>
  </si>
  <si>
    <t>Usually you are counting</t>
  </si>
  <si>
    <t>Occasionally if the category is a number other calculations like average are okay</t>
  </si>
  <si>
    <t>Like for an average of rating your professor: 1, 2, 3, 4, 5</t>
  </si>
  <si>
    <t>Interval</t>
  </si>
  <si>
    <t>Data is numeric.</t>
  </si>
  <si>
    <t>Data are ranked and the distance between each rank is fixed.</t>
  </si>
  <si>
    <t>Usually a scale like temperature or IQ or timed racing results.</t>
  </si>
  <si>
    <t>If zero exists, it is just a point on the scale.</t>
  </si>
  <si>
    <t>Zero does not mean that nothing exists.</t>
  </si>
  <si>
    <t>Fahrenheit and Celsius temperature scales</t>
  </si>
  <si>
    <t>Zero is just a point on the scale, not the absence of molecular kinetic energy</t>
  </si>
  <si>
    <t>0 just a point, 80 degree not twice as big as 40 degree.</t>
  </si>
  <si>
    <t>IQ Test or SAT score</t>
  </si>
  <si>
    <t>0 does not mean total absences of smartness</t>
  </si>
  <si>
    <t>Information contained in data = Name and Rank, Distance between rankings</t>
  </si>
  <si>
    <t>Arithmetic like adding, subtraction, averages okay, but ratio is meaningless</t>
  </si>
  <si>
    <t>Subtracting two temperatures like 80-40 = 40 is okay</t>
  </si>
  <si>
    <t>80/40 to say that 80 is twice as big as 40 is not okay</t>
  </si>
  <si>
    <t>You can use the Bell Curve.</t>
  </si>
  <si>
    <t>Ratio</t>
  </si>
  <si>
    <t>Data:</t>
  </si>
  <si>
    <t>Ranked</t>
  </si>
  <si>
    <t>The distance between each rank is fixed</t>
  </si>
  <si>
    <t>Zero means that nothing exists</t>
  </si>
  <si>
    <t>You can divide two numbers.</t>
  </si>
  <si>
    <t>Ratio (Ratio) means you can divided.</t>
  </si>
  <si>
    <t>Test in Stats Class 0 - 100 (0 means you got none correct)</t>
  </si>
  <si>
    <t>Kelvin temperature (0 means the absence of molecular movement and thus the absence of mass E = mc2)</t>
  </si>
  <si>
    <t>Total Score In Class, 642, 598, 437</t>
  </si>
  <si>
    <t>Voting Totals: 10786, 8801, 2022</t>
  </si>
  <si>
    <t>Dollars (Money), Weight, Height, Length</t>
  </si>
  <si>
    <t xml:space="preserve">Information contained in data: Name and Rank, Distance, and more (like % change) </t>
  </si>
  <si>
    <t>You can count and use any math operations and use the Bell Curve.</t>
  </si>
  <si>
    <t>You can divide two numbers and say something like one is double the other (because zero means nothing exists).</t>
  </si>
  <si>
    <t>Broad Classifications for Types of Data:</t>
  </si>
  <si>
    <t>Categorical Variables</t>
  </si>
  <si>
    <t>Data that is grouped by Categories</t>
  </si>
  <si>
    <t>Synonym for Categorical is Qualitative.</t>
  </si>
  <si>
    <t>Categories, labels or names are used to identify an attribute or characteristic of an element.</t>
  </si>
  <si>
    <t>Most of the time you are limited to counting.</t>
  </si>
  <si>
    <t>Quantitative Variables</t>
  </si>
  <si>
    <t>A number that tells us how much or how many.</t>
  </si>
  <si>
    <t>Types of Quantitative Variables:</t>
  </si>
  <si>
    <t>Discrete:</t>
  </si>
  <si>
    <t>Continuous:</t>
  </si>
  <si>
    <t>The measurement depends on the measurement instrument</t>
  </si>
  <si>
    <t>There are no gaps between numbers</t>
  </si>
  <si>
    <r>
      <rPr>
        <b/>
        <sz val="11"/>
        <color theme="1"/>
        <rFont val="Calibri"/>
        <family val="2"/>
        <scheme val="minor"/>
      </rPr>
      <t>Examples</t>
    </r>
    <r>
      <rPr>
        <sz val="11"/>
        <color theme="1"/>
        <rFont val="Calibri"/>
        <family val="2"/>
        <scheme val="minor"/>
      </rPr>
      <t>: Eye Color, County Name, Phone Type, Cola Name, Car Brand, or Car Brand where Toyota = 1, Honda = 2, etc.</t>
    </r>
  </si>
  <si>
    <t>Categorical Variables can be Nominal or Ordinal.</t>
  </si>
  <si>
    <t>Quantitative Variables can be Interval or Ratio.</t>
  </si>
  <si>
    <t>Can be Non-numeric or numeric.</t>
  </si>
  <si>
    <t>Numbers / Numeric</t>
  </si>
  <si>
    <t>Answers the question How Many?</t>
  </si>
  <si>
    <t>Answers the question How Much?</t>
  </si>
  <si>
    <t>Involves Counting</t>
  </si>
  <si>
    <t>Involves Measuring</t>
  </si>
  <si>
    <t>Note: Money is continuous (stocks, bonds, interest are often tracked with partial pennies).</t>
  </si>
  <si>
    <r>
      <t xml:space="preserve">When a variable (field) uses a </t>
    </r>
    <r>
      <rPr>
        <b/>
        <sz val="12"/>
        <color theme="1"/>
        <rFont val="Calibri"/>
        <family val="2"/>
        <scheme val="minor"/>
      </rPr>
      <t>category</t>
    </r>
    <r>
      <rPr>
        <sz val="12"/>
        <color theme="1"/>
        <rFont val="Calibri"/>
        <family val="2"/>
        <scheme val="minor"/>
      </rPr>
      <t xml:space="preserve">, label, or name to identify an attribute or characteristic of an element. There is </t>
    </r>
    <r>
      <rPr>
        <b/>
        <sz val="12"/>
        <color theme="1"/>
        <rFont val="Calibri"/>
        <family val="2"/>
        <scheme val="minor"/>
      </rPr>
      <t>no order or rank</t>
    </r>
    <r>
      <rPr>
        <sz val="12"/>
        <color theme="1"/>
        <rFont val="Calibri"/>
        <family val="2"/>
        <scheme val="minor"/>
      </rPr>
      <t xml:space="preserve"> to the categories. You usually count how many are in each category. If you use a number as a category label, you cannot do arithmetic (+, -, *. /, ^) on it - you can only count.</t>
    </r>
  </si>
  <si>
    <r>
      <t xml:space="preserve">When a variable (field) uses a </t>
    </r>
    <r>
      <rPr>
        <b/>
        <sz val="12"/>
        <color theme="1"/>
        <rFont val="Calibri"/>
        <family val="2"/>
        <scheme val="minor"/>
      </rPr>
      <t>category</t>
    </r>
    <r>
      <rPr>
        <sz val="12"/>
        <color theme="1"/>
        <rFont val="Calibri"/>
        <family val="2"/>
        <scheme val="minor"/>
      </rPr>
      <t xml:space="preserve">, label, or name to identify an attribute or characteristic of an element.  There </t>
    </r>
    <r>
      <rPr>
        <b/>
        <sz val="12"/>
        <color theme="1"/>
        <rFont val="Calibri"/>
        <family val="2"/>
        <scheme val="minor"/>
      </rPr>
      <t>is an order or rank</t>
    </r>
    <r>
      <rPr>
        <sz val="12"/>
        <color theme="1"/>
        <rFont val="Calibri"/>
        <family val="2"/>
        <scheme val="minor"/>
      </rPr>
      <t xml:space="preserve"> to the categories, but you </t>
    </r>
    <r>
      <rPr>
        <b/>
        <sz val="12"/>
        <color theme="1"/>
        <rFont val="Calibri"/>
        <family val="2"/>
        <scheme val="minor"/>
      </rPr>
      <t>do not know the distance between each ranked category</t>
    </r>
    <r>
      <rPr>
        <sz val="12"/>
        <color theme="1"/>
        <rFont val="Calibri"/>
        <family val="2"/>
        <scheme val="minor"/>
      </rPr>
      <t>. You usually count how many are in each category. In some cases when a number is used to represent the category, you can calculate an average.</t>
    </r>
  </si>
  <si>
    <r>
      <t xml:space="preserve">The </t>
    </r>
    <r>
      <rPr>
        <b/>
        <sz val="12"/>
        <color theme="1"/>
        <rFont val="Calibri"/>
        <family val="2"/>
        <scheme val="minor"/>
      </rPr>
      <t>numeric</t>
    </r>
    <r>
      <rPr>
        <sz val="12"/>
        <color theme="1"/>
        <rFont val="Calibri"/>
        <family val="2"/>
        <scheme val="minor"/>
      </rPr>
      <t xml:space="preserve"> data is </t>
    </r>
    <r>
      <rPr>
        <b/>
        <sz val="12"/>
        <color theme="1"/>
        <rFont val="Calibri"/>
        <family val="2"/>
        <scheme val="minor"/>
      </rPr>
      <t>ranked or ordered and has a fixed unit between each rank</t>
    </r>
    <r>
      <rPr>
        <sz val="12"/>
        <color theme="1"/>
        <rFont val="Calibri"/>
        <family val="2"/>
        <scheme val="minor"/>
      </rPr>
      <t xml:space="preserve">. Interval data is usually a scale such as temperature or some tests like IQ or SAT. If </t>
    </r>
    <r>
      <rPr>
        <b/>
        <sz val="12"/>
        <color theme="1"/>
        <rFont val="Calibri"/>
        <family val="2"/>
        <scheme val="minor"/>
      </rPr>
      <t>zero</t>
    </r>
    <r>
      <rPr>
        <sz val="12"/>
        <color theme="1"/>
        <rFont val="Calibri"/>
        <family val="2"/>
        <scheme val="minor"/>
      </rPr>
      <t xml:space="preserve"> is in the scale, it </t>
    </r>
    <r>
      <rPr>
        <b/>
        <sz val="12"/>
        <color theme="1"/>
        <rFont val="Calibri"/>
        <family val="2"/>
        <scheme val="minor"/>
      </rPr>
      <t xml:space="preserve">is just a point on the scale </t>
    </r>
    <r>
      <rPr>
        <sz val="12"/>
        <color theme="1"/>
        <rFont val="Calibri"/>
        <family val="2"/>
        <scheme val="minor"/>
      </rPr>
      <t xml:space="preserve">and zero </t>
    </r>
    <r>
      <rPr>
        <b/>
        <sz val="12"/>
        <color theme="1"/>
        <rFont val="Calibri"/>
        <family val="2"/>
        <scheme val="minor"/>
      </rPr>
      <t>does not indicate that nothing exists</t>
    </r>
    <r>
      <rPr>
        <sz val="12"/>
        <color theme="1"/>
        <rFont val="Calibri"/>
        <family val="2"/>
        <scheme val="minor"/>
      </rPr>
      <t xml:space="preserve">. You can perform subtraction to see the difference between two numbers and you can calculate an average, but the </t>
    </r>
    <r>
      <rPr>
        <b/>
        <sz val="12"/>
        <color theme="1"/>
        <rFont val="Calibri"/>
        <family val="2"/>
        <scheme val="minor"/>
      </rPr>
      <t>ratio of two numbers (division) not meaningful</t>
    </r>
    <r>
      <rPr>
        <sz val="12"/>
        <color theme="1"/>
        <rFont val="Calibri"/>
        <family val="2"/>
        <scheme val="minor"/>
      </rPr>
      <t xml:space="preserve"> (like to calculate % change).</t>
    </r>
  </si>
  <si>
    <r>
      <t xml:space="preserve">The </t>
    </r>
    <r>
      <rPr>
        <b/>
        <sz val="12"/>
        <color theme="1"/>
        <rFont val="Calibri"/>
        <family val="2"/>
        <scheme val="minor"/>
      </rPr>
      <t>numeric</t>
    </r>
    <r>
      <rPr>
        <sz val="12"/>
        <color theme="1"/>
        <rFont val="Calibri"/>
        <family val="2"/>
        <scheme val="minor"/>
      </rPr>
      <t xml:space="preserve"> data is </t>
    </r>
    <r>
      <rPr>
        <b/>
        <sz val="12"/>
        <color theme="1"/>
        <rFont val="Calibri"/>
        <family val="2"/>
        <scheme val="minor"/>
      </rPr>
      <t>ranked</t>
    </r>
    <r>
      <rPr>
        <sz val="12"/>
        <color theme="1"/>
        <rFont val="Calibri"/>
        <family val="2"/>
        <scheme val="minor"/>
      </rPr>
      <t xml:space="preserve"> or ordered and has a </t>
    </r>
    <r>
      <rPr>
        <b/>
        <sz val="12"/>
        <color theme="1"/>
        <rFont val="Calibri"/>
        <family val="2"/>
        <scheme val="minor"/>
      </rPr>
      <t>fixed unit between each rank</t>
    </r>
    <r>
      <rPr>
        <sz val="12"/>
        <color theme="1"/>
        <rFont val="Calibri"/>
        <family val="2"/>
        <scheme val="minor"/>
      </rPr>
      <t xml:space="preserve"> and </t>
    </r>
    <r>
      <rPr>
        <b/>
        <sz val="12"/>
        <color theme="1"/>
        <rFont val="Calibri"/>
        <family val="2"/>
        <scheme val="minor"/>
      </rPr>
      <t>zero means that nothing exists</t>
    </r>
    <r>
      <rPr>
        <sz val="12"/>
        <color theme="1"/>
        <rFont val="Calibri"/>
        <family val="2"/>
        <scheme val="minor"/>
      </rPr>
      <t xml:space="preserve"> and </t>
    </r>
    <r>
      <rPr>
        <b/>
        <sz val="12"/>
        <color theme="1"/>
        <rFont val="Calibri"/>
        <family val="2"/>
        <scheme val="minor"/>
      </rPr>
      <t>division (ratio) is okay</t>
    </r>
    <r>
      <rPr>
        <sz val="12"/>
        <color theme="1"/>
        <rFont val="Calibri"/>
        <family val="2"/>
        <scheme val="minor"/>
      </rPr>
      <t xml:space="preserve"> (like to calculate % change).</t>
    </r>
  </si>
  <si>
    <t>interval</t>
  </si>
  <si>
    <t>Categorical Data (Variable). Categories, labels or names are used to identify an attribute or characteristic of an element. Nominal or Ordinal. Non-numeric or numeric. Most of the time you are limited to counting.</t>
  </si>
  <si>
    <t>Quantitative Data (Variable). A number that tells us how much or how many.</t>
  </si>
  <si>
    <t>Student</t>
  </si>
  <si>
    <t>Phone Type</t>
  </si>
  <si>
    <t>Count of Phone Type</t>
  </si>
  <si>
    <t>Rate Instructor</t>
  </si>
  <si>
    <t>Frequency (Count)</t>
  </si>
  <si>
    <t>Fahrenheit</t>
  </si>
  <si>
    <t>Celsius</t>
  </si>
  <si>
    <t>SAT scores</t>
  </si>
  <si>
    <t>Kelvin</t>
  </si>
  <si>
    <t>Customer Name</t>
  </si>
  <si>
    <t>Amount in Bank</t>
  </si>
  <si>
    <t>Lower</t>
  </si>
  <si>
    <t>Upper</t>
  </si>
  <si>
    <t>Student 01</t>
  </si>
  <si>
    <t>Motorola</t>
  </si>
  <si>
    <t>iPhone</t>
  </si>
  <si>
    <t>OK</t>
  </si>
  <si>
    <t>Excellent</t>
  </si>
  <si>
    <t>Student 1</t>
  </si>
  <si>
    <t>Joe</t>
  </si>
  <si>
    <t>Student 02</t>
  </si>
  <si>
    <t>Poor</t>
  </si>
  <si>
    <t>Good</t>
  </si>
  <si>
    <t>Student 2</t>
  </si>
  <si>
    <t>Sioux</t>
  </si>
  <si>
    <t>Student 03</t>
  </si>
  <si>
    <t>Samsung</t>
  </si>
  <si>
    <t>Nokia</t>
  </si>
  <si>
    <t>Student 3</t>
  </si>
  <si>
    <t>Dean</t>
  </si>
  <si>
    <t>Student 04</t>
  </si>
  <si>
    <t>Student 4</t>
  </si>
  <si>
    <t>Student 05</t>
  </si>
  <si>
    <t>Sony Erickson</t>
  </si>
  <si>
    <t>Student 5</t>
  </si>
  <si>
    <t>Tina</t>
  </si>
  <si>
    <t>Student 06</t>
  </si>
  <si>
    <t>Sprint</t>
  </si>
  <si>
    <t>Student 6</t>
  </si>
  <si>
    <t>Amy</t>
  </si>
  <si>
    <t>Student 07</t>
  </si>
  <si>
    <t>Grand Total</t>
  </si>
  <si>
    <t>Student 7</t>
  </si>
  <si>
    <t>Ming</t>
  </si>
  <si>
    <t>Student 08</t>
  </si>
  <si>
    <t>Student 8</t>
  </si>
  <si>
    <t>Average</t>
  </si>
  <si>
    <t>Pham</t>
  </si>
  <si>
    <t>Student 09</t>
  </si>
  <si>
    <t>Student 9</t>
  </si>
  <si>
    <t>Phil</t>
  </si>
  <si>
    <t>Student 10</t>
  </si>
  <si>
    <t>Shelia</t>
  </si>
  <si>
    <t>Student 11</t>
  </si>
  <si>
    <t>Student 12</t>
  </si>
  <si>
    <t>Student 13</t>
  </si>
  <si>
    <t>% Change</t>
  </si>
  <si>
    <t>Student 14</t>
  </si>
  <si>
    <t>Student 15</t>
  </si>
  <si>
    <t>Student 16</t>
  </si>
  <si>
    <t>Student 17</t>
  </si>
  <si>
    <t>Ratio meaningless because zero does not mean that nothing exists.</t>
  </si>
  <si>
    <t>Ratio meaningful because zero means that nothing exists.</t>
  </si>
  <si>
    <t>Student 18</t>
  </si>
  <si>
    <t>Student 19</t>
  </si>
  <si>
    <t>Student 20</t>
  </si>
  <si>
    <t>Student 21</t>
  </si>
  <si>
    <t>Student 22</t>
  </si>
  <si>
    <t>Student 23</t>
  </si>
  <si>
    <t>Student 24</t>
  </si>
  <si>
    <t>Student 25</t>
  </si>
  <si>
    <t>Student 26</t>
  </si>
  <si>
    <t>Student 27</t>
  </si>
  <si>
    <t>Student 28</t>
  </si>
  <si>
    <t>Student 29</t>
  </si>
  <si>
    <t>Student 30</t>
  </si>
  <si>
    <t>Student 31</t>
  </si>
  <si>
    <t>Student 32</t>
  </si>
  <si>
    <t>Student 33</t>
  </si>
  <si>
    <t>Student 34</t>
  </si>
  <si>
    <t>Student 35</t>
  </si>
  <si>
    <t>Student 36</t>
  </si>
  <si>
    <t>Student 37</t>
  </si>
  <si>
    <t>Student 38</t>
  </si>
  <si>
    <t>Student 39</t>
  </si>
  <si>
    <t>Student 40</t>
  </si>
  <si>
    <t>Student 41</t>
  </si>
  <si>
    <t>Student 42</t>
  </si>
  <si>
    <t>Student 43</t>
  </si>
  <si>
    <t>Student 44</t>
  </si>
  <si>
    <t>Student 45</t>
  </si>
  <si>
    <t>Student 46</t>
  </si>
  <si>
    <t>Student 47</t>
  </si>
  <si>
    <t>Student 48</t>
  </si>
  <si>
    <t>Student 49</t>
  </si>
  <si>
    <t>Student 50</t>
  </si>
  <si>
    <t>Student 51</t>
  </si>
  <si>
    <t>Student 52</t>
  </si>
  <si>
    <t>Student 53</t>
  </si>
  <si>
    <t>Student 54</t>
  </si>
  <si>
    <t>Student 55</t>
  </si>
  <si>
    <t>Student 56</t>
  </si>
  <si>
    <t>Student 57</t>
  </si>
  <si>
    <t>Student 58</t>
  </si>
  <si>
    <t>Student 59</t>
  </si>
  <si>
    <t>Student 60</t>
  </si>
  <si>
    <t>Student 61</t>
  </si>
  <si>
    <t>Student 62</t>
  </si>
  <si>
    <t>Student 63</t>
  </si>
  <si>
    <t>Student 64</t>
  </si>
  <si>
    <t>Student 65</t>
  </si>
  <si>
    <t>Student 66</t>
  </si>
  <si>
    <t>Student 67</t>
  </si>
  <si>
    <t>Student 68</t>
  </si>
  <si>
    <t>Student 69</t>
  </si>
  <si>
    <t>Student 70</t>
  </si>
  <si>
    <t>Student 71</t>
  </si>
  <si>
    <t>Student 72</t>
  </si>
  <si>
    <t>Student 73</t>
  </si>
  <si>
    <t>Student 74</t>
  </si>
  <si>
    <t>Student 75</t>
  </si>
  <si>
    <t>Student 76</t>
  </si>
  <si>
    <t>Student 77</t>
  </si>
  <si>
    <t>Student 78</t>
  </si>
  <si>
    <t>Student 79</t>
  </si>
  <si>
    <t>Student 80</t>
  </si>
  <si>
    <t>Student 81</t>
  </si>
  <si>
    <t>Student 82</t>
  </si>
  <si>
    <t>Student 83</t>
  </si>
  <si>
    <t>Student 84</t>
  </si>
  <si>
    <t>Student 85</t>
  </si>
  <si>
    <t>Student 86</t>
  </si>
  <si>
    <t>Student 87</t>
  </si>
  <si>
    <t>Student 88</t>
  </si>
  <si>
    <t>Student 89</t>
  </si>
  <si>
    <t>Student 90</t>
  </si>
  <si>
    <t>Student 91</t>
  </si>
  <si>
    <t>Student 92</t>
  </si>
  <si>
    <t>Student 93</t>
  </si>
  <si>
    <t>Student 94</t>
  </si>
  <si>
    <t>Student 95</t>
  </si>
  <si>
    <t>Student 96</t>
  </si>
  <si>
    <t>Student 97</t>
  </si>
  <si>
    <t>Student 98</t>
  </si>
  <si>
    <t>Student 99</t>
  </si>
  <si>
    <t>Student 100</t>
  </si>
  <si>
    <t>Student 101</t>
  </si>
  <si>
    <t>Student 102</t>
  </si>
  <si>
    <t>Student 103</t>
  </si>
  <si>
    <t>Student 104</t>
  </si>
  <si>
    <t>Student 105</t>
  </si>
  <si>
    <t>Student 106</t>
  </si>
  <si>
    <t>Student 107</t>
  </si>
  <si>
    <t>Student 108</t>
  </si>
  <si>
    <t>Student 109</t>
  </si>
  <si>
    <t>Student 110</t>
  </si>
  <si>
    <t>Student 111</t>
  </si>
  <si>
    <t>Student 112</t>
  </si>
  <si>
    <t>Student 113</t>
  </si>
  <si>
    <t>Student 114</t>
  </si>
  <si>
    <t>Student 115</t>
  </si>
  <si>
    <t>Student 116</t>
  </si>
  <si>
    <t>Student 117</t>
  </si>
  <si>
    <t>Student 118</t>
  </si>
  <si>
    <t>Student 119</t>
  </si>
  <si>
    <t>Student 120</t>
  </si>
  <si>
    <t>Student 121</t>
  </si>
  <si>
    <t>Student 122</t>
  </si>
  <si>
    <t>Student 123</t>
  </si>
  <si>
    <t>Student 124</t>
  </si>
  <si>
    <t>Student 125</t>
  </si>
  <si>
    <t>Student 126</t>
  </si>
  <si>
    <t>Student 127</t>
  </si>
  <si>
    <t>Student 128</t>
  </si>
  <si>
    <t>Student 129</t>
  </si>
  <si>
    <t>Student 130</t>
  </si>
  <si>
    <t>Student 131</t>
  </si>
  <si>
    <t>Student 132</t>
  </si>
  <si>
    <t>Student 133</t>
  </si>
  <si>
    <t>Student 134</t>
  </si>
  <si>
    <t>Student 135</t>
  </si>
  <si>
    <t>Student 136</t>
  </si>
  <si>
    <t>Student 137</t>
  </si>
  <si>
    <t>Student 138</t>
  </si>
  <si>
    <t>Student 139</t>
  </si>
  <si>
    <t>Student 140</t>
  </si>
  <si>
    <t>Student 141</t>
  </si>
  <si>
    <t>Student 142</t>
  </si>
  <si>
    <t>Student 143</t>
  </si>
  <si>
    <t>Student 144</t>
  </si>
  <si>
    <t>Student 145</t>
  </si>
  <si>
    <t>Student 146</t>
  </si>
  <si>
    <t>Student 147</t>
  </si>
  <si>
    <t>Student 148</t>
  </si>
  <si>
    <t>Student 149</t>
  </si>
  <si>
    <t>Student 150</t>
  </si>
  <si>
    <t>Student 151</t>
  </si>
  <si>
    <t>Student 152</t>
  </si>
  <si>
    <t>Student 153</t>
  </si>
  <si>
    <t>Student 154</t>
  </si>
  <si>
    <t>Student 155</t>
  </si>
  <si>
    <t>Student 156</t>
  </si>
  <si>
    <t>Student 157</t>
  </si>
  <si>
    <t>Student 158</t>
  </si>
  <si>
    <t>Student 159</t>
  </si>
  <si>
    <t>Student 160</t>
  </si>
  <si>
    <t>Student 161</t>
  </si>
  <si>
    <t>Student 162</t>
  </si>
  <si>
    <t>Student 163</t>
  </si>
  <si>
    <t>Student 164</t>
  </si>
  <si>
    <t>Student 165</t>
  </si>
  <si>
    <t>Student 166</t>
  </si>
  <si>
    <t>Student 167</t>
  </si>
  <si>
    <t>Student 168</t>
  </si>
  <si>
    <t>Student 169</t>
  </si>
  <si>
    <t>Student 170</t>
  </si>
  <si>
    <t>Student 171</t>
  </si>
  <si>
    <t>Student 172</t>
  </si>
  <si>
    <t>Student 173</t>
  </si>
  <si>
    <t>Student 174</t>
  </si>
  <si>
    <t>Student 175</t>
  </si>
  <si>
    <t>Student 176</t>
  </si>
  <si>
    <t>Student 177</t>
  </si>
  <si>
    <t>Student 178</t>
  </si>
  <si>
    <t>Student 179</t>
  </si>
  <si>
    <t>Student 180</t>
  </si>
  <si>
    <t>Student 181</t>
  </si>
  <si>
    <t>Student 182</t>
  </si>
  <si>
    <t>Student 183</t>
  </si>
  <si>
    <t>Student 184</t>
  </si>
  <si>
    <t>Student 185</t>
  </si>
  <si>
    <t>Student 186</t>
  </si>
  <si>
    <t>Student 187</t>
  </si>
  <si>
    <t>Student 188</t>
  </si>
  <si>
    <t>Student 189</t>
  </si>
  <si>
    <t>Student 190</t>
  </si>
  <si>
    <t>Student 191</t>
  </si>
  <si>
    <t>Student 192</t>
  </si>
  <si>
    <t>Student 193</t>
  </si>
  <si>
    <t>Student 194</t>
  </si>
  <si>
    <t>Student 195</t>
  </si>
  <si>
    <t>Student 196</t>
  </si>
  <si>
    <t>Student 197</t>
  </si>
  <si>
    <t>Student 198</t>
  </si>
  <si>
    <t>Student 199</t>
  </si>
  <si>
    <t>Student 200</t>
  </si>
  <si>
    <t>Student 201</t>
  </si>
  <si>
    <t>Student 202</t>
  </si>
  <si>
    <t>Student 203</t>
  </si>
  <si>
    <t>Student 204</t>
  </si>
  <si>
    <t>Student 205</t>
  </si>
  <si>
    <t>Student 206</t>
  </si>
  <si>
    <t>Student 207</t>
  </si>
  <si>
    <t>Student 208</t>
  </si>
  <si>
    <t>Student 209</t>
  </si>
  <si>
    <t>Student 210</t>
  </si>
  <si>
    <t>Student 211</t>
  </si>
  <si>
    <t>Student 212</t>
  </si>
  <si>
    <t>Student 213</t>
  </si>
  <si>
    <t>Student 214</t>
  </si>
  <si>
    <t>Student 215</t>
  </si>
  <si>
    <t>Student 216</t>
  </si>
  <si>
    <t>Student 217</t>
  </si>
  <si>
    <t>Student 218</t>
  </si>
  <si>
    <t>Student 219</t>
  </si>
  <si>
    <t>Student 220</t>
  </si>
  <si>
    <t>Student 221</t>
  </si>
  <si>
    <t>Student 222</t>
  </si>
  <si>
    <t>Student 223</t>
  </si>
  <si>
    <t>Student 224</t>
  </si>
  <si>
    <t>Student 225</t>
  </si>
  <si>
    <t>Student 226</t>
  </si>
  <si>
    <t>Student 227</t>
  </si>
  <si>
    <t>Student 228</t>
  </si>
  <si>
    <t>Student 229</t>
  </si>
  <si>
    <t>Student 230</t>
  </si>
  <si>
    <t>Student 231</t>
  </si>
  <si>
    <t>Student 232</t>
  </si>
  <si>
    <t>Student 233</t>
  </si>
  <si>
    <t>Student 234</t>
  </si>
  <si>
    <t>Student 235</t>
  </si>
  <si>
    <t>Student 236</t>
  </si>
  <si>
    <t>Student 237</t>
  </si>
  <si>
    <t>Student 238</t>
  </si>
  <si>
    <t>Student 239</t>
  </si>
  <si>
    <t>Student 240</t>
  </si>
  <si>
    <t>Student 241</t>
  </si>
  <si>
    <t>Student 242</t>
  </si>
  <si>
    <t>Student 243</t>
  </si>
  <si>
    <t>Student 244</t>
  </si>
  <si>
    <t>Student 245</t>
  </si>
  <si>
    <t>Student 246</t>
  </si>
  <si>
    <t>Student 247</t>
  </si>
  <si>
    <t>Student 248</t>
  </si>
  <si>
    <t>Student 249</t>
  </si>
  <si>
    <t>Student 250</t>
  </si>
  <si>
    <t>Student 251</t>
  </si>
  <si>
    <t>Student 252</t>
  </si>
  <si>
    <t>Student 253</t>
  </si>
  <si>
    <t>Student 254</t>
  </si>
  <si>
    <t>Student 255</t>
  </si>
  <si>
    <t>Student 256</t>
  </si>
  <si>
    <t>Student 257</t>
  </si>
  <si>
    <t>Student 258</t>
  </si>
  <si>
    <t>Student 259</t>
  </si>
  <si>
    <t>Student 260</t>
  </si>
  <si>
    <t>Student 261</t>
  </si>
  <si>
    <t>Student 262</t>
  </si>
  <si>
    <t>Student 263</t>
  </si>
  <si>
    <t>Student 264</t>
  </si>
  <si>
    <t>Student 265</t>
  </si>
  <si>
    <t>Student 266</t>
  </si>
  <si>
    <t>Student 267</t>
  </si>
  <si>
    <t>Student 268</t>
  </si>
  <si>
    <t>Student 269</t>
  </si>
  <si>
    <t>Student 270</t>
  </si>
  <si>
    <t>Student 271</t>
  </si>
  <si>
    <t>Student 272</t>
  </si>
  <si>
    <t>Student 273</t>
  </si>
  <si>
    <t>Student 274</t>
  </si>
  <si>
    <t>Student 275</t>
  </si>
  <si>
    <t>Student 276</t>
  </si>
  <si>
    <t>Student 277</t>
  </si>
  <si>
    <t>Student 278</t>
  </si>
  <si>
    <t>Student 279</t>
  </si>
  <si>
    <t>Student 280</t>
  </si>
  <si>
    <t>Student 281</t>
  </si>
  <si>
    <t>Student 282</t>
  </si>
  <si>
    <t>Student 283</t>
  </si>
  <si>
    <t>Student 284</t>
  </si>
  <si>
    <t>Student 285</t>
  </si>
  <si>
    <t>Student 286</t>
  </si>
  <si>
    <t>Student 287</t>
  </si>
  <si>
    <t>Student 288</t>
  </si>
  <si>
    <t>Student 289</t>
  </si>
  <si>
    <t>Student 290</t>
  </si>
  <si>
    <t>Student 291</t>
  </si>
  <si>
    <t>Student 292</t>
  </si>
  <si>
    <t>Student 293</t>
  </si>
  <si>
    <t>Student 294</t>
  </si>
  <si>
    <t>Student 295</t>
  </si>
  <si>
    <t>Student 296</t>
  </si>
  <si>
    <t>Student 297</t>
  </si>
  <si>
    <t>Student 298</t>
  </si>
  <si>
    <t>Student 299</t>
  </si>
  <si>
    <t>Student 300</t>
  </si>
  <si>
    <t>Student 301</t>
  </si>
  <si>
    <t>Student 302</t>
  </si>
  <si>
    <t>Student 303</t>
  </si>
  <si>
    <t>Student 304</t>
  </si>
  <si>
    <t>Student 305</t>
  </si>
  <si>
    <t>Student 306</t>
  </si>
  <si>
    <t>Student 307</t>
  </si>
  <si>
    <t>Student 308</t>
  </si>
  <si>
    <t>Student 309</t>
  </si>
  <si>
    <t>Student 310</t>
  </si>
  <si>
    <t>Student 311</t>
  </si>
  <si>
    <t>Student 312</t>
  </si>
  <si>
    <t>Student 313</t>
  </si>
  <si>
    <t>Student 314</t>
  </si>
  <si>
    <t>Student 315</t>
  </si>
  <si>
    <t>Student 316</t>
  </si>
  <si>
    <t>Student 317</t>
  </si>
  <si>
    <t>Student 318</t>
  </si>
  <si>
    <t>Student 319</t>
  </si>
  <si>
    <t>Student 320</t>
  </si>
  <si>
    <t>Student 321</t>
  </si>
  <si>
    <t>Student 322</t>
  </si>
  <si>
    <t>Student 323</t>
  </si>
  <si>
    <t>Student 324</t>
  </si>
  <si>
    <t>Student 325</t>
  </si>
  <si>
    <t>Student 326</t>
  </si>
  <si>
    <t>Student 327</t>
  </si>
  <si>
    <t>Student 328</t>
  </si>
  <si>
    <t>Student 329</t>
  </si>
  <si>
    <t>Student 330</t>
  </si>
  <si>
    <t>Student 331</t>
  </si>
  <si>
    <t>Student 332</t>
  </si>
  <si>
    <t>Student 333</t>
  </si>
  <si>
    <t>Student 334</t>
  </si>
  <si>
    <t>Student 335</t>
  </si>
  <si>
    <t>Student 336</t>
  </si>
  <si>
    <t>Student 337</t>
  </si>
  <si>
    <t>Student 338</t>
  </si>
  <si>
    <t>Student 339</t>
  </si>
  <si>
    <t>Student 340</t>
  </si>
  <si>
    <t>Student 341</t>
  </si>
  <si>
    <t>Student 342</t>
  </si>
  <si>
    <t>Student 343</t>
  </si>
  <si>
    <t>Student 344</t>
  </si>
  <si>
    <t>Student 345</t>
  </si>
  <si>
    <t>Student 346</t>
  </si>
  <si>
    <t>Student 347</t>
  </si>
  <si>
    <t>Student 348</t>
  </si>
  <si>
    <t>Student 349</t>
  </si>
  <si>
    <t>Student 350</t>
  </si>
  <si>
    <t>Student 351</t>
  </si>
  <si>
    <t>Student 352</t>
  </si>
  <si>
    <t>Student 353</t>
  </si>
  <si>
    <t>Student 354</t>
  </si>
  <si>
    <t>Student 355</t>
  </si>
  <si>
    <t>Student 356</t>
  </si>
  <si>
    <t>Student 357</t>
  </si>
  <si>
    <t>Student 358</t>
  </si>
  <si>
    <t>Student 359</t>
  </si>
  <si>
    <t>Student 360</t>
  </si>
  <si>
    <t>Student 361</t>
  </si>
  <si>
    <t>Student 362</t>
  </si>
  <si>
    <t>Student 363</t>
  </si>
  <si>
    <t>Student 364</t>
  </si>
  <si>
    <t>Student 365</t>
  </si>
  <si>
    <t>Student 366</t>
  </si>
  <si>
    <t>Student 367</t>
  </si>
  <si>
    <t>Student 368</t>
  </si>
  <si>
    <t>Student 369</t>
  </si>
  <si>
    <t>Student 370</t>
  </si>
  <si>
    <t>Student 371</t>
  </si>
  <si>
    <t>Student 372</t>
  </si>
  <si>
    <t>Student 373</t>
  </si>
  <si>
    <t>Student 374</t>
  </si>
  <si>
    <t>Student 375</t>
  </si>
  <si>
    <t>Student 376</t>
  </si>
  <si>
    <t>Student 377</t>
  </si>
  <si>
    <t>Student 378</t>
  </si>
  <si>
    <t>Student 379</t>
  </si>
  <si>
    <t>Student 380</t>
  </si>
  <si>
    <t>Student 381</t>
  </si>
  <si>
    <t>Student 382</t>
  </si>
  <si>
    <t>Student 383</t>
  </si>
  <si>
    <t>Student 384</t>
  </si>
  <si>
    <t>Student 385</t>
  </si>
  <si>
    <t>Phone</t>
  </si>
  <si>
    <t>Eye Color</t>
  </si>
  <si>
    <t>Rank In Class
(1-38)</t>
  </si>
  <si>
    <t>Rating of Teacher (Bad, Okay, Good, Excellent)</t>
  </si>
  <si>
    <t>Body Temperature</t>
  </si>
  <si>
    <t>SAT Score (600 to 2400)</t>
  </si>
  <si>
    <t>Score On Final
(0 - 100)</t>
  </si>
  <si>
    <t>Money In Bank</t>
  </si>
  <si>
    <t>Green</t>
  </si>
  <si>
    <t>Okay</t>
  </si>
  <si>
    <t>Chin</t>
  </si>
  <si>
    <t>Brown</t>
  </si>
  <si>
    <t>Hazel</t>
  </si>
  <si>
    <t>Nominal:</t>
  </si>
  <si>
    <t>Ordinal:</t>
  </si>
  <si>
    <t>Interval:</t>
  </si>
  <si>
    <t>Ratio:</t>
  </si>
  <si>
    <t>No Rank</t>
  </si>
  <si>
    <t>Rank</t>
  </si>
  <si>
    <t>Don't Know Distance</t>
  </si>
  <si>
    <t>Know Distance</t>
  </si>
  <si>
    <t>Between Each Rank</t>
  </si>
  <si>
    <t>Zero just a Point On Scale</t>
  </si>
  <si>
    <t>Zero = Nothing Exists</t>
  </si>
  <si>
    <t>Ratio Not Okay</t>
  </si>
  <si>
    <t>Ratio Okay</t>
  </si>
  <si>
    <t>Cross-Sectional and Time Series Data:</t>
  </si>
  <si>
    <t>Cross-Sectional</t>
  </si>
  <si>
    <t>Data collected at the same or nearly the same point in time.</t>
  </si>
  <si>
    <t>Time Series Data</t>
  </si>
  <si>
    <t>Data collected over time</t>
  </si>
  <si>
    <t>Useful for seeing trends in the past that may help us to estimate what trends there may be in the near future</t>
  </si>
  <si>
    <t>Sources of Data:</t>
  </si>
  <si>
    <t>Internal to an organization:</t>
  </si>
  <si>
    <t>Sales Records</t>
  </si>
  <si>
    <t>Employee records</t>
  </si>
  <si>
    <t>Customer Records</t>
  </si>
  <si>
    <t>Web site Records</t>
  </si>
  <si>
    <t>Internet:</t>
  </si>
  <si>
    <t>http://finance.yahoo.com/market-overview/ (stock)</t>
  </si>
  <si>
    <t>http://bigcharts.com/historical/default.asp (stock)</t>
  </si>
  <si>
    <t>Facebook</t>
  </si>
  <si>
    <t>Twitter</t>
  </si>
  <si>
    <t>YouTube</t>
  </si>
  <si>
    <t>Government:</t>
  </si>
  <si>
    <t>http://nces.ed.gov/ (education)</t>
  </si>
  <si>
    <t>http://www.bea.gov/ (economic)</t>
  </si>
  <si>
    <t>http://www.ncdc.noaa.gov/ (weather)</t>
  </si>
  <si>
    <t>http://www.census.gov/data.html (census)</t>
  </si>
  <si>
    <t>http://www.bls.gov/data/ (labor)</t>
  </si>
  <si>
    <t>Industry Associations:</t>
  </si>
  <si>
    <t>National Association of Home Builders</t>
  </si>
  <si>
    <t>National Automobile Dealers Association</t>
  </si>
  <si>
    <t>National Association of Manufacturers</t>
  </si>
  <si>
    <t>Studies:</t>
  </si>
  <si>
    <t>Observational Study</t>
  </si>
  <si>
    <t>We simply observe what is happening</t>
  </si>
  <si>
    <t>We do not control any of the variables of interest</t>
  </si>
  <si>
    <t>Surveys</t>
  </si>
  <si>
    <t>Observing employees at work or customers in a store (how long they stay or how much they spend)</t>
  </si>
  <si>
    <t>Downloading stock data about Google or Yahoo.</t>
  </si>
  <si>
    <t>Experimental Study</t>
  </si>
  <si>
    <t>Drug Studies to see if a drug may help a particular ailment</t>
  </si>
  <si>
    <t>Product Study to test a manufacturers claim</t>
  </si>
  <si>
    <t>Manufacturing study to test whether a new production method is faster</t>
  </si>
  <si>
    <t>Time and Costs of Useful Information</t>
  </si>
  <si>
    <t>Usually if cost of obtaining useful information from raw data is greater than benefits, don’t do it.</t>
  </si>
  <si>
    <t>Data Errors:</t>
  </si>
  <si>
    <t>Recoding Errors</t>
  </si>
  <si>
    <t>Respondent might misinterpret question</t>
  </si>
  <si>
    <t>Is value to big or too small to be reasonable?</t>
  </si>
  <si>
    <t>Is sample of data skewed?</t>
  </si>
  <si>
    <t>Is sample taken from a small subset of the population rather than from the whole population?</t>
  </si>
  <si>
    <t>Does sample represent the population?</t>
  </si>
  <si>
    <t>Unethical Statistics</t>
  </si>
  <si>
    <t>Running multiple samples until you get the result you want.</t>
  </si>
  <si>
    <t>Unrepresentative Samples</t>
  </si>
  <si>
    <t>Creating misleading charts</t>
  </si>
  <si>
    <t>External Data Sources:</t>
  </si>
  <si>
    <t>1) Variable of interest is identified</t>
  </si>
  <si>
    <t>2) One or more other variables are identified and controlled so that data can be obtained about how they influence the variable of interest</t>
  </si>
  <si>
    <t>GOOG</t>
  </si>
  <si>
    <t>FB</t>
  </si>
  <si>
    <t>YHOO</t>
  </si>
  <si>
    <t>Industry</t>
  </si>
  <si>
    <t>Market Cap:</t>
  </si>
  <si>
    <t>350.27B</t>
  </si>
  <si>
    <t>222.69B</t>
  </si>
  <si>
    <t>N/A</t>
  </si>
  <si>
    <t>48.20B</t>
  </si>
  <si>
    <t>276.33B</t>
  </si>
  <si>
    <t>Employees:</t>
  </si>
  <si>
    <t>51.56K</t>
  </si>
  <si>
    <t>Qtrly Rev Growth (yoy):</t>
  </si>
  <si>
    <t>Revenue (ttm):</t>
  </si>
  <si>
    <t>67.91B</t>
  </si>
  <si>
    <t>11.20B</t>
  </si>
  <si>
    <t>4.63B</t>
  </si>
  <si>
    <t>Gross Margin (ttm):</t>
  </si>
  <si>
    <t>EBITDA (ttm):</t>
  </si>
  <si>
    <t>19.96B</t>
  </si>
  <si>
    <t>6.05B</t>
  </si>
  <si>
    <t>720.70M</t>
  </si>
  <si>
    <t>Operating Margin (ttm):</t>
  </si>
  <si>
    <t>Net Income (ttm):</t>
  </si>
  <si>
    <t>12.89B</t>
  </si>
  <si>
    <t>2.75B</t>
  </si>
  <si>
    <t>7.70B</t>
  </si>
  <si>
    <t>EPS (ttm):</t>
  </si>
  <si>
    <t>P/E (ttm):</t>
  </si>
  <si>
    <t>PEG (5 yr expected):</t>
  </si>
  <si>
    <t>P/S (ttm):</t>
  </si>
  <si>
    <t>Stock</t>
  </si>
  <si>
    <t>Cross-Sectional:</t>
  </si>
  <si>
    <t>Time Series Data:</t>
  </si>
  <si>
    <t>Date</t>
  </si>
  <si>
    <t>Adj Close</t>
  </si>
  <si>
    <t>TS Data</t>
  </si>
  <si>
    <t>CS Data</t>
  </si>
  <si>
    <t>SofM-2</t>
  </si>
  <si>
    <t>SofM</t>
  </si>
  <si>
    <t>Types of Data</t>
  </si>
  <si>
    <t>Cross Sectional Data</t>
  </si>
  <si>
    <t>Scales of Measurement</t>
  </si>
  <si>
    <t>Yahoo Historical Stock Price Data:</t>
  </si>
  <si>
    <t>Jump to bottom of data set (Current Range)</t>
  </si>
  <si>
    <t>Select to bottom of data set (Current Range)</t>
  </si>
  <si>
    <t>Tablet</t>
  </si>
  <si>
    <t>Cost ($)</t>
  </si>
  <si>
    <t>Operating System</t>
  </si>
  <si>
    <t>Display Size (inches)</t>
  </si>
  <si>
    <t>Battery Life (hours)</t>
  </si>
  <si>
    <t>CPU Manufacturer</t>
  </si>
  <si>
    <t>Acer Iconia W510</t>
  </si>
  <si>
    <t>Intel</t>
  </si>
  <si>
    <t>Amazon Kindle Fire HD</t>
  </si>
  <si>
    <t>TI OMAP</t>
  </si>
  <si>
    <t>Apple iPad 4</t>
  </si>
  <si>
    <t>Apple</t>
  </si>
  <si>
    <t>HP Envy X2</t>
  </si>
  <si>
    <t>Lenono Think Pad</t>
  </si>
  <si>
    <t>MS Surface Pro</t>
  </si>
  <si>
    <t>Motorola Driod Xyboard</t>
  </si>
  <si>
    <t>Samsung Ativ Smart PC</t>
  </si>
  <si>
    <t>Samsung Galaxy Tab</t>
  </si>
  <si>
    <t>Sony S</t>
  </si>
  <si>
    <t>Entering Data In Excel - Homework Example</t>
  </si>
  <si>
    <t>Entering Data In Excel</t>
  </si>
  <si>
    <t>Open Control Panel</t>
  </si>
  <si>
    <t>Window + Pause/Break</t>
  </si>
  <si>
    <t>Window Key</t>
  </si>
  <si>
    <t>Show Desktop</t>
  </si>
  <si>
    <t>Open</t>
  </si>
  <si>
    <t>High</t>
  </si>
  <si>
    <t>Low</t>
  </si>
  <si>
    <t>Close</t>
  </si>
  <si>
    <t>Volume</t>
  </si>
  <si>
    <t>Select Whole Table (Select Current Region)</t>
  </si>
  <si>
    <t>Ctrl + * (on Number Pad)
or
Ctrl + Shift + 8</t>
  </si>
  <si>
    <t>Window + D
or
Window + M</t>
  </si>
  <si>
    <t>Selection</t>
  </si>
  <si>
    <t>Max</t>
  </si>
  <si>
    <t>Min</t>
  </si>
  <si>
    <t>Mean</t>
  </si>
  <si>
    <t>Ctrl + Mouse Click</t>
  </si>
  <si>
    <t>Select Ranges not next to each other (noncontiguous ranges)</t>
  </si>
  <si>
    <t>Ctrl + P</t>
  </si>
  <si>
    <t>Esc</t>
  </si>
  <si>
    <t>There are gaps between numbers, like: 1, 2, 3 or 1.2, 1.3, 1.4</t>
  </si>
  <si>
    <t>Categorical</t>
  </si>
  <si>
    <t>Phone Type No.</t>
  </si>
  <si>
    <t>Quantitative</t>
  </si>
  <si>
    <t>Count of Phone Type No.</t>
  </si>
  <si>
    <t>New Workbook File</t>
  </si>
  <si>
    <t>Ctrl + N</t>
  </si>
  <si>
    <t>Save As Dialog Box</t>
  </si>
  <si>
    <t>F12</t>
  </si>
  <si>
    <t>Excel 2013 Statistical Analysis #02: Install Data Analysis Add-in For Amazing Excel Statistical Tools</t>
  </si>
  <si>
    <t>Excel 2013 Statistical Analysis #03: Download &amp; Install Power Query for Data Transformation Tools</t>
  </si>
  <si>
    <t>Excel 2013 Statistical Analysis #04: What Is / Are Statistics? Download Stock Data &amp; Create Information</t>
  </si>
  <si>
    <t>Excel 2013 Statistical Analysis #05: Data: Categorical, Quantitative, Nominal, Ordinal, Interval, Ratio</t>
  </si>
  <si>
    <t>Video2:</t>
  </si>
  <si>
    <t>Video3:</t>
  </si>
  <si>
    <t>Video4:</t>
  </si>
  <si>
    <t>Video5:</t>
  </si>
  <si>
    <t>(00:21) What Is / Are Statistics? Define Statistics</t>
  </si>
  <si>
    <t>(02:42) Descriptive Statistics and Inferential Statistics</t>
  </si>
  <si>
    <t>(05:00) Collect, analyze and present raw data on Yahoo Stock Price: Search the internet, download, create formulas and crate a Chart and present the information in a useful way.</t>
  </si>
  <si>
    <t>(06:05) Get Data from http://finance.yahoo.com/</t>
  </si>
  <si>
    <t>(06:43) Copy and paste data from internet into an Excel spreadsheet. Learn about Paste Special, Text</t>
  </si>
  <si>
    <t>(07:28) Download a “.csv” file. “.csv” and “.txt” file types (file extensions) are text files. When you open them, they look like Excel, but it is not. We can copy and paste into a real Excel file. Text files are common files types that allow raw data to be transferred from one system to another. Text files are intermediate steps between the original Database and your Excel Spreadhseet.</t>
  </si>
  <si>
    <t>(07:46) Control Panel, Folder Options, View Tab, Uncheck “Hide extensions for known file types”</t>
  </si>
  <si>
    <t>(08:47) Highlight whole table keyboard is Ctrl + *</t>
  </si>
  <si>
    <t>(09:50) Calculate maximum stock price with MAX function, minimum stock price with MIN and Mean using the AVERAGE function.</t>
  </si>
  <si>
    <t>(11:30) Keyboard shortcuts for highlighting ranges that are not next to each other (noncontiguous ranges): Ctrl + Mouse Click</t>
  </si>
  <si>
    <t>(12:15) Create Line Chart from Historical Data</t>
  </si>
  <si>
    <t>(13:58) Page Setup</t>
  </si>
  <si>
    <t>(17:52) Example of Inferential Statistics</t>
  </si>
  <si>
    <t>(00:43) Categorical Data vs. Quantitative Data</t>
  </si>
  <si>
    <t>(02:00) Scales of Measurement (Levels of Measurement): Nominal, Ordinal, Interval, Ratio</t>
  </si>
  <si>
    <t>(14:42) Cross Sectional Data vs. Time Series Data</t>
  </si>
  <si>
    <t>(15:48) Graphical Display of types of Data</t>
  </si>
  <si>
    <t>(16:22) How to Enter Data into the spreadsheet and use the Auto Complete (Auto Text) to your benefit</t>
  </si>
  <si>
    <t>(18:50) How to create a new Excel Workbook to do your Homework from the Textbook</t>
  </si>
  <si>
    <t>(02:42)</t>
  </si>
  <si>
    <t>(05:00)</t>
  </si>
  <si>
    <t>(06:05)</t>
  </si>
  <si>
    <t>(06:43)</t>
  </si>
  <si>
    <t>Text</t>
  </si>
  <si>
    <t>(07:28)</t>
  </si>
  <si>
    <t>(07:46)</t>
  </si>
  <si>
    <t>(08:47)</t>
  </si>
  <si>
    <t>(09:50)</t>
  </si>
  <si>
    <t>(11:30)</t>
  </si>
  <si>
    <t>(12:15)</t>
  </si>
  <si>
    <t>(13:58)</t>
  </si>
  <si>
    <t>(17:52)</t>
  </si>
  <si>
    <t>Open Print Options and Print Preview view</t>
  </si>
  <si>
    <t xml:space="preserve">Close Print Options and Print Preview view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</si>
</sst>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hh:mm:ss"/>
    <numFmt numFmtId="165" formatCode="0.000"/>
    <numFmt numFmtId="166" formatCode="0.0000"/>
  </numFmts>
  <fonts count="14"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4"/>
      <name val="Calibri"/>
      <family val="2"/>
      <scheme val="minor"/>
    </font>
    <font>
      <vertAlign val="subscript"/>
      <sz val="11"/>
      <color indexed="8"/>
      <name val="Calibri"/>
      <family val="2"/>
    </font>
    <font>
      <sz val="11"/>
      <color theme="1"/>
      <name val="Calibri"/>
      <family val="2"/>
      <scheme val="minor"/>
    </font>
    <font>
      <sz val="11"/>
      <name val="Calibri"/>
      <family val="2"/>
      <scheme val="minor"/>
    </font>
    <font>
      <sz val="22"/>
      <color theme="0"/>
      <name val="Calibri"/>
      <family val="2"/>
      <scheme val="minor"/>
    </font>
    <font>
      <sz val="12"/>
      <color theme="1"/>
      <name val="Calibri"/>
      <family val="2"/>
      <scheme val="minor"/>
    </font>
    <font>
      <b/>
      <sz val="12"/>
      <color theme="1"/>
      <name val="Calibri"/>
      <family val="2"/>
      <scheme val="minor"/>
    </font>
    <font>
      <sz val="18"/>
      <color theme="0"/>
      <name val="Calibri"/>
      <family val="2"/>
      <scheme val="minor"/>
    </font>
    <font>
      <u/>
      <sz val="11"/>
      <color theme="10"/>
      <name val="Calibri"/>
      <family val="2"/>
      <scheme val="minor"/>
    </font>
  </fonts>
  <fills count="20">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1"/>
        <bgColor indexed="64"/>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3" tint="0.59999389629810485"/>
        <bgColor indexed="64"/>
      </patternFill>
    </fill>
    <fill>
      <patternFill patternType="solid">
        <fgColor rgb="FFFFFF99"/>
        <bgColor indexed="64"/>
      </patternFill>
    </fill>
    <fill>
      <patternFill patternType="solid">
        <fgColor rgb="FFCCCCFF"/>
        <bgColor indexed="64"/>
      </patternFill>
    </fill>
    <fill>
      <patternFill patternType="solid">
        <fgColor theme="6" tint="0.39997558519241921"/>
        <bgColor indexed="64"/>
      </patternFill>
    </fill>
    <fill>
      <patternFill patternType="solid">
        <fgColor rgb="FFCCFFCC"/>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rgb="FFFF0000"/>
        <bgColor indexed="64"/>
      </patternFill>
    </fill>
    <fill>
      <patternFill patternType="solid">
        <fgColor rgb="FF0000FF"/>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top/>
      <bottom style="thick">
        <color theme="0"/>
      </bottom>
      <diagonal/>
    </border>
    <border>
      <left/>
      <right/>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s>
  <cellStyleXfs count="5">
    <xf numFmtId="0" fontId="0" fillId="0" borderId="0"/>
    <xf numFmtId="0" fontId="1" fillId="2" borderId="1">
      <alignment wrapText="1"/>
    </xf>
    <xf numFmtId="0" fontId="3" fillId="4" borderId="1">
      <alignment wrapText="1"/>
    </xf>
    <xf numFmtId="9" fontId="7" fillId="0" borderId="0" applyFont="0" applyFill="0" applyBorder="0" applyAlignment="0" applyProtection="0"/>
    <xf numFmtId="0" fontId="13" fillId="0" borderId="0" applyNumberFormat="0" applyFill="0" applyBorder="0" applyAlignment="0" applyProtection="0"/>
  </cellStyleXfs>
  <cellXfs count="126">
    <xf numFmtId="0" fontId="0" fillId="0" borderId="0" xfId="0"/>
    <xf numFmtId="0" fontId="3" fillId="2" borderId="1" xfId="0" applyFont="1" applyFill="1" applyBorder="1"/>
    <xf numFmtId="0" fontId="0" fillId="0" borderId="1" xfId="0" applyBorder="1"/>
    <xf numFmtId="0" fontId="0" fillId="0" borderId="1" xfId="0" applyBorder="1" applyAlignment="1">
      <alignment wrapText="1"/>
    </xf>
    <xf numFmtId="0" fontId="3" fillId="4" borderId="1" xfId="0" applyFont="1" applyFill="1" applyBorder="1"/>
    <xf numFmtId="0" fontId="3" fillId="2" borderId="1" xfId="0" applyFont="1" applyFill="1" applyBorder="1" applyAlignment="1">
      <alignment wrapText="1"/>
    </xf>
    <xf numFmtId="0" fontId="0" fillId="0" borderId="0" xfId="0" applyFont="1"/>
    <xf numFmtId="0" fontId="0" fillId="5" borderId="1" xfId="0" applyFont="1" applyFill="1" applyBorder="1"/>
    <xf numFmtId="0" fontId="0" fillId="0" borderId="1" xfId="0" applyFont="1" applyBorder="1" applyAlignment="1">
      <alignment horizontal="left" wrapText="1" indent="1"/>
    </xf>
    <xf numFmtId="0" fontId="0" fillId="0" borderId="1" xfId="0" applyBorder="1"/>
    <xf numFmtId="164" fontId="0" fillId="0" borderId="1" xfId="0" applyNumberFormat="1" applyBorder="1"/>
    <xf numFmtId="0" fontId="3" fillId="2" borderId="2" xfId="0" applyFont="1" applyFill="1" applyBorder="1"/>
    <xf numFmtId="0" fontId="3" fillId="2" borderId="3" xfId="0" applyFont="1" applyFill="1" applyBorder="1"/>
    <xf numFmtId="0" fontId="0" fillId="0" borderId="4" xfId="0" applyBorder="1"/>
    <xf numFmtId="0" fontId="0" fillId="0" borderId="5" xfId="0" applyBorder="1"/>
    <xf numFmtId="0" fontId="0" fillId="0" borderId="6" xfId="0" applyFont="1" applyBorder="1"/>
    <xf numFmtId="0" fontId="1" fillId="2" borderId="1" xfId="1">
      <alignment wrapText="1"/>
    </xf>
    <xf numFmtId="0" fontId="0" fillId="0" borderId="0" xfId="0"/>
    <xf numFmtId="0" fontId="3" fillId="4" borderId="1" xfId="0" applyFont="1" applyFill="1" applyBorder="1" applyAlignment="1">
      <alignment wrapText="1"/>
    </xf>
    <xf numFmtId="0" fontId="0" fillId="0" borderId="1" xfId="0" applyBorder="1" applyAlignment="1">
      <alignment horizontal="left" wrapText="1" indent="1"/>
    </xf>
    <xf numFmtId="0" fontId="0" fillId="0" borderId="1" xfId="0" applyBorder="1" applyAlignment="1">
      <alignment horizontal="left" wrapText="1" indent="2"/>
    </xf>
    <xf numFmtId="0" fontId="0" fillId="0" borderId="1" xfId="0" applyBorder="1" applyAlignment="1">
      <alignment horizontal="left" wrapText="1" indent="4"/>
    </xf>
    <xf numFmtId="0" fontId="5" fillId="8" borderId="1" xfId="0" applyFont="1" applyFill="1" applyBorder="1" applyAlignment="1">
      <alignment horizontal="centerContinuous" wrapText="1"/>
    </xf>
    <xf numFmtId="0" fontId="0" fillId="9" borderId="1" xfId="0" applyFill="1" applyBorder="1"/>
    <xf numFmtId="8" fontId="0" fillId="0" borderId="0" xfId="0" applyNumberFormat="1"/>
    <xf numFmtId="165" fontId="0" fillId="9" borderId="1" xfId="0" applyNumberFormat="1" applyFill="1" applyBorder="1"/>
    <xf numFmtId="165" fontId="0" fillId="0" borderId="1" xfId="0" applyNumberFormat="1" applyBorder="1"/>
    <xf numFmtId="0" fontId="0" fillId="10" borderId="1" xfId="0" applyFill="1" applyBorder="1"/>
    <xf numFmtId="165" fontId="0" fillId="10" borderId="1" xfId="0" applyNumberFormat="1" applyFill="1" applyBorder="1"/>
    <xf numFmtId="0" fontId="0" fillId="0" borderId="7" xfId="0" applyFill="1" applyBorder="1"/>
    <xf numFmtId="165" fontId="0" fillId="0" borderId="0" xfId="0" applyNumberFormat="1"/>
    <xf numFmtId="0" fontId="0" fillId="7" borderId="5" xfId="0" applyFill="1" applyBorder="1"/>
    <xf numFmtId="165" fontId="0" fillId="7" borderId="5" xfId="0" applyNumberFormat="1" applyFill="1" applyBorder="1"/>
    <xf numFmtId="0" fontId="0" fillId="0" borderId="5" xfId="0" applyFill="1" applyBorder="1"/>
    <xf numFmtId="0" fontId="0" fillId="11" borderId="1" xfId="0" applyFill="1" applyBorder="1" applyAlignment="1">
      <alignment horizontal="centerContinuous" wrapText="1"/>
    </xf>
    <xf numFmtId="0" fontId="1" fillId="12" borderId="8" xfId="0" applyFont="1" applyFill="1" applyBorder="1"/>
    <xf numFmtId="0" fontId="0" fillId="13" borderId="9" xfId="0" applyNumberFormat="1" applyFont="1" applyFill="1" applyBorder="1"/>
    <xf numFmtId="0" fontId="0" fillId="6" borderId="9" xfId="0" applyNumberFormat="1" applyFont="1" applyFill="1" applyBorder="1"/>
    <xf numFmtId="0" fontId="0" fillId="6" borderId="0" xfId="0" applyNumberFormat="1" applyFont="1" applyFill="1"/>
    <xf numFmtId="0" fontId="0" fillId="3" borderId="1" xfId="0" applyFill="1" applyBorder="1" applyAlignment="1">
      <alignment horizontal="centerContinuous" wrapText="1"/>
    </xf>
    <xf numFmtId="166" fontId="0" fillId="0" borderId="1" xfId="0" applyNumberFormat="1" applyBorder="1"/>
    <xf numFmtId="2" fontId="0" fillId="0" borderId="1" xfId="0" applyNumberFormat="1" applyBorder="1"/>
    <xf numFmtId="0" fontId="3" fillId="2" borderId="1" xfId="1" applyFont="1">
      <alignment wrapText="1"/>
    </xf>
    <xf numFmtId="0" fontId="3" fillId="4" borderId="1" xfId="2" applyBorder="1" applyAlignment="1">
      <alignment wrapText="1"/>
    </xf>
    <xf numFmtId="0" fontId="1" fillId="2" borderId="1" xfId="1" applyBorder="1" applyAlignment="1">
      <alignment wrapText="1"/>
    </xf>
    <xf numFmtId="0" fontId="0" fillId="0" borderId="1" xfId="0" applyBorder="1" applyAlignment="1">
      <alignment horizontal="left" wrapText="1" indent="3"/>
    </xf>
    <xf numFmtId="0" fontId="0" fillId="5" borderId="1" xfId="0" applyFill="1" applyBorder="1" applyAlignment="1">
      <alignment wrapText="1"/>
    </xf>
    <xf numFmtId="0" fontId="0" fillId="5" borderId="1" xfId="0" applyFill="1" applyBorder="1" applyAlignment="1">
      <alignment horizontal="left" wrapText="1" indent="2"/>
    </xf>
    <xf numFmtId="0" fontId="3" fillId="2" borderId="1" xfId="1" applyFont="1" applyBorder="1">
      <alignment wrapText="1"/>
    </xf>
    <xf numFmtId="0" fontId="1" fillId="2" borderId="1" xfId="1" applyBorder="1">
      <alignment wrapText="1"/>
    </xf>
    <xf numFmtId="0" fontId="0" fillId="5" borderId="1" xfId="0" applyFont="1" applyFill="1" applyBorder="1" applyAlignment="1">
      <alignment horizontal="left" indent="2"/>
    </xf>
    <xf numFmtId="0" fontId="0" fillId="0" borderId="1" xfId="0" applyBorder="1" applyAlignment="1">
      <alignment horizontal="left" indent="1"/>
    </xf>
    <xf numFmtId="0" fontId="0" fillId="5" borderId="1" xfId="0" applyFill="1" applyBorder="1" applyAlignment="1">
      <alignment horizontal="left" wrapText="1" indent="1"/>
    </xf>
    <xf numFmtId="0" fontId="3" fillId="14" borderId="1" xfId="0" applyFont="1" applyFill="1" applyBorder="1" applyAlignment="1">
      <alignment wrapText="1"/>
    </xf>
    <xf numFmtId="0" fontId="0" fillId="5" borderId="1" xfId="0" applyFill="1" applyBorder="1" applyAlignment="1">
      <alignment horizontal="left" wrapText="1"/>
    </xf>
    <xf numFmtId="0" fontId="2" fillId="0" borderId="1" xfId="0" applyFont="1" applyBorder="1" applyAlignment="1">
      <alignment horizontal="left" wrapText="1" indent="2"/>
    </xf>
    <xf numFmtId="0" fontId="2" fillId="0" borderId="1" xfId="0" applyFont="1" applyBorder="1" applyAlignment="1">
      <alignment horizontal="left" wrapText="1" indent="1"/>
    </xf>
    <xf numFmtId="0" fontId="2" fillId="0" borderId="1" xfId="0" applyFont="1" applyBorder="1" applyAlignment="1">
      <alignment horizontal="left" wrapText="1" indent="3"/>
    </xf>
    <xf numFmtId="0" fontId="3" fillId="14" borderId="1" xfId="0" applyFont="1" applyFill="1" applyBorder="1" applyAlignment="1">
      <alignment horizontal="left" wrapText="1"/>
    </xf>
    <xf numFmtId="0" fontId="9" fillId="15" borderId="1" xfId="0" applyFont="1" applyFill="1" applyBorder="1" applyAlignment="1">
      <alignment horizontal="left" textRotation="90"/>
    </xf>
    <xf numFmtId="0" fontId="12" fillId="4" borderId="0" xfId="0" applyFont="1" applyFill="1" applyAlignment="1">
      <alignment horizontal="centerContinuous" wrapText="1"/>
    </xf>
    <xf numFmtId="0" fontId="3" fillId="4" borderId="0" xfId="0" applyFont="1" applyFill="1" applyAlignment="1">
      <alignment horizontal="centerContinuous" wrapText="1"/>
    </xf>
    <xf numFmtId="0" fontId="1" fillId="2" borderId="1" xfId="0" applyFont="1" applyFill="1" applyBorder="1"/>
    <xf numFmtId="0" fontId="1" fillId="2" borderId="1" xfId="0" applyFont="1" applyFill="1" applyBorder="1" applyAlignment="1">
      <alignment wrapText="1"/>
    </xf>
    <xf numFmtId="0" fontId="3" fillId="2" borderId="0" xfId="0" applyFont="1" applyFill="1"/>
    <xf numFmtId="0" fontId="0" fillId="0" borderId="0" xfId="0" applyNumberFormat="1"/>
    <xf numFmtId="0" fontId="0" fillId="11" borderId="1" xfId="0" applyFill="1" applyBorder="1"/>
    <xf numFmtId="8" fontId="0" fillId="0" borderId="1" xfId="0" applyNumberFormat="1" applyBorder="1"/>
    <xf numFmtId="0" fontId="0" fillId="0" borderId="1" xfId="0" applyFill="1" applyBorder="1"/>
    <xf numFmtId="8" fontId="0" fillId="0" borderId="1" xfId="0" applyNumberFormat="1" applyFill="1" applyBorder="1"/>
    <xf numFmtId="8" fontId="0" fillId="11" borderId="1" xfId="0" applyNumberFormat="1" applyFill="1" applyBorder="1"/>
    <xf numFmtId="9" fontId="0" fillId="11" borderId="1" xfId="3" applyFont="1" applyFill="1" applyBorder="1"/>
    <xf numFmtId="0" fontId="0" fillId="7" borderId="15" xfId="0" applyFill="1" applyBorder="1" applyAlignment="1">
      <alignment horizontal="centerContinuous" wrapText="1"/>
    </xf>
    <xf numFmtId="0" fontId="0" fillId="7" borderId="4" xfId="0" applyFill="1" applyBorder="1" applyAlignment="1">
      <alignment horizontal="centerContinuous" wrapText="1"/>
    </xf>
    <xf numFmtId="0" fontId="0" fillId="16" borderId="15" xfId="0" applyFill="1" applyBorder="1" applyAlignment="1">
      <alignment horizontal="centerContinuous" wrapText="1"/>
    </xf>
    <xf numFmtId="0" fontId="0" fillId="16" borderId="4" xfId="0" applyFill="1" applyBorder="1" applyAlignment="1">
      <alignment horizontal="centerContinuous" wrapText="1"/>
    </xf>
    <xf numFmtId="0" fontId="3" fillId="2" borderId="3" xfId="0" applyFont="1" applyFill="1" applyBorder="1" applyAlignment="1">
      <alignment wrapText="1"/>
    </xf>
    <xf numFmtId="0" fontId="0" fillId="3" borderId="1" xfId="0" applyFill="1" applyBorder="1"/>
    <xf numFmtId="0" fontId="0" fillId="0" borderId="16" xfId="0" applyBorder="1"/>
    <xf numFmtId="0" fontId="0" fillId="0" borderId="17" xfId="0" applyBorder="1"/>
    <xf numFmtId="0" fontId="0" fillId="0" borderId="18" xfId="0" applyBorder="1" applyAlignment="1">
      <alignment horizontal="left" indent="1"/>
    </xf>
    <xf numFmtId="0" fontId="0" fillId="0" borderId="19" xfId="0" applyBorder="1"/>
    <xf numFmtId="0" fontId="0" fillId="0" borderId="18" xfId="0" applyBorder="1" applyAlignment="1">
      <alignment horizontal="left" indent="2"/>
    </xf>
    <xf numFmtId="0" fontId="0" fillId="0" borderId="20" xfId="0" applyBorder="1" applyAlignment="1">
      <alignment horizontal="left" indent="1"/>
    </xf>
    <xf numFmtId="0" fontId="0" fillId="0" borderId="21" xfId="0" applyBorder="1"/>
    <xf numFmtId="0" fontId="8" fillId="18" borderId="1" xfId="0" applyFont="1" applyFill="1" applyBorder="1" applyAlignment="1">
      <alignment horizontal="left" wrapText="1" indent="2"/>
    </xf>
    <xf numFmtId="0" fontId="8" fillId="18" borderId="1" xfId="0" applyFont="1" applyFill="1" applyBorder="1" applyAlignment="1">
      <alignment horizontal="left" wrapText="1" indent="1"/>
    </xf>
    <xf numFmtId="3" fontId="0" fillId="0" borderId="1" xfId="0" applyNumberFormat="1" applyBorder="1"/>
    <xf numFmtId="0" fontId="0" fillId="17" borderId="1" xfId="0" applyFill="1" applyBorder="1"/>
    <xf numFmtId="0" fontId="2" fillId="0" borderId="0" xfId="0" applyFont="1"/>
    <xf numFmtId="14" fontId="0" fillId="0" borderId="0" xfId="0" applyNumberFormat="1"/>
    <xf numFmtId="0" fontId="0" fillId="17" borderId="15" xfId="0" applyFill="1" applyBorder="1"/>
    <xf numFmtId="0" fontId="0" fillId="17" borderId="22" xfId="0" applyFill="1" applyBorder="1"/>
    <xf numFmtId="0" fontId="0" fillId="17" borderId="4" xfId="0" applyFill="1" applyBorder="1"/>
    <xf numFmtId="0" fontId="1" fillId="14" borderId="15" xfId="0" applyFont="1" applyFill="1" applyBorder="1"/>
    <xf numFmtId="0" fontId="3" fillId="14" borderId="22" xfId="0" applyFont="1" applyFill="1" applyBorder="1"/>
    <xf numFmtId="0" fontId="3" fillId="14" borderId="4" xfId="0" applyFont="1" applyFill="1" applyBorder="1"/>
    <xf numFmtId="0" fontId="13" fillId="0" borderId="1" xfId="4" applyBorder="1"/>
    <xf numFmtId="0" fontId="13" fillId="0" borderId="1" xfId="4" quotePrefix="1" applyBorder="1"/>
    <xf numFmtId="0" fontId="0" fillId="0" borderId="11" xfId="0" applyBorder="1"/>
    <xf numFmtId="0" fontId="2" fillId="0" borderId="1" xfId="0" applyFont="1" applyBorder="1"/>
    <xf numFmtId="14" fontId="0" fillId="0" borderId="1" xfId="0" applyNumberFormat="1" applyBorder="1"/>
    <xf numFmtId="0" fontId="0" fillId="0" borderId="5" xfId="0" applyBorder="1" applyAlignment="1">
      <alignment wrapText="1"/>
    </xf>
    <xf numFmtId="0" fontId="0" fillId="0" borderId="6" xfId="0" applyFont="1" applyBorder="1" applyAlignment="1">
      <alignment wrapText="1"/>
    </xf>
    <xf numFmtId="0" fontId="0" fillId="0" borderId="18" xfId="0" applyBorder="1"/>
    <xf numFmtId="0" fontId="0" fillId="18" borderId="15" xfId="0" applyFill="1" applyBorder="1"/>
    <xf numFmtId="0" fontId="0" fillId="18" borderId="22" xfId="0" applyFill="1" applyBorder="1"/>
    <xf numFmtId="0" fontId="0" fillId="18" borderId="4" xfId="0" applyFill="1" applyBorder="1"/>
    <xf numFmtId="0" fontId="0" fillId="0" borderId="1" xfId="0" applyBorder="1" applyAlignment="1">
      <alignment vertical="center"/>
    </xf>
    <xf numFmtId="0" fontId="1" fillId="2" borderId="3" xfId="1" applyBorder="1">
      <alignment wrapText="1"/>
    </xf>
    <xf numFmtId="0" fontId="0" fillId="3" borderId="15" xfId="0" applyFill="1" applyBorder="1"/>
    <xf numFmtId="0" fontId="0" fillId="3" borderId="4" xfId="0" applyFill="1" applyBorder="1"/>
    <xf numFmtId="0" fontId="0" fillId="3" borderId="22" xfId="0" applyFill="1" applyBorder="1"/>
    <xf numFmtId="0" fontId="0" fillId="19" borderId="15" xfId="0" applyFill="1" applyBorder="1"/>
    <xf numFmtId="0" fontId="0" fillId="19" borderId="22" xfId="0" applyFill="1" applyBorder="1"/>
    <xf numFmtId="0" fontId="0" fillId="19" borderId="4" xfId="0" applyFill="1" applyBorder="1"/>
    <xf numFmtId="0" fontId="0" fillId="0" borderId="10" xfId="0" applyBorder="1" applyAlignment="1">
      <alignment horizontal="center" wrapText="1"/>
    </xf>
    <xf numFmtId="0" fontId="0" fillId="0" borderId="11"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 xfId="0" applyBorder="1" applyAlignment="1">
      <alignment horizontal="center" wrapText="1"/>
    </xf>
    <xf numFmtId="0" fontId="10" fillId="8" borderId="15" xfId="0" applyFont="1" applyFill="1" applyBorder="1" applyAlignment="1">
      <alignment horizontal="center" wrapText="1"/>
    </xf>
    <xf numFmtId="0" fontId="10" fillId="8" borderId="22" xfId="0" applyFont="1" applyFill="1" applyBorder="1" applyAlignment="1">
      <alignment horizontal="center" wrapText="1"/>
    </xf>
    <xf numFmtId="0" fontId="10" fillId="8" borderId="4" xfId="0" applyFont="1" applyFill="1" applyBorder="1" applyAlignment="1">
      <alignment horizontal="center" wrapText="1"/>
    </xf>
    <xf numFmtId="0" fontId="12" fillId="4" borderId="0" xfId="0" applyFont="1" applyFill="1" applyAlignment="1">
      <alignment horizontal="center" wrapText="1"/>
    </xf>
  </cellXfs>
  <cellStyles count="5">
    <cellStyle name="Black" xfId="2" xr:uid="{00000000-0005-0000-0000-000000000000}"/>
    <cellStyle name="Blue" xfId="1" xr:uid="{00000000-0005-0000-0000-000001000000}"/>
    <cellStyle name="Hyperlink" xfId="4" builtinId="8"/>
    <cellStyle name="Normal" xfId="0" builtinId="0"/>
    <cellStyle name="Percent" xfId="3" builtinId="5"/>
  </cellStyles>
  <dxfs count="14">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rgb="FFFF0000"/>
        </patternFill>
      </fill>
    </dxf>
    <dxf>
      <font>
        <color theme="0"/>
      </font>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0000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Adj Close for Yahoo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'Example of Statistics (an)'!$G$8</c:f>
              <c:strCache>
                <c:ptCount val="1"/>
                <c:pt idx="0">
                  <c:v>Adj Close</c:v>
                </c:pt>
              </c:strCache>
            </c:strRef>
          </c:tx>
          <c:spPr>
            <a:ln w="28575" cap="rnd">
              <a:solidFill>
                <a:schemeClr val="accent1"/>
              </a:solidFill>
              <a:round/>
            </a:ln>
            <a:effectLst/>
          </c:spPr>
          <c:marker>
            <c:symbol val="none"/>
          </c:marker>
          <c:cat>
            <c:numRef>
              <c:f>'Example of Statistics (an)'!$A$9:$A$4714</c:f>
              <c:numCache>
                <c:formatCode>m/d/yyyy</c:formatCode>
                <c:ptCount val="4706"/>
                <c:pt idx="0">
                  <c:v>41992</c:v>
                </c:pt>
                <c:pt idx="1">
                  <c:v>41991</c:v>
                </c:pt>
                <c:pt idx="2">
                  <c:v>41990</c:v>
                </c:pt>
                <c:pt idx="3">
                  <c:v>41989</c:v>
                </c:pt>
                <c:pt idx="4">
                  <c:v>41988</c:v>
                </c:pt>
                <c:pt idx="5">
                  <c:v>41985</c:v>
                </c:pt>
                <c:pt idx="6">
                  <c:v>41984</c:v>
                </c:pt>
                <c:pt idx="7">
                  <c:v>41983</c:v>
                </c:pt>
                <c:pt idx="8">
                  <c:v>41982</c:v>
                </c:pt>
                <c:pt idx="9">
                  <c:v>41981</c:v>
                </c:pt>
                <c:pt idx="10">
                  <c:v>41978</c:v>
                </c:pt>
                <c:pt idx="11">
                  <c:v>41977</c:v>
                </c:pt>
                <c:pt idx="12">
                  <c:v>41976</c:v>
                </c:pt>
                <c:pt idx="13">
                  <c:v>41975</c:v>
                </c:pt>
                <c:pt idx="14">
                  <c:v>41974</c:v>
                </c:pt>
                <c:pt idx="15">
                  <c:v>41971</c:v>
                </c:pt>
                <c:pt idx="16">
                  <c:v>41969</c:v>
                </c:pt>
                <c:pt idx="17">
                  <c:v>41968</c:v>
                </c:pt>
                <c:pt idx="18">
                  <c:v>41967</c:v>
                </c:pt>
                <c:pt idx="19">
                  <c:v>41964</c:v>
                </c:pt>
                <c:pt idx="20">
                  <c:v>41963</c:v>
                </c:pt>
                <c:pt idx="21">
                  <c:v>41962</c:v>
                </c:pt>
                <c:pt idx="22">
                  <c:v>41961</c:v>
                </c:pt>
                <c:pt idx="23">
                  <c:v>41960</c:v>
                </c:pt>
                <c:pt idx="24">
                  <c:v>41957</c:v>
                </c:pt>
                <c:pt idx="25">
                  <c:v>41956</c:v>
                </c:pt>
                <c:pt idx="26">
                  <c:v>41955</c:v>
                </c:pt>
                <c:pt idx="27">
                  <c:v>41954</c:v>
                </c:pt>
                <c:pt idx="28">
                  <c:v>41953</c:v>
                </c:pt>
                <c:pt idx="29">
                  <c:v>41950</c:v>
                </c:pt>
                <c:pt idx="30">
                  <c:v>41949</c:v>
                </c:pt>
                <c:pt idx="31">
                  <c:v>41948</c:v>
                </c:pt>
                <c:pt idx="32">
                  <c:v>41947</c:v>
                </c:pt>
                <c:pt idx="33">
                  <c:v>41946</c:v>
                </c:pt>
                <c:pt idx="34">
                  <c:v>41943</c:v>
                </c:pt>
                <c:pt idx="35">
                  <c:v>41942</c:v>
                </c:pt>
                <c:pt idx="36">
                  <c:v>41941</c:v>
                </c:pt>
                <c:pt idx="37">
                  <c:v>41940</c:v>
                </c:pt>
                <c:pt idx="38">
                  <c:v>41939</c:v>
                </c:pt>
                <c:pt idx="39">
                  <c:v>41936</c:v>
                </c:pt>
                <c:pt idx="40">
                  <c:v>41935</c:v>
                </c:pt>
                <c:pt idx="41">
                  <c:v>41934</c:v>
                </c:pt>
                <c:pt idx="42">
                  <c:v>41933</c:v>
                </c:pt>
                <c:pt idx="43">
                  <c:v>41932</c:v>
                </c:pt>
                <c:pt idx="44">
                  <c:v>41929</c:v>
                </c:pt>
                <c:pt idx="45">
                  <c:v>41928</c:v>
                </c:pt>
                <c:pt idx="46">
                  <c:v>41927</c:v>
                </c:pt>
                <c:pt idx="47">
                  <c:v>41926</c:v>
                </c:pt>
                <c:pt idx="48">
                  <c:v>41925</c:v>
                </c:pt>
                <c:pt idx="49">
                  <c:v>41922</c:v>
                </c:pt>
                <c:pt idx="50">
                  <c:v>41921</c:v>
                </c:pt>
                <c:pt idx="51">
                  <c:v>41920</c:v>
                </c:pt>
                <c:pt idx="52">
                  <c:v>41919</c:v>
                </c:pt>
                <c:pt idx="53">
                  <c:v>41918</c:v>
                </c:pt>
                <c:pt idx="54">
                  <c:v>41915</c:v>
                </c:pt>
                <c:pt idx="55">
                  <c:v>41914</c:v>
                </c:pt>
                <c:pt idx="56">
                  <c:v>41913</c:v>
                </c:pt>
                <c:pt idx="57">
                  <c:v>41912</c:v>
                </c:pt>
                <c:pt idx="58">
                  <c:v>41911</c:v>
                </c:pt>
                <c:pt idx="59">
                  <c:v>41908</c:v>
                </c:pt>
                <c:pt idx="60">
                  <c:v>41907</c:v>
                </c:pt>
                <c:pt idx="61">
                  <c:v>41906</c:v>
                </c:pt>
                <c:pt idx="62">
                  <c:v>41905</c:v>
                </c:pt>
                <c:pt idx="63">
                  <c:v>41904</c:v>
                </c:pt>
                <c:pt idx="64">
                  <c:v>41901</c:v>
                </c:pt>
                <c:pt idx="65">
                  <c:v>41900</c:v>
                </c:pt>
                <c:pt idx="66">
                  <c:v>41899</c:v>
                </c:pt>
                <c:pt idx="67">
                  <c:v>41898</c:v>
                </c:pt>
                <c:pt idx="68">
                  <c:v>41897</c:v>
                </c:pt>
                <c:pt idx="69">
                  <c:v>41894</c:v>
                </c:pt>
                <c:pt idx="70">
                  <c:v>41893</c:v>
                </c:pt>
                <c:pt idx="71">
                  <c:v>41892</c:v>
                </c:pt>
                <c:pt idx="72">
                  <c:v>41891</c:v>
                </c:pt>
                <c:pt idx="73">
                  <c:v>41890</c:v>
                </c:pt>
                <c:pt idx="74">
                  <c:v>41887</c:v>
                </c:pt>
                <c:pt idx="75">
                  <c:v>41886</c:v>
                </c:pt>
                <c:pt idx="76">
                  <c:v>41885</c:v>
                </c:pt>
                <c:pt idx="77">
                  <c:v>41884</c:v>
                </c:pt>
                <c:pt idx="78">
                  <c:v>41880</c:v>
                </c:pt>
                <c:pt idx="79">
                  <c:v>41879</c:v>
                </c:pt>
                <c:pt idx="80">
                  <c:v>41878</c:v>
                </c:pt>
                <c:pt idx="81">
                  <c:v>41877</c:v>
                </c:pt>
                <c:pt idx="82">
                  <c:v>41876</c:v>
                </c:pt>
                <c:pt idx="83">
                  <c:v>41873</c:v>
                </c:pt>
                <c:pt idx="84">
                  <c:v>41872</c:v>
                </c:pt>
                <c:pt idx="85">
                  <c:v>41871</c:v>
                </c:pt>
                <c:pt idx="86">
                  <c:v>41870</c:v>
                </c:pt>
                <c:pt idx="87">
                  <c:v>41869</c:v>
                </c:pt>
                <c:pt idx="88">
                  <c:v>41866</c:v>
                </c:pt>
                <c:pt idx="89">
                  <c:v>41865</c:v>
                </c:pt>
                <c:pt idx="90">
                  <c:v>41864</c:v>
                </c:pt>
                <c:pt idx="91">
                  <c:v>41863</c:v>
                </c:pt>
                <c:pt idx="92">
                  <c:v>41862</c:v>
                </c:pt>
                <c:pt idx="93">
                  <c:v>41859</c:v>
                </c:pt>
                <c:pt idx="94">
                  <c:v>41858</c:v>
                </c:pt>
                <c:pt idx="95">
                  <c:v>41857</c:v>
                </c:pt>
                <c:pt idx="96">
                  <c:v>41856</c:v>
                </c:pt>
                <c:pt idx="97">
                  <c:v>41855</c:v>
                </c:pt>
                <c:pt idx="98">
                  <c:v>41852</c:v>
                </c:pt>
                <c:pt idx="99">
                  <c:v>41851</c:v>
                </c:pt>
                <c:pt idx="100">
                  <c:v>41850</c:v>
                </c:pt>
                <c:pt idx="101">
                  <c:v>41849</c:v>
                </c:pt>
                <c:pt idx="102">
                  <c:v>41848</c:v>
                </c:pt>
                <c:pt idx="103">
                  <c:v>41845</c:v>
                </c:pt>
                <c:pt idx="104">
                  <c:v>41844</c:v>
                </c:pt>
                <c:pt idx="105">
                  <c:v>41843</c:v>
                </c:pt>
                <c:pt idx="106">
                  <c:v>41842</c:v>
                </c:pt>
                <c:pt idx="107">
                  <c:v>41841</c:v>
                </c:pt>
                <c:pt idx="108">
                  <c:v>41838</c:v>
                </c:pt>
                <c:pt idx="109">
                  <c:v>41837</c:v>
                </c:pt>
                <c:pt idx="110">
                  <c:v>41836</c:v>
                </c:pt>
                <c:pt idx="111">
                  <c:v>41835</c:v>
                </c:pt>
                <c:pt idx="112">
                  <c:v>41834</c:v>
                </c:pt>
                <c:pt idx="113">
                  <c:v>41831</c:v>
                </c:pt>
                <c:pt idx="114">
                  <c:v>41830</c:v>
                </c:pt>
                <c:pt idx="115">
                  <c:v>41829</c:v>
                </c:pt>
                <c:pt idx="116">
                  <c:v>41828</c:v>
                </c:pt>
                <c:pt idx="117">
                  <c:v>41827</c:v>
                </c:pt>
                <c:pt idx="118">
                  <c:v>41823</c:v>
                </c:pt>
                <c:pt idx="119">
                  <c:v>41822</c:v>
                </c:pt>
                <c:pt idx="120">
                  <c:v>41821</c:v>
                </c:pt>
                <c:pt idx="121">
                  <c:v>41820</c:v>
                </c:pt>
                <c:pt idx="122">
                  <c:v>41817</c:v>
                </c:pt>
                <c:pt idx="123">
                  <c:v>41816</c:v>
                </c:pt>
                <c:pt idx="124">
                  <c:v>41815</c:v>
                </c:pt>
                <c:pt idx="125">
                  <c:v>41814</c:v>
                </c:pt>
                <c:pt idx="126">
                  <c:v>41813</c:v>
                </c:pt>
                <c:pt idx="127">
                  <c:v>41810</c:v>
                </c:pt>
                <c:pt idx="128">
                  <c:v>41809</c:v>
                </c:pt>
                <c:pt idx="129">
                  <c:v>41808</c:v>
                </c:pt>
                <c:pt idx="130">
                  <c:v>41807</c:v>
                </c:pt>
                <c:pt idx="131">
                  <c:v>41806</c:v>
                </c:pt>
                <c:pt idx="132">
                  <c:v>41803</c:v>
                </c:pt>
                <c:pt idx="133">
                  <c:v>41802</c:v>
                </c:pt>
                <c:pt idx="134">
                  <c:v>41801</c:v>
                </c:pt>
                <c:pt idx="135">
                  <c:v>41800</c:v>
                </c:pt>
                <c:pt idx="136">
                  <c:v>41799</c:v>
                </c:pt>
                <c:pt idx="137">
                  <c:v>41796</c:v>
                </c:pt>
                <c:pt idx="138">
                  <c:v>41795</c:v>
                </c:pt>
                <c:pt idx="139">
                  <c:v>41794</c:v>
                </c:pt>
                <c:pt idx="140">
                  <c:v>41793</c:v>
                </c:pt>
                <c:pt idx="141">
                  <c:v>41792</c:v>
                </c:pt>
                <c:pt idx="142">
                  <c:v>41789</c:v>
                </c:pt>
                <c:pt idx="143">
                  <c:v>41788</c:v>
                </c:pt>
                <c:pt idx="144">
                  <c:v>41787</c:v>
                </c:pt>
                <c:pt idx="145">
                  <c:v>41786</c:v>
                </c:pt>
                <c:pt idx="146">
                  <c:v>41782</c:v>
                </c:pt>
                <c:pt idx="147">
                  <c:v>41781</c:v>
                </c:pt>
                <c:pt idx="148">
                  <c:v>41780</c:v>
                </c:pt>
                <c:pt idx="149">
                  <c:v>41779</c:v>
                </c:pt>
                <c:pt idx="150">
                  <c:v>41778</c:v>
                </c:pt>
                <c:pt idx="151">
                  <c:v>41775</c:v>
                </c:pt>
                <c:pt idx="152">
                  <c:v>41774</c:v>
                </c:pt>
                <c:pt idx="153">
                  <c:v>41773</c:v>
                </c:pt>
                <c:pt idx="154">
                  <c:v>41772</c:v>
                </c:pt>
                <c:pt idx="155">
                  <c:v>41771</c:v>
                </c:pt>
                <c:pt idx="156">
                  <c:v>41768</c:v>
                </c:pt>
                <c:pt idx="157">
                  <c:v>41767</c:v>
                </c:pt>
                <c:pt idx="158">
                  <c:v>41766</c:v>
                </c:pt>
                <c:pt idx="159">
                  <c:v>41765</c:v>
                </c:pt>
                <c:pt idx="160">
                  <c:v>41764</c:v>
                </c:pt>
                <c:pt idx="161">
                  <c:v>41761</c:v>
                </c:pt>
                <c:pt idx="162">
                  <c:v>41760</c:v>
                </c:pt>
                <c:pt idx="163">
                  <c:v>41759</c:v>
                </c:pt>
                <c:pt idx="164">
                  <c:v>41758</c:v>
                </c:pt>
                <c:pt idx="165">
                  <c:v>41757</c:v>
                </c:pt>
                <c:pt idx="166">
                  <c:v>41754</c:v>
                </c:pt>
                <c:pt idx="167">
                  <c:v>41753</c:v>
                </c:pt>
                <c:pt idx="168">
                  <c:v>41752</c:v>
                </c:pt>
                <c:pt idx="169">
                  <c:v>41751</c:v>
                </c:pt>
                <c:pt idx="170">
                  <c:v>41750</c:v>
                </c:pt>
                <c:pt idx="171">
                  <c:v>41746</c:v>
                </c:pt>
                <c:pt idx="172">
                  <c:v>41745</c:v>
                </c:pt>
                <c:pt idx="173">
                  <c:v>41744</c:v>
                </c:pt>
                <c:pt idx="174">
                  <c:v>41743</c:v>
                </c:pt>
                <c:pt idx="175">
                  <c:v>41740</c:v>
                </c:pt>
                <c:pt idx="176">
                  <c:v>41739</c:v>
                </c:pt>
                <c:pt idx="177">
                  <c:v>41738</c:v>
                </c:pt>
                <c:pt idx="178">
                  <c:v>41737</c:v>
                </c:pt>
                <c:pt idx="179">
                  <c:v>41736</c:v>
                </c:pt>
                <c:pt idx="180">
                  <c:v>41733</c:v>
                </c:pt>
                <c:pt idx="181">
                  <c:v>41732</c:v>
                </c:pt>
                <c:pt idx="182">
                  <c:v>41731</c:v>
                </c:pt>
                <c:pt idx="183">
                  <c:v>41730</c:v>
                </c:pt>
                <c:pt idx="184">
                  <c:v>41729</c:v>
                </c:pt>
                <c:pt idx="185">
                  <c:v>41726</c:v>
                </c:pt>
                <c:pt idx="186">
                  <c:v>41725</c:v>
                </c:pt>
                <c:pt idx="187">
                  <c:v>41724</c:v>
                </c:pt>
                <c:pt idx="188">
                  <c:v>41723</c:v>
                </c:pt>
                <c:pt idx="189">
                  <c:v>41722</c:v>
                </c:pt>
                <c:pt idx="190">
                  <c:v>41719</c:v>
                </c:pt>
                <c:pt idx="191">
                  <c:v>41718</c:v>
                </c:pt>
                <c:pt idx="192">
                  <c:v>41717</c:v>
                </c:pt>
                <c:pt idx="193">
                  <c:v>41716</c:v>
                </c:pt>
                <c:pt idx="194">
                  <c:v>41715</c:v>
                </c:pt>
                <c:pt idx="195">
                  <c:v>41712</c:v>
                </c:pt>
                <c:pt idx="196">
                  <c:v>41711</c:v>
                </c:pt>
                <c:pt idx="197">
                  <c:v>41710</c:v>
                </c:pt>
                <c:pt idx="198">
                  <c:v>41709</c:v>
                </c:pt>
                <c:pt idx="199">
                  <c:v>41708</c:v>
                </c:pt>
                <c:pt idx="200">
                  <c:v>41705</c:v>
                </c:pt>
                <c:pt idx="201">
                  <c:v>41704</c:v>
                </c:pt>
                <c:pt idx="202">
                  <c:v>41703</c:v>
                </c:pt>
                <c:pt idx="203">
                  <c:v>41702</c:v>
                </c:pt>
                <c:pt idx="204">
                  <c:v>41701</c:v>
                </c:pt>
                <c:pt idx="205">
                  <c:v>41698</c:v>
                </c:pt>
                <c:pt idx="206">
                  <c:v>41697</c:v>
                </c:pt>
                <c:pt idx="207">
                  <c:v>41696</c:v>
                </c:pt>
                <c:pt idx="208">
                  <c:v>41695</c:v>
                </c:pt>
                <c:pt idx="209">
                  <c:v>41694</c:v>
                </c:pt>
                <c:pt idx="210">
                  <c:v>41691</c:v>
                </c:pt>
                <c:pt idx="211">
                  <c:v>41690</c:v>
                </c:pt>
                <c:pt idx="212">
                  <c:v>41689</c:v>
                </c:pt>
                <c:pt idx="213">
                  <c:v>41688</c:v>
                </c:pt>
                <c:pt idx="214">
                  <c:v>41684</c:v>
                </c:pt>
                <c:pt idx="215">
                  <c:v>41683</c:v>
                </c:pt>
                <c:pt idx="216">
                  <c:v>41682</c:v>
                </c:pt>
                <c:pt idx="217">
                  <c:v>41681</c:v>
                </c:pt>
                <c:pt idx="218">
                  <c:v>41680</c:v>
                </c:pt>
                <c:pt idx="219">
                  <c:v>41677</c:v>
                </c:pt>
                <c:pt idx="220">
                  <c:v>41676</c:v>
                </c:pt>
                <c:pt idx="221">
                  <c:v>41675</c:v>
                </c:pt>
                <c:pt idx="222">
                  <c:v>41674</c:v>
                </c:pt>
                <c:pt idx="223">
                  <c:v>41673</c:v>
                </c:pt>
                <c:pt idx="224">
                  <c:v>41670</c:v>
                </c:pt>
                <c:pt idx="225">
                  <c:v>41669</c:v>
                </c:pt>
                <c:pt idx="226">
                  <c:v>41668</c:v>
                </c:pt>
                <c:pt idx="227">
                  <c:v>41667</c:v>
                </c:pt>
                <c:pt idx="228">
                  <c:v>41666</c:v>
                </c:pt>
                <c:pt idx="229">
                  <c:v>41663</c:v>
                </c:pt>
                <c:pt idx="230">
                  <c:v>41662</c:v>
                </c:pt>
                <c:pt idx="231">
                  <c:v>41661</c:v>
                </c:pt>
                <c:pt idx="232">
                  <c:v>41660</c:v>
                </c:pt>
                <c:pt idx="233">
                  <c:v>41656</c:v>
                </c:pt>
                <c:pt idx="234">
                  <c:v>41655</c:v>
                </c:pt>
                <c:pt idx="235">
                  <c:v>41654</c:v>
                </c:pt>
                <c:pt idx="236">
                  <c:v>41653</c:v>
                </c:pt>
                <c:pt idx="237">
                  <c:v>41652</c:v>
                </c:pt>
                <c:pt idx="238">
                  <c:v>41649</c:v>
                </c:pt>
                <c:pt idx="239">
                  <c:v>41648</c:v>
                </c:pt>
                <c:pt idx="240">
                  <c:v>41647</c:v>
                </c:pt>
                <c:pt idx="241">
                  <c:v>41646</c:v>
                </c:pt>
                <c:pt idx="242">
                  <c:v>41645</c:v>
                </c:pt>
                <c:pt idx="243">
                  <c:v>41642</c:v>
                </c:pt>
                <c:pt idx="244">
                  <c:v>41641</c:v>
                </c:pt>
                <c:pt idx="245">
                  <c:v>41639</c:v>
                </c:pt>
                <c:pt idx="246">
                  <c:v>41638</c:v>
                </c:pt>
                <c:pt idx="247">
                  <c:v>41635</c:v>
                </c:pt>
                <c:pt idx="248">
                  <c:v>41634</c:v>
                </c:pt>
                <c:pt idx="249">
                  <c:v>41632</c:v>
                </c:pt>
                <c:pt idx="250">
                  <c:v>41631</c:v>
                </c:pt>
                <c:pt idx="251">
                  <c:v>41628</c:v>
                </c:pt>
                <c:pt idx="252">
                  <c:v>41627</c:v>
                </c:pt>
                <c:pt idx="253">
                  <c:v>41626</c:v>
                </c:pt>
                <c:pt idx="254">
                  <c:v>41625</c:v>
                </c:pt>
                <c:pt idx="255">
                  <c:v>41624</c:v>
                </c:pt>
                <c:pt idx="256">
                  <c:v>41621</c:v>
                </c:pt>
                <c:pt idx="257">
                  <c:v>41620</c:v>
                </c:pt>
                <c:pt idx="258">
                  <c:v>41619</c:v>
                </c:pt>
                <c:pt idx="259">
                  <c:v>41618</c:v>
                </c:pt>
                <c:pt idx="260">
                  <c:v>41617</c:v>
                </c:pt>
                <c:pt idx="261">
                  <c:v>41614</c:v>
                </c:pt>
                <c:pt idx="262">
                  <c:v>41613</c:v>
                </c:pt>
                <c:pt idx="263">
                  <c:v>41612</c:v>
                </c:pt>
                <c:pt idx="264">
                  <c:v>41611</c:v>
                </c:pt>
                <c:pt idx="265">
                  <c:v>41610</c:v>
                </c:pt>
                <c:pt idx="266">
                  <c:v>41607</c:v>
                </c:pt>
                <c:pt idx="267">
                  <c:v>41605</c:v>
                </c:pt>
                <c:pt idx="268">
                  <c:v>41604</c:v>
                </c:pt>
                <c:pt idx="269">
                  <c:v>41603</c:v>
                </c:pt>
                <c:pt idx="270">
                  <c:v>41600</c:v>
                </c:pt>
                <c:pt idx="271">
                  <c:v>41599</c:v>
                </c:pt>
                <c:pt idx="272">
                  <c:v>41598</c:v>
                </c:pt>
                <c:pt idx="273">
                  <c:v>41597</c:v>
                </c:pt>
                <c:pt idx="274">
                  <c:v>41596</c:v>
                </c:pt>
                <c:pt idx="275">
                  <c:v>41593</c:v>
                </c:pt>
                <c:pt idx="276">
                  <c:v>41592</c:v>
                </c:pt>
                <c:pt idx="277">
                  <c:v>41591</c:v>
                </c:pt>
                <c:pt idx="278">
                  <c:v>41590</c:v>
                </c:pt>
                <c:pt idx="279">
                  <c:v>41589</c:v>
                </c:pt>
                <c:pt idx="280">
                  <c:v>41586</c:v>
                </c:pt>
                <c:pt idx="281">
                  <c:v>41585</c:v>
                </c:pt>
                <c:pt idx="282">
                  <c:v>41584</c:v>
                </c:pt>
                <c:pt idx="283">
                  <c:v>41583</c:v>
                </c:pt>
                <c:pt idx="284">
                  <c:v>41582</c:v>
                </c:pt>
                <c:pt idx="285">
                  <c:v>41579</c:v>
                </c:pt>
                <c:pt idx="286">
                  <c:v>41578</c:v>
                </c:pt>
                <c:pt idx="287">
                  <c:v>41577</c:v>
                </c:pt>
                <c:pt idx="288">
                  <c:v>41576</c:v>
                </c:pt>
                <c:pt idx="289">
                  <c:v>41575</c:v>
                </c:pt>
                <c:pt idx="290">
                  <c:v>41572</c:v>
                </c:pt>
                <c:pt idx="291">
                  <c:v>41571</c:v>
                </c:pt>
                <c:pt idx="292">
                  <c:v>41570</c:v>
                </c:pt>
                <c:pt idx="293">
                  <c:v>41569</c:v>
                </c:pt>
                <c:pt idx="294">
                  <c:v>41568</c:v>
                </c:pt>
                <c:pt idx="295">
                  <c:v>41565</c:v>
                </c:pt>
                <c:pt idx="296">
                  <c:v>41564</c:v>
                </c:pt>
                <c:pt idx="297">
                  <c:v>41563</c:v>
                </c:pt>
                <c:pt idx="298">
                  <c:v>41562</c:v>
                </c:pt>
                <c:pt idx="299">
                  <c:v>41561</c:v>
                </c:pt>
                <c:pt idx="300">
                  <c:v>41558</c:v>
                </c:pt>
                <c:pt idx="301">
                  <c:v>41557</c:v>
                </c:pt>
                <c:pt idx="302">
                  <c:v>41556</c:v>
                </c:pt>
                <c:pt idx="303">
                  <c:v>41555</c:v>
                </c:pt>
                <c:pt idx="304">
                  <c:v>41554</c:v>
                </c:pt>
                <c:pt idx="305">
                  <c:v>41551</c:v>
                </c:pt>
                <c:pt idx="306">
                  <c:v>41550</c:v>
                </c:pt>
                <c:pt idx="307">
                  <c:v>41549</c:v>
                </c:pt>
                <c:pt idx="308">
                  <c:v>41548</c:v>
                </c:pt>
                <c:pt idx="309">
                  <c:v>41547</c:v>
                </c:pt>
                <c:pt idx="310">
                  <c:v>41544</c:v>
                </c:pt>
                <c:pt idx="311">
                  <c:v>41543</c:v>
                </c:pt>
                <c:pt idx="312">
                  <c:v>41542</c:v>
                </c:pt>
                <c:pt idx="313">
                  <c:v>41541</c:v>
                </c:pt>
                <c:pt idx="314">
                  <c:v>41540</c:v>
                </c:pt>
                <c:pt idx="315">
                  <c:v>41537</c:v>
                </c:pt>
                <c:pt idx="316">
                  <c:v>41536</c:v>
                </c:pt>
                <c:pt idx="317">
                  <c:v>41535</c:v>
                </c:pt>
                <c:pt idx="318">
                  <c:v>41534</c:v>
                </c:pt>
                <c:pt idx="319">
                  <c:v>41533</c:v>
                </c:pt>
                <c:pt idx="320">
                  <c:v>41530</c:v>
                </c:pt>
                <c:pt idx="321">
                  <c:v>41529</c:v>
                </c:pt>
                <c:pt idx="322">
                  <c:v>41528</c:v>
                </c:pt>
                <c:pt idx="323">
                  <c:v>41527</c:v>
                </c:pt>
                <c:pt idx="324">
                  <c:v>41526</c:v>
                </c:pt>
                <c:pt idx="325">
                  <c:v>41523</c:v>
                </c:pt>
                <c:pt idx="326">
                  <c:v>41522</c:v>
                </c:pt>
                <c:pt idx="327">
                  <c:v>41521</c:v>
                </c:pt>
                <c:pt idx="328">
                  <c:v>41520</c:v>
                </c:pt>
                <c:pt idx="329">
                  <c:v>41516</c:v>
                </c:pt>
                <c:pt idx="330">
                  <c:v>41515</c:v>
                </c:pt>
                <c:pt idx="331">
                  <c:v>41514</c:v>
                </c:pt>
                <c:pt idx="332">
                  <c:v>41513</c:v>
                </c:pt>
                <c:pt idx="333">
                  <c:v>41512</c:v>
                </c:pt>
                <c:pt idx="334">
                  <c:v>41509</c:v>
                </c:pt>
                <c:pt idx="335">
                  <c:v>41508</c:v>
                </c:pt>
                <c:pt idx="336">
                  <c:v>41507</c:v>
                </c:pt>
                <c:pt idx="337">
                  <c:v>41506</c:v>
                </c:pt>
                <c:pt idx="338">
                  <c:v>41505</c:v>
                </c:pt>
                <c:pt idx="339">
                  <c:v>41502</c:v>
                </c:pt>
                <c:pt idx="340">
                  <c:v>41501</c:v>
                </c:pt>
                <c:pt idx="341">
                  <c:v>41500</c:v>
                </c:pt>
                <c:pt idx="342">
                  <c:v>41499</c:v>
                </c:pt>
                <c:pt idx="343">
                  <c:v>41498</c:v>
                </c:pt>
                <c:pt idx="344">
                  <c:v>41495</c:v>
                </c:pt>
                <c:pt idx="345">
                  <c:v>41494</c:v>
                </c:pt>
                <c:pt idx="346">
                  <c:v>41493</c:v>
                </c:pt>
                <c:pt idx="347">
                  <c:v>41492</c:v>
                </c:pt>
                <c:pt idx="348">
                  <c:v>41491</c:v>
                </c:pt>
                <c:pt idx="349">
                  <c:v>41488</c:v>
                </c:pt>
                <c:pt idx="350">
                  <c:v>41487</c:v>
                </c:pt>
                <c:pt idx="351">
                  <c:v>41486</c:v>
                </c:pt>
                <c:pt idx="352">
                  <c:v>41485</c:v>
                </c:pt>
                <c:pt idx="353">
                  <c:v>41484</c:v>
                </c:pt>
                <c:pt idx="354">
                  <c:v>41481</c:v>
                </c:pt>
                <c:pt idx="355">
                  <c:v>41480</c:v>
                </c:pt>
                <c:pt idx="356">
                  <c:v>41479</c:v>
                </c:pt>
                <c:pt idx="357">
                  <c:v>41478</c:v>
                </c:pt>
                <c:pt idx="358">
                  <c:v>41477</c:v>
                </c:pt>
                <c:pt idx="359">
                  <c:v>41474</c:v>
                </c:pt>
                <c:pt idx="360">
                  <c:v>41473</c:v>
                </c:pt>
                <c:pt idx="361">
                  <c:v>41472</c:v>
                </c:pt>
                <c:pt idx="362">
                  <c:v>41471</c:v>
                </c:pt>
                <c:pt idx="363">
                  <c:v>41470</c:v>
                </c:pt>
                <c:pt idx="364">
                  <c:v>41467</c:v>
                </c:pt>
                <c:pt idx="365">
                  <c:v>41466</c:v>
                </c:pt>
                <c:pt idx="366">
                  <c:v>41465</c:v>
                </c:pt>
                <c:pt idx="367">
                  <c:v>41464</c:v>
                </c:pt>
                <c:pt idx="368">
                  <c:v>41463</c:v>
                </c:pt>
                <c:pt idx="369">
                  <c:v>41460</c:v>
                </c:pt>
                <c:pt idx="370">
                  <c:v>41458</c:v>
                </c:pt>
                <c:pt idx="371">
                  <c:v>41457</c:v>
                </c:pt>
                <c:pt idx="372">
                  <c:v>41456</c:v>
                </c:pt>
                <c:pt idx="373">
                  <c:v>41453</c:v>
                </c:pt>
                <c:pt idx="374">
                  <c:v>41452</c:v>
                </c:pt>
                <c:pt idx="375">
                  <c:v>41451</c:v>
                </c:pt>
                <c:pt idx="376">
                  <c:v>41450</c:v>
                </c:pt>
                <c:pt idx="377">
                  <c:v>41449</c:v>
                </c:pt>
                <c:pt idx="378">
                  <c:v>41446</c:v>
                </c:pt>
                <c:pt idx="379">
                  <c:v>41445</c:v>
                </c:pt>
                <c:pt idx="380">
                  <c:v>41444</c:v>
                </c:pt>
                <c:pt idx="381">
                  <c:v>41443</c:v>
                </c:pt>
                <c:pt idx="382">
                  <c:v>41442</c:v>
                </c:pt>
                <c:pt idx="383">
                  <c:v>41439</c:v>
                </c:pt>
                <c:pt idx="384">
                  <c:v>41438</c:v>
                </c:pt>
                <c:pt idx="385">
                  <c:v>41437</c:v>
                </c:pt>
                <c:pt idx="386">
                  <c:v>41436</c:v>
                </c:pt>
                <c:pt idx="387">
                  <c:v>41435</c:v>
                </c:pt>
                <c:pt idx="388">
                  <c:v>41432</c:v>
                </c:pt>
                <c:pt idx="389">
                  <c:v>41431</c:v>
                </c:pt>
                <c:pt idx="390">
                  <c:v>41430</c:v>
                </c:pt>
                <c:pt idx="391">
                  <c:v>41429</c:v>
                </c:pt>
                <c:pt idx="392">
                  <c:v>41428</c:v>
                </c:pt>
                <c:pt idx="393">
                  <c:v>41425</c:v>
                </c:pt>
                <c:pt idx="394">
                  <c:v>41424</c:v>
                </c:pt>
                <c:pt idx="395">
                  <c:v>41423</c:v>
                </c:pt>
                <c:pt idx="396">
                  <c:v>41422</c:v>
                </c:pt>
                <c:pt idx="397">
                  <c:v>41418</c:v>
                </c:pt>
                <c:pt idx="398">
                  <c:v>41417</c:v>
                </c:pt>
                <c:pt idx="399">
                  <c:v>41416</c:v>
                </c:pt>
                <c:pt idx="400">
                  <c:v>41415</c:v>
                </c:pt>
                <c:pt idx="401">
                  <c:v>41414</c:v>
                </c:pt>
                <c:pt idx="402">
                  <c:v>41411</c:v>
                </c:pt>
                <c:pt idx="403">
                  <c:v>41410</c:v>
                </c:pt>
                <c:pt idx="404">
                  <c:v>41409</c:v>
                </c:pt>
                <c:pt idx="405">
                  <c:v>41408</c:v>
                </c:pt>
                <c:pt idx="406">
                  <c:v>41407</c:v>
                </c:pt>
                <c:pt idx="407">
                  <c:v>41404</c:v>
                </c:pt>
                <c:pt idx="408">
                  <c:v>41403</c:v>
                </c:pt>
                <c:pt idx="409">
                  <c:v>41402</c:v>
                </c:pt>
                <c:pt idx="410">
                  <c:v>41401</c:v>
                </c:pt>
                <c:pt idx="411">
                  <c:v>41400</c:v>
                </c:pt>
                <c:pt idx="412">
                  <c:v>41397</c:v>
                </c:pt>
                <c:pt idx="413">
                  <c:v>41396</c:v>
                </c:pt>
                <c:pt idx="414">
                  <c:v>41395</c:v>
                </c:pt>
                <c:pt idx="415">
                  <c:v>41394</c:v>
                </c:pt>
                <c:pt idx="416">
                  <c:v>41393</c:v>
                </c:pt>
                <c:pt idx="417">
                  <c:v>41390</c:v>
                </c:pt>
                <c:pt idx="418">
                  <c:v>41389</c:v>
                </c:pt>
                <c:pt idx="419">
                  <c:v>41388</c:v>
                </c:pt>
                <c:pt idx="420">
                  <c:v>41387</c:v>
                </c:pt>
                <c:pt idx="421">
                  <c:v>41386</c:v>
                </c:pt>
                <c:pt idx="422">
                  <c:v>41383</c:v>
                </c:pt>
                <c:pt idx="423">
                  <c:v>41382</c:v>
                </c:pt>
                <c:pt idx="424">
                  <c:v>41381</c:v>
                </c:pt>
                <c:pt idx="425">
                  <c:v>41380</c:v>
                </c:pt>
                <c:pt idx="426">
                  <c:v>41379</c:v>
                </c:pt>
                <c:pt idx="427">
                  <c:v>41376</c:v>
                </c:pt>
                <c:pt idx="428">
                  <c:v>41375</c:v>
                </c:pt>
                <c:pt idx="429">
                  <c:v>41374</c:v>
                </c:pt>
                <c:pt idx="430">
                  <c:v>41373</c:v>
                </c:pt>
                <c:pt idx="431">
                  <c:v>41372</c:v>
                </c:pt>
                <c:pt idx="432">
                  <c:v>41369</c:v>
                </c:pt>
                <c:pt idx="433">
                  <c:v>41368</c:v>
                </c:pt>
                <c:pt idx="434">
                  <c:v>41367</c:v>
                </c:pt>
                <c:pt idx="435">
                  <c:v>41366</c:v>
                </c:pt>
                <c:pt idx="436">
                  <c:v>41365</c:v>
                </c:pt>
                <c:pt idx="437">
                  <c:v>41361</c:v>
                </c:pt>
                <c:pt idx="438">
                  <c:v>41360</c:v>
                </c:pt>
                <c:pt idx="439">
                  <c:v>41359</c:v>
                </c:pt>
                <c:pt idx="440">
                  <c:v>41358</c:v>
                </c:pt>
                <c:pt idx="441">
                  <c:v>41355</c:v>
                </c:pt>
                <c:pt idx="442">
                  <c:v>41354</c:v>
                </c:pt>
                <c:pt idx="443">
                  <c:v>41353</c:v>
                </c:pt>
                <c:pt idx="444">
                  <c:v>41352</c:v>
                </c:pt>
                <c:pt idx="445">
                  <c:v>41351</c:v>
                </c:pt>
                <c:pt idx="446">
                  <c:v>41348</c:v>
                </c:pt>
                <c:pt idx="447">
                  <c:v>41347</c:v>
                </c:pt>
                <c:pt idx="448">
                  <c:v>41346</c:v>
                </c:pt>
                <c:pt idx="449">
                  <c:v>41345</c:v>
                </c:pt>
                <c:pt idx="450">
                  <c:v>41344</c:v>
                </c:pt>
                <c:pt idx="451">
                  <c:v>41341</c:v>
                </c:pt>
                <c:pt idx="452">
                  <c:v>41340</c:v>
                </c:pt>
                <c:pt idx="453">
                  <c:v>41339</c:v>
                </c:pt>
                <c:pt idx="454">
                  <c:v>41338</c:v>
                </c:pt>
                <c:pt idx="455">
                  <c:v>41337</c:v>
                </c:pt>
                <c:pt idx="456">
                  <c:v>41334</c:v>
                </c:pt>
                <c:pt idx="457">
                  <c:v>41333</c:v>
                </c:pt>
                <c:pt idx="458">
                  <c:v>41332</c:v>
                </c:pt>
                <c:pt idx="459">
                  <c:v>41331</c:v>
                </c:pt>
                <c:pt idx="460">
                  <c:v>41330</c:v>
                </c:pt>
                <c:pt idx="461">
                  <c:v>41327</c:v>
                </c:pt>
                <c:pt idx="462">
                  <c:v>41326</c:v>
                </c:pt>
                <c:pt idx="463">
                  <c:v>41325</c:v>
                </c:pt>
                <c:pt idx="464">
                  <c:v>41324</c:v>
                </c:pt>
                <c:pt idx="465">
                  <c:v>41320</c:v>
                </c:pt>
                <c:pt idx="466">
                  <c:v>41319</c:v>
                </c:pt>
                <c:pt idx="467">
                  <c:v>41318</c:v>
                </c:pt>
                <c:pt idx="468">
                  <c:v>41317</c:v>
                </c:pt>
                <c:pt idx="469">
                  <c:v>41316</c:v>
                </c:pt>
                <c:pt idx="470">
                  <c:v>41313</c:v>
                </c:pt>
                <c:pt idx="471">
                  <c:v>41312</c:v>
                </c:pt>
                <c:pt idx="472">
                  <c:v>41311</c:v>
                </c:pt>
                <c:pt idx="473">
                  <c:v>41310</c:v>
                </c:pt>
                <c:pt idx="474">
                  <c:v>41309</c:v>
                </c:pt>
                <c:pt idx="475">
                  <c:v>41306</c:v>
                </c:pt>
                <c:pt idx="476">
                  <c:v>41305</c:v>
                </c:pt>
                <c:pt idx="477">
                  <c:v>41304</c:v>
                </c:pt>
                <c:pt idx="478">
                  <c:v>41303</c:v>
                </c:pt>
                <c:pt idx="479">
                  <c:v>41302</c:v>
                </c:pt>
                <c:pt idx="480">
                  <c:v>41299</c:v>
                </c:pt>
                <c:pt idx="481">
                  <c:v>41298</c:v>
                </c:pt>
                <c:pt idx="482">
                  <c:v>41297</c:v>
                </c:pt>
                <c:pt idx="483">
                  <c:v>41296</c:v>
                </c:pt>
                <c:pt idx="484">
                  <c:v>41292</c:v>
                </c:pt>
                <c:pt idx="485">
                  <c:v>41291</c:v>
                </c:pt>
                <c:pt idx="486">
                  <c:v>41290</c:v>
                </c:pt>
                <c:pt idx="487">
                  <c:v>41289</c:v>
                </c:pt>
                <c:pt idx="488">
                  <c:v>41288</c:v>
                </c:pt>
                <c:pt idx="489">
                  <c:v>41285</c:v>
                </c:pt>
                <c:pt idx="490">
                  <c:v>41284</c:v>
                </c:pt>
                <c:pt idx="491">
                  <c:v>41283</c:v>
                </c:pt>
                <c:pt idx="492">
                  <c:v>41282</c:v>
                </c:pt>
                <c:pt idx="493">
                  <c:v>41281</c:v>
                </c:pt>
                <c:pt idx="494">
                  <c:v>41278</c:v>
                </c:pt>
                <c:pt idx="495">
                  <c:v>41277</c:v>
                </c:pt>
                <c:pt idx="496">
                  <c:v>41276</c:v>
                </c:pt>
                <c:pt idx="497">
                  <c:v>41274</c:v>
                </c:pt>
                <c:pt idx="498">
                  <c:v>41271</c:v>
                </c:pt>
                <c:pt idx="499">
                  <c:v>41270</c:v>
                </c:pt>
                <c:pt idx="500">
                  <c:v>41269</c:v>
                </c:pt>
                <c:pt idx="501">
                  <c:v>41267</c:v>
                </c:pt>
                <c:pt idx="502">
                  <c:v>41264</c:v>
                </c:pt>
                <c:pt idx="503">
                  <c:v>41263</c:v>
                </c:pt>
                <c:pt idx="504">
                  <c:v>41262</c:v>
                </c:pt>
                <c:pt idx="505">
                  <c:v>41261</c:v>
                </c:pt>
                <c:pt idx="506">
                  <c:v>41260</c:v>
                </c:pt>
                <c:pt idx="507">
                  <c:v>41257</c:v>
                </c:pt>
                <c:pt idx="508">
                  <c:v>41256</c:v>
                </c:pt>
                <c:pt idx="509">
                  <c:v>41255</c:v>
                </c:pt>
                <c:pt idx="510">
                  <c:v>41254</c:v>
                </c:pt>
                <c:pt idx="511">
                  <c:v>41253</c:v>
                </c:pt>
                <c:pt idx="512">
                  <c:v>41250</c:v>
                </c:pt>
                <c:pt idx="513">
                  <c:v>41249</c:v>
                </c:pt>
                <c:pt idx="514">
                  <c:v>41248</c:v>
                </c:pt>
                <c:pt idx="515">
                  <c:v>41247</c:v>
                </c:pt>
                <c:pt idx="516">
                  <c:v>41246</c:v>
                </c:pt>
                <c:pt idx="517">
                  <c:v>41243</c:v>
                </c:pt>
                <c:pt idx="518">
                  <c:v>41242</c:v>
                </c:pt>
                <c:pt idx="519">
                  <c:v>41241</c:v>
                </c:pt>
                <c:pt idx="520">
                  <c:v>41240</c:v>
                </c:pt>
                <c:pt idx="521">
                  <c:v>41239</c:v>
                </c:pt>
                <c:pt idx="522">
                  <c:v>41236</c:v>
                </c:pt>
                <c:pt idx="523">
                  <c:v>41234</c:v>
                </c:pt>
                <c:pt idx="524">
                  <c:v>41233</c:v>
                </c:pt>
                <c:pt idx="525">
                  <c:v>41232</c:v>
                </c:pt>
                <c:pt idx="526">
                  <c:v>41229</c:v>
                </c:pt>
                <c:pt idx="527">
                  <c:v>41228</c:v>
                </c:pt>
                <c:pt idx="528">
                  <c:v>41227</c:v>
                </c:pt>
                <c:pt idx="529">
                  <c:v>41226</c:v>
                </c:pt>
                <c:pt idx="530">
                  <c:v>41225</c:v>
                </c:pt>
                <c:pt idx="531">
                  <c:v>41222</c:v>
                </c:pt>
                <c:pt idx="532">
                  <c:v>41221</c:v>
                </c:pt>
                <c:pt idx="533">
                  <c:v>41220</c:v>
                </c:pt>
                <c:pt idx="534">
                  <c:v>41219</c:v>
                </c:pt>
                <c:pt idx="535">
                  <c:v>41218</c:v>
                </c:pt>
                <c:pt idx="536">
                  <c:v>41215</c:v>
                </c:pt>
                <c:pt idx="537">
                  <c:v>41214</c:v>
                </c:pt>
                <c:pt idx="538">
                  <c:v>41213</c:v>
                </c:pt>
                <c:pt idx="539">
                  <c:v>41208</c:v>
                </c:pt>
                <c:pt idx="540">
                  <c:v>41207</c:v>
                </c:pt>
                <c:pt idx="541">
                  <c:v>41206</c:v>
                </c:pt>
                <c:pt idx="542">
                  <c:v>41205</c:v>
                </c:pt>
                <c:pt idx="543">
                  <c:v>41204</c:v>
                </c:pt>
                <c:pt idx="544">
                  <c:v>41201</c:v>
                </c:pt>
                <c:pt idx="545">
                  <c:v>41200</c:v>
                </c:pt>
                <c:pt idx="546">
                  <c:v>41199</c:v>
                </c:pt>
                <c:pt idx="547">
                  <c:v>41198</c:v>
                </c:pt>
                <c:pt idx="548">
                  <c:v>41197</c:v>
                </c:pt>
                <c:pt idx="549">
                  <c:v>41194</c:v>
                </c:pt>
                <c:pt idx="550">
                  <c:v>41193</c:v>
                </c:pt>
                <c:pt idx="551">
                  <c:v>41192</c:v>
                </c:pt>
                <c:pt idx="552">
                  <c:v>41191</c:v>
                </c:pt>
                <c:pt idx="553">
                  <c:v>41190</c:v>
                </c:pt>
                <c:pt idx="554">
                  <c:v>41187</c:v>
                </c:pt>
                <c:pt idx="555">
                  <c:v>41186</c:v>
                </c:pt>
                <c:pt idx="556">
                  <c:v>41185</c:v>
                </c:pt>
                <c:pt idx="557">
                  <c:v>41184</c:v>
                </c:pt>
                <c:pt idx="558">
                  <c:v>41183</c:v>
                </c:pt>
                <c:pt idx="559">
                  <c:v>41180</c:v>
                </c:pt>
                <c:pt idx="560">
                  <c:v>41179</c:v>
                </c:pt>
                <c:pt idx="561">
                  <c:v>41178</c:v>
                </c:pt>
                <c:pt idx="562">
                  <c:v>41177</c:v>
                </c:pt>
                <c:pt idx="563">
                  <c:v>41176</c:v>
                </c:pt>
                <c:pt idx="564">
                  <c:v>41173</c:v>
                </c:pt>
                <c:pt idx="565">
                  <c:v>41172</c:v>
                </c:pt>
                <c:pt idx="566">
                  <c:v>41171</c:v>
                </c:pt>
                <c:pt idx="567">
                  <c:v>41170</c:v>
                </c:pt>
                <c:pt idx="568">
                  <c:v>41169</c:v>
                </c:pt>
                <c:pt idx="569">
                  <c:v>41166</c:v>
                </c:pt>
                <c:pt idx="570">
                  <c:v>41165</c:v>
                </c:pt>
                <c:pt idx="571">
                  <c:v>41164</c:v>
                </c:pt>
                <c:pt idx="572">
                  <c:v>41163</c:v>
                </c:pt>
                <c:pt idx="573">
                  <c:v>41162</c:v>
                </c:pt>
                <c:pt idx="574">
                  <c:v>41159</c:v>
                </c:pt>
                <c:pt idx="575">
                  <c:v>41158</c:v>
                </c:pt>
                <c:pt idx="576">
                  <c:v>41157</c:v>
                </c:pt>
                <c:pt idx="577">
                  <c:v>41156</c:v>
                </c:pt>
                <c:pt idx="578">
                  <c:v>41152</c:v>
                </c:pt>
                <c:pt idx="579">
                  <c:v>41151</c:v>
                </c:pt>
                <c:pt idx="580">
                  <c:v>41150</c:v>
                </c:pt>
                <c:pt idx="581">
                  <c:v>41149</c:v>
                </c:pt>
                <c:pt idx="582">
                  <c:v>41148</c:v>
                </c:pt>
                <c:pt idx="583">
                  <c:v>41145</c:v>
                </c:pt>
                <c:pt idx="584">
                  <c:v>41144</c:v>
                </c:pt>
                <c:pt idx="585">
                  <c:v>41143</c:v>
                </c:pt>
                <c:pt idx="586">
                  <c:v>41142</c:v>
                </c:pt>
                <c:pt idx="587">
                  <c:v>41141</c:v>
                </c:pt>
                <c:pt idx="588">
                  <c:v>41138</c:v>
                </c:pt>
                <c:pt idx="589">
                  <c:v>41137</c:v>
                </c:pt>
                <c:pt idx="590">
                  <c:v>41136</c:v>
                </c:pt>
                <c:pt idx="591">
                  <c:v>41135</c:v>
                </c:pt>
                <c:pt idx="592">
                  <c:v>41134</c:v>
                </c:pt>
                <c:pt idx="593">
                  <c:v>41131</c:v>
                </c:pt>
                <c:pt idx="594">
                  <c:v>41130</c:v>
                </c:pt>
                <c:pt idx="595">
                  <c:v>41129</c:v>
                </c:pt>
                <c:pt idx="596">
                  <c:v>41128</c:v>
                </c:pt>
                <c:pt idx="597">
                  <c:v>41127</c:v>
                </c:pt>
                <c:pt idx="598">
                  <c:v>41124</c:v>
                </c:pt>
                <c:pt idx="599">
                  <c:v>41123</c:v>
                </c:pt>
                <c:pt idx="600">
                  <c:v>41122</c:v>
                </c:pt>
                <c:pt idx="601">
                  <c:v>41121</c:v>
                </c:pt>
                <c:pt idx="602">
                  <c:v>41120</c:v>
                </c:pt>
                <c:pt idx="603">
                  <c:v>41117</c:v>
                </c:pt>
                <c:pt idx="604">
                  <c:v>41116</c:v>
                </c:pt>
                <c:pt idx="605">
                  <c:v>41115</c:v>
                </c:pt>
                <c:pt idx="606">
                  <c:v>41114</c:v>
                </c:pt>
                <c:pt idx="607">
                  <c:v>41113</c:v>
                </c:pt>
                <c:pt idx="608">
                  <c:v>41110</c:v>
                </c:pt>
                <c:pt idx="609">
                  <c:v>41109</c:v>
                </c:pt>
                <c:pt idx="610">
                  <c:v>41108</c:v>
                </c:pt>
                <c:pt idx="611">
                  <c:v>41107</c:v>
                </c:pt>
                <c:pt idx="612">
                  <c:v>41106</c:v>
                </c:pt>
                <c:pt idx="613">
                  <c:v>41103</c:v>
                </c:pt>
                <c:pt idx="614">
                  <c:v>41102</c:v>
                </c:pt>
                <c:pt idx="615">
                  <c:v>41101</c:v>
                </c:pt>
                <c:pt idx="616">
                  <c:v>41100</c:v>
                </c:pt>
                <c:pt idx="617">
                  <c:v>41099</c:v>
                </c:pt>
                <c:pt idx="618">
                  <c:v>41096</c:v>
                </c:pt>
                <c:pt idx="619">
                  <c:v>41095</c:v>
                </c:pt>
                <c:pt idx="620">
                  <c:v>41093</c:v>
                </c:pt>
                <c:pt idx="621">
                  <c:v>41092</c:v>
                </c:pt>
                <c:pt idx="622">
                  <c:v>41089</c:v>
                </c:pt>
                <c:pt idx="623">
                  <c:v>41088</c:v>
                </c:pt>
                <c:pt idx="624">
                  <c:v>41087</c:v>
                </c:pt>
                <c:pt idx="625">
                  <c:v>41086</c:v>
                </c:pt>
                <c:pt idx="626">
                  <c:v>41085</c:v>
                </c:pt>
                <c:pt idx="627">
                  <c:v>41082</c:v>
                </c:pt>
                <c:pt idx="628">
                  <c:v>41081</c:v>
                </c:pt>
                <c:pt idx="629">
                  <c:v>41080</c:v>
                </c:pt>
                <c:pt idx="630">
                  <c:v>41079</c:v>
                </c:pt>
                <c:pt idx="631">
                  <c:v>41078</c:v>
                </c:pt>
                <c:pt idx="632">
                  <c:v>41075</c:v>
                </c:pt>
                <c:pt idx="633">
                  <c:v>41074</c:v>
                </c:pt>
                <c:pt idx="634">
                  <c:v>41073</c:v>
                </c:pt>
                <c:pt idx="635">
                  <c:v>41072</c:v>
                </c:pt>
                <c:pt idx="636">
                  <c:v>41071</c:v>
                </c:pt>
                <c:pt idx="637">
                  <c:v>41068</c:v>
                </c:pt>
                <c:pt idx="638">
                  <c:v>41067</c:v>
                </c:pt>
                <c:pt idx="639">
                  <c:v>41066</c:v>
                </c:pt>
                <c:pt idx="640">
                  <c:v>41065</c:v>
                </c:pt>
                <c:pt idx="641">
                  <c:v>41064</c:v>
                </c:pt>
                <c:pt idx="642">
                  <c:v>41061</c:v>
                </c:pt>
                <c:pt idx="643">
                  <c:v>41060</c:v>
                </c:pt>
                <c:pt idx="644">
                  <c:v>41059</c:v>
                </c:pt>
                <c:pt idx="645">
                  <c:v>41058</c:v>
                </c:pt>
                <c:pt idx="646">
                  <c:v>41054</c:v>
                </c:pt>
                <c:pt idx="647">
                  <c:v>41053</c:v>
                </c:pt>
                <c:pt idx="648">
                  <c:v>41052</c:v>
                </c:pt>
                <c:pt idx="649">
                  <c:v>41051</c:v>
                </c:pt>
                <c:pt idx="650">
                  <c:v>41050</c:v>
                </c:pt>
                <c:pt idx="651">
                  <c:v>41047</c:v>
                </c:pt>
                <c:pt idx="652">
                  <c:v>41046</c:v>
                </c:pt>
                <c:pt idx="653">
                  <c:v>41045</c:v>
                </c:pt>
                <c:pt idx="654">
                  <c:v>41044</c:v>
                </c:pt>
                <c:pt idx="655">
                  <c:v>41043</c:v>
                </c:pt>
                <c:pt idx="656">
                  <c:v>41040</c:v>
                </c:pt>
                <c:pt idx="657">
                  <c:v>41039</c:v>
                </c:pt>
                <c:pt idx="658">
                  <c:v>41038</c:v>
                </c:pt>
                <c:pt idx="659">
                  <c:v>41037</c:v>
                </c:pt>
                <c:pt idx="660">
                  <c:v>41036</c:v>
                </c:pt>
                <c:pt idx="661">
                  <c:v>41033</c:v>
                </c:pt>
                <c:pt idx="662">
                  <c:v>41032</c:v>
                </c:pt>
                <c:pt idx="663">
                  <c:v>41031</c:v>
                </c:pt>
                <c:pt idx="664">
                  <c:v>41030</c:v>
                </c:pt>
                <c:pt idx="665">
                  <c:v>41029</c:v>
                </c:pt>
                <c:pt idx="666">
                  <c:v>41026</c:v>
                </c:pt>
                <c:pt idx="667">
                  <c:v>41025</c:v>
                </c:pt>
                <c:pt idx="668">
                  <c:v>41024</c:v>
                </c:pt>
                <c:pt idx="669">
                  <c:v>41023</c:v>
                </c:pt>
                <c:pt idx="670">
                  <c:v>41022</c:v>
                </c:pt>
                <c:pt idx="671">
                  <c:v>41019</c:v>
                </c:pt>
                <c:pt idx="672">
                  <c:v>41018</c:v>
                </c:pt>
                <c:pt idx="673">
                  <c:v>41017</c:v>
                </c:pt>
                <c:pt idx="674">
                  <c:v>41016</c:v>
                </c:pt>
                <c:pt idx="675">
                  <c:v>41015</c:v>
                </c:pt>
                <c:pt idx="676">
                  <c:v>41012</c:v>
                </c:pt>
                <c:pt idx="677">
                  <c:v>41011</c:v>
                </c:pt>
                <c:pt idx="678">
                  <c:v>41010</c:v>
                </c:pt>
                <c:pt idx="679">
                  <c:v>41009</c:v>
                </c:pt>
                <c:pt idx="680">
                  <c:v>41008</c:v>
                </c:pt>
                <c:pt idx="681">
                  <c:v>41004</c:v>
                </c:pt>
                <c:pt idx="682">
                  <c:v>41003</c:v>
                </c:pt>
                <c:pt idx="683">
                  <c:v>41002</c:v>
                </c:pt>
                <c:pt idx="684">
                  <c:v>41001</c:v>
                </c:pt>
                <c:pt idx="685">
                  <c:v>40998</c:v>
                </c:pt>
                <c:pt idx="686">
                  <c:v>40997</c:v>
                </c:pt>
                <c:pt idx="687">
                  <c:v>40996</c:v>
                </c:pt>
                <c:pt idx="688">
                  <c:v>40995</c:v>
                </c:pt>
                <c:pt idx="689">
                  <c:v>40994</c:v>
                </c:pt>
                <c:pt idx="690">
                  <c:v>40991</c:v>
                </c:pt>
                <c:pt idx="691">
                  <c:v>40990</c:v>
                </c:pt>
                <c:pt idx="692">
                  <c:v>40989</c:v>
                </c:pt>
                <c:pt idx="693">
                  <c:v>40988</c:v>
                </c:pt>
                <c:pt idx="694">
                  <c:v>40987</c:v>
                </c:pt>
                <c:pt idx="695">
                  <c:v>40984</c:v>
                </c:pt>
                <c:pt idx="696">
                  <c:v>40983</c:v>
                </c:pt>
                <c:pt idx="697">
                  <c:v>40982</c:v>
                </c:pt>
                <c:pt idx="698">
                  <c:v>40981</c:v>
                </c:pt>
                <c:pt idx="699">
                  <c:v>40980</c:v>
                </c:pt>
                <c:pt idx="700">
                  <c:v>40977</c:v>
                </c:pt>
                <c:pt idx="701">
                  <c:v>40976</c:v>
                </c:pt>
                <c:pt idx="702">
                  <c:v>40975</c:v>
                </c:pt>
                <c:pt idx="703">
                  <c:v>40974</c:v>
                </c:pt>
                <c:pt idx="704">
                  <c:v>40973</c:v>
                </c:pt>
                <c:pt idx="705">
                  <c:v>40970</c:v>
                </c:pt>
                <c:pt idx="706">
                  <c:v>40969</c:v>
                </c:pt>
                <c:pt idx="707">
                  <c:v>40968</c:v>
                </c:pt>
                <c:pt idx="708">
                  <c:v>40967</c:v>
                </c:pt>
                <c:pt idx="709">
                  <c:v>40966</c:v>
                </c:pt>
                <c:pt idx="710">
                  <c:v>40963</c:v>
                </c:pt>
                <c:pt idx="711">
                  <c:v>40962</c:v>
                </c:pt>
                <c:pt idx="712">
                  <c:v>40961</c:v>
                </c:pt>
                <c:pt idx="713">
                  <c:v>40960</c:v>
                </c:pt>
                <c:pt idx="714">
                  <c:v>40956</c:v>
                </c:pt>
                <c:pt idx="715">
                  <c:v>40955</c:v>
                </c:pt>
                <c:pt idx="716">
                  <c:v>40954</c:v>
                </c:pt>
                <c:pt idx="717">
                  <c:v>40953</c:v>
                </c:pt>
                <c:pt idx="718">
                  <c:v>40952</c:v>
                </c:pt>
                <c:pt idx="719">
                  <c:v>40949</c:v>
                </c:pt>
                <c:pt idx="720">
                  <c:v>40948</c:v>
                </c:pt>
                <c:pt idx="721">
                  <c:v>40947</c:v>
                </c:pt>
                <c:pt idx="722">
                  <c:v>40946</c:v>
                </c:pt>
                <c:pt idx="723">
                  <c:v>40945</c:v>
                </c:pt>
                <c:pt idx="724">
                  <c:v>40942</c:v>
                </c:pt>
                <c:pt idx="725">
                  <c:v>40941</c:v>
                </c:pt>
                <c:pt idx="726">
                  <c:v>40940</c:v>
                </c:pt>
                <c:pt idx="727">
                  <c:v>40939</c:v>
                </c:pt>
                <c:pt idx="728">
                  <c:v>40938</c:v>
                </c:pt>
                <c:pt idx="729">
                  <c:v>40935</c:v>
                </c:pt>
                <c:pt idx="730">
                  <c:v>40934</c:v>
                </c:pt>
                <c:pt idx="731">
                  <c:v>40933</c:v>
                </c:pt>
                <c:pt idx="732">
                  <c:v>40932</c:v>
                </c:pt>
                <c:pt idx="733">
                  <c:v>40931</c:v>
                </c:pt>
                <c:pt idx="734">
                  <c:v>40928</c:v>
                </c:pt>
                <c:pt idx="735">
                  <c:v>40927</c:v>
                </c:pt>
                <c:pt idx="736">
                  <c:v>40926</c:v>
                </c:pt>
                <c:pt idx="737">
                  <c:v>40925</c:v>
                </c:pt>
                <c:pt idx="738">
                  <c:v>40921</c:v>
                </c:pt>
                <c:pt idx="739">
                  <c:v>40920</c:v>
                </c:pt>
                <c:pt idx="740">
                  <c:v>40919</c:v>
                </c:pt>
                <c:pt idx="741">
                  <c:v>40918</c:v>
                </c:pt>
                <c:pt idx="742">
                  <c:v>40917</c:v>
                </c:pt>
                <c:pt idx="743">
                  <c:v>40914</c:v>
                </c:pt>
                <c:pt idx="744">
                  <c:v>40913</c:v>
                </c:pt>
                <c:pt idx="745">
                  <c:v>40912</c:v>
                </c:pt>
                <c:pt idx="746">
                  <c:v>40911</c:v>
                </c:pt>
                <c:pt idx="747">
                  <c:v>40907</c:v>
                </c:pt>
                <c:pt idx="748">
                  <c:v>40906</c:v>
                </c:pt>
                <c:pt idx="749">
                  <c:v>40905</c:v>
                </c:pt>
                <c:pt idx="750">
                  <c:v>40904</c:v>
                </c:pt>
                <c:pt idx="751">
                  <c:v>40900</c:v>
                </c:pt>
                <c:pt idx="752">
                  <c:v>40899</c:v>
                </c:pt>
                <c:pt idx="753">
                  <c:v>40898</c:v>
                </c:pt>
                <c:pt idx="754">
                  <c:v>40897</c:v>
                </c:pt>
                <c:pt idx="755">
                  <c:v>40896</c:v>
                </c:pt>
                <c:pt idx="756">
                  <c:v>40893</c:v>
                </c:pt>
                <c:pt idx="757">
                  <c:v>40892</c:v>
                </c:pt>
                <c:pt idx="758">
                  <c:v>40891</c:v>
                </c:pt>
                <c:pt idx="759">
                  <c:v>40890</c:v>
                </c:pt>
                <c:pt idx="760">
                  <c:v>40889</c:v>
                </c:pt>
                <c:pt idx="761">
                  <c:v>40886</c:v>
                </c:pt>
                <c:pt idx="762">
                  <c:v>40885</c:v>
                </c:pt>
                <c:pt idx="763">
                  <c:v>40884</c:v>
                </c:pt>
                <c:pt idx="764">
                  <c:v>40883</c:v>
                </c:pt>
                <c:pt idx="765">
                  <c:v>40882</c:v>
                </c:pt>
                <c:pt idx="766">
                  <c:v>40879</c:v>
                </c:pt>
                <c:pt idx="767">
                  <c:v>40878</c:v>
                </c:pt>
                <c:pt idx="768">
                  <c:v>40877</c:v>
                </c:pt>
                <c:pt idx="769">
                  <c:v>40876</c:v>
                </c:pt>
                <c:pt idx="770">
                  <c:v>40875</c:v>
                </c:pt>
                <c:pt idx="771">
                  <c:v>40872</c:v>
                </c:pt>
                <c:pt idx="772">
                  <c:v>40870</c:v>
                </c:pt>
                <c:pt idx="773">
                  <c:v>40869</c:v>
                </c:pt>
                <c:pt idx="774">
                  <c:v>40868</c:v>
                </c:pt>
                <c:pt idx="775">
                  <c:v>40865</c:v>
                </c:pt>
                <c:pt idx="776">
                  <c:v>40864</c:v>
                </c:pt>
                <c:pt idx="777">
                  <c:v>40863</c:v>
                </c:pt>
                <c:pt idx="778">
                  <c:v>40862</c:v>
                </c:pt>
                <c:pt idx="779">
                  <c:v>40861</c:v>
                </c:pt>
                <c:pt idx="780">
                  <c:v>40858</c:v>
                </c:pt>
                <c:pt idx="781">
                  <c:v>40857</c:v>
                </c:pt>
                <c:pt idx="782">
                  <c:v>40856</c:v>
                </c:pt>
                <c:pt idx="783">
                  <c:v>40855</c:v>
                </c:pt>
                <c:pt idx="784">
                  <c:v>40854</c:v>
                </c:pt>
                <c:pt idx="785">
                  <c:v>40851</c:v>
                </c:pt>
                <c:pt idx="786">
                  <c:v>40850</c:v>
                </c:pt>
                <c:pt idx="787">
                  <c:v>40849</c:v>
                </c:pt>
                <c:pt idx="788">
                  <c:v>40848</c:v>
                </c:pt>
                <c:pt idx="789">
                  <c:v>40847</c:v>
                </c:pt>
                <c:pt idx="790">
                  <c:v>40844</c:v>
                </c:pt>
                <c:pt idx="791">
                  <c:v>40843</c:v>
                </c:pt>
                <c:pt idx="792">
                  <c:v>40842</c:v>
                </c:pt>
                <c:pt idx="793">
                  <c:v>40841</c:v>
                </c:pt>
                <c:pt idx="794">
                  <c:v>40840</c:v>
                </c:pt>
                <c:pt idx="795">
                  <c:v>40837</c:v>
                </c:pt>
                <c:pt idx="796">
                  <c:v>40836</c:v>
                </c:pt>
                <c:pt idx="797">
                  <c:v>40835</c:v>
                </c:pt>
                <c:pt idx="798">
                  <c:v>40834</c:v>
                </c:pt>
                <c:pt idx="799">
                  <c:v>40833</c:v>
                </c:pt>
                <c:pt idx="800">
                  <c:v>40830</c:v>
                </c:pt>
                <c:pt idx="801">
                  <c:v>40829</c:v>
                </c:pt>
                <c:pt idx="802">
                  <c:v>40828</c:v>
                </c:pt>
                <c:pt idx="803">
                  <c:v>40827</c:v>
                </c:pt>
                <c:pt idx="804">
                  <c:v>40826</c:v>
                </c:pt>
                <c:pt idx="805">
                  <c:v>40823</c:v>
                </c:pt>
                <c:pt idx="806">
                  <c:v>40822</c:v>
                </c:pt>
                <c:pt idx="807">
                  <c:v>40821</c:v>
                </c:pt>
                <c:pt idx="808">
                  <c:v>40820</c:v>
                </c:pt>
                <c:pt idx="809">
                  <c:v>40819</c:v>
                </c:pt>
                <c:pt idx="810">
                  <c:v>40816</c:v>
                </c:pt>
                <c:pt idx="811">
                  <c:v>40815</c:v>
                </c:pt>
                <c:pt idx="812">
                  <c:v>40814</c:v>
                </c:pt>
                <c:pt idx="813">
                  <c:v>40813</c:v>
                </c:pt>
                <c:pt idx="814">
                  <c:v>40812</c:v>
                </c:pt>
                <c:pt idx="815">
                  <c:v>40809</c:v>
                </c:pt>
                <c:pt idx="816">
                  <c:v>40808</c:v>
                </c:pt>
                <c:pt idx="817">
                  <c:v>40807</c:v>
                </c:pt>
                <c:pt idx="818">
                  <c:v>40806</c:v>
                </c:pt>
                <c:pt idx="819">
                  <c:v>40805</c:v>
                </c:pt>
                <c:pt idx="820">
                  <c:v>40802</c:v>
                </c:pt>
                <c:pt idx="821">
                  <c:v>40801</c:v>
                </c:pt>
                <c:pt idx="822">
                  <c:v>40800</c:v>
                </c:pt>
                <c:pt idx="823">
                  <c:v>40799</c:v>
                </c:pt>
                <c:pt idx="824">
                  <c:v>40798</c:v>
                </c:pt>
                <c:pt idx="825">
                  <c:v>40795</c:v>
                </c:pt>
                <c:pt idx="826">
                  <c:v>40794</c:v>
                </c:pt>
                <c:pt idx="827">
                  <c:v>40793</c:v>
                </c:pt>
                <c:pt idx="828">
                  <c:v>40792</c:v>
                </c:pt>
                <c:pt idx="829">
                  <c:v>40788</c:v>
                </c:pt>
                <c:pt idx="830">
                  <c:v>40787</c:v>
                </c:pt>
                <c:pt idx="831">
                  <c:v>40786</c:v>
                </c:pt>
                <c:pt idx="832">
                  <c:v>40785</c:v>
                </c:pt>
                <c:pt idx="833">
                  <c:v>40784</c:v>
                </c:pt>
                <c:pt idx="834">
                  <c:v>40781</c:v>
                </c:pt>
                <c:pt idx="835">
                  <c:v>40780</c:v>
                </c:pt>
                <c:pt idx="836">
                  <c:v>40779</c:v>
                </c:pt>
                <c:pt idx="837">
                  <c:v>40778</c:v>
                </c:pt>
                <c:pt idx="838">
                  <c:v>40777</c:v>
                </c:pt>
                <c:pt idx="839">
                  <c:v>40774</c:v>
                </c:pt>
                <c:pt idx="840">
                  <c:v>40773</c:v>
                </c:pt>
                <c:pt idx="841">
                  <c:v>40772</c:v>
                </c:pt>
                <c:pt idx="842">
                  <c:v>40771</c:v>
                </c:pt>
                <c:pt idx="843">
                  <c:v>40770</c:v>
                </c:pt>
                <c:pt idx="844">
                  <c:v>40767</c:v>
                </c:pt>
                <c:pt idx="845">
                  <c:v>40766</c:v>
                </c:pt>
                <c:pt idx="846">
                  <c:v>40765</c:v>
                </c:pt>
                <c:pt idx="847">
                  <c:v>40764</c:v>
                </c:pt>
                <c:pt idx="848">
                  <c:v>40763</c:v>
                </c:pt>
                <c:pt idx="849">
                  <c:v>40760</c:v>
                </c:pt>
                <c:pt idx="850">
                  <c:v>40759</c:v>
                </c:pt>
                <c:pt idx="851">
                  <c:v>40758</c:v>
                </c:pt>
                <c:pt idx="852">
                  <c:v>40757</c:v>
                </c:pt>
                <c:pt idx="853">
                  <c:v>40756</c:v>
                </c:pt>
                <c:pt idx="854">
                  <c:v>40753</c:v>
                </c:pt>
                <c:pt idx="855">
                  <c:v>40752</c:v>
                </c:pt>
                <c:pt idx="856">
                  <c:v>40751</c:v>
                </c:pt>
                <c:pt idx="857">
                  <c:v>40750</c:v>
                </c:pt>
                <c:pt idx="858">
                  <c:v>40749</c:v>
                </c:pt>
                <c:pt idx="859">
                  <c:v>40746</c:v>
                </c:pt>
                <c:pt idx="860">
                  <c:v>40745</c:v>
                </c:pt>
                <c:pt idx="861">
                  <c:v>40744</c:v>
                </c:pt>
                <c:pt idx="862">
                  <c:v>40743</c:v>
                </c:pt>
                <c:pt idx="863">
                  <c:v>40742</c:v>
                </c:pt>
                <c:pt idx="864">
                  <c:v>40739</c:v>
                </c:pt>
                <c:pt idx="865">
                  <c:v>40738</c:v>
                </c:pt>
                <c:pt idx="866">
                  <c:v>40737</c:v>
                </c:pt>
                <c:pt idx="867">
                  <c:v>40736</c:v>
                </c:pt>
                <c:pt idx="868">
                  <c:v>40735</c:v>
                </c:pt>
                <c:pt idx="869">
                  <c:v>40732</c:v>
                </c:pt>
                <c:pt idx="870">
                  <c:v>40731</c:v>
                </c:pt>
                <c:pt idx="871">
                  <c:v>40730</c:v>
                </c:pt>
                <c:pt idx="872">
                  <c:v>40729</c:v>
                </c:pt>
                <c:pt idx="873">
                  <c:v>40725</c:v>
                </c:pt>
                <c:pt idx="874">
                  <c:v>40724</c:v>
                </c:pt>
                <c:pt idx="875">
                  <c:v>40723</c:v>
                </c:pt>
                <c:pt idx="876">
                  <c:v>40722</c:v>
                </c:pt>
                <c:pt idx="877">
                  <c:v>40721</c:v>
                </c:pt>
                <c:pt idx="878">
                  <c:v>40718</c:v>
                </c:pt>
                <c:pt idx="879">
                  <c:v>40717</c:v>
                </c:pt>
                <c:pt idx="880">
                  <c:v>40716</c:v>
                </c:pt>
                <c:pt idx="881">
                  <c:v>40715</c:v>
                </c:pt>
                <c:pt idx="882">
                  <c:v>40714</c:v>
                </c:pt>
                <c:pt idx="883">
                  <c:v>40711</c:v>
                </c:pt>
                <c:pt idx="884">
                  <c:v>40710</c:v>
                </c:pt>
                <c:pt idx="885">
                  <c:v>40709</c:v>
                </c:pt>
                <c:pt idx="886">
                  <c:v>40708</c:v>
                </c:pt>
                <c:pt idx="887">
                  <c:v>40707</c:v>
                </c:pt>
                <c:pt idx="888">
                  <c:v>40704</c:v>
                </c:pt>
                <c:pt idx="889">
                  <c:v>40703</c:v>
                </c:pt>
                <c:pt idx="890">
                  <c:v>40702</c:v>
                </c:pt>
                <c:pt idx="891">
                  <c:v>40701</c:v>
                </c:pt>
                <c:pt idx="892">
                  <c:v>40700</c:v>
                </c:pt>
                <c:pt idx="893">
                  <c:v>40697</c:v>
                </c:pt>
                <c:pt idx="894">
                  <c:v>40696</c:v>
                </c:pt>
                <c:pt idx="895">
                  <c:v>40695</c:v>
                </c:pt>
                <c:pt idx="896">
                  <c:v>40694</c:v>
                </c:pt>
                <c:pt idx="897">
                  <c:v>40690</c:v>
                </c:pt>
                <c:pt idx="898">
                  <c:v>40689</c:v>
                </c:pt>
                <c:pt idx="899">
                  <c:v>40688</c:v>
                </c:pt>
                <c:pt idx="900">
                  <c:v>40687</c:v>
                </c:pt>
                <c:pt idx="901">
                  <c:v>40686</c:v>
                </c:pt>
                <c:pt idx="902">
                  <c:v>40683</c:v>
                </c:pt>
                <c:pt idx="903">
                  <c:v>40682</c:v>
                </c:pt>
                <c:pt idx="904">
                  <c:v>40681</c:v>
                </c:pt>
                <c:pt idx="905">
                  <c:v>40680</c:v>
                </c:pt>
                <c:pt idx="906">
                  <c:v>40679</c:v>
                </c:pt>
                <c:pt idx="907">
                  <c:v>40676</c:v>
                </c:pt>
                <c:pt idx="908">
                  <c:v>40675</c:v>
                </c:pt>
                <c:pt idx="909">
                  <c:v>40674</c:v>
                </c:pt>
                <c:pt idx="910">
                  <c:v>40673</c:v>
                </c:pt>
                <c:pt idx="911">
                  <c:v>40672</c:v>
                </c:pt>
                <c:pt idx="912">
                  <c:v>40669</c:v>
                </c:pt>
                <c:pt idx="913">
                  <c:v>40668</c:v>
                </c:pt>
                <c:pt idx="914">
                  <c:v>40667</c:v>
                </c:pt>
                <c:pt idx="915">
                  <c:v>40666</c:v>
                </c:pt>
                <c:pt idx="916">
                  <c:v>40665</c:v>
                </c:pt>
                <c:pt idx="917">
                  <c:v>40662</c:v>
                </c:pt>
                <c:pt idx="918">
                  <c:v>40661</c:v>
                </c:pt>
                <c:pt idx="919">
                  <c:v>40660</c:v>
                </c:pt>
                <c:pt idx="920">
                  <c:v>40659</c:v>
                </c:pt>
                <c:pt idx="921">
                  <c:v>40658</c:v>
                </c:pt>
                <c:pt idx="922">
                  <c:v>40654</c:v>
                </c:pt>
                <c:pt idx="923">
                  <c:v>40653</c:v>
                </c:pt>
                <c:pt idx="924">
                  <c:v>40652</c:v>
                </c:pt>
                <c:pt idx="925">
                  <c:v>40651</c:v>
                </c:pt>
                <c:pt idx="926">
                  <c:v>40648</c:v>
                </c:pt>
                <c:pt idx="927">
                  <c:v>40647</c:v>
                </c:pt>
                <c:pt idx="928">
                  <c:v>40646</c:v>
                </c:pt>
                <c:pt idx="929">
                  <c:v>40645</c:v>
                </c:pt>
                <c:pt idx="930">
                  <c:v>40644</c:v>
                </c:pt>
                <c:pt idx="931">
                  <c:v>40641</c:v>
                </c:pt>
                <c:pt idx="932">
                  <c:v>40640</c:v>
                </c:pt>
                <c:pt idx="933">
                  <c:v>40639</c:v>
                </c:pt>
                <c:pt idx="934">
                  <c:v>40638</c:v>
                </c:pt>
                <c:pt idx="935">
                  <c:v>40637</c:v>
                </c:pt>
                <c:pt idx="936">
                  <c:v>40634</c:v>
                </c:pt>
                <c:pt idx="937">
                  <c:v>40633</c:v>
                </c:pt>
                <c:pt idx="938">
                  <c:v>40632</c:v>
                </c:pt>
                <c:pt idx="939">
                  <c:v>40631</c:v>
                </c:pt>
                <c:pt idx="940">
                  <c:v>40630</c:v>
                </c:pt>
                <c:pt idx="941">
                  <c:v>40627</c:v>
                </c:pt>
                <c:pt idx="942">
                  <c:v>40626</c:v>
                </c:pt>
                <c:pt idx="943">
                  <c:v>40625</c:v>
                </c:pt>
                <c:pt idx="944">
                  <c:v>40624</c:v>
                </c:pt>
                <c:pt idx="945">
                  <c:v>40623</c:v>
                </c:pt>
                <c:pt idx="946">
                  <c:v>40620</c:v>
                </c:pt>
                <c:pt idx="947">
                  <c:v>40619</c:v>
                </c:pt>
                <c:pt idx="948">
                  <c:v>40618</c:v>
                </c:pt>
                <c:pt idx="949">
                  <c:v>40617</c:v>
                </c:pt>
                <c:pt idx="950">
                  <c:v>40616</c:v>
                </c:pt>
                <c:pt idx="951">
                  <c:v>40613</c:v>
                </c:pt>
                <c:pt idx="952">
                  <c:v>40612</c:v>
                </c:pt>
                <c:pt idx="953">
                  <c:v>40611</c:v>
                </c:pt>
                <c:pt idx="954">
                  <c:v>40610</c:v>
                </c:pt>
                <c:pt idx="955">
                  <c:v>40609</c:v>
                </c:pt>
                <c:pt idx="956">
                  <c:v>40606</c:v>
                </c:pt>
                <c:pt idx="957">
                  <c:v>40605</c:v>
                </c:pt>
                <c:pt idx="958">
                  <c:v>40604</c:v>
                </c:pt>
                <c:pt idx="959">
                  <c:v>40603</c:v>
                </c:pt>
                <c:pt idx="960">
                  <c:v>40602</c:v>
                </c:pt>
                <c:pt idx="961">
                  <c:v>40599</c:v>
                </c:pt>
                <c:pt idx="962">
                  <c:v>40598</c:v>
                </c:pt>
                <c:pt idx="963">
                  <c:v>40597</c:v>
                </c:pt>
                <c:pt idx="964">
                  <c:v>40596</c:v>
                </c:pt>
                <c:pt idx="965">
                  <c:v>40592</c:v>
                </c:pt>
                <c:pt idx="966">
                  <c:v>40591</c:v>
                </c:pt>
                <c:pt idx="967">
                  <c:v>40590</c:v>
                </c:pt>
                <c:pt idx="968">
                  <c:v>40589</c:v>
                </c:pt>
                <c:pt idx="969">
                  <c:v>40588</c:v>
                </c:pt>
                <c:pt idx="970">
                  <c:v>40585</c:v>
                </c:pt>
                <c:pt idx="971">
                  <c:v>40584</c:v>
                </c:pt>
                <c:pt idx="972">
                  <c:v>40583</c:v>
                </c:pt>
                <c:pt idx="973">
                  <c:v>40582</c:v>
                </c:pt>
                <c:pt idx="974">
                  <c:v>40581</c:v>
                </c:pt>
                <c:pt idx="975">
                  <c:v>40578</c:v>
                </c:pt>
                <c:pt idx="976">
                  <c:v>40577</c:v>
                </c:pt>
                <c:pt idx="977">
                  <c:v>40576</c:v>
                </c:pt>
                <c:pt idx="978">
                  <c:v>40575</c:v>
                </c:pt>
                <c:pt idx="979">
                  <c:v>40574</c:v>
                </c:pt>
                <c:pt idx="980">
                  <c:v>40571</c:v>
                </c:pt>
                <c:pt idx="981">
                  <c:v>40570</c:v>
                </c:pt>
                <c:pt idx="982">
                  <c:v>40569</c:v>
                </c:pt>
                <c:pt idx="983">
                  <c:v>40568</c:v>
                </c:pt>
                <c:pt idx="984">
                  <c:v>40567</c:v>
                </c:pt>
                <c:pt idx="985">
                  <c:v>40564</c:v>
                </c:pt>
                <c:pt idx="986">
                  <c:v>40563</c:v>
                </c:pt>
                <c:pt idx="987">
                  <c:v>40562</c:v>
                </c:pt>
                <c:pt idx="988">
                  <c:v>40561</c:v>
                </c:pt>
                <c:pt idx="989">
                  <c:v>40557</c:v>
                </c:pt>
                <c:pt idx="990">
                  <c:v>40556</c:v>
                </c:pt>
                <c:pt idx="991">
                  <c:v>40555</c:v>
                </c:pt>
                <c:pt idx="992">
                  <c:v>40554</c:v>
                </c:pt>
                <c:pt idx="993">
                  <c:v>40553</c:v>
                </c:pt>
                <c:pt idx="994">
                  <c:v>40550</c:v>
                </c:pt>
                <c:pt idx="995">
                  <c:v>40549</c:v>
                </c:pt>
                <c:pt idx="996">
                  <c:v>40548</c:v>
                </c:pt>
                <c:pt idx="997">
                  <c:v>40547</c:v>
                </c:pt>
                <c:pt idx="998">
                  <c:v>40546</c:v>
                </c:pt>
                <c:pt idx="999">
                  <c:v>40543</c:v>
                </c:pt>
                <c:pt idx="1000">
                  <c:v>40542</c:v>
                </c:pt>
                <c:pt idx="1001">
                  <c:v>40541</c:v>
                </c:pt>
                <c:pt idx="1002">
                  <c:v>40540</c:v>
                </c:pt>
                <c:pt idx="1003">
                  <c:v>40539</c:v>
                </c:pt>
                <c:pt idx="1004">
                  <c:v>40535</c:v>
                </c:pt>
                <c:pt idx="1005">
                  <c:v>40534</c:v>
                </c:pt>
                <c:pt idx="1006">
                  <c:v>40533</c:v>
                </c:pt>
                <c:pt idx="1007">
                  <c:v>40532</c:v>
                </c:pt>
                <c:pt idx="1008">
                  <c:v>40529</c:v>
                </c:pt>
                <c:pt idx="1009">
                  <c:v>40528</c:v>
                </c:pt>
                <c:pt idx="1010">
                  <c:v>40527</c:v>
                </c:pt>
                <c:pt idx="1011">
                  <c:v>40526</c:v>
                </c:pt>
                <c:pt idx="1012">
                  <c:v>40525</c:v>
                </c:pt>
                <c:pt idx="1013">
                  <c:v>40522</c:v>
                </c:pt>
                <c:pt idx="1014">
                  <c:v>40521</c:v>
                </c:pt>
                <c:pt idx="1015">
                  <c:v>40520</c:v>
                </c:pt>
                <c:pt idx="1016">
                  <c:v>40519</c:v>
                </c:pt>
                <c:pt idx="1017">
                  <c:v>40518</c:v>
                </c:pt>
                <c:pt idx="1018">
                  <c:v>40515</c:v>
                </c:pt>
                <c:pt idx="1019">
                  <c:v>40514</c:v>
                </c:pt>
                <c:pt idx="1020">
                  <c:v>40513</c:v>
                </c:pt>
                <c:pt idx="1021">
                  <c:v>40512</c:v>
                </c:pt>
                <c:pt idx="1022">
                  <c:v>40511</c:v>
                </c:pt>
                <c:pt idx="1023">
                  <c:v>40508</c:v>
                </c:pt>
                <c:pt idx="1024">
                  <c:v>40506</c:v>
                </c:pt>
                <c:pt idx="1025">
                  <c:v>40505</c:v>
                </c:pt>
                <c:pt idx="1026">
                  <c:v>40504</c:v>
                </c:pt>
                <c:pt idx="1027">
                  <c:v>40501</c:v>
                </c:pt>
                <c:pt idx="1028">
                  <c:v>40500</c:v>
                </c:pt>
                <c:pt idx="1029">
                  <c:v>40499</c:v>
                </c:pt>
                <c:pt idx="1030">
                  <c:v>40498</c:v>
                </c:pt>
                <c:pt idx="1031">
                  <c:v>40497</c:v>
                </c:pt>
                <c:pt idx="1032">
                  <c:v>40494</c:v>
                </c:pt>
                <c:pt idx="1033">
                  <c:v>40493</c:v>
                </c:pt>
                <c:pt idx="1034">
                  <c:v>40492</c:v>
                </c:pt>
                <c:pt idx="1035">
                  <c:v>40491</c:v>
                </c:pt>
                <c:pt idx="1036">
                  <c:v>40490</c:v>
                </c:pt>
                <c:pt idx="1037">
                  <c:v>40487</c:v>
                </c:pt>
                <c:pt idx="1038">
                  <c:v>40486</c:v>
                </c:pt>
                <c:pt idx="1039">
                  <c:v>40485</c:v>
                </c:pt>
                <c:pt idx="1040">
                  <c:v>40484</c:v>
                </c:pt>
                <c:pt idx="1041">
                  <c:v>40483</c:v>
                </c:pt>
                <c:pt idx="1042">
                  <c:v>40480</c:v>
                </c:pt>
                <c:pt idx="1043">
                  <c:v>40479</c:v>
                </c:pt>
                <c:pt idx="1044">
                  <c:v>40478</c:v>
                </c:pt>
                <c:pt idx="1045">
                  <c:v>40477</c:v>
                </c:pt>
                <c:pt idx="1046">
                  <c:v>40476</c:v>
                </c:pt>
                <c:pt idx="1047">
                  <c:v>40473</c:v>
                </c:pt>
                <c:pt idx="1048">
                  <c:v>40472</c:v>
                </c:pt>
                <c:pt idx="1049">
                  <c:v>40471</c:v>
                </c:pt>
                <c:pt idx="1050">
                  <c:v>40470</c:v>
                </c:pt>
                <c:pt idx="1051">
                  <c:v>40469</c:v>
                </c:pt>
                <c:pt idx="1052">
                  <c:v>40466</c:v>
                </c:pt>
                <c:pt idx="1053">
                  <c:v>40465</c:v>
                </c:pt>
                <c:pt idx="1054">
                  <c:v>40464</c:v>
                </c:pt>
                <c:pt idx="1055">
                  <c:v>40463</c:v>
                </c:pt>
                <c:pt idx="1056">
                  <c:v>40462</c:v>
                </c:pt>
                <c:pt idx="1057">
                  <c:v>40459</c:v>
                </c:pt>
                <c:pt idx="1058">
                  <c:v>40458</c:v>
                </c:pt>
                <c:pt idx="1059">
                  <c:v>40457</c:v>
                </c:pt>
                <c:pt idx="1060">
                  <c:v>40456</c:v>
                </c:pt>
                <c:pt idx="1061">
                  <c:v>40455</c:v>
                </c:pt>
                <c:pt idx="1062">
                  <c:v>40452</c:v>
                </c:pt>
                <c:pt idx="1063">
                  <c:v>40451</c:v>
                </c:pt>
                <c:pt idx="1064">
                  <c:v>40450</c:v>
                </c:pt>
                <c:pt idx="1065">
                  <c:v>40449</c:v>
                </c:pt>
                <c:pt idx="1066">
                  <c:v>40448</c:v>
                </c:pt>
                <c:pt idx="1067">
                  <c:v>40445</c:v>
                </c:pt>
                <c:pt idx="1068">
                  <c:v>40444</c:v>
                </c:pt>
                <c:pt idx="1069">
                  <c:v>40443</c:v>
                </c:pt>
                <c:pt idx="1070">
                  <c:v>40442</c:v>
                </c:pt>
                <c:pt idx="1071">
                  <c:v>40441</c:v>
                </c:pt>
                <c:pt idx="1072">
                  <c:v>40438</c:v>
                </c:pt>
                <c:pt idx="1073">
                  <c:v>40437</c:v>
                </c:pt>
                <c:pt idx="1074">
                  <c:v>40436</c:v>
                </c:pt>
                <c:pt idx="1075">
                  <c:v>40435</c:v>
                </c:pt>
                <c:pt idx="1076">
                  <c:v>40434</c:v>
                </c:pt>
                <c:pt idx="1077">
                  <c:v>40431</c:v>
                </c:pt>
                <c:pt idx="1078">
                  <c:v>40430</c:v>
                </c:pt>
                <c:pt idx="1079">
                  <c:v>40429</c:v>
                </c:pt>
                <c:pt idx="1080">
                  <c:v>40428</c:v>
                </c:pt>
                <c:pt idx="1081">
                  <c:v>40424</c:v>
                </c:pt>
                <c:pt idx="1082">
                  <c:v>40423</c:v>
                </c:pt>
                <c:pt idx="1083">
                  <c:v>40422</c:v>
                </c:pt>
                <c:pt idx="1084">
                  <c:v>40421</c:v>
                </c:pt>
                <c:pt idx="1085">
                  <c:v>40420</c:v>
                </c:pt>
                <c:pt idx="1086">
                  <c:v>40417</c:v>
                </c:pt>
                <c:pt idx="1087">
                  <c:v>40416</c:v>
                </c:pt>
                <c:pt idx="1088">
                  <c:v>40415</c:v>
                </c:pt>
                <c:pt idx="1089">
                  <c:v>40414</c:v>
                </c:pt>
                <c:pt idx="1090">
                  <c:v>40413</c:v>
                </c:pt>
                <c:pt idx="1091">
                  <c:v>40410</c:v>
                </c:pt>
                <c:pt idx="1092">
                  <c:v>40409</c:v>
                </c:pt>
                <c:pt idx="1093">
                  <c:v>40408</c:v>
                </c:pt>
                <c:pt idx="1094">
                  <c:v>40407</c:v>
                </c:pt>
                <c:pt idx="1095">
                  <c:v>40406</c:v>
                </c:pt>
                <c:pt idx="1096">
                  <c:v>40403</c:v>
                </c:pt>
                <c:pt idx="1097">
                  <c:v>40402</c:v>
                </c:pt>
                <c:pt idx="1098">
                  <c:v>40401</c:v>
                </c:pt>
                <c:pt idx="1099">
                  <c:v>40400</c:v>
                </c:pt>
                <c:pt idx="1100">
                  <c:v>40399</c:v>
                </c:pt>
                <c:pt idx="1101">
                  <c:v>40396</c:v>
                </c:pt>
                <c:pt idx="1102">
                  <c:v>40395</c:v>
                </c:pt>
                <c:pt idx="1103">
                  <c:v>40394</c:v>
                </c:pt>
                <c:pt idx="1104">
                  <c:v>40393</c:v>
                </c:pt>
                <c:pt idx="1105">
                  <c:v>40392</c:v>
                </c:pt>
                <c:pt idx="1106">
                  <c:v>40389</c:v>
                </c:pt>
                <c:pt idx="1107">
                  <c:v>40388</c:v>
                </c:pt>
                <c:pt idx="1108">
                  <c:v>40387</c:v>
                </c:pt>
                <c:pt idx="1109">
                  <c:v>40386</c:v>
                </c:pt>
                <c:pt idx="1110">
                  <c:v>40385</c:v>
                </c:pt>
                <c:pt idx="1111">
                  <c:v>40382</c:v>
                </c:pt>
                <c:pt idx="1112">
                  <c:v>40381</c:v>
                </c:pt>
                <c:pt idx="1113">
                  <c:v>40380</c:v>
                </c:pt>
                <c:pt idx="1114">
                  <c:v>40379</c:v>
                </c:pt>
                <c:pt idx="1115">
                  <c:v>40378</c:v>
                </c:pt>
                <c:pt idx="1116">
                  <c:v>40375</c:v>
                </c:pt>
                <c:pt idx="1117">
                  <c:v>40374</c:v>
                </c:pt>
                <c:pt idx="1118">
                  <c:v>40373</c:v>
                </c:pt>
                <c:pt idx="1119">
                  <c:v>40372</c:v>
                </c:pt>
                <c:pt idx="1120">
                  <c:v>40371</c:v>
                </c:pt>
                <c:pt idx="1121">
                  <c:v>40368</c:v>
                </c:pt>
                <c:pt idx="1122">
                  <c:v>40367</c:v>
                </c:pt>
                <c:pt idx="1123">
                  <c:v>40366</c:v>
                </c:pt>
                <c:pt idx="1124">
                  <c:v>40365</c:v>
                </c:pt>
                <c:pt idx="1125">
                  <c:v>40361</c:v>
                </c:pt>
                <c:pt idx="1126">
                  <c:v>40360</c:v>
                </c:pt>
                <c:pt idx="1127">
                  <c:v>40359</c:v>
                </c:pt>
                <c:pt idx="1128">
                  <c:v>40358</c:v>
                </c:pt>
                <c:pt idx="1129">
                  <c:v>40357</c:v>
                </c:pt>
                <c:pt idx="1130">
                  <c:v>40354</c:v>
                </c:pt>
                <c:pt idx="1131">
                  <c:v>40353</c:v>
                </c:pt>
                <c:pt idx="1132">
                  <c:v>40352</c:v>
                </c:pt>
                <c:pt idx="1133">
                  <c:v>40351</c:v>
                </c:pt>
                <c:pt idx="1134">
                  <c:v>40350</c:v>
                </c:pt>
                <c:pt idx="1135">
                  <c:v>40347</c:v>
                </c:pt>
                <c:pt idx="1136">
                  <c:v>40346</c:v>
                </c:pt>
                <c:pt idx="1137">
                  <c:v>40345</c:v>
                </c:pt>
                <c:pt idx="1138">
                  <c:v>40344</c:v>
                </c:pt>
                <c:pt idx="1139">
                  <c:v>40343</c:v>
                </c:pt>
                <c:pt idx="1140">
                  <c:v>40340</c:v>
                </c:pt>
                <c:pt idx="1141">
                  <c:v>40339</c:v>
                </c:pt>
                <c:pt idx="1142">
                  <c:v>40338</c:v>
                </c:pt>
                <c:pt idx="1143">
                  <c:v>40337</c:v>
                </c:pt>
                <c:pt idx="1144">
                  <c:v>40336</c:v>
                </c:pt>
                <c:pt idx="1145">
                  <c:v>40333</c:v>
                </c:pt>
                <c:pt idx="1146">
                  <c:v>40332</c:v>
                </c:pt>
                <c:pt idx="1147">
                  <c:v>40331</c:v>
                </c:pt>
                <c:pt idx="1148">
                  <c:v>40330</c:v>
                </c:pt>
                <c:pt idx="1149">
                  <c:v>40326</c:v>
                </c:pt>
                <c:pt idx="1150">
                  <c:v>40325</c:v>
                </c:pt>
                <c:pt idx="1151">
                  <c:v>40324</c:v>
                </c:pt>
                <c:pt idx="1152">
                  <c:v>40323</c:v>
                </c:pt>
                <c:pt idx="1153">
                  <c:v>40322</c:v>
                </c:pt>
                <c:pt idx="1154">
                  <c:v>40319</c:v>
                </c:pt>
                <c:pt idx="1155">
                  <c:v>40318</c:v>
                </c:pt>
                <c:pt idx="1156">
                  <c:v>40317</c:v>
                </c:pt>
                <c:pt idx="1157">
                  <c:v>40316</c:v>
                </c:pt>
                <c:pt idx="1158">
                  <c:v>40315</c:v>
                </c:pt>
                <c:pt idx="1159">
                  <c:v>40312</c:v>
                </c:pt>
                <c:pt idx="1160">
                  <c:v>40311</c:v>
                </c:pt>
                <c:pt idx="1161">
                  <c:v>40310</c:v>
                </c:pt>
                <c:pt idx="1162">
                  <c:v>40309</c:v>
                </c:pt>
                <c:pt idx="1163">
                  <c:v>40308</c:v>
                </c:pt>
                <c:pt idx="1164">
                  <c:v>40305</c:v>
                </c:pt>
                <c:pt idx="1165">
                  <c:v>40304</c:v>
                </c:pt>
                <c:pt idx="1166">
                  <c:v>40303</c:v>
                </c:pt>
                <c:pt idx="1167">
                  <c:v>40302</c:v>
                </c:pt>
                <c:pt idx="1168">
                  <c:v>40301</c:v>
                </c:pt>
                <c:pt idx="1169">
                  <c:v>40298</c:v>
                </c:pt>
                <c:pt idx="1170">
                  <c:v>40297</c:v>
                </c:pt>
                <c:pt idx="1171">
                  <c:v>40296</c:v>
                </c:pt>
                <c:pt idx="1172">
                  <c:v>40295</c:v>
                </c:pt>
                <c:pt idx="1173">
                  <c:v>40294</c:v>
                </c:pt>
                <c:pt idx="1174">
                  <c:v>40291</c:v>
                </c:pt>
                <c:pt idx="1175">
                  <c:v>40290</c:v>
                </c:pt>
                <c:pt idx="1176">
                  <c:v>40289</c:v>
                </c:pt>
                <c:pt idx="1177">
                  <c:v>40288</c:v>
                </c:pt>
                <c:pt idx="1178">
                  <c:v>40287</c:v>
                </c:pt>
                <c:pt idx="1179">
                  <c:v>40284</c:v>
                </c:pt>
                <c:pt idx="1180">
                  <c:v>40283</c:v>
                </c:pt>
                <c:pt idx="1181">
                  <c:v>40282</c:v>
                </c:pt>
                <c:pt idx="1182">
                  <c:v>40281</c:v>
                </c:pt>
                <c:pt idx="1183">
                  <c:v>40280</c:v>
                </c:pt>
                <c:pt idx="1184">
                  <c:v>40277</c:v>
                </c:pt>
                <c:pt idx="1185">
                  <c:v>40276</c:v>
                </c:pt>
                <c:pt idx="1186">
                  <c:v>40275</c:v>
                </c:pt>
                <c:pt idx="1187">
                  <c:v>40274</c:v>
                </c:pt>
                <c:pt idx="1188">
                  <c:v>40273</c:v>
                </c:pt>
                <c:pt idx="1189">
                  <c:v>40269</c:v>
                </c:pt>
                <c:pt idx="1190">
                  <c:v>40268</c:v>
                </c:pt>
                <c:pt idx="1191">
                  <c:v>40267</c:v>
                </c:pt>
                <c:pt idx="1192">
                  <c:v>40266</c:v>
                </c:pt>
                <c:pt idx="1193">
                  <c:v>40263</c:v>
                </c:pt>
                <c:pt idx="1194">
                  <c:v>40262</c:v>
                </c:pt>
                <c:pt idx="1195">
                  <c:v>40261</c:v>
                </c:pt>
                <c:pt idx="1196">
                  <c:v>40260</c:v>
                </c:pt>
                <c:pt idx="1197">
                  <c:v>40259</c:v>
                </c:pt>
                <c:pt idx="1198">
                  <c:v>40256</c:v>
                </c:pt>
                <c:pt idx="1199">
                  <c:v>40255</c:v>
                </c:pt>
                <c:pt idx="1200">
                  <c:v>40254</c:v>
                </c:pt>
                <c:pt idx="1201">
                  <c:v>40253</c:v>
                </c:pt>
                <c:pt idx="1202">
                  <c:v>40252</c:v>
                </c:pt>
                <c:pt idx="1203">
                  <c:v>40249</c:v>
                </c:pt>
                <c:pt idx="1204">
                  <c:v>40248</c:v>
                </c:pt>
                <c:pt idx="1205">
                  <c:v>40247</c:v>
                </c:pt>
                <c:pt idx="1206">
                  <c:v>40246</c:v>
                </c:pt>
                <c:pt idx="1207">
                  <c:v>40245</c:v>
                </c:pt>
                <c:pt idx="1208">
                  <c:v>40242</c:v>
                </c:pt>
                <c:pt idx="1209">
                  <c:v>40241</c:v>
                </c:pt>
                <c:pt idx="1210">
                  <c:v>40240</c:v>
                </c:pt>
                <c:pt idx="1211">
                  <c:v>40239</c:v>
                </c:pt>
                <c:pt idx="1212">
                  <c:v>40238</c:v>
                </c:pt>
                <c:pt idx="1213">
                  <c:v>40235</c:v>
                </c:pt>
                <c:pt idx="1214">
                  <c:v>40234</c:v>
                </c:pt>
                <c:pt idx="1215">
                  <c:v>40233</c:v>
                </c:pt>
                <c:pt idx="1216">
                  <c:v>40232</c:v>
                </c:pt>
                <c:pt idx="1217">
                  <c:v>40231</c:v>
                </c:pt>
                <c:pt idx="1218">
                  <c:v>40228</c:v>
                </c:pt>
                <c:pt idx="1219">
                  <c:v>40227</c:v>
                </c:pt>
                <c:pt idx="1220">
                  <c:v>40226</c:v>
                </c:pt>
                <c:pt idx="1221">
                  <c:v>40225</c:v>
                </c:pt>
                <c:pt idx="1222">
                  <c:v>40221</c:v>
                </c:pt>
                <c:pt idx="1223">
                  <c:v>40220</c:v>
                </c:pt>
                <c:pt idx="1224">
                  <c:v>40219</c:v>
                </c:pt>
                <c:pt idx="1225">
                  <c:v>40218</c:v>
                </c:pt>
                <c:pt idx="1226">
                  <c:v>40217</c:v>
                </c:pt>
                <c:pt idx="1227">
                  <c:v>40214</c:v>
                </c:pt>
                <c:pt idx="1228">
                  <c:v>40213</c:v>
                </c:pt>
                <c:pt idx="1229">
                  <c:v>40212</c:v>
                </c:pt>
                <c:pt idx="1230">
                  <c:v>40211</c:v>
                </c:pt>
                <c:pt idx="1231">
                  <c:v>40210</c:v>
                </c:pt>
                <c:pt idx="1232">
                  <c:v>40207</c:v>
                </c:pt>
                <c:pt idx="1233">
                  <c:v>40206</c:v>
                </c:pt>
                <c:pt idx="1234">
                  <c:v>40205</c:v>
                </c:pt>
                <c:pt idx="1235">
                  <c:v>40204</c:v>
                </c:pt>
                <c:pt idx="1236">
                  <c:v>40203</c:v>
                </c:pt>
                <c:pt idx="1237">
                  <c:v>40200</c:v>
                </c:pt>
                <c:pt idx="1238">
                  <c:v>40199</c:v>
                </c:pt>
                <c:pt idx="1239">
                  <c:v>40198</c:v>
                </c:pt>
                <c:pt idx="1240">
                  <c:v>40197</c:v>
                </c:pt>
                <c:pt idx="1241">
                  <c:v>40193</c:v>
                </c:pt>
                <c:pt idx="1242">
                  <c:v>40192</c:v>
                </c:pt>
                <c:pt idx="1243">
                  <c:v>40191</c:v>
                </c:pt>
                <c:pt idx="1244">
                  <c:v>40190</c:v>
                </c:pt>
                <c:pt idx="1245">
                  <c:v>40189</c:v>
                </c:pt>
                <c:pt idx="1246">
                  <c:v>40186</c:v>
                </c:pt>
                <c:pt idx="1247">
                  <c:v>40185</c:v>
                </c:pt>
                <c:pt idx="1248">
                  <c:v>40184</c:v>
                </c:pt>
                <c:pt idx="1249">
                  <c:v>40183</c:v>
                </c:pt>
                <c:pt idx="1250">
                  <c:v>40182</c:v>
                </c:pt>
                <c:pt idx="1251">
                  <c:v>40178</c:v>
                </c:pt>
                <c:pt idx="1252">
                  <c:v>40177</c:v>
                </c:pt>
                <c:pt idx="1253">
                  <c:v>40176</c:v>
                </c:pt>
                <c:pt idx="1254">
                  <c:v>40175</c:v>
                </c:pt>
                <c:pt idx="1255">
                  <c:v>40171</c:v>
                </c:pt>
                <c:pt idx="1256">
                  <c:v>40170</c:v>
                </c:pt>
                <c:pt idx="1257">
                  <c:v>40169</c:v>
                </c:pt>
                <c:pt idx="1258">
                  <c:v>40168</c:v>
                </c:pt>
                <c:pt idx="1259">
                  <c:v>40165</c:v>
                </c:pt>
                <c:pt idx="1260">
                  <c:v>40164</c:v>
                </c:pt>
                <c:pt idx="1261">
                  <c:v>40163</c:v>
                </c:pt>
                <c:pt idx="1262">
                  <c:v>40162</c:v>
                </c:pt>
                <c:pt idx="1263">
                  <c:v>40161</c:v>
                </c:pt>
                <c:pt idx="1264">
                  <c:v>40158</c:v>
                </c:pt>
                <c:pt idx="1265">
                  <c:v>40157</c:v>
                </c:pt>
                <c:pt idx="1266">
                  <c:v>40156</c:v>
                </c:pt>
                <c:pt idx="1267">
                  <c:v>40155</c:v>
                </c:pt>
                <c:pt idx="1268">
                  <c:v>40154</c:v>
                </c:pt>
                <c:pt idx="1269">
                  <c:v>40151</c:v>
                </c:pt>
                <c:pt idx="1270">
                  <c:v>40150</c:v>
                </c:pt>
                <c:pt idx="1271">
                  <c:v>40149</c:v>
                </c:pt>
                <c:pt idx="1272">
                  <c:v>40148</c:v>
                </c:pt>
                <c:pt idx="1273">
                  <c:v>40147</c:v>
                </c:pt>
                <c:pt idx="1274">
                  <c:v>40144</c:v>
                </c:pt>
                <c:pt idx="1275">
                  <c:v>40142</c:v>
                </c:pt>
                <c:pt idx="1276">
                  <c:v>40141</c:v>
                </c:pt>
                <c:pt idx="1277">
                  <c:v>40140</c:v>
                </c:pt>
                <c:pt idx="1278">
                  <c:v>40137</c:v>
                </c:pt>
                <c:pt idx="1279">
                  <c:v>40136</c:v>
                </c:pt>
                <c:pt idx="1280">
                  <c:v>40135</c:v>
                </c:pt>
                <c:pt idx="1281">
                  <c:v>40134</c:v>
                </c:pt>
                <c:pt idx="1282">
                  <c:v>40133</c:v>
                </c:pt>
                <c:pt idx="1283">
                  <c:v>40130</c:v>
                </c:pt>
                <c:pt idx="1284">
                  <c:v>40129</c:v>
                </c:pt>
                <c:pt idx="1285">
                  <c:v>40128</c:v>
                </c:pt>
                <c:pt idx="1286">
                  <c:v>40127</c:v>
                </c:pt>
                <c:pt idx="1287">
                  <c:v>40126</c:v>
                </c:pt>
                <c:pt idx="1288">
                  <c:v>40123</c:v>
                </c:pt>
                <c:pt idx="1289">
                  <c:v>40122</c:v>
                </c:pt>
                <c:pt idx="1290">
                  <c:v>40121</c:v>
                </c:pt>
                <c:pt idx="1291">
                  <c:v>40120</c:v>
                </c:pt>
                <c:pt idx="1292">
                  <c:v>40119</c:v>
                </c:pt>
                <c:pt idx="1293">
                  <c:v>40116</c:v>
                </c:pt>
                <c:pt idx="1294">
                  <c:v>40115</c:v>
                </c:pt>
                <c:pt idx="1295">
                  <c:v>40114</c:v>
                </c:pt>
                <c:pt idx="1296">
                  <c:v>40113</c:v>
                </c:pt>
                <c:pt idx="1297">
                  <c:v>40112</c:v>
                </c:pt>
                <c:pt idx="1298">
                  <c:v>40109</c:v>
                </c:pt>
                <c:pt idx="1299">
                  <c:v>40108</c:v>
                </c:pt>
                <c:pt idx="1300">
                  <c:v>40107</c:v>
                </c:pt>
                <c:pt idx="1301">
                  <c:v>40106</c:v>
                </c:pt>
                <c:pt idx="1302">
                  <c:v>40105</c:v>
                </c:pt>
                <c:pt idx="1303">
                  <c:v>40102</c:v>
                </c:pt>
                <c:pt idx="1304">
                  <c:v>40101</c:v>
                </c:pt>
                <c:pt idx="1305">
                  <c:v>40100</c:v>
                </c:pt>
                <c:pt idx="1306">
                  <c:v>40099</c:v>
                </c:pt>
                <c:pt idx="1307">
                  <c:v>40098</c:v>
                </c:pt>
                <c:pt idx="1308">
                  <c:v>40095</c:v>
                </c:pt>
                <c:pt idx="1309">
                  <c:v>40094</c:v>
                </c:pt>
                <c:pt idx="1310">
                  <c:v>40093</c:v>
                </c:pt>
                <c:pt idx="1311">
                  <c:v>40092</c:v>
                </c:pt>
                <c:pt idx="1312">
                  <c:v>40091</c:v>
                </c:pt>
                <c:pt idx="1313">
                  <c:v>40088</c:v>
                </c:pt>
                <c:pt idx="1314">
                  <c:v>40087</c:v>
                </c:pt>
                <c:pt idx="1315">
                  <c:v>40086</c:v>
                </c:pt>
                <c:pt idx="1316">
                  <c:v>40085</c:v>
                </c:pt>
                <c:pt idx="1317">
                  <c:v>40084</c:v>
                </c:pt>
                <c:pt idx="1318">
                  <c:v>40081</c:v>
                </c:pt>
                <c:pt idx="1319">
                  <c:v>40080</c:v>
                </c:pt>
                <c:pt idx="1320">
                  <c:v>40079</c:v>
                </c:pt>
                <c:pt idx="1321">
                  <c:v>40078</c:v>
                </c:pt>
                <c:pt idx="1322">
                  <c:v>40077</c:v>
                </c:pt>
                <c:pt idx="1323">
                  <c:v>40074</c:v>
                </c:pt>
                <c:pt idx="1324">
                  <c:v>40073</c:v>
                </c:pt>
                <c:pt idx="1325">
                  <c:v>40072</c:v>
                </c:pt>
                <c:pt idx="1326">
                  <c:v>40071</c:v>
                </c:pt>
                <c:pt idx="1327">
                  <c:v>40070</c:v>
                </c:pt>
                <c:pt idx="1328">
                  <c:v>40067</c:v>
                </c:pt>
                <c:pt idx="1329">
                  <c:v>40066</c:v>
                </c:pt>
                <c:pt idx="1330">
                  <c:v>40065</c:v>
                </c:pt>
                <c:pt idx="1331">
                  <c:v>40064</c:v>
                </c:pt>
                <c:pt idx="1332">
                  <c:v>40060</c:v>
                </c:pt>
                <c:pt idx="1333">
                  <c:v>40059</c:v>
                </c:pt>
                <c:pt idx="1334">
                  <c:v>40058</c:v>
                </c:pt>
                <c:pt idx="1335">
                  <c:v>40057</c:v>
                </c:pt>
                <c:pt idx="1336">
                  <c:v>40056</c:v>
                </c:pt>
                <c:pt idx="1337">
                  <c:v>40053</c:v>
                </c:pt>
                <c:pt idx="1338">
                  <c:v>40052</c:v>
                </c:pt>
                <c:pt idx="1339">
                  <c:v>40051</c:v>
                </c:pt>
                <c:pt idx="1340">
                  <c:v>40050</c:v>
                </c:pt>
                <c:pt idx="1341">
                  <c:v>40049</c:v>
                </c:pt>
                <c:pt idx="1342">
                  <c:v>40046</c:v>
                </c:pt>
                <c:pt idx="1343">
                  <c:v>40045</c:v>
                </c:pt>
                <c:pt idx="1344">
                  <c:v>40044</c:v>
                </c:pt>
                <c:pt idx="1345">
                  <c:v>40043</c:v>
                </c:pt>
                <c:pt idx="1346">
                  <c:v>40042</c:v>
                </c:pt>
                <c:pt idx="1347">
                  <c:v>40039</c:v>
                </c:pt>
                <c:pt idx="1348">
                  <c:v>40038</c:v>
                </c:pt>
                <c:pt idx="1349">
                  <c:v>40037</c:v>
                </c:pt>
                <c:pt idx="1350">
                  <c:v>40036</c:v>
                </c:pt>
                <c:pt idx="1351">
                  <c:v>40035</c:v>
                </c:pt>
                <c:pt idx="1352">
                  <c:v>40032</c:v>
                </c:pt>
                <c:pt idx="1353">
                  <c:v>40031</c:v>
                </c:pt>
                <c:pt idx="1354">
                  <c:v>40030</c:v>
                </c:pt>
                <c:pt idx="1355">
                  <c:v>40029</c:v>
                </c:pt>
                <c:pt idx="1356">
                  <c:v>40028</c:v>
                </c:pt>
                <c:pt idx="1357">
                  <c:v>40025</c:v>
                </c:pt>
                <c:pt idx="1358">
                  <c:v>40024</c:v>
                </c:pt>
                <c:pt idx="1359">
                  <c:v>40023</c:v>
                </c:pt>
                <c:pt idx="1360">
                  <c:v>40022</c:v>
                </c:pt>
                <c:pt idx="1361">
                  <c:v>40021</c:v>
                </c:pt>
                <c:pt idx="1362">
                  <c:v>40018</c:v>
                </c:pt>
                <c:pt idx="1363">
                  <c:v>40017</c:v>
                </c:pt>
                <c:pt idx="1364">
                  <c:v>40016</c:v>
                </c:pt>
                <c:pt idx="1365">
                  <c:v>40015</c:v>
                </c:pt>
                <c:pt idx="1366">
                  <c:v>40014</c:v>
                </c:pt>
                <c:pt idx="1367">
                  <c:v>40011</c:v>
                </c:pt>
                <c:pt idx="1368">
                  <c:v>40010</c:v>
                </c:pt>
                <c:pt idx="1369">
                  <c:v>40009</c:v>
                </c:pt>
                <c:pt idx="1370">
                  <c:v>40008</c:v>
                </c:pt>
                <c:pt idx="1371">
                  <c:v>40007</c:v>
                </c:pt>
                <c:pt idx="1372">
                  <c:v>40004</c:v>
                </c:pt>
                <c:pt idx="1373">
                  <c:v>40003</c:v>
                </c:pt>
                <c:pt idx="1374">
                  <c:v>40002</c:v>
                </c:pt>
                <c:pt idx="1375">
                  <c:v>40001</c:v>
                </c:pt>
                <c:pt idx="1376">
                  <c:v>40000</c:v>
                </c:pt>
                <c:pt idx="1377">
                  <c:v>39996</c:v>
                </c:pt>
                <c:pt idx="1378">
                  <c:v>39995</c:v>
                </c:pt>
                <c:pt idx="1379">
                  <c:v>39994</c:v>
                </c:pt>
                <c:pt idx="1380">
                  <c:v>39993</c:v>
                </c:pt>
                <c:pt idx="1381">
                  <c:v>39990</c:v>
                </c:pt>
                <c:pt idx="1382">
                  <c:v>39989</c:v>
                </c:pt>
                <c:pt idx="1383">
                  <c:v>39988</c:v>
                </c:pt>
                <c:pt idx="1384">
                  <c:v>39987</c:v>
                </c:pt>
                <c:pt idx="1385">
                  <c:v>39986</c:v>
                </c:pt>
                <c:pt idx="1386">
                  <c:v>39983</c:v>
                </c:pt>
                <c:pt idx="1387">
                  <c:v>39982</c:v>
                </c:pt>
                <c:pt idx="1388">
                  <c:v>39981</c:v>
                </c:pt>
                <c:pt idx="1389">
                  <c:v>39980</c:v>
                </c:pt>
                <c:pt idx="1390">
                  <c:v>39979</c:v>
                </c:pt>
                <c:pt idx="1391">
                  <c:v>39976</c:v>
                </c:pt>
                <c:pt idx="1392">
                  <c:v>39975</c:v>
                </c:pt>
                <c:pt idx="1393">
                  <c:v>39974</c:v>
                </c:pt>
                <c:pt idx="1394">
                  <c:v>39973</c:v>
                </c:pt>
                <c:pt idx="1395">
                  <c:v>39972</c:v>
                </c:pt>
                <c:pt idx="1396">
                  <c:v>39969</c:v>
                </c:pt>
                <c:pt idx="1397">
                  <c:v>39968</c:v>
                </c:pt>
                <c:pt idx="1398">
                  <c:v>39967</c:v>
                </c:pt>
                <c:pt idx="1399">
                  <c:v>39966</c:v>
                </c:pt>
                <c:pt idx="1400">
                  <c:v>39965</c:v>
                </c:pt>
                <c:pt idx="1401">
                  <c:v>39962</c:v>
                </c:pt>
                <c:pt idx="1402">
                  <c:v>39961</c:v>
                </c:pt>
                <c:pt idx="1403">
                  <c:v>39960</c:v>
                </c:pt>
                <c:pt idx="1404">
                  <c:v>39959</c:v>
                </c:pt>
                <c:pt idx="1405">
                  <c:v>39955</c:v>
                </c:pt>
                <c:pt idx="1406">
                  <c:v>39954</c:v>
                </c:pt>
                <c:pt idx="1407">
                  <c:v>39953</c:v>
                </c:pt>
                <c:pt idx="1408">
                  <c:v>39952</c:v>
                </c:pt>
                <c:pt idx="1409">
                  <c:v>39951</c:v>
                </c:pt>
                <c:pt idx="1410">
                  <c:v>39948</c:v>
                </c:pt>
                <c:pt idx="1411">
                  <c:v>39947</c:v>
                </c:pt>
                <c:pt idx="1412">
                  <c:v>39946</c:v>
                </c:pt>
                <c:pt idx="1413">
                  <c:v>39945</c:v>
                </c:pt>
                <c:pt idx="1414">
                  <c:v>39944</c:v>
                </c:pt>
                <c:pt idx="1415">
                  <c:v>39941</c:v>
                </c:pt>
                <c:pt idx="1416">
                  <c:v>39940</c:v>
                </c:pt>
                <c:pt idx="1417">
                  <c:v>39939</c:v>
                </c:pt>
                <c:pt idx="1418">
                  <c:v>39938</c:v>
                </c:pt>
                <c:pt idx="1419">
                  <c:v>39937</c:v>
                </c:pt>
                <c:pt idx="1420">
                  <c:v>39934</c:v>
                </c:pt>
                <c:pt idx="1421">
                  <c:v>39933</c:v>
                </c:pt>
                <c:pt idx="1422">
                  <c:v>39932</c:v>
                </c:pt>
                <c:pt idx="1423">
                  <c:v>39931</c:v>
                </c:pt>
                <c:pt idx="1424">
                  <c:v>39930</c:v>
                </c:pt>
                <c:pt idx="1425">
                  <c:v>39927</c:v>
                </c:pt>
                <c:pt idx="1426">
                  <c:v>39926</c:v>
                </c:pt>
                <c:pt idx="1427">
                  <c:v>39925</c:v>
                </c:pt>
                <c:pt idx="1428">
                  <c:v>39924</c:v>
                </c:pt>
                <c:pt idx="1429">
                  <c:v>39923</c:v>
                </c:pt>
                <c:pt idx="1430">
                  <c:v>39920</c:v>
                </c:pt>
                <c:pt idx="1431">
                  <c:v>39919</c:v>
                </c:pt>
                <c:pt idx="1432">
                  <c:v>39918</c:v>
                </c:pt>
                <c:pt idx="1433">
                  <c:v>39917</c:v>
                </c:pt>
                <c:pt idx="1434">
                  <c:v>39916</c:v>
                </c:pt>
                <c:pt idx="1435">
                  <c:v>39912</c:v>
                </c:pt>
                <c:pt idx="1436">
                  <c:v>39911</c:v>
                </c:pt>
                <c:pt idx="1437">
                  <c:v>39910</c:v>
                </c:pt>
                <c:pt idx="1438">
                  <c:v>39909</c:v>
                </c:pt>
                <c:pt idx="1439">
                  <c:v>39906</c:v>
                </c:pt>
                <c:pt idx="1440">
                  <c:v>39905</c:v>
                </c:pt>
                <c:pt idx="1441">
                  <c:v>39904</c:v>
                </c:pt>
                <c:pt idx="1442">
                  <c:v>39903</c:v>
                </c:pt>
                <c:pt idx="1443">
                  <c:v>39902</c:v>
                </c:pt>
                <c:pt idx="1444">
                  <c:v>39899</c:v>
                </c:pt>
                <c:pt idx="1445">
                  <c:v>39898</c:v>
                </c:pt>
                <c:pt idx="1446">
                  <c:v>39897</c:v>
                </c:pt>
                <c:pt idx="1447">
                  <c:v>39896</c:v>
                </c:pt>
                <c:pt idx="1448">
                  <c:v>39895</c:v>
                </c:pt>
                <c:pt idx="1449">
                  <c:v>39892</c:v>
                </c:pt>
                <c:pt idx="1450">
                  <c:v>39891</c:v>
                </c:pt>
                <c:pt idx="1451">
                  <c:v>39890</c:v>
                </c:pt>
                <c:pt idx="1452">
                  <c:v>39889</c:v>
                </c:pt>
                <c:pt idx="1453">
                  <c:v>39888</c:v>
                </c:pt>
                <c:pt idx="1454">
                  <c:v>39885</c:v>
                </c:pt>
                <c:pt idx="1455">
                  <c:v>39884</c:v>
                </c:pt>
                <c:pt idx="1456">
                  <c:v>39883</c:v>
                </c:pt>
                <c:pt idx="1457">
                  <c:v>39882</c:v>
                </c:pt>
                <c:pt idx="1458">
                  <c:v>39881</c:v>
                </c:pt>
                <c:pt idx="1459">
                  <c:v>39878</c:v>
                </c:pt>
                <c:pt idx="1460">
                  <c:v>39877</c:v>
                </c:pt>
                <c:pt idx="1461">
                  <c:v>39876</c:v>
                </c:pt>
                <c:pt idx="1462">
                  <c:v>39875</c:v>
                </c:pt>
                <c:pt idx="1463">
                  <c:v>39874</c:v>
                </c:pt>
                <c:pt idx="1464">
                  <c:v>39871</c:v>
                </c:pt>
                <c:pt idx="1465">
                  <c:v>39870</c:v>
                </c:pt>
                <c:pt idx="1466">
                  <c:v>39869</c:v>
                </c:pt>
                <c:pt idx="1467">
                  <c:v>39868</c:v>
                </c:pt>
                <c:pt idx="1468">
                  <c:v>39867</c:v>
                </c:pt>
                <c:pt idx="1469">
                  <c:v>39864</c:v>
                </c:pt>
                <c:pt idx="1470">
                  <c:v>39863</c:v>
                </c:pt>
                <c:pt idx="1471">
                  <c:v>39862</c:v>
                </c:pt>
                <c:pt idx="1472">
                  <c:v>39861</c:v>
                </c:pt>
                <c:pt idx="1473">
                  <c:v>39857</c:v>
                </c:pt>
                <c:pt idx="1474">
                  <c:v>39856</c:v>
                </c:pt>
                <c:pt idx="1475">
                  <c:v>39855</c:v>
                </c:pt>
                <c:pt idx="1476">
                  <c:v>39854</c:v>
                </c:pt>
                <c:pt idx="1477">
                  <c:v>39853</c:v>
                </c:pt>
                <c:pt idx="1478">
                  <c:v>39850</c:v>
                </c:pt>
                <c:pt idx="1479">
                  <c:v>39849</c:v>
                </c:pt>
                <c:pt idx="1480">
                  <c:v>39848</c:v>
                </c:pt>
                <c:pt idx="1481">
                  <c:v>39847</c:v>
                </c:pt>
                <c:pt idx="1482">
                  <c:v>39846</c:v>
                </c:pt>
                <c:pt idx="1483">
                  <c:v>39843</c:v>
                </c:pt>
                <c:pt idx="1484">
                  <c:v>39842</c:v>
                </c:pt>
                <c:pt idx="1485">
                  <c:v>39841</c:v>
                </c:pt>
                <c:pt idx="1486">
                  <c:v>39840</c:v>
                </c:pt>
                <c:pt idx="1487">
                  <c:v>39839</c:v>
                </c:pt>
                <c:pt idx="1488">
                  <c:v>39836</c:v>
                </c:pt>
                <c:pt idx="1489">
                  <c:v>39835</c:v>
                </c:pt>
                <c:pt idx="1490">
                  <c:v>39834</c:v>
                </c:pt>
                <c:pt idx="1491">
                  <c:v>39833</c:v>
                </c:pt>
                <c:pt idx="1492">
                  <c:v>39829</c:v>
                </c:pt>
                <c:pt idx="1493">
                  <c:v>39828</c:v>
                </c:pt>
                <c:pt idx="1494">
                  <c:v>39827</c:v>
                </c:pt>
                <c:pt idx="1495">
                  <c:v>39826</c:v>
                </c:pt>
                <c:pt idx="1496">
                  <c:v>39825</c:v>
                </c:pt>
                <c:pt idx="1497">
                  <c:v>39822</c:v>
                </c:pt>
                <c:pt idx="1498">
                  <c:v>39821</c:v>
                </c:pt>
                <c:pt idx="1499">
                  <c:v>39820</c:v>
                </c:pt>
                <c:pt idx="1500">
                  <c:v>39819</c:v>
                </c:pt>
                <c:pt idx="1501">
                  <c:v>39818</c:v>
                </c:pt>
                <c:pt idx="1502">
                  <c:v>39815</c:v>
                </c:pt>
                <c:pt idx="1503">
                  <c:v>39813</c:v>
                </c:pt>
                <c:pt idx="1504">
                  <c:v>39812</c:v>
                </c:pt>
                <c:pt idx="1505">
                  <c:v>39811</c:v>
                </c:pt>
                <c:pt idx="1506">
                  <c:v>39808</c:v>
                </c:pt>
                <c:pt idx="1507">
                  <c:v>39806</c:v>
                </c:pt>
                <c:pt idx="1508">
                  <c:v>39805</c:v>
                </c:pt>
                <c:pt idx="1509">
                  <c:v>39804</c:v>
                </c:pt>
                <c:pt idx="1510">
                  <c:v>39801</c:v>
                </c:pt>
                <c:pt idx="1511">
                  <c:v>39800</c:v>
                </c:pt>
                <c:pt idx="1512">
                  <c:v>39799</c:v>
                </c:pt>
                <c:pt idx="1513">
                  <c:v>39798</c:v>
                </c:pt>
                <c:pt idx="1514">
                  <c:v>39797</c:v>
                </c:pt>
                <c:pt idx="1515">
                  <c:v>39794</c:v>
                </c:pt>
                <c:pt idx="1516">
                  <c:v>39793</c:v>
                </c:pt>
                <c:pt idx="1517">
                  <c:v>39792</c:v>
                </c:pt>
                <c:pt idx="1518">
                  <c:v>39791</c:v>
                </c:pt>
                <c:pt idx="1519">
                  <c:v>39790</c:v>
                </c:pt>
                <c:pt idx="1520">
                  <c:v>39787</c:v>
                </c:pt>
                <c:pt idx="1521">
                  <c:v>39786</c:v>
                </c:pt>
                <c:pt idx="1522">
                  <c:v>39785</c:v>
                </c:pt>
                <c:pt idx="1523">
                  <c:v>39784</c:v>
                </c:pt>
                <c:pt idx="1524">
                  <c:v>39783</c:v>
                </c:pt>
                <c:pt idx="1525">
                  <c:v>39780</c:v>
                </c:pt>
                <c:pt idx="1526">
                  <c:v>39778</c:v>
                </c:pt>
                <c:pt idx="1527">
                  <c:v>39777</c:v>
                </c:pt>
                <c:pt idx="1528">
                  <c:v>39776</c:v>
                </c:pt>
                <c:pt idx="1529">
                  <c:v>39773</c:v>
                </c:pt>
                <c:pt idx="1530">
                  <c:v>39772</c:v>
                </c:pt>
                <c:pt idx="1531">
                  <c:v>39771</c:v>
                </c:pt>
                <c:pt idx="1532">
                  <c:v>39770</c:v>
                </c:pt>
                <c:pt idx="1533">
                  <c:v>39769</c:v>
                </c:pt>
                <c:pt idx="1534">
                  <c:v>39766</c:v>
                </c:pt>
                <c:pt idx="1535">
                  <c:v>39765</c:v>
                </c:pt>
                <c:pt idx="1536">
                  <c:v>39764</c:v>
                </c:pt>
                <c:pt idx="1537">
                  <c:v>39763</c:v>
                </c:pt>
                <c:pt idx="1538">
                  <c:v>39762</c:v>
                </c:pt>
                <c:pt idx="1539">
                  <c:v>39759</c:v>
                </c:pt>
                <c:pt idx="1540">
                  <c:v>39758</c:v>
                </c:pt>
                <c:pt idx="1541">
                  <c:v>39757</c:v>
                </c:pt>
                <c:pt idx="1542">
                  <c:v>39756</c:v>
                </c:pt>
                <c:pt idx="1543">
                  <c:v>39755</c:v>
                </c:pt>
                <c:pt idx="1544">
                  <c:v>39752</c:v>
                </c:pt>
                <c:pt idx="1545">
                  <c:v>39751</c:v>
                </c:pt>
                <c:pt idx="1546">
                  <c:v>39750</c:v>
                </c:pt>
                <c:pt idx="1547">
                  <c:v>39749</c:v>
                </c:pt>
                <c:pt idx="1548">
                  <c:v>39748</c:v>
                </c:pt>
                <c:pt idx="1549">
                  <c:v>39745</c:v>
                </c:pt>
                <c:pt idx="1550">
                  <c:v>39744</c:v>
                </c:pt>
                <c:pt idx="1551">
                  <c:v>39743</c:v>
                </c:pt>
                <c:pt idx="1552">
                  <c:v>39742</c:v>
                </c:pt>
                <c:pt idx="1553">
                  <c:v>39741</c:v>
                </c:pt>
                <c:pt idx="1554">
                  <c:v>39738</c:v>
                </c:pt>
                <c:pt idx="1555">
                  <c:v>39737</c:v>
                </c:pt>
                <c:pt idx="1556">
                  <c:v>39736</c:v>
                </c:pt>
                <c:pt idx="1557">
                  <c:v>39735</c:v>
                </c:pt>
                <c:pt idx="1558">
                  <c:v>39734</c:v>
                </c:pt>
                <c:pt idx="1559">
                  <c:v>39731</c:v>
                </c:pt>
                <c:pt idx="1560">
                  <c:v>39730</c:v>
                </c:pt>
                <c:pt idx="1561">
                  <c:v>39729</c:v>
                </c:pt>
                <c:pt idx="1562">
                  <c:v>39728</c:v>
                </c:pt>
                <c:pt idx="1563">
                  <c:v>39727</c:v>
                </c:pt>
                <c:pt idx="1564">
                  <c:v>39724</c:v>
                </c:pt>
                <c:pt idx="1565">
                  <c:v>39723</c:v>
                </c:pt>
                <c:pt idx="1566">
                  <c:v>39722</c:v>
                </c:pt>
                <c:pt idx="1567">
                  <c:v>39721</c:v>
                </c:pt>
                <c:pt idx="1568">
                  <c:v>39720</c:v>
                </c:pt>
                <c:pt idx="1569">
                  <c:v>39717</c:v>
                </c:pt>
                <c:pt idx="1570">
                  <c:v>39716</c:v>
                </c:pt>
                <c:pt idx="1571">
                  <c:v>39715</c:v>
                </c:pt>
                <c:pt idx="1572">
                  <c:v>39714</c:v>
                </c:pt>
                <c:pt idx="1573">
                  <c:v>39713</c:v>
                </c:pt>
                <c:pt idx="1574">
                  <c:v>39710</c:v>
                </c:pt>
                <c:pt idx="1575">
                  <c:v>39709</c:v>
                </c:pt>
                <c:pt idx="1576">
                  <c:v>39708</c:v>
                </c:pt>
                <c:pt idx="1577">
                  <c:v>39707</c:v>
                </c:pt>
                <c:pt idx="1578">
                  <c:v>39706</c:v>
                </c:pt>
                <c:pt idx="1579">
                  <c:v>39703</c:v>
                </c:pt>
                <c:pt idx="1580">
                  <c:v>39702</c:v>
                </c:pt>
                <c:pt idx="1581">
                  <c:v>39701</c:v>
                </c:pt>
                <c:pt idx="1582">
                  <c:v>39700</c:v>
                </c:pt>
                <c:pt idx="1583">
                  <c:v>39699</c:v>
                </c:pt>
                <c:pt idx="1584">
                  <c:v>39696</c:v>
                </c:pt>
                <c:pt idx="1585">
                  <c:v>39695</c:v>
                </c:pt>
                <c:pt idx="1586">
                  <c:v>39694</c:v>
                </c:pt>
                <c:pt idx="1587">
                  <c:v>39693</c:v>
                </c:pt>
                <c:pt idx="1588">
                  <c:v>39689</c:v>
                </c:pt>
                <c:pt idx="1589">
                  <c:v>39688</c:v>
                </c:pt>
                <c:pt idx="1590">
                  <c:v>39687</c:v>
                </c:pt>
                <c:pt idx="1591">
                  <c:v>39686</c:v>
                </c:pt>
                <c:pt idx="1592">
                  <c:v>39685</c:v>
                </c:pt>
                <c:pt idx="1593">
                  <c:v>39682</c:v>
                </c:pt>
                <c:pt idx="1594">
                  <c:v>39681</c:v>
                </c:pt>
                <c:pt idx="1595">
                  <c:v>39680</c:v>
                </c:pt>
                <c:pt idx="1596">
                  <c:v>39679</c:v>
                </c:pt>
                <c:pt idx="1597">
                  <c:v>39678</c:v>
                </c:pt>
                <c:pt idx="1598">
                  <c:v>39675</c:v>
                </c:pt>
                <c:pt idx="1599">
                  <c:v>39674</c:v>
                </c:pt>
                <c:pt idx="1600">
                  <c:v>39673</c:v>
                </c:pt>
                <c:pt idx="1601">
                  <c:v>39672</c:v>
                </c:pt>
                <c:pt idx="1602">
                  <c:v>39671</c:v>
                </c:pt>
                <c:pt idx="1603">
                  <c:v>39668</c:v>
                </c:pt>
                <c:pt idx="1604">
                  <c:v>39667</c:v>
                </c:pt>
                <c:pt idx="1605">
                  <c:v>39666</c:v>
                </c:pt>
                <c:pt idx="1606">
                  <c:v>39665</c:v>
                </c:pt>
                <c:pt idx="1607">
                  <c:v>39664</c:v>
                </c:pt>
                <c:pt idx="1608">
                  <c:v>39661</c:v>
                </c:pt>
                <c:pt idx="1609">
                  <c:v>39660</c:v>
                </c:pt>
                <c:pt idx="1610">
                  <c:v>39659</c:v>
                </c:pt>
                <c:pt idx="1611">
                  <c:v>39658</c:v>
                </c:pt>
                <c:pt idx="1612">
                  <c:v>39657</c:v>
                </c:pt>
                <c:pt idx="1613">
                  <c:v>39654</c:v>
                </c:pt>
                <c:pt idx="1614">
                  <c:v>39653</c:v>
                </c:pt>
                <c:pt idx="1615">
                  <c:v>39652</c:v>
                </c:pt>
                <c:pt idx="1616">
                  <c:v>39651</c:v>
                </c:pt>
                <c:pt idx="1617">
                  <c:v>39650</c:v>
                </c:pt>
                <c:pt idx="1618">
                  <c:v>39647</c:v>
                </c:pt>
                <c:pt idx="1619">
                  <c:v>39646</c:v>
                </c:pt>
                <c:pt idx="1620">
                  <c:v>39645</c:v>
                </c:pt>
                <c:pt idx="1621">
                  <c:v>39644</c:v>
                </c:pt>
                <c:pt idx="1622">
                  <c:v>39643</c:v>
                </c:pt>
                <c:pt idx="1623">
                  <c:v>39640</c:v>
                </c:pt>
                <c:pt idx="1624">
                  <c:v>39639</c:v>
                </c:pt>
                <c:pt idx="1625">
                  <c:v>39638</c:v>
                </c:pt>
                <c:pt idx="1626">
                  <c:v>39637</c:v>
                </c:pt>
                <c:pt idx="1627">
                  <c:v>39636</c:v>
                </c:pt>
                <c:pt idx="1628">
                  <c:v>39632</c:v>
                </c:pt>
                <c:pt idx="1629">
                  <c:v>39631</c:v>
                </c:pt>
                <c:pt idx="1630">
                  <c:v>39630</c:v>
                </c:pt>
                <c:pt idx="1631">
                  <c:v>39629</c:v>
                </c:pt>
                <c:pt idx="1632">
                  <c:v>39626</c:v>
                </c:pt>
                <c:pt idx="1633">
                  <c:v>39625</c:v>
                </c:pt>
                <c:pt idx="1634">
                  <c:v>39624</c:v>
                </c:pt>
                <c:pt idx="1635">
                  <c:v>39623</c:v>
                </c:pt>
                <c:pt idx="1636">
                  <c:v>39622</c:v>
                </c:pt>
                <c:pt idx="1637">
                  <c:v>39619</c:v>
                </c:pt>
                <c:pt idx="1638">
                  <c:v>39618</c:v>
                </c:pt>
                <c:pt idx="1639">
                  <c:v>39617</c:v>
                </c:pt>
                <c:pt idx="1640">
                  <c:v>39616</c:v>
                </c:pt>
                <c:pt idx="1641">
                  <c:v>39615</c:v>
                </c:pt>
                <c:pt idx="1642">
                  <c:v>39612</c:v>
                </c:pt>
                <c:pt idx="1643">
                  <c:v>39611</c:v>
                </c:pt>
                <c:pt idx="1644">
                  <c:v>39610</c:v>
                </c:pt>
                <c:pt idx="1645">
                  <c:v>39609</c:v>
                </c:pt>
                <c:pt idx="1646">
                  <c:v>39608</c:v>
                </c:pt>
                <c:pt idx="1647">
                  <c:v>39605</c:v>
                </c:pt>
                <c:pt idx="1648">
                  <c:v>39604</c:v>
                </c:pt>
                <c:pt idx="1649">
                  <c:v>39603</c:v>
                </c:pt>
                <c:pt idx="1650">
                  <c:v>39602</c:v>
                </c:pt>
                <c:pt idx="1651">
                  <c:v>39601</c:v>
                </c:pt>
                <c:pt idx="1652">
                  <c:v>39598</c:v>
                </c:pt>
                <c:pt idx="1653">
                  <c:v>39597</c:v>
                </c:pt>
                <c:pt idx="1654">
                  <c:v>39596</c:v>
                </c:pt>
                <c:pt idx="1655">
                  <c:v>39595</c:v>
                </c:pt>
                <c:pt idx="1656">
                  <c:v>39591</c:v>
                </c:pt>
                <c:pt idx="1657">
                  <c:v>39590</c:v>
                </c:pt>
                <c:pt idx="1658">
                  <c:v>39589</c:v>
                </c:pt>
                <c:pt idx="1659">
                  <c:v>39588</c:v>
                </c:pt>
                <c:pt idx="1660">
                  <c:v>39587</c:v>
                </c:pt>
                <c:pt idx="1661">
                  <c:v>39584</c:v>
                </c:pt>
                <c:pt idx="1662">
                  <c:v>39583</c:v>
                </c:pt>
                <c:pt idx="1663">
                  <c:v>39582</c:v>
                </c:pt>
                <c:pt idx="1664">
                  <c:v>39581</c:v>
                </c:pt>
                <c:pt idx="1665">
                  <c:v>39580</c:v>
                </c:pt>
                <c:pt idx="1666">
                  <c:v>39577</c:v>
                </c:pt>
                <c:pt idx="1667">
                  <c:v>39576</c:v>
                </c:pt>
                <c:pt idx="1668">
                  <c:v>39575</c:v>
                </c:pt>
                <c:pt idx="1669">
                  <c:v>39574</c:v>
                </c:pt>
                <c:pt idx="1670">
                  <c:v>39573</c:v>
                </c:pt>
                <c:pt idx="1671">
                  <c:v>39570</c:v>
                </c:pt>
                <c:pt idx="1672">
                  <c:v>39569</c:v>
                </c:pt>
                <c:pt idx="1673">
                  <c:v>39568</c:v>
                </c:pt>
                <c:pt idx="1674">
                  <c:v>39567</c:v>
                </c:pt>
                <c:pt idx="1675">
                  <c:v>39566</c:v>
                </c:pt>
                <c:pt idx="1676">
                  <c:v>39563</c:v>
                </c:pt>
                <c:pt idx="1677">
                  <c:v>39562</c:v>
                </c:pt>
                <c:pt idx="1678">
                  <c:v>39561</c:v>
                </c:pt>
                <c:pt idx="1679">
                  <c:v>39560</c:v>
                </c:pt>
                <c:pt idx="1680">
                  <c:v>39559</c:v>
                </c:pt>
                <c:pt idx="1681">
                  <c:v>39556</c:v>
                </c:pt>
                <c:pt idx="1682">
                  <c:v>39555</c:v>
                </c:pt>
                <c:pt idx="1683">
                  <c:v>39554</c:v>
                </c:pt>
                <c:pt idx="1684">
                  <c:v>39553</c:v>
                </c:pt>
                <c:pt idx="1685">
                  <c:v>39552</c:v>
                </c:pt>
                <c:pt idx="1686">
                  <c:v>39549</c:v>
                </c:pt>
                <c:pt idx="1687">
                  <c:v>39548</c:v>
                </c:pt>
                <c:pt idx="1688">
                  <c:v>39547</c:v>
                </c:pt>
                <c:pt idx="1689">
                  <c:v>39546</c:v>
                </c:pt>
                <c:pt idx="1690">
                  <c:v>39545</c:v>
                </c:pt>
                <c:pt idx="1691">
                  <c:v>39542</c:v>
                </c:pt>
                <c:pt idx="1692">
                  <c:v>39541</c:v>
                </c:pt>
                <c:pt idx="1693">
                  <c:v>39540</c:v>
                </c:pt>
                <c:pt idx="1694">
                  <c:v>39539</c:v>
                </c:pt>
                <c:pt idx="1695">
                  <c:v>39538</c:v>
                </c:pt>
                <c:pt idx="1696">
                  <c:v>39535</c:v>
                </c:pt>
                <c:pt idx="1697">
                  <c:v>39534</c:v>
                </c:pt>
                <c:pt idx="1698">
                  <c:v>39533</c:v>
                </c:pt>
                <c:pt idx="1699">
                  <c:v>39532</c:v>
                </c:pt>
                <c:pt idx="1700">
                  <c:v>39531</c:v>
                </c:pt>
                <c:pt idx="1701">
                  <c:v>39527</c:v>
                </c:pt>
                <c:pt idx="1702">
                  <c:v>39526</c:v>
                </c:pt>
                <c:pt idx="1703">
                  <c:v>39525</c:v>
                </c:pt>
                <c:pt idx="1704">
                  <c:v>39524</c:v>
                </c:pt>
                <c:pt idx="1705">
                  <c:v>39521</c:v>
                </c:pt>
                <c:pt idx="1706">
                  <c:v>39520</c:v>
                </c:pt>
                <c:pt idx="1707">
                  <c:v>39519</c:v>
                </c:pt>
                <c:pt idx="1708">
                  <c:v>39518</c:v>
                </c:pt>
                <c:pt idx="1709">
                  <c:v>39517</c:v>
                </c:pt>
                <c:pt idx="1710">
                  <c:v>39514</c:v>
                </c:pt>
                <c:pt idx="1711">
                  <c:v>39513</c:v>
                </c:pt>
                <c:pt idx="1712">
                  <c:v>39512</c:v>
                </c:pt>
                <c:pt idx="1713">
                  <c:v>39511</c:v>
                </c:pt>
                <c:pt idx="1714">
                  <c:v>39510</c:v>
                </c:pt>
                <c:pt idx="1715">
                  <c:v>39507</c:v>
                </c:pt>
                <c:pt idx="1716">
                  <c:v>39506</c:v>
                </c:pt>
                <c:pt idx="1717">
                  <c:v>39505</c:v>
                </c:pt>
                <c:pt idx="1718">
                  <c:v>39504</c:v>
                </c:pt>
                <c:pt idx="1719">
                  <c:v>39503</c:v>
                </c:pt>
                <c:pt idx="1720">
                  <c:v>39500</c:v>
                </c:pt>
                <c:pt idx="1721">
                  <c:v>39499</c:v>
                </c:pt>
                <c:pt idx="1722">
                  <c:v>39498</c:v>
                </c:pt>
                <c:pt idx="1723">
                  <c:v>39497</c:v>
                </c:pt>
                <c:pt idx="1724">
                  <c:v>39493</c:v>
                </c:pt>
                <c:pt idx="1725">
                  <c:v>39492</c:v>
                </c:pt>
                <c:pt idx="1726">
                  <c:v>39491</c:v>
                </c:pt>
                <c:pt idx="1727">
                  <c:v>39490</c:v>
                </c:pt>
                <c:pt idx="1728">
                  <c:v>39489</c:v>
                </c:pt>
                <c:pt idx="1729">
                  <c:v>39486</c:v>
                </c:pt>
                <c:pt idx="1730">
                  <c:v>39485</c:v>
                </c:pt>
                <c:pt idx="1731">
                  <c:v>39484</c:v>
                </c:pt>
                <c:pt idx="1732">
                  <c:v>39483</c:v>
                </c:pt>
                <c:pt idx="1733">
                  <c:v>39482</c:v>
                </c:pt>
                <c:pt idx="1734">
                  <c:v>39479</c:v>
                </c:pt>
                <c:pt idx="1735">
                  <c:v>39478</c:v>
                </c:pt>
                <c:pt idx="1736">
                  <c:v>39477</c:v>
                </c:pt>
                <c:pt idx="1737">
                  <c:v>39476</c:v>
                </c:pt>
                <c:pt idx="1738">
                  <c:v>39475</c:v>
                </c:pt>
                <c:pt idx="1739">
                  <c:v>39472</c:v>
                </c:pt>
                <c:pt idx="1740">
                  <c:v>39471</c:v>
                </c:pt>
                <c:pt idx="1741">
                  <c:v>39470</c:v>
                </c:pt>
                <c:pt idx="1742">
                  <c:v>39469</c:v>
                </c:pt>
                <c:pt idx="1743">
                  <c:v>39465</c:v>
                </c:pt>
                <c:pt idx="1744">
                  <c:v>39464</c:v>
                </c:pt>
                <c:pt idx="1745">
                  <c:v>39463</c:v>
                </c:pt>
                <c:pt idx="1746">
                  <c:v>39462</c:v>
                </c:pt>
                <c:pt idx="1747">
                  <c:v>39461</c:v>
                </c:pt>
                <c:pt idx="1748">
                  <c:v>39458</c:v>
                </c:pt>
                <c:pt idx="1749">
                  <c:v>39457</c:v>
                </c:pt>
                <c:pt idx="1750">
                  <c:v>39456</c:v>
                </c:pt>
                <c:pt idx="1751">
                  <c:v>39455</c:v>
                </c:pt>
                <c:pt idx="1752">
                  <c:v>39454</c:v>
                </c:pt>
                <c:pt idx="1753">
                  <c:v>39451</c:v>
                </c:pt>
                <c:pt idx="1754">
                  <c:v>39450</c:v>
                </c:pt>
                <c:pt idx="1755">
                  <c:v>39449</c:v>
                </c:pt>
                <c:pt idx="1756">
                  <c:v>39447</c:v>
                </c:pt>
                <c:pt idx="1757">
                  <c:v>39444</c:v>
                </c:pt>
                <c:pt idx="1758">
                  <c:v>39443</c:v>
                </c:pt>
                <c:pt idx="1759">
                  <c:v>39442</c:v>
                </c:pt>
                <c:pt idx="1760">
                  <c:v>39440</c:v>
                </c:pt>
                <c:pt idx="1761">
                  <c:v>39437</c:v>
                </c:pt>
                <c:pt idx="1762">
                  <c:v>39436</c:v>
                </c:pt>
                <c:pt idx="1763">
                  <c:v>39435</c:v>
                </c:pt>
                <c:pt idx="1764">
                  <c:v>39434</c:v>
                </c:pt>
                <c:pt idx="1765">
                  <c:v>39433</c:v>
                </c:pt>
                <c:pt idx="1766">
                  <c:v>39430</c:v>
                </c:pt>
                <c:pt idx="1767">
                  <c:v>39429</c:v>
                </c:pt>
                <c:pt idx="1768">
                  <c:v>39428</c:v>
                </c:pt>
                <c:pt idx="1769">
                  <c:v>39427</c:v>
                </c:pt>
                <c:pt idx="1770">
                  <c:v>39426</c:v>
                </c:pt>
                <c:pt idx="1771">
                  <c:v>39423</c:v>
                </c:pt>
                <c:pt idx="1772">
                  <c:v>39422</c:v>
                </c:pt>
                <c:pt idx="1773">
                  <c:v>39421</c:v>
                </c:pt>
                <c:pt idx="1774">
                  <c:v>39420</c:v>
                </c:pt>
                <c:pt idx="1775">
                  <c:v>39419</c:v>
                </c:pt>
                <c:pt idx="1776">
                  <c:v>39416</c:v>
                </c:pt>
                <c:pt idx="1777">
                  <c:v>39415</c:v>
                </c:pt>
                <c:pt idx="1778">
                  <c:v>39414</c:v>
                </c:pt>
                <c:pt idx="1779">
                  <c:v>39413</c:v>
                </c:pt>
                <c:pt idx="1780">
                  <c:v>39412</c:v>
                </c:pt>
                <c:pt idx="1781">
                  <c:v>39409</c:v>
                </c:pt>
                <c:pt idx="1782">
                  <c:v>39407</c:v>
                </c:pt>
                <c:pt idx="1783">
                  <c:v>39406</c:v>
                </c:pt>
                <c:pt idx="1784">
                  <c:v>39405</c:v>
                </c:pt>
                <c:pt idx="1785">
                  <c:v>39402</c:v>
                </c:pt>
                <c:pt idx="1786">
                  <c:v>39401</c:v>
                </c:pt>
                <c:pt idx="1787">
                  <c:v>39400</c:v>
                </c:pt>
                <c:pt idx="1788">
                  <c:v>39399</c:v>
                </c:pt>
                <c:pt idx="1789">
                  <c:v>39398</c:v>
                </c:pt>
                <c:pt idx="1790">
                  <c:v>39395</c:v>
                </c:pt>
                <c:pt idx="1791">
                  <c:v>39394</c:v>
                </c:pt>
                <c:pt idx="1792">
                  <c:v>39393</c:v>
                </c:pt>
                <c:pt idx="1793">
                  <c:v>39392</c:v>
                </c:pt>
                <c:pt idx="1794">
                  <c:v>39391</c:v>
                </c:pt>
                <c:pt idx="1795">
                  <c:v>39388</c:v>
                </c:pt>
                <c:pt idx="1796">
                  <c:v>39387</c:v>
                </c:pt>
                <c:pt idx="1797">
                  <c:v>39386</c:v>
                </c:pt>
                <c:pt idx="1798">
                  <c:v>39385</c:v>
                </c:pt>
                <c:pt idx="1799">
                  <c:v>39384</c:v>
                </c:pt>
                <c:pt idx="1800">
                  <c:v>39381</c:v>
                </c:pt>
                <c:pt idx="1801">
                  <c:v>39380</c:v>
                </c:pt>
                <c:pt idx="1802">
                  <c:v>39379</c:v>
                </c:pt>
                <c:pt idx="1803">
                  <c:v>39378</c:v>
                </c:pt>
                <c:pt idx="1804">
                  <c:v>39377</c:v>
                </c:pt>
                <c:pt idx="1805">
                  <c:v>39374</c:v>
                </c:pt>
                <c:pt idx="1806">
                  <c:v>39373</c:v>
                </c:pt>
                <c:pt idx="1807">
                  <c:v>39372</c:v>
                </c:pt>
                <c:pt idx="1808">
                  <c:v>39371</c:v>
                </c:pt>
                <c:pt idx="1809">
                  <c:v>39370</c:v>
                </c:pt>
                <c:pt idx="1810">
                  <c:v>39367</c:v>
                </c:pt>
                <c:pt idx="1811">
                  <c:v>39366</c:v>
                </c:pt>
                <c:pt idx="1812">
                  <c:v>39365</c:v>
                </c:pt>
                <c:pt idx="1813">
                  <c:v>39364</c:v>
                </c:pt>
                <c:pt idx="1814">
                  <c:v>39363</c:v>
                </c:pt>
                <c:pt idx="1815">
                  <c:v>39360</c:v>
                </c:pt>
                <c:pt idx="1816">
                  <c:v>39359</c:v>
                </c:pt>
                <c:pt idx="1817">
                  <c:v>39358</c:v>
                </c:pt>
                <c:pt idx="1818">
                  <c:v>39357</c:v>
                </c:pt>
                <c:pt idx="1819">
                  <c:v>39356</c:v>
                </c:pt>
                <c:pt idx="1820">
                  <c:v>39353</c:v>
                </c:pt>
                <c:pt idx="1821">
                  <c:v>39352</c:v>
                </c:pt>
                <c:pt idx="1822">
                  <c:v>39351</c:v>
                </c:pt>
                <c:pt idx="1823">
                  <c:v>39350</c:v>
                </c:pt>
                <c:pt idx="1824">
                  <c:v>39349</c:v>
                </c:pt>
                <c:pt idx="1825">
                  <c:v>39346</c:v>
                </c:pt>
                <c:pt idx="1826">
                  <c:v>39345</c:v>
                </c:pt>
                <c:pt idx="1827">
                  <c:v>39344</c:v>
                </c:pt>
                <c:pt idx="1828">
                  <c:v>39343</c:v>
                </c:pt>
                <c:pt idx="1829">
                  <c:v>39342</c:v>
                </c:pt>
                <c:pt idx="1830">
                  <c:v>39339</c:v>
                </c:pt>
                <c:pt idx="1831">
                  <c:v>39338</c:v>
                </c:pt>
                <c:pt idx="1832">
                  <c:v>39337</c:v>
                </c:pt>
                <c:pt idx="1833">
                  <c:v>39336</c:v>
                </c:pt>
                <c:pt idx="1834">
                  <c:v>39335</c:v>
                </c:pt>
                <c:pt idx="1835">
                  <c:v>39332</c:v>
                </c:pt>
                <c:pt idx="1836">
                  <c:v>39331</c:v>
                </c:pt>
                <c:pt idx="1837">
                  <c:v>39330</c:v>
                </c:pt>
                <c:pt idx="1838">
                  <c:v>39329</c:v>
                </c:pt>
                <c:pt idx="1839">
                  <c:v>39325</c:v>
                </c:pt>
                <c:pt idx="1840">
                  <c:v>39324</c:v>
                </c:pt>
                <c:pt idx="1841">
                  <c:v>39323</c:v>
                </c:pt>
                <c:pt idx="1842">
                  <c:v>39322</c:v>
                </c:pt>
                <c:pt idx="1843">
                  <c:v>39321</c:v>
                </c:pt>
                <c:pt idx="1844">
                  <c:v>39318</c:v>
                </c:pt>
                <c:pt idx="1845">
                  <c:v>39317</c:v>
                </c:pt>
                <c:pt idx="1846">
                  <c:v>39316</c:v>
                </c:pt>
                <c:pt idx="1847">
                  <c:v>39315</c:v>
                </c:pt>
                <c:pt idx="1848">
                  <c:v>39314</c:v>
                </c:pt>
                <c:pt idx="1849">
                  <c:v>39311</c:v>
                </c:pt>
                <c:pt idx="1850">
                  <c:v>39310</c:v>
                </c:pt>
                <c:pt idx="1851">
                  <c:v>39309</c:v>
                </c:pt>
                <c:pt idx="1852">
                  <c:v>39308</c:v>
                </c:pt>
                <c:pt idx="1853">
                  <c:v>39307</c:v>
                </c:pt>
                <c:pt idx="1854">
                  <c:v>39304</c:v>
                </c:pt>
                <c:pt idx="1855">
                  <c:v>39303</c:v>
                </c:pt>
                <c:pt idx="1856">
                  <c:v>39302</c:v>
                </c:pt>
                <c:pt idx="1857">
                  <c:v>39301</c:v>
                </c:pt>
                <c:pt idx="1858">
                  <c:v>39300</c:v>
                </c:pt>
                <c:pt idx="1859">
                  <c:v>39297</c:v>
                </c:pt>
                <c:pt idx="1860">
                  <c:v>39296</c:v>
                </c:pt>
                <c:pt idx="1861">
                  <c:v>39295</c:v>
                </c:pt>
                <c:pt idx="1862">
                  <c:v>39294</c:v>
                </c:pt>
                <c:pt idx="1863">
                  <c:v>39293</c:v>
                </c:pt>
                <c:pt idx="1864">
                  <c:v>39290</c:v>
                </c:pt>
                <c:pt idx="1865">
                  <c:v>39289</c:v>
                </c:pt>
                <c:pt idx="1866">
                  <c:v>39288</c:v>
                </c:pt>
                <c:pt idx="1867">
                  <c:v>39287</c:v>
                </c:pt>
                <c:pt idx="1868">
                  <c:v>39286</c:v>
                </c:pt>
                <c:pt idx="1869">
                  <c:v>39283</c:v>
                </c:pt>
                <c:pt idx="1870">
                  <c:v>39282</c:v>
                </c:pt>
                <c:pt idx="1871">
                  <c:v>39281</c:v>
                </c:pt>
                <c:pt idx="1872">
                  <c:v>39280</c:v>
                </c:pt>
                <c:pt idx="1873">
                  <c:v>39279</c:v>
                </c:pt>
                <c:pt idx="1874">
                  <c:v>39276</c:v>
                </c:pt>
                <c:pt idx="1875">
                  <c:v>39275</c:v>
                </c:pt>
                <c:pt idx="1876">
                  <c:v>39274</c:v>
                </c:pt>
                <c:pt idx="1877">
                  <c:v>39273</c:v>
                </c:pt>
                <c:pt idx="1878">
                  <c:v>39272</c:v>
                </c:pt>
                <c:pt idx="1879">
                  <c:v>39269</c:v>
                </c:pt>
                <c:pt idx="1880">
                  <c:v>39268</c:v>
                </c:pt>
                <c:pt idx="1881">
                  <c:v>39266</c:v>
                </c:pt>
                <c:pt idx="1882">
                  <c:v>39265</c:v>
                </c:pt>
                <c:pt idx="1883">
                  <c:v>39262</c:v>
                </c:pt>
                <c:pt idx="1884">
                  <c:v>39261</c:v>
                </c:pt>
                <c:pt idx="1885">
                  <c:v>39260</c:v>
                </c:pt>
                <c:pt idx="1886">
                  <c:v>39259</c:v>
                </c:pt>
                <c:pt idx="1887">
                  <c:v>39258</c:v>
                </c:pt>
                <c:pt idx="1888">
                  <c:v>39255</c:v>
                </c:pt>
                <c:pt idx="1889">
                  <c:v>39254</c:v>
                </c:pt>
                <c:pt idx="1890">
                  <c:v>39253</c:v>
                </c:pt>
                <c:pt idx="1891">
                  <c:v>39252</c:v>
                </c:pt>
                <c:pt idx="1892">
                  <c:v>39251</c:v>
                </c:pt>
                <c:pt idx="1893">
                  <c:v>39248</c:v>
                </c:pt>
                <c:pt idx="1894">
                  <c:v>39247</c:v>
                </c:pt>
                <c:pt idx="1895">
                  <c:v>39246</c:v>
                </c:pt>
                <c:pt idx="1896">
                  <c:v>39245</c:v>
                </c:pt>
                <c:pt idx="1897">
                  <c:v>39244</c:v>
                </c:pt>
                <c:pt idx="1898">
                  <c:v>39241</c:v>
                </c:pt>
                <c:pt idx="1899">
                  <c:v>39240</c:v>
                </c:pt>
                <c:pt idx="1900">
                  <c:v>39239</c:v>
                </c:pt>
                <c:pt idx="1901">
                  <c:v>39238</c:v>
                </c:pt>
                <c:pt idx="1902">
                  <c:v>39237</c:v>
                </c:pt>
                <c:pt idx="1903">
                  <c:v>39234</c:v>
                </c:pt>
                <c:pt idx="1904">
                  <c:v>39233</c:v>
                </c:pt>
                <c:pt idx="1905">
                  <c:v>39232</c:v>
                </c:pt>
                <c:pt idx="1906">
                  <c:v>39231</c:v>
                </c:pt>
                <c:pt idx="1907">
                  <c:v>39227</c:v>
                </c:pt>
                <c:pt idx="1908">
                  <c:v>39226</c:v>
                </c:pt>
                <c:pt idx="1909">
                  <c:v>39225</c:v>
                </c:pt>
                <c:pt idx="1910">
                  <c:v>39224</c:v>
                </c:pt>
                <c:pt idx="1911">
                  <c:v>39223</c:v>
                </c:pt>
                <c:pt idx="1912">
                  <c:v>39220</c:v>
                </c:pt>
                <c:pt idx="1913">
                  <c:v>39219</c:v>
                </c:pt>
                <c:pt idx="1914">
                  <c:v>39218</c:v>
                </c:pt>
                <c:pt idx="1915">
                  <c:v>39217</c:v>
                </c:pt>
                <c:pt idx="1916">
                  <c:v>39216</c:v>
                </c:pt>
                <c:pt idx="1917">
                  <c:v>39213</c:v>
                </c:pt>
                <c:pt idx="1918">
                  <c:v>39212</c:v>
                </c:pt>
                <c:pt idx="1919">
                  <c:v>39211</c:v>
                </c:pt>
                <c:pt idx="1920">
                  <c:v>39210</c:v>
                </c:pt>
                <c:pt idx="1921">
                  <c:v>39209</c:v>
                </c:pt>
                <c:pt idx="1922">
                  <c:v>39206</c:v>
                </c:pt>
                <c:pt idx="1923">
                  <c:v>39205</c:v>
                </c:pt>
                <c:pt idx="1924">
                  <c:v>39204</c:v>
                </c:pt>
                <c:pt idx="1925">
                  <c:v>39203</c:v>
                </c:pt>
                <c:pt idx="1926">
                  <c:v>39202</c:v>
                </c:pt>
                <c:pt idx="1927">
                  <c:v>39199</c:v>
                </c:pt>
                <c:pt idx="1928">
                  <c:v>39198</c:v>
                </c:pt>
                <c:pt idx="1929">
                  <c:v>39197</c:v>
                </c:pt>
                <c:pt idx="1930">
                  <c:v>39196</c:v>
                </c:pt>
                <c:pt idx="1931">
                  <c:v>39195</c:v>
                </c:pt>
                <c:pt idx="1932">
                  <c:v>39192</c:v>
                </c:pt>
                <c:pt idx="1933">
                  <c:v>39191</c:v>
                </c:pt>
                <c:pt idx="1934">
                  <c:v>39190</c:v>
                </c:pt>
                <c:pt idx="1935">
                  <c:v>39189</c:v>
                </c:pt>
                <c:pt idx="1936">
                  <c:v>39188</c:v>
                </c:pt>
                <c:pt idx="1937">
                  <c:v>39185</c:v>
                </c:pt>
                <c:pt idx="1938">
                  <c:v>39184</c:v>
                </c:pt>
                <c:pt idx="1939">
                  <c:v>39183</c:v>
                </c:pt>
                <c:pt idx="1940">
                  <c:v>39182</c:v>
                </c:pt>
                <c:pt idx="1941">
                  <c:v>39181</c:v>
                </c:pt>
                <c:pt idx="1942">
                  <c:v>39177</c:v>
                </c:pt>
                <c:pt idx="1943">
                  <c:v>39176</c:v>
                </c:pt>
                <c:pt idx="1944">
                  <c:v>39175</c:v>
                </c:pt>
                <c:pt idx="1945">
                  <c:v>39174</c:v>
                </c:pt>
                <c:pt idx="1946">
                  <c:v>39171</c:v>
                </c:pt>
                <c:pt idx="1947">
                  <c:v>39170</c:v>
                </c:pt>
                <c:pt idx="1948">
                  <c:v>39169</c:v>
                </c:pt>
                <c:pt idx="1949">
                  <c:v>39168</c:v>
                </c:pt>
                <c:pt idx="1950">
                  <c:v>39167</c:v>
                </c:pt>
                <c:pt idx="1951">
                  <c:v>39164</c:v>
                </c:pt>
                <c:pt idx="1952">
                  <c:v>39163</c:v>
                </c:pt>
                <c:pt idx="1953">
                  <c:v>39162</c:v>
                </c:pt>
                <c:pt idx="1954">
                  <c:v>39161</c:v>
                </c:pt>
                <c:pt idx="1955">
                  <c:v>39160</c:v>
                </c:pt>
                <c:pt idx="1956">
                  <c:v>39157</c:v>
                </c:pt>
                <c:pt idx="1957">
                  <c:v>39156</c:v>
                </c:pt>
                <c:pt idx="1958">
                  <c:v>39155</c:v>
                </c:pt>
                <c:pt idx="1959">
                  <c:v>39154</c:v>
                </c:pt>
                <c:pt idx="1960">
                  <c:v>39153</c:v>
                </c:pt>
                <c:pt idx="1961">
                  <c:v>39150</c:v>
                </c:pt>
                <c:pt idx="1962">
                  <c:v>39149</c:v>
                </c:pt>
                <c:pt idx="1963">
                  <c:v>39148</c:v>
                </c:pt>
                <c:pt idx="1964">
                  <c:v>39147</c:v>
                </c:pt>
                <c:pt idx="1965">
                  <c:v>39146</c:v>
                </c:pt>
                <c:pt idx="1966">
                  <c:v>39143</c:v>
                </c:pt>
                <c:pt idx="1967">
                  <c:v>39142</c:v>
                </c:pt>
                <c:pt idx="1968">
                  <c:v>39141</c:v>
                </c:pt>
                <c:pt idx="1969">
                  <c:v>39140</c:v>
                </c:pt>
                <c:pt idx="1970">
                  <c:v>39139</c:v>
                </c:pt>
                <c:pt idx="1971">
                  <c:v>39136</c:v>
                </c:pt>
                <c:pt idx="1972">
                  <c:v>39135</c:v>
                </c:pt>
                <c:pt idx="1973">
                  <c:v>39134</c:v>
                </c:pt>
                <c:pt idx="1974">
                  <c:v>39133</c:v>
                </c:pt>
                <c:pt idx="1975">
                  <c:v>39129</c:v>
                </c:pt>
                <c:pt idx="1976">
                  <c:v>39128</c:v>
                </c:pt>
                <c:pt idx="1977">
                  <c:v>39127</c:v>
                </c:pt>
                <c:pt idx="1978">
                  <c:v>39126</c:v>
                </c:pt>
                <c:pt idx="1979">
                  <c:v>39125</c:v>
                </c:pt>
                <c:pt idx="1980">
                  <c:v>39122</c:v>
                </c:pt>
                <c:pt idx="1981">
                  <c:v>39121</c:v>
                </c:pt>
                <c:pt idx="1982">
                  <c:v>39120</c:v>
                </c:pt>
                <c:pt idx="1983">
                  <c:v>39119</c:v>
                </c:pt>
                <c:pt idx="1984">
                  <c:v>39118</c:v>
                </c:pt>
                <c:pt idx="1985">
                  <c:v>39115</c:v>
                </c:pt>
                <c:pt idx="1986">
                  <c:v>39114</c:v>
                </c:pt>
                <c:pt idx="1987">
                  <c:v>39113</c:v>
                </c:pt>
                <c:pt idx="1988">
                  <c:v>39112</c:v>
                </c:pt>
                <c:pt idx="1989">
                  <c:v>39111</c:v>
                </c:pt>
                <c:pt idx="1990">
                  <c:v>39108</c:v>
                </c:pt>
                <c:pt idx="1991">
                  <c:v>39107</c:v>
                </c:pt>
                <c:pt idx="1992">
                  <c:v>39106</c:v>
                </c:pt>
                <c:pt idx="1993">
                  <c:v>39105</c:v>
                </c:pt>
                <c:pt idx="1994">
                  <c:v>39104</c:v>
                </c:pt>
                <c:pt idx="1995">
                  <c:v>39101</c:v>
                </c:pt>
                <c:pt idx="1996">
                  <c:v>39100</c:v>
                </c:pt>
                <c:pt idx="1997">
                  <c:v>39099</c:v>
                </c:pt>
                <c:pt idx="1998">
                  <c:v>39098</c:v>
                </c:pt>
                <c:pt idx="1999">
                  <c:v>39094</c:v>
                </c:pt>
                <c:pt idx="2000">
                  <c:v>39093</c:v>
                </c:pt>
                <c:pt idx="2001">
                  <c:v>39092</c:v>
                </c:pt>
                <c:pt idx="2002">
                  <c:v>39091</c:v>
                </c:pt>
                <c:pt idx="2003">
                  <c:v>39090</c:v>
                </c:pt>
                <c:pt idx="2004">
                  <c:v>39087</c:v>
                </c:pt>
                <c:pt idx="2005">
                  <c:v>39086</c:v>
                </c:pt>
                <c:pt idx="2006">
                  <c:v>39085</c:v>
                </c:pt>
                <c:pt idx="2007">
                  <c:v>39080</c:v>
                </c:pt>
                <c:pt idx="2008">
                  <c:v>39079</c:v>
                </c:pt>
                <c:pt idx="2009">
                  <c:v>39078</c:v>
                </c:pt>
                <c:pt idx="2010">
                  <c:v>39077</c:v>
                </c:pt>
                <c:pt idx="2011">
                  <c:v>39073</c:v>
                </c:pt>
                <c:pt idx="2012">
                  <c:v>39072</c:v>
                </c:pt>
                <c:pt idx="2013">
                  <c:v>39071</c:v>
                </c:pt>
                <c:pt idx="2014">
                  <c:v>39070</c:v>
                </c:pt>
                <c:pt idx="2015">
                  <c:v>39069</c:v>
                </c:pt>
                <c:pt idx="2016">
                  <c:v>39066</c:v>
                </c:pt>
                <c:pt idx="2017">
                  <c:v>39065</c:v>
                </c:pt>
                <c:pt idx="2018">
                  <c:v>39064</c:v>
                </c:pt>
                <c:pt idx="2019">
                  <c:v>39063</c:v>
                </c:pt>
                <c:pt idx="2020">
                  <c:v>39062</c:v>
                </c:pt>
                <c:pt idx="2021">
                  <c:v>39059</c:v>
                </c:pt>
                <c:pt idx="2022">
                  <c:v>39058</c:v>
                </c:pt>
                <c:pt idx="2023">
                  <c:v>39057</c:v>
                </c:pt>
                <c:pt idx="2024">
                  <c:v>39056</c:v>
                </c:pt>
                <c:pt idx="2025">
                  <c:v>39055</c:v>
                </c:pt>
                <c:pt idx="2026">
                  <c:v>39052</c:v>
                </c:pt>
                <c:pt idx="2027">
                  <c:v>39051</c:v>
                </c:pt>
                <c:pt idx="2028">
                  <c:v>39050</c:v>
                </c:pt>
                <c:pt idx="2029">
                  <c:v>39049</c:v>
                </c:pt>
                <c:pt idx="2030">
                  <c:v>39048</c:v>
                </c:pt>
                <c:pt idx="2031">
                  <c:v>39045</c:v>
                </c:pt>
                <c:pt idx="2032">
                  <c:v>39043</c:v>
                </c:pt>
                <c:pt idx="2033">
                  <c:v>39042</c:v>
                </c:pt>
                <c:pt idx="2034">
                  <c:v>39041</c:v>
                </c:pt>
                <c:pt idx="2035">
                  <c:v>39038</c:v>
                </c:pt>
                <c:pt idx="2036">
                  <c:v>39037</c:v>
                </c:pt>
                <c:pt idx="2037">
                  <c:v>39036</c:v>
                </c:pt>
                <c:pt idx="2038">
                  <c:v>39035</c:v>
                </c:pt>
                <c:pt idx="2039">
                  <c:v>39034</c:v>
                </c:pt>
                <c:pt idx="2040">
                  <c:v>39031</c:v>
                </c:pt>
                <c:pt idx="2041">
                  <c:v>39030</c:v>
                </c:pt>
                <c:pt idx="2042">
                  <c:v>39029</c:v>
                </c:pt>
                <c:pt idx="2043">
                  <c:v>39028</c:v>
                </c:pt>
                <c:pt idx="2044">
                  <c:v>39027</c:v>
                </c:pt>
                <c:pt idx="2045">
                  <c:v>39024</c:v>
                </c:pt>
                <c:pt idx="2046">
                  <c:v>39023</c:v>
                </c:pt>
                <c:pt idx="2047">
                  <c:v>39022</c:v>
                </c:pt>
                <c:pt idx="2048">
                  <c:v>39021</c:v>
                </c:pt>
                <c:pt idx="2049">
                  <c:v>39020</c:v>
                </c:pt>
                <c:pt idx="2050">
                  <c:v>39017</c:v>
                </c:pt>
                <c:pt idx="2051">
                  <c:v>39016</c:v>
                </c:pt>
                <c:pt idx="2052">
                  <c:v>39015</c:v>
                </c:pt>
                <c:pt idx="2053">
                  <c:v>39014</c:v>
                </c:pt>
                <c:pt idx="2054">
                  <c:v>39013</c:v>
                </c:pt>
                <c:pt idx="2055">
                  <c:v>39010</c:v>
                </c:pt>
                <c:pt idx="2056">
                  <c:v>39009</c:v>
                </c:pt>
                <c:pt idx="2057">
                  <c:v>39008</c:v>
                </c:pt>
                <c:pt idx="2058">
                  <c:v>39007</c:v>
                </c:pt>
                <c:pt idx="2059">
                  <c:v>39006</c:v>
                </c:pt>
                <c:pt idx="2060">
                  <c:v>39003</c:v>
                </c:pt>
                <c:pt idx="2061">
                  <c:v>39002</c:v>
                </c:pt>
                <c:pt idx="2062">
                  <c:v>39001</c:v>
                </c:pt>
                <c:pt idx="2063">
                  <c:v>39000</c:v>
                </c:pt>
                <c:pt idx="2064">
                  <c:v>38999</c:v>
                </c:pt>
                <c:pt idx="2065">
                  <c:v>38996</c:v>
                </c:pt>
                <c:pt idx="2066">
                  <c:v>38995</c:v>
                </c:pt>
                <c:pt idx="2067">
                  <c:v>38994</c:v>
                </c:pt>
                <c:pt idx="2068">
                  <c:v>38993</c:v>
                </c:pt>
                <c:pt idx="2069">
                  <c:v>38992</c:v>
                </c:pt>
                <c:pt idx="2070">
                  <c:v>38989</c:v>
                </c:pt>
                <c:pt idx="2071">
                  <c:v>38988</c:v>
                </c:pt>
                <c:pt idx="2072">
                  <c:v>38987</c:v>
                </c:pt>
                <c:pt idx="2073">
                  <c:v>38986</c:v>
                </c:pt>
                <c:pt idx="2074">
                  <c:v>38985</c:v>
                </c:pt>
                <c:pt idx="2075">
                  <c:v>38982</c:v>
                </c:pt>
                <c:pt idx="2076">
                  <c:v>38981</c:v>
                </c:pt>
                <c:pt idx="2077">
                  <c:v>38980</c:v>
                </c:pt>
                <c:pt idx="2078">
                  <c:v>38979</c:v>
                </c:pt>
                <c:pt idx="2079">
                  <c:v>38978</c:v>
                </c:pt>
                <c:pt idx="2080">
                  <c:v>38975</c:v>
                </c:pt>
                <c:pt idx="2081">
                  <c:v>38974</c:v>
                </c:pt>
                <c:pt idx="2082">
                  <c:v>38973</c:v>
                </c:pt>
                <c:pt idx="2083">
                  <c:v>38972</c:v>
                </c:pt>
                <c:pt idx="2084">
                  <c:v>38971</c:v>
                </c:pt>
                <c:pt idx="2085">
                  <c:v>38968</c:v>
                </c:pt>
                <c:pt idx="2086">
                  <c:v>38967</c:v>
                </c:pt>
                <c:pt idx="2087">
                  <c:v>38966</c:v>
                </c:pt>
                <c:pt idx="2088">
                  <c:v>38965</c:v>
                </c:pt>
                <c:pt idx="2089">
                  <c:v>38961</c:v>
                </c:pt>
                <c:pt idx="2090">
                  <c:v>38960</c:v>
                </c:pt>
                <c:pt idx="2091">
                  <c:v>38959</c:v>
                </c:pt>
                <c:pt idx="2092">
                  <c:v>38958</c:v>
                </c:pt>
                <c:pt idx="2093">
                  <c:v>38957</c:v>
                </c:pt>
                <c:pt idx="2094">
                  <c:v>38954</c:v>
                </c:pt>
                <c:pt idx="2095">
                  <c:v>38953</c:v>
                </c:pt>
                <c:pt idx="2096">
                  <c:v>38952</c:v>
                </c:pt>
                <c:pt idx="2097">
                  <c:v>38951</c:v>
                </c:pt>
                <c:pt idx="2098">
                  <c:v>38950</c:v>
                </c:pt>
                <c:pt idx="2099">
                  <c:v>38947</c:v>
                </c:pt>
                <c:pt idx="2100">
                  <c:v>38946</c:v>
                </c:pt>
                <c:pt idx="2101">
                  <c:v>38945</c:v>
                </c:pt>
                <c:pt idx="2102">
                  <c:v>38944</c:v>
                </c:pt>
                <c:pt idx="2103">
                  <c:v>38943</c:v>
                </c:pt>
                <c:pt idx="2104">
                  <c:v>38940</c:v>
                </c:pt>
                <c:pt idx="2105">
                  <c:v>38939</c:v>
                </c:pt>
                <c:pt idx="2106">
                  <c:v>38938</c:v>
                </c:pt>
                <c:pt idx="2107">
                  <c:v>38937</c:v>
                </c:pt>
                <c:pt idx="2108">
                  <c:v>38936</c:v>
                </c:pt>
                <c:pt idx="2109">
                  <c:v>38933</c:v>
                </c:pt>
                <c:pt idx="2110">
                  <c:v>38932</c:v>
                </c:pt>
                <c:pt idx="2111">
                  <c:v>38931</c:v>
                </c:pt>
                <c:pt idx="2112">
                  <c:v>38930</c:v>
                </c:pt>
                <c:pt idx="2113">
                  <c:v>38929</c:v>
                </c:pt>
                <c:pt idx="2114">
                  <c:v>38926</c:v>
                </c:pt>
                <c:pt idx="2115">
                  <c:v>38925</c:v>
                </c:pt>
                <c:pt idx="2116">
                  <c:v>38924</c:v>
                </c:pt>
                <c:pt idx="2117">
                  <c:v>38923</c:v>
                </c:pt>
                <c:pt idx="2118">
                  <c:v>38922</c:v>
                </c:pt>
                <c:pt idx="2119">
                  <c:v>38919</c:v>
                </c:pt>
                <c:pt idx="2120">
                  <c:v>38918</c:v>
                </c:pt>
                <c:pt idx="2121">
                  <c:v>38917</c:v>
                </c:pt>
                <c:pt idx="2122">
                  <c:v>38916</c:v>
                </c:pt>
                <c:pt idx="2123">
                  <c:v>38915</c:v>
                </c:pt>
                <c:pt idx="2124">
                  <c:v>38912</c:v>
                </c:pt>
                <c:pt idx="2125">
                  <c:v>38911</c:v>
                </c:pt>
                <c:pt idx="2126">
                  <c:v>38910</c:v>
                </c:pt>
                <c:pt idx="2127">
                  <c:v>38909</c:v>
                </c:pt>
                <c:pt idx="2128">
                  <c:v>38908</c:v>
                </c:pt>
                <c:pt idx="2129">
                  <c:v>38905</c:v>
                </c:pt>
                <c:pt idx="2130">
                  <c:v>38904</c:v>
                </c:pt>
                <c:pt idx="2131">
                  <c:v>38903</c:v>
                </c:pt>
                <c:pt idx="2132">
                  <c:v>38901</c:v>
                </c:pt>
                <c:pt idx="2133">
                  <c:v>38898</c:v>
                </c:pt>
                <c:pt idx="2134">
                  <c:v>38897</c:v>
                </c:pt>
                <c:pt idx="2135">
                  <c:v>38896</c:v>
                </c:pt>
                <c:pt idx="2136">
                  <c:v>38895</c:v>
                </c:pt>
                <c:pt idx="2137">
                  <c:v>38894</c:v>
                </c:pt>
                <c:pt idx="2138">
                  <c:v>38891</c:v>
                </c:pt>
                <c:pt idx="2139">
                  <c:v>38890</c:v>
                </c:pt>
                <c:pt idx="2140">
                  <c:v>38889</c:v>
                </c:pt>
                <c:pt idx="2141">
                  <c:v>38888</c:v>
                </c:pt>
                <c:pt idx="2142">
                  <c:v>38887</c:v>
                </c:pt>
                <c:pt idx="2143">
                  <c:v>38884</c:v>
                </c:pt>
                <c:pt idx="2144">
                  <c:v>38883</c:v>
                </c:pt>
                <c:pt idx="2145">
                  <c:v>38882</c:v>
                </c:pt>
                <c:pt idx="2146">
                  <c:v>38881</c:v>
                </c:pt>
                <c:pt idx="2147">
                  <c:v>38880</c:v>
                </c:pt>
                <c:pt idx="2148">
                  <c:v>38877</c:v>
                </c:pt>
                <c:pt idx="2149">
                  <c:v>38876</c:v>
                </c:pt>
                <c:pt idx="2150">
                  <c:v>38875</c:v>
                </c:pt>
                <c:pt idx="2151">
                  <c:v>38874</c:v>
                </c:pt>
                <c:pt idx="2152">
                  <c:v>38873</c:v>
                </c:pt>
                <c:pt idx="2153">
                  <c:v>38870</c:v>
                </c:pt>
                <c:pt idx="2154">
                  <c:v>38869</c:v>
                </c:pt>
                <c:pt idx="2155">
                  <c:v>38868</c:v>
                </c:pt>
                <c:pt idx="2156">
                  <c:v>38867</c:v>
                </c:pt>
                <c:pt idx="2157">
                  <c:v>38863</c:v>
                </c:pt>
                <c:pt idx="2158">
                  <c:v>38862</c:v>
                </c:pt>
                <c:pt idx="2159">
                  <c:v>38861</c:v>
                </c:pt>
                <c:pt idx="2160">
                  <c:v>38860</c:v>
                </c:pt>
                <c:pt idx="2161">
                  <c:v>38859</c:v>
                </c:pt>
                <c:pt idx="2162">
                  <c:v>38856</c:v>
                </c:pt>
                <c:pt idx="2163">
                  <c:v>38855</c:v>
                </c:pt>
                <c:pt idx="2164">
                  <c:v>38854</c:v>
                </c:pt>
                <c:pt idx="2165">
                  <c:v>38853</c:v>
                </c:pt>
                <c:pt idx="2166">
                  <c:v>38852</c:v>
                </c:pt>
                <c:pt idx="2167">
                  <c:v>38849</c:v>
                </c:pt>
                <c:pt idx="2168">
                  <c:v>38848</c:v>
                </c:pt>
                <c:pt idx="2169">
                  <c:v>38847</c:v>
                </c:pt>
                <c:pt idx="2170">
                  <c:v>38846</c:v>
                </c:pt>
                <c:pt idx="2171">
                  <c:v>38845</c:v>
                </c:pt>
                <c:pt idx="2172">
                  <c:v>38842</c:v>
                </c:pt>
                <c:pt idx="2173">
                  <c:v>38841</c:v>
                </c:pt>
                <c:pt idx="2174">
                  <c:v>38840</c:v>
                </c:pt>
                <c:pt idx="2175">
                  <c:v>38839</c:v>
                </c:pt>
                <c:pt idx="2176">
                  <c:v>38838</c:v>
                </c:pt>
                <c:pt idx="2177">
                  <c:v>38835</c:v>
                </c:pt>
                <c:pt idx="2178">
                  <c:v>38834</c:v>
                </c:pt>
                <c:pt idx="2179">
                  <c:v>38833</c:v>
                </c:pt>
                <c:pt idx="2180">
                  <c:v>38832</c:v>
                </c:pt>
                <c:pt idx="2181">
                  <c:v>38831</c:v>
                </c:pt>
                <c:pt idx="2182">
                  <c:v>38828</c:v>
                </c:pt>
                <c:pt idx="2183">
                  <c:v>38827</c:v>
                </c:pt>
                <c:pt idx="2184">
                  <c:v>38826</c:v>
                </c:pt>
                <c:pt idx="2185">
                  <c:v>38825</c:v>
                </c:pt>
                <c:pt idx="2186">
                  <c:v>38824</c:v>
                </c:pt>
                <c:pt idx="2187">
                  <c:v>38820</c:v>
                </c:pt>
                <c:pt idx="2188">
                  <c:v>38819</c:v>
                </c:pt>
                <c:pt idx="2189">
                  <c:v>38818</c:v>
                </c:pt>
                <c:pt idx="2190">
                  <c:v>38817</c:v>
                </c:pt>
                <c:pt idx="2191">
                  <c:v>38814</c:v>
                </c:pt>
                <c:pt idx="2192">
                  <c:v>38813</c:v>
                </c:pt>
                <c:pt idx="2193">
                  <c:v>38812</c:v>
                </c:pt>
                <c:pt idx="2194">
                  <c:v>38811</c:v>
                </c:pt>
                <c:pt idx="2195">
                  <c:v>38810</c:v>
                </c:pt>
                <c:pt idx="2196">
                  <c:v>38807</c:v>
                </c:pt>
                <c:pt idx="2197">
                  <c:v>38806</c:v>
                </c:pt>
                <c:pt idx="2198">
                  <c:v>38805</c:v>
                </c:pt>
                <c:pt idx="2199">
                  <c:v>38804</c:v>
                </c:pt>
                <c:pt idx="2200">
                  <c:v>38803</c:v>
                </c:pt>
                <c:pt idx="2201">
                  <c:v>38800</c:v>
                </c:pt>
                <c:pt idx="2202">
                  <c:v>38799</c:v>
                </c:pt>
                <c:pt idx="2203">
                  <c:v>38798</c:v>
                </c:pt>
                <c:pt idx="2204">
                  <c:v>38797</c:v>
                </c:pt>
                <c:pt idx="2205">
                  <c:v>38796</c:v>
                </c:pt>
                <c:pt idx="2206">
                  <c:v>38793</c:v>
                </c:pt>
                <c:pt idx="2207">
                  <c:v>38792</c:v>
                </c:pt>
                <c:pt idx="2208">
                  <c:v>38791</c:v>
                </c:pt>
                <c:pt idx="2209">
                  <c:v>38790</c:v>
                </c:pt>
                <c:pt idx="2210">
                  <c:v>38789</c:v>
                </c:pt>
                <c:pt idx="2211">
                  <c:v>38786</c:v>
                </c:pt>
                <c:pt idx="2212">
                  <c:v>38785</c:v>
                </c:pt>
                <c:pt idx="2213">
                  <c:v>38784</c:v>
                </c:pt>
                <c:pt idx="2214">
                  <c:v>38783</c:v>
                </c:pt>
                <c:pt idx="2215">
                  <c:v>38782</c:v>
                </c:pt>
                <c:pt idx="2216">
                  <c:v>38779</c:v>
                </c:pt>
                <c:pt idx="2217">
                  <c:v>38778</c:v>
                </c:pt>
                <c:pt idx="2218">
                  <c:v>38777</c:v>
                </c:pt>
                <c:pt idx="2219">
                  <c:v>38776</c:v>
                </c:pt>
                <c:pt idx="2220">
                  <c:v>38775</c:v>
                </c:pt>
                <c:pt idx="2221">
                  <c:v>38772</c:v>
                </c:pt>
                <c:pt idx="2222">
                  <c:v>38771</c:v>
                </c:pt>
                <c:pt idx="2223">
                  <c:v>38770</c:v>
                </c:pt>
                <c:pt idx="2224">
                  <c:v>38769</c:v>
                </c:pt>
                <c:pt idx="2225">
                  <c:v>38765</c:v>
                </c:pt>
                <c:pt idx="2226">
                  <c:v>38764</c:v>
                </c:pt>
                <c:pt idx="2227">
                  <c:v>38763</c:v>
                </c:pt>
                <c:pt idx="2228">
                  <c:v>38762</c:v>
                </c:pt>
                <c:pt idx="2229">
                  <c:v>38761</c:v>
                </c:pt>
                <c:pt idx="2230">
                  <c:v>38758</c:v>
                </c:pt>
                <c:pt idx="2231">
                  <c:v>38757</c:v>
                </c:pt>
                <c:pt idx="2232">
                  <c:v>38756</c:v>
                </c:pt>
                <c:pt idx="2233">
                  <c:v>38755</c:v>
                </c:pt>
                <c:pt idx="2234">
                  <c:v>38754</c:v>
                </c:pt>
                <c:pt idx="2235">
                  <c:v>38751</c:v>
                </c:pt>
                <c:pt idx="2236">
                  <c:v>38750</c:v>
                </c:pt>
                <c:pt idx="2237">
                  <c:v>38749</c:v>
                </c:pt>
                <c:pt idx="2238">
                  <c:v>38748</c:v>
                </c:pt>
                <c:pt idx="2239">
                  <c:v>38747</c:v>
                </c:pt>
                <c:pt idx="2240">
                  <c:v>38744</c:v>
                </c:pt>
                <c:pt idx="2241">
                  <c:v>38743</c:v>
                </c:pt>
                <c:pt idx="2242">
                  <c:v>38742</c:v>
                </c:pt>
                <c:pt idx="2243">
                  <c:v>38741</c:v>
                </c:pt>
                <c:pt idx="2244">
                  <c:v>38740</c:v>
                </c:pt>
                <c:pt idx="2245">
                  <c:v>38737</c:v>
                </c:pt>
                <c:pt idx="2246">
                  <c:v>38736</c:v>
                </c:pt>
                <c:pt idx="2247">
                  <c:v>38735</c:v>
                </c:pt>
                <c:pt idx="2248">
                  <c:v>38734</c:v>
                </c:pt>
                <c:pt idx="2249">
                  <c:v>38730</c:v>
                </c:pt>
                <c:pt idx="2250">
                  <c:v>38729</c:v>
                </c:pt>
                <c:pt idx="2251">
                  <c:v>38728</c:v>
                </c:pt>
                <c:pt idx="2252">
                  <c:v>38727</c:v>
                </c:pt>
                <c:pt idx="2253">
                  <c:v>38726</c:v>
                </c:pt>
                <c:pt idx="2254">
                  <c:v>38723</c:v>
                </c:pt>
                <c:pt idx="2255">
                  <c:v>38722</c:v>
                </c:pt>
                <c:pt idx="2256">
                  <c:v>38721</c:v>
                </c:pt>
                <c:pt idx="2257">
                  <c:v>38720</c:v>
                </c:pt>
                <c:pt idx="2258">
                  <c:v>38716</c:v>
                </c:pt>
                <c:pt idx="2259">
                  <c:v>38715</c:v>
                </c:pt>
                <c:pt idx="2260">
                  <c:v>38714</c:v>
                </c:pt>
                <c:pt idx="2261">
                  <c:v>38713</c:v>
                </c:pt>
                <c:pt idx="2262">
                  <c:v>38709</c:v>
                </c:pt>
                <c:pt idx="2263">
                  <c:v>38708</c:v>
                </c:pt>
                <c:pt idx="2264">
                  <c:v>38707</c:v>
                </c:pt>
                <c:pt idx="2265">
                  <c:v>38706</c:v>
                </c:pt>
                <c:pt idx="2266">
                  <c:v>38705</c:v>
                </c:pt>
                <c:pt idx="2267">
                  <c:v>38702</c:v>
                </c:pt>
                <c:pt idx="2268">
                  <c:v>38701</c:v>
                </c:pt>
                <c:pt idx="2269">
                  <c:v>38700</c:v>
                </c:pt>
                <c:pt idx="2270">
                  <c:v>38699</c:v>
                </c:pt>
                <c:pt idx="2271">
                  <c:v>38698</c:v>
                </c:pt>
                <c:pt idx="2272">
                  <c:v>38695</c:v>
                </c:pt>
                <c:pt idx="2273">
                  <c:v>38694</c:v>
                </c:pt>
                <c:pt idx="2274">
                  <c:v>38693</c:v>
                </c:pt>
                <c:pt idx="2275">
                  <c:v>38692</c:v>
                </c:pt>
                <c:pt idx="2276">
                  <c:v>38691</c:v>
                </c:pt>
                <c:pt idx="2277">
                  <c:v>38688</c:v>
                </c:pt>
                <c:pt idx="2278">
                  <c:v>38687</c:v>
                </c:pt>
                <c:pt idx="2279">
                  <c:v>38686</c:v>
                </c:pt>
                <c:pt idx="2280">
                  <c:v>38685</c:v>
                </c:pt>
                <c:pt idx="2281">
                  <c:v>38684</c:v>
                </c:pt>
                <c:pt idx="2282">
                  <c:v>38681</c:v>
                </c:pt>
                <c:pt idx="2283">
                  <c:v>38679</c:v>
                </c:pt>
                <c:pt idx="2284">
                  <c:v>38678</c:v>
                </c:pt>
                <c:pt idx="2285">
                  <c:v>38677</c:v>
                </c:pt>
                <c:pt idx="2286">
                  <c:v>38674</c:v>
                </c:pt>
                <c:pt idx="2287">
                  <c:v>38673</c:v>
                </c:pt>
                <c:pt idx="2288">
                  <c:v>38672</c:v>
                </c:pt>
                <c:pt idx="2289">
                  <c:v>38671</c:v>
                </c:pt>
                <c:pt idx="2290">
                  <c:v>38670</c:v>
                </c:pt>
                <c:pt idx="2291">
                  <c:v>38667</c:v>
                </c:pt>
                <c:pt idx="2292">
                  <c:v>38666</c:v>
                </c:pt>
                <c:pt idx="2293">
                  <c:v>38665</c:v>
                </c:pt>
                <c:pt idx="2294">
                  <c:v>38664</c:v>
                </c:pt>
                <c:pt idx="2295">
                  <c:v>38663</c:v>
                </c:pt>
                <c:pt idx="2296">
                  <c:v>38660</c:v>
                </c:pt>
                <c:pt idx="2297">
                  <c:v>38659</c:v>
                </c:pt>
                <c:pt idx="2298">
                  <c:v>38658</c:v>
                </c:pt>
                <c:pt idx="2299">
                  <c:v>38657</c:v>
                </c:pt>
                <c:pt idx="2300">
                  <c:v>38656</c:v>
                </c:pt>
                <c:pt idx="2301">
                  <c:v>38653</c:v>
                </c:pt>
                <c:pt idx="2302">
                  <c:v>38652</c:v>
                </c:pt>
                <c:pt idx="2303">
                  <c:v>38651</c:v>
                </c:pt>
                <c:pt idx="2304">
                  <c:v>38650</c:v>
                </c:pt>
                <c:pt idx="2305">
                  <c:v>38649</c:v>
                </c:pt>
                <c:pt idx="2306">
                  <c:v>38646</c:v>
                </c:pt>
                <c:pt idx="2307">
                  <c:v>38645</c:v>
                </c:pt>
                <c:pt idx="2308">
                  <c:v>38644</c:v>
                </c:pt>
                <c:pt idx="2309">
                  <c:v>38643</c:v>
                </c:pt>
                <c:pt idx="2310">
                  <c:v>38642</c:v>
                </c:pt>
                <c:pt idx="2311">
                  <c:v>38639</c:v>
                </c:pt>
                <c:pt idx="2312">
                  <c:v>38638</c:v>
                </c:pt>
                <c:pt idx="2313">
                  <c:v>38637</c:v>
                </c:pt>
                <c:pt idx="2314">
                  <c:v>38636</c:v>
                </c:pt>
                <c:pt idx="2315">
                  <c:v>38635</c:v>
                </c:pt>
                <c:pt idx="2316">
                  <c:v>38632</c:v>
                </c:pt>
                <c:pt idx="2317">
                  <c:v>38631</c:v>
                </c:pt>
                <c:pt idx="2318">
                  <c:v>38630</c:v>
                </c:pt>
                <c:pt idx="2319">
                  <c:v>38629</c:v>
                </c:pt>
                <c:pt idx="2320">
                  <c:v>38628</c:v>
                </c:pt>
                <c:pt idx="2321">
                  <c:v>38625</c:v>
                </c:pt>
                <c:pt idx="2322">
                  <c:v>38624</c:v>
                </c:pt>
                <c:pt idx="2323">
                  <c:v>38623</c:v>
                </c:pt>
                <c:pt idx="2324">
                  <c:v>38622</c:v>
                </c:pt>
                <c:pt idx="2325">
                  <c:v>38621</c:v>
                </c:pt>
                <c:pt idx="2326">
                  <c:v>38618</c:v>
                </c:pt>
                <c:pt idx="2327">
                  <c:v>38617</c:v>
                </c:pt>
                <c:pt idx="2328">
                  <c:v>38616</c:v>
                </c:pt>
                <c:pt idx="2329">
                  <c:v>38615</c:v>
                </c:pt>
                <c:pt idx="2330">
                  <c:v>38614</c:v>
                </c:pt>
                <c:pt idx="2331">
                  <c:v>38611</c:v>
                </c:pt>
                <c:pt idx="2332">
                  <c:v>38610</c:v>
                </c:pt>
                <c:pt idx="2333">
                  <c:v>38609</c:v>
                </c:pt>
                <c:pt idx="2334">
                  <c:v>38608</c:v>
                </c:pt>
                <c:pt idx="2335">
                  <c:v>38607</c:v>
                </c:pt>
                <c:pt idx="2336">
                  <c:v>38604</c:v>
                </c:pt>
                <c:pt idx="2337">
                  <c:v>38603</c:v>
                </c:pt>
                <c:pt idx="2338">
                  <c:v>38602</c:v>
                </c:pt>
                <c:pt idx="2339">
                  <c:v>38601</c:v>
                </c:pt>
                <c:pt idx="2340">
                  <c:v>38597</c:v>
                </c:pt>
                <c:pt idx="2341">
                  <c:v>38596</c:v>
                </c:pt>
                <c:pt idx="2342">
                  <c:v>38595</c:v>
                </c:pt>
                <c:pt idx="2343">
                  <c:v>38594</c:v>
                </c:pt>
                <c:pt idx="2344">
                  <c:v>38593</c:v>
                </c:pt>
                <c:pt idx="2345">
                  <c:v>38590</c:v>
                </c:pt>
                <c:pt idx="2346">
                  <c:v>38589</c:v>
                </c:pt>
                <c:pt idx="2347">
                  <c:v>38588</c:v>
                </c:pt>
                <c:pt idx="2348">
                  <c:v>38587</c:v>
                </c:pt>
                <c:pt idx="2349">
                  <c:v>38586</c:v>
                </c:pt>
                <c:pt idx="2350">
                  <c:v>38583</c:v>
                </c:pt>
                <c:pt idx="2351">
                  <c:v>38582</c:v>
                </c:pt>
                <c:pt idx="2352">
                  <c:v>38581</c:v>
                </c:pt>
                <c:pt idx="2353">
                  <c:v>38580</c:v>
                </c:pt>
                <c:pt idx="2354">
                  <c:v>38579</c:v>
                </c:pt>
                <c:pt idx="2355">
                  <c:v>38576</c:v>
                </c:pt>
                <c:pt idx="2356">
                  <c:v>38575</c:v>
                </c:pt>
                <c:pt idx="2357">
                  <c:v>38574</c:v>
                </c:pt>
                <c:pt idx="2358">
                  <c:v>38573</c:v>
                </c:pt>
                <c:pt idx="2359">
                  <c:v>38572</c:v>
                </c:pt>
                <c:pt idx="2360">
                  <c:v>38569</c:v>
                </c:pt>
                <c:pt idx="2361">
                  <c:v>38568</c:v>
                </c:pt>
                <c:pt idx="2362">
                  <c:v>38567</c:v>
                </c:pt>
                <c:pt idx="2363">
                  <c:v>38566</c:v>
                </c:pt>
                <c:pt idx="2364">
                  <c:v>38565</c:v>
                </c:pt>
                <c:pt idx="2365">
                  <c:v>38562</c:v>
                </c:pt>
                <c:pt idx="2366">
                  <c:v>38561</c:v>
                </c:pt>
                <c:pt idx="2367">
                  <c:v>38560</c:v>
                </c:pt>
                <c:pt idx="2368">
                  <c:v>38559</c:v>
                </c:pt>
                <c:pt idx="2369">
                  <c:v>38558</c:v>
                </c:pt>
                <c:pt idx="2370">
                  <c:v>38555</c:v>
                </c:pt>
                <c:pt idx="2371">
                  <c:v>38554</c:v>
                </c:pt>
                <c:pt idx="2372">
                  <c:v>38553</c:v>
                </c:pt>
                <c:pt idx="2373">
                  <c:v>38552</c:v>
                </c:pt>
                <c:pt idx="2374">
                  <c:v>38551</c:v>
                </c:pt>
                <c:pt idx="2375">
                  <c:v>38548</c:v>
                </c:pt>
                <c:pt idx="2376">
                  <c:v>38547</c:v>
                </c:pt>
                <c:pt idx="2377">
                  <c:v>38546</c:v>
                </c:pt>
                <c:pt idx="2378">
                  <c:v>38545</c:v>
                </c:pt>
                <c:pt idx="2379">
                  <c:v>38544</c:v>
                </c:pt>
                <c:pt idx="2380">
                  <c:v>38541</c:v>
                </c:pt>
                <c:pt idx="2381">
                  <c:v>38540</c:v>
                </c:pt>
                <c:pt idx="2382">
                  <c:v>38539</c:v>
                </c:pt>
                <c:pt idx="2383">
                  <c:v>38538</c:v>
                </c:pt>
                <c:pt idx="2384">
                  <c:v>38534</c:v>
                </c:pt>
                <c:pt idx="2385">
                  <c:v>38533</c:v>
                </c:pt>
                <c:pt idx="2386">
                  <c:v>38532</c:v>
                </c:pt>
                <c:pt idx="2387">
                  <c:v>38531</c:v>
                </c:pt>
                <c:pt idx="2388">
                  <c:v>38530</c:v>
                </c:pt>
                <c:pt idx="2389">
                  <c:v>38527</c:v>
                </c:pt>
                <c:pt idx="2390">
                  <c:v>38526</c:v>
                </c:pt>
                <c:pt idx="2391">
                  <c:v>38525</c:v>
                </c:pt>
                <c:pt idx="2392">
                  <c:v>38524</c:v>
                </c:pt>
                <c:pt idx="2393">
                  <c:v>38523</c:v>
                </c:pt>
                <c:pt idx="2394">
                  <c:v>38520</c:v>
                </c:pt>
                <c:pt idx="2395">
                  <c:v>38519</c:v>
                </c:pt>
                <c:pt idx="2396">
                  <c:v>38518</c:v>
                </c:pt>
                <c:pt idx="2397">
                  <c:v>38517</c:v>
                </c:pt>
                <c:pt idx="2398">
                  <c:v>38516</c:v>
                </c:pt>
                <c:pt idx="2399">
                  <c:v>38513</c:v>
                </c:pt>
                <c:pt idx="2400">
                  <c:v>38512</c:v>
                </c:pt>
                <c:pt idx="2401">
                  <c:v>38511</c:v>
                </c:pt>
                <c:pt idx="2402">
                  <c:v>38510</c:v>
                </c:pt>
                <c:pt idx="2403">
                  <c:v>38509</c:v>
                </c:pt>
                <c:pt idx="2404">
                  <c:v>38506</c:v>
                </c:pt>
                <c:pt idx="2405">
                  <c:v>38505</c:v>
                </c:pt>
                <c:pt idx="2406">
                  <c:v>38504</c:v>
                </c:pt>
                <c:pt idx="2407">
                  <c:v>38503</c:v>
                </c:pt>
                <c:pt idx="2408">
                  <c:v>38499</c:v>
                </c:pt>
                <c:pt idx="2409">
                  <c:v>38498</c:v>
                </c:pt>
                <c:pt idx="2410">
                  <c:v>38497</c:v>
                </c:pt>
                <c:pt idx="2411">
                  <c:v>38496</c:v>
                </c:pt>
                <c:pt idx="2412">
                  <c:v>38495</c:v>
                </c:pt>
                <c:pt idx="2413">
                  <c:v>38492</c:v>
                </c:pt>
                <c:pt idx="2414">
                  <c:v>38491</c:v>
                </c:pt>
                <c:pt idx="2415">
                  <c:v>38490</c:v>
                </c:pt>
                <c:pt idx="2416">
                  <c:v>38489</c:v>
                </c:pt>
                <c:pt idx="2417">
                  <c:v>38488</c:v>
                </c:pt>
                <c:pt idx="2418">
                  <c:v>38485</c:v>
                </c:pt>
                <c:pt idx="2419">
                  <c:v>38484</c:v>
                </c:pt>
                <c:pt idx="2420">
                  <c:v>38483</c:v>
                </c:pt>
                <c:pt idx="2421">
                  <c:v>38482</c:v>
                </c:pt>
                <c:pt idx="2422">
                  <c:v>38481</c:v>
                </c:pt>
                <c:pt idx="2423">
                  <c:v>38478</c:v>
                </c:pt>
                <c:pt idx="2424">
                  <c:v>38477</c:v>
                </c:pt>
                <c:pt idx="2425">
                  <c:v>38476</c:v>
                </c:pt>
                <c:pt idx="2426">
                  <c:v>38475</c:v>
                </c:pt>
                <c:pt idx="2427">
                  <c:v>38474</c:v>
                </c:pt>
                <c:pt idx="2428">
                  <c:v>38471</c:v>
                </c:pt>
                <c:pt idx="2429">
                  <c:v>38470</c:v>
                </c:pt>
                <c:pt idx="2430">
                  <c:v>38469</c:v>
                </c:pt>
                <c:pt idx="2431">
                  <c:v>38468</c:v>
                </c:pt>
                <c:pt idx="2432">
                  <c:v>38467</c:v>
                </c:pt>
                <c:pt idx="2433">
                  <c:v>38464</c:v>
                </c:pt>
                <c:pt idx="2434">
                  <c:v>38463</c:v>
                </c:pt>
                <c:pt idx="2435">
                  <c:v>38462</c:v>
                </c:pt>
                <c:pt idx="2436">
                  <c:v>38461</c:v>
                </c:pt>
                <c:pt idx="2437">
                  <c:v>38460</c:v>
                </c:pt>
                <c:pt idx="2438">
                  <c:v>38457</c:v>
                </c:pt>
                <c:pt idx="2439">
                  <c:v>38456</c:v>
                </c:pt>
                <c:pt idx="2440">
                  <c:v>38455</c:v>
                </c:pt>
                <c:pt idx="2441">
                  <c:v>38454</c:v>
                </c:pt>
                <c:pt idx="2442">
                  <c:v>38453</c:v>
                </c:pt>
                <c:pt idx="2443">
                  <c:v>38450</c:v>
                </c:pt>
                <c:pt idx="2444">
                  <c:v>38449</c:v>
                </c:pt>
                <c:pt idx="2445">
                  <c:v>38448</c:v>
                </c:pt>
                <c:pt idx="2446">
                  <c:v>38447</c:v>
                </c:pt>
                <c:pt idx="2447">
                  <c:v>38446</c:v>
                </c:pt>
                <c:pt idx="2448">
                  <c:v>38443</c:v>
                </c:pt>
                <c:pt idx="2449">
                  <c:v>38442</c:v>
                </c:pt>
                <c:pt idx="2450">
                  <c:v>38441</c:v>
                </c:pt>
                <c:pt idx="2451">
                  <c:v>38440</c:v>
                </c:pt>
                <c:pt idx="2452">
                  <c:v>38439</c:v>
                </c:pt>
                <c:pt idx="2453">
                  <c:v>38435</c:v>
                </c:pt>
                <c:pt idx="2454">
                  <c:v>38434</c:v>
                </c:pt>
                <c:pt idx="2455">
                  <c:v>38433</c:v>
                </c:pt>
                <c:pt idx="2456">
                  <c:v>38432</c:v>
                </c:pt>
                <c:pt idx="2457">
                  <c:v>38429</c:v>
                </c:pt>
                <c:pt idx="2458">
                  <c:v>38428</c:v>
                </c:pt>
                <c:pt idx="2459">
                  <c:v>38427</c:v>
                </c:pt>
                <c:pt idx="2460">
                  <c:v>38426</c:v>
                </c:pt>
                <c:pt idx="2461">
                  <c:v>38425</c:v>
                </c:pt>
                <c:pt idx="2462">
                  <c:v>38422</c:v>
                </c:pt>
                <c:pt idx="2463">
                  <c:v>38421</c:v>
                </c:pt>
                <c:pt idx="2464">
                  <c:v>38420</c:v>
                </c:pt>
                <c:pt idx="2465">
                  <c:v>38419</c:v>
                </c:pt>
                <c:pt idx="2466">
                  <c:v>38418</c:v>
                </c:pt>
                <c:pt idx="2467">
                  <c:v>38415</c:v>
                </c:pt>
                <c:pt idx="2468">
                  <c:v>38414</c:v>
                </c:pt>
                <c:pt idx="2469">
                  <c:v>38413</c:v>
                </c:pt>
                <c:pt idx="2470">
                  <c:v>38412</c:v>
                </c:pt>
                <c:pt idx="2471">
                  <c:v>38411</c:v>
                </c:pt>
                <c:pt idx="2472">
                  <c:v>38408</c:v>
                </c:pt>
                <c:pt idx="2473">
                  <c:v>38407</c:v>
                </c:pt>
                <c:pt idx="2474">
                  <c:v>38406</c:v>
                </c:pt>
                <c:pt idx="2475">
                  <c:v>38405</c:v>
                </c:pt>
                <c:pt idx="2476">
                  <c:v>38401</c:v>
                </c:pt>
                <c:pt idx="2477">
                  <c:v>38400</c:v>
                </c:pt>
                <c:pt idx="2478">
                  <c:v>38399</c:v>
                </c:pt>
                <c:pt idx="2479">
                  <c:v>38398</c:v>
                </c:pt>
                <c:pt idx="2480">
                  <c:v>38397</c:v>
                </c:pt>
                <c:pt idx="2481">
                  <c:v>38394</c:v>
                </c:pt>
                <c:pt idx="2482">
                  <c:v>38393</c:v>
                </c:pt>
                <c:pt idx="2483">
                  <c:v>38392</c:v>
                </c:pt>
                <c:pt idx="2484">
                  <c:v>38391</c:v>
                </c:pt>
                <c:pt idx="2485">
                  <c:v>38390</c:v>
                </c:pt>
                <c:pt idx="2486">
                  <c:v>38387</c:v>
                </c:pt>
                <c:pt idx="2487">
                  <c:v>38386</c:v>
                </c:pt>
                <c:pt idx="2488">
                  <c:v>38385</c:v>
                </c:pt>
                <c:pt idx="2489">
                  <c:v>38384</c:v>
                </c:pt>
                <c:pt idx="2490">
                  <c:v>38383</c:v>
                </c:pt>
                <c:pt idx="2491">
                  <c:v>38380</c:v>
                </c:pt>
                <c:pt idx="2492">
                  <c:v>38379</c:v>
                </c:pt>
                <c:pt idx="2493">
                  <c:v>38378</c:v>
                </c:pt>
                <c:pt idx="2494">
                  <c:v>38377</c:v>
                </c:pt>
                <c:pt idx="2495">
                  <c:v>38376</c:v>
                </c:pt>
                <c:pt idx="2496">
                  <c:v>38373</c:v>
                </c:pt>
                <c:pt idx="2497">
                  <c:v>38372</c:v>
                </c:pt>
                <c:pt idx="2498">
                  <c:v>38371</c:v>
                </c:pt>
                <c:pt idx="2499">
                  <c:v>38370</c:v>
                </c:pt>
                <c:pt idx="2500">
                  <c:v>38366</c:v>
                </c:pt>
                <c:pt idx="2501">
                  <c:v>38365</c:v>
                </c:pt>
                <c:pt idx="2502">
                  <c:v>38364</c:v>
                </c:pt>
                <c:pt idx="2503">
                  <c:v>38363</c:v>
                </c:pt>
                <c:pt idx="2504">
                  <c:v>38362</c:v>
                </c:pt>
                <c:pt idx="2505">
                  <c:v>38359</c:v>
                </c:pt>
                <c:pt idx="2506">
                  <c:v>38358</c:v>
                </c:pt>
                <c:pt idx="2507">
                  <c:v>38357</c:v>
                </c:pt>
                <c:pt idx="2508">
                  <c:v>38356</c:v>
                </c:pt>
                <c:pt idx="2509">
                  <c:v>38355</c:v>
                </c:pt>
                <c:pt idx="2510">
                  <c:v>38352</c:v>
                </c:pt>
                <c:pt idx="2511">
                  <c:v>38351</c:v>
                </c:pt>
                <c:pt idx="2512">
                  <c:v>38350</c:v>
                </c:pt>
                <c:pt idx="2513">
                  <c:v>38349</c:v>
                </c:pt>
                <c:pt idx="2514">
                  <c:v>38348</c:v>
                </c:pt>
                <c:pt idx="2515">
                  <c:v>38344</c:v>
                </c:pt>
                <c:pt idx="2516">
                  <c:v>38343</c:v>
                </c:pt>
                <c:pt idx="2517">
                  <c:v>38342</c:v>
                </c:pt>
                <c:pt idx="2518">
                  <c:v>38341</c:v>
                </c:pt>
                <c:pt idx="2519">
                  <c:v>38338</c:v>
                </c:pt>
                <c:pt idx="2520">
                  <c:v>38337</c:v>
                </c:pt>
                <c:pt idx="2521">
                  <c:v>38336</c:v>
                </c:pt>
                <c:pt idx="2522">
                  <c:v>38335</c:v>
                </c:pt>
                <c:pt idx="2523">
                  <c:v>38334</c:v>
                </c:pt>
                <c:pt idx="2524">
                  <c:v>38331</c:v>
                </c:pt>
                <c:pt idx="2525">
                  <c:v>38330</c:v>
                </c:pt>
                <c:pt idx="2526">
                  <c:v>38329</c:v>
                </c:pt>
                <c:pt idx="2527">
                  <c:v>38328</c:v>
                </c:pt>
                <c:pt idx="2528">
                  <c:v>38327</c:v>
                </c:pt>
                <c:pt idx="2529">
                  <c:v>38324</c:v>
                </c:pt>
                <c:pt idx="2530">
                  <c:v>38323</c:v>
                </c:pt>
                <c:pt idx="2531">
                  <c:v>38322</c:v>
                </c:pt>
                <c:pt idx="2532">
                  <c:v>38321</c:v>
                </c:pt>
                <c:pt idx="2533">
                  <c:v>38320</c:v>
                </c:pt>
                <c:pt idx="2534">
                  <c:v>38317</c:v>
                </c:pt>
                <c:pt idx="2535">
                  <c:v>38315</c:v>
                </c:pt>
                <c:pt idx="2536">
                  <c:v>38314</c:v>
                </c:pt>
                <c:pt idx="2537">
                  <c:v>38313</c:v>
                </c:pt>
                <c:pt idx="2538">
                  <c:v>38310</c:v>
                </c:pt>
                <c:pt idx="2539">
                  <c:v>38309</c:v>
                </c:pt>
                <c:pt idx="2540">
                  <c:v>38308</c:v>
                </c:pt>
                <c:pt idx="2541">
                  <c:v>38307</c:v>
                </c:pt>
                <c:pt idx="2542">
                  <c:v>38306</c:v>
                </c:pt>
                <c:pt idx="2543">
                  <c:v>38303</c:v>
                </c:pt>
                <c:pt idx="2544">
                  <c:v>38302</c:v>
                </c:pt>
                <c:pt idx="2545">
                  <c:v>38301</c:v>
                </c:pt>
                <c:pt idx="2546">
                  <c:v>38300</c:v>
                </c:pt>
                <c:pt idx="2547">
                  <c:v>38299</c:v>
                </c:pt>
                <c:pt idx="2548">
                  <c:v>38296</c:v>
                </c:pt>
                <c:pt idx="2549">
                  <c:v>38295</c:v>
                </c:pt>
                <c:pt idx="2550">
                  <c:v>38294</c:v>
                </c:pt>
                <c:pt idx="2551">
                  <c:v>38293</c:v>
                </c:pt>
                <c:pt idx="2552">
                  <c:v>38292</c:v>
                </c:pt>
                <c:pt idx="2553">
                  <c:v>38289</c:v>
                </c:pt>
                <c:pt idx="2554">
                  <c:v>38288</c:v>
                </c:pt>
                <c:pt idx="2555">
                  <c:v>38287</c:v>
                </c:pt>
                <c:pt idx="2556">
                  <c:v>38286</c:v>
                </c:pt>
                <c:pt idx="2557">
                  <c:v>38285</c:v>
                </c:pt>
                <c:pt idx="2558">
                  <c:v>38282</c:v>
                </c:pt>
                <c:pt idx="2559">
                  <c:v>38281</c:v>
                </c:pt>
                <c:pt idx="2560">
                  <c:v>38280</c:v>
                </c:pt>
                <c:pt idx="2561">
                  <c:v>38279</c:v>
                </c:pt>
                <c:pt idx="2562">
                  <c:v>38278</c:v>
                </c:pt>
                <c:pt idx="2563">
                  <c:v>38275</c:v>
                </c:pt>
                <c:pt idx="2564">
                  <c:v>38274</c:v>
                </c:pt>
                <c:pt idx="2565">
                  <c:v>38273</c:v>
                </c:pt>
                <c:pt idx="2566">
                  <c:v>38272</c:v>
                </c:pt>
                <c:pt idx="2567">
                  <c:v>38271</c:v>
                </c:pt>
                <c:pt idx="2568">
                  <c:v>38268</c:v>
                </c:pt>
                <c:pt idx="2569">
                  <c:v>38267</c:v>
                </c:pt>
                <c:pt idx="2570">
                  <c:v>38266</c:v>
                </c:pt>
                <c:pt idx="2571">
                  <c:v>38265</c:v>
                </c:pt>
                <c:pt idx="2572">
                  <c:v>38264</c:v>
                </c:pt>
                <c:pt idx="2573">
                  <c:v>38261</c:v>
                </c:pt>
                <c:pt idx="2574">
                  <c:v>38260</c:v>
                </c:pt>
                <c:pt idx="2575">
                  <c:v>38259</c:v>
                </c:pt>
                <c:pt idx="2576">
                  <c:v>38258</c:v>
                </c:pt>
                <c:pt idx="2577">
                  <c:v>38257</c:v>
                </c:pt>
                <c:pt idx="2578">
                  <c:v>38254</c:v>
                </c:pt>
                <c:pt idx="2579">
                  <c:v>38253</c:v>
                </c:pt>
                <c:pt idx="2580">
                  <c:v>38252</c:v>
                </c:pt>
                <c:pt idx="2581">
                  <c:v>38251</c:v>
                </c:pt>
                <c:pt idx="2582">
                  <c:v>38250</c:v>
                </c:pt>
                <c:pt idx="2583">
                  <c:v>38247</c:v>
                </c:pt>
                <c:pt idx="2584">
                  <c:v>38246</c:v>
                </c:pt>
                <c:pt idx="2585">
                  <c:v>38245</c:v>
                </c:pt>
                <c:pt idx="2586">
                  <c:v>38244</c:v>
                </c:pt>
                <c:pt idx="2587">
                  <c:v>38243</c:v>
                </c:pt>
                <c:pt idx="2588">
                  <c:v>38240</c:v>
                </c:pt>
                <c:pt idx="2589">
                  <c:v>38239</c:v>
                </c:pt>
                <c:pt idx="2590">
                  <c:v>38238</c:v>
                </c:pt>
                <c:pt idx="2591">
                  <c:v>38237</c:v>
                </c:pt>
                <c:pt idx="2592">
                  <c:v>38233</c:v>
                </c:pt>
                <c:pt idx="2593">
                  <c:v>38232</c:v>
                </c:pt>
                <c:pt idx="2594">
                  <c:v>38231</c:v>
                </c:pt>
                <c:pt idx="2595">
                  <c:v>38230</c:v>
                </c:pt>
                <c:pt idx="2596">
                  <c:v>38229</c:v>
                </c:pt>
                <c:pt idx="2597">
                  <c:v>38226</c:v>
                </c:pt>
                <c:pt idx="2598">
                  <c:v>38225</c:v>
                </c:pt>
                <c:pt idx="2599">
                  <c:v>38224</c:v>
                </c:pt>
                <c:pt idx="2600">
                  <c:v>38223</c:v>
                </c:pt>
                <c:pt idx="2601">
                  <c:v>38222</c:v>
                </c:pt>
                <c:pt idx="2602">
                  <c:v>38219</c:v>
                </c:pt>
                <c:pt idx="2603">
                  <c:v>38218</c:v>
                </c:pt>
                <c:pt idx="2604">
                  <c:v>38217</c:v>
                </c:pt>
                <c:pt idx="2605">
                  <c:v>38216</c:v>
                </c:pt>
                <c:pt idx="2606">
                  <c:v>38215</c:v>
                </c:pt>
                <c:pt idx="2607">
                  <c:v>38212</c:v>
                </c:pt>
                <c:pt idx="2608">
                  <c:v>38211</c:v>
                </c:pt>
                <c:pt idx="2609">
                  <c:v>38210</c:v>
                </c:pt>
                <c:pt idx="2610">
                  <c:v>38209</c:v>
                </c:pt>
                <c:pt idx="2611">
                  <c:v>38208</c:v>
                </c:pt>
                <c:pt idx="2612">
                  <c:v>38205</c:v>
                </c:pt>
                <c:pt idx="2613">
                  <c:v>38204</c:v>
                </c:pt>
                <c:pt idx="2614">
                  <c:v>38203</c:v>
                </c:pt>
                <c:pt idx="2615">
                  <c:v>38202</c:v>
                </c:pt>
                <c:pt idx="2616">
                  <c:v>38201</c:v>
                </c:pt>
                <c:pt idx="2617">
                  <c:v>38198</c:v>
                </c:pt>
                <c:pt idx="2618">
                  <c:v>38197</c:v>
                </c:pt>
                <c:pt idx="2619">
                  <c:v>38196</c:v>
                </c:pt>
                <c:pt idx="2620">
                  <c:v>38195</c:v>
                </c:pt>
                <c:pt idx="2621">
                  <c:v>38194</c:v>
                </c:pt>
                <c:pt idx="2622">
                  <c:v>38191</c:v>
                </c:pt>
                <c:pt idx="2623">
                  <c:v>38190</c:v>
                </c:pt>
                <c:pt idx="2624">
                  <c:v>38189</c:v>
                </c:pt>
                <c:pt idx="2625">
                  <c:v>38188</c:v>
                </c:pt>
                <c:pt idx="2626">
                  <c:v>38187</c:v>
                </c:pt>
                <c:pt idx="2627">
                  <c:v>38184</c:v>
                </c:pt>
                <c:pt idx="2628">
                  <c:v>38183</c:v>
                </c:pt>
                <c:pt idx="2629">
                  <c:v>38182</c:v>
                </c:pt>
                <c:pt idx="2630">
                  <c:v>38181</c:v>
                </c:pt>
                <c:pt idx="2631">
                  <c:v>38180</c:v>
                </c:pt>
                <c:pt idx="2632">
                  <c:v>38177</c:v>
                </c:pt>
                <c:pt idx="2633">
                  <c:v>38176</c:v>
                </c:pt>
                <c:pt idx="2634">
                  <c:v>38175</c:v>
                </c:pt>
                <c:pt idx="2635">
                  <c:v>38174</c:v>
                </c:pt>
                <c:pt idx="2636">
                  <c:v>38170</c:v>
                </c:pt>
                <c:pt idx="2637">
                  <c:v>38169</c:v>
                </c:pt>
                <c:pt idx="2638">
                  <c:v>38168</c:v>
                </c:pt>
                <c:pt idx="2639">
                  <c:v>38167</c:v>
                </c:pt>
                <c:pt idx="2640">
                  <c:v>38166</c:v>
                </c:pt>
                <c:pt idx="2641">
                  <c:v>38163</c:v>
                </c:pt>
                <c:pt idx="2642">
                  <c:v>38162</c:v>
                </c:pt>
                <c:pt idx="2643">
                  <c:v>38161</c:v>
                </c:pt>
                <c:pt idx="2644">
                  <c:v>38160</c:v>
                </c:pt>
                <c:pt idx="2645">
                  <c:v>38159</c:v>
                </c:pt>
                <c:pt idx="2646">
                  <c:v>38156</c:v>
                </c:pt>
                <c:pt idx="2647">
                  <c:v>38155</c:v>
                </c:pt>
                <c:pt idx="2648">
                  <c:v>38154</c:v>
                </c:pt>
                <c:pt idx="2649">
                  <c:v>38153</c:v>
                </c:pt>
                <c:pt idx="2650">
                  <c:v>38152</c:v>
                </c:pt>
                <c:pt idx="2651">
                  <c:v>38148</c:v>
                </c:pt>
                <c:pt idx="2652">
                  <c:v>38147</c:v>
                </c:pt>
                <c:pt idx="2653">
                  <c:v>38146</c:v>
                </c:pt>
                <c:pt idx="2654">
                  <c:v>38145</c:v>
                </c:pt>
                <c:pt idx="2655">
                  <c:v>38142</c:v>
                </c:pt>
                <c:pt idx="2656">
                  <c:v>38141</c:v>
                </c:pt>
                <c:pt idx="2657">
                  <c:v>38140</c:v>
                </c:pt>
                <c:pt idx="2658">
                  <c:v>38139</c:v>
                </c:pt>
                <c:pt idx="2659">
                  <c:v>38135</c:v>
                </c:pt>
                <c:pt idx="2660">
                  <c:v>38134</c:v>
                </c:pt>
                <c:pt idx="2661">
                  <c:v>38133</c:v>
                </c:pt>
                <c:pt idx="2662">
                  <c:v>38132</c:v>
                </c:pt>
                <c:pt idx="2663">
                  <c:v>38131</c:v>
                </c:pt>
                <c:pt idx="2664">
                  <c:v>38128</c:v>
                </c:pt>
                <c:pt idx="2665">
                  <c:v>38127</c:v>
                </c:pt>
                <c:pt idx="2666">
                  <c:v>38126</c:v>
                </c:pt>
                <c:pt idx="2667">
                  <c:v>38125</c:v>
                </c:pt>
                <c:pt idx="2668">
                  <c:v>38124</c:v>
                </c:pt>
                <c:pt idx="2669">
                  <c:v>38121</c:v>
                </c:pt>
                <c:pt idx="2670">
                  <c:v>38120</c:v>
                </c:pt>
                <c:pt idx="2671">
                  <c:v>38119</c:v>
                </c:pt>
                <c:pt idx="2672">
                  <c:v>38118</c:v>
                </c:pt>
                <c:pt idx="2673">
                  <c:v>38117</c:v>
                </c:pt>
                <c:pt idx="2674">
                  <c:v>38114</c:v>
                </c:pt>
                <c:pt idx="2675">
                  <c:v>38113</c:v>
                </c:pt>
                <c:pt idx="2676">
                  <c:v>38112</c:v>
                </c:pt>
                <c:pt idx="2677">
                  <c:v>38111</c:v>
                </c:pt>
                <c:pt idx="2678">
                  <c:v>38110</c:v>
                </c:pt>
                <c:pt idx="2679">
                  <c:v>38107</c:v>
                </c:pt>
                <c:pt idx="2680">
                  <c:v>38106</c:v>
                </c:pt>
                <c:pt idx="2681">
                  <c:v>38105</c:v>
                </c:pt>
                <c:pt idx="2682">
                  <c:v>38104</c:v>
                </c:pt>
                <c:pt idx="2683">
                  <c:v>38103</c:v>
                </c:pt>
                <c:pt idx="2684">
                  <c:v>38100</c:v>
                </c:pt>
                <c:pt idx="2685">
                  <c:v>38099</c:v>
                </c:pt>
                <c:pt idx="2686">
                  <c:v>38098</c:v>
                </c:pt>
                <c:pt idx="2687">
                  <c:v>38097</c:v>
                </c:pt>
                <c:pt idx="2688">
                  <c:v>38096</c:v>
                </c:pt>
                <c:pt idx="2689">
                  <c:v>38093</c:v>
                </c:pt>
                <c:pt idx="2690">
                  <c:v>38092</c:v>
                </c:pt>
                <c:pt idx="2691">
                  <c:v>38091</c:v>
                </c:pt>
                <c:pt idx="2692">
                  <c:v>38090</c:v>
                </c:pt>
                <c:pt idx="2693">
                  <c:v>38089</c:v>
                </c:pt>
                <c:pt idx="2694">
                  <c:v>38085</c:v>
                </c:pt>
                <c:pt idx="2695">
                  <c:v>38084</c:v>
                </c:pt>
                <c:pt idx="2696">
                  <c:v>38083</c:v>
                </c:pt>
                <c:pt idx="2697">
                  <c:v>38082</c:v>
                </c:pt>
                <c:pt idx="2698">
                  <c:v>38079</c:v>
                </c:pt>
                <c:pt idx="2699">
                  <c:v>38078</c:v>
                </c:pt>
                <c:pt idx="2700">
                  <c:v>38077</c:v>
                </c:pt>
                <c:pt idx="2701">
                  <c:v>38076</c:v>
                </c:pt>
                <c:pt idx="2702">
                  <c:v>38075</c:v>
                </c:pt>
                <c:pt idx="2703">
                  <c:v>38072</c:v>
                </c:pt>
                <c:pt idx="2704">
                  <c:v>38071</c:v>
                </c:pt>
                <c:pt idx="2705">
                  <c:v>38070</c:v>
                </c:pt>
                <c:pt idx="2706">
                  <c:v>38069</c:v>
                </c:pt>
                <c:pt idx="2707">
                  <c:v>38068</c:v>
                </c:pt>
                <c:pt idx="2708">
                  <c:v>38065</c:v>
                </c:pt>
                <c:pt idx="2709">
                  <c:v>38064</c:v>
                </c:pt>
                <c:pt idx="2710">
                  <c:v>38063</c:v>
                </c:pt>
                <c:pt idx="2711">
                  <c:v>38062</c:v>
                </c:pt>
                <c:pt idx="2712">
                  <c:v>38061</c:v>
                </c:pt>
                <c:pt idx="2713">
                  <c:v>38058</c:v>
                </c:pt>
                <c:pt idx="2714">
                  <c:v>38057</c:v>
                </c:pt>
                <c:pt idx="2715">
                  <c:v>38056</c:v>
                </c:pt>
                <c:pt idx="2716">
                  <c:v>38055</c:v>
                </c:pt>
                <c:pt idx="2717">
                  <c:v>38054</c:v>
                </c:pt>
                <c:pt idx="2718">
                  <c:v>38051</c:v>
                </c:pt>
                <c:pt idx="2719">
                  <c:v>38050</c:v>
                </c:pt>
                <c:pt idx="2720">
                  <c:v>38049</c:v>
                </c:pt>
                <c:pt idx="2721">
                  <c:v>38048</c:v>
                </c:pt>
                <c:pt idx="2722">
                  <c:v>38047</c:v>
                </c:pt>
                <c:pt idx="2723">
                  <c:v>38044</c:v>
                </c:pt>
                <c:pt idx="2724">
                  <c:v>38043</c:v>
                </c:pt>
                <c:pt idx="2725">
                  <c:v>38042</c:v>
                </c:pt>
                <c:pt idx="2726">
                  <c:v>38041</c:v>
                </c:pt>
                <c:pt idx="2727">
                  <c:v>38040</c:v>
                </c:pt>
                <c:pt idx="2728">
                  <c:v>38037</c:v>
                </c:pt>
                <c:pt idx="2729">
                  <c:v>38036</c:v>
                </c:pt>
                <c:pt idx="2730">
                  <c:v>38035</c:v>
                </c:pt>
                <c:pt idx="2731">
                  <c:v>38034</c:v>
                </c:pt>
                <c:pt idx="2732">
                  <c:v>38030</c:v>
                </c:pt>
                <c:pt idx="2733">
                  <c:v>38029</c:v>
                </c:pt>
                <c:pt idx="2734">
                  <c:v>38028</c:v>
                </c:pt>
                <c:pt idx="2735">
                  <c:v>38027</c:v>
                </c:pt>
                <c:pt idx="2736">
                  <c:v>38026</c:v>
                </c:pt>
                <c:pt idx="2737">
                  <c:v>38023</c:v>
                </c:pt>
                <c:pt idx="2738">
                  <c:v>38022</c:v>
                </c:pt>
                <c:pt idx="2739">
                  <c:v>38021</c:v>
                </c:pt>
                <c:pt idx="2740">
                  <c:v>38020</c:v>
                </c:pt>
                <c:pt idx="2741">
                  <c:v>38019</c:v>
                </c:pt>
                <c:pt idx="2742">
                  <c:v>38016</c:v>
                </c:pt>
                <c:pt idx="2743">
                  <c:v>38015</c:v>
                </c:pt>
                <c:pt idx="2744">
                  <c:v>38014</c:v>
                </c:pt>
                <c:pt idx="2745">
                  <c:v>38013</c:v>
                </c:pt>
                <c:pt idx="2746">
                  <c:v>38012</c:v>
                </c:pt>
                <c:pt idx="2747">
                  <c:v>38009</c:v>
                </c:pt>
                <c:pt idx="2748">
                  <c:v>38008</c:v>
                </c:pt>
                <c:pt idx="2749">
                  <c:v>38007</c:v>
                </c:pt>
                <c:pt idx="2750">
                  <c:v>38006</c:v>
                </c:pt>
                <c:pt idx="2751">
                  <c:v>38002</c:v>
                </c:pt>
                <c:pt idx="2752">
                  <c:v>38001</c:v>
                </c:pt>
                <c:pt idx="2753">
                  <c:v>38000</c:v>
                </c:pt>
                <c:pt idx="2754">
                  <c:v>37999</c:v>
                </c:pt>
                <c:pt idx="2755">
                  <c:v>37998</c:v>
                </c:pt>
                <c:pt idx="2756">
                  <c:v>37995</c:v>
                </c:pt>
                <c:pt idx="2757">
                  <c:v>37994</c:v>
                </c:pt>
                <c:pt idx="2758">
                  <c:v>37993</c:v>
                </c:pt>
                <c:pt idx="2759">
                  <c:v>37992</c:v>
                </c:pt>
                <c:pt idx="2760">
                  <c:v>37991</c:v>
                </c:pt>
                <c:pt idx="2761">
                  <c:v>37988</c:v>
                </c:pt>
                <c:pt idx="2762">
                  <c:v>37986</c:v>
                </c:pt>
                <c:pt idx="2763">
                  <c:v>37985</c:v>
                </c:pt>
                <c:pt idx="2764">
                  <c:v>37984</c:v>
                </c:pt>
                <c:pt idx="2765">
                  <c:v>37981</c:v>
                </c:pt>
                <c:pt idx="2766">
                  <c:v>37979</c:v>
                </c:pt>
                <c:pt idx="2767">
                  <c:v>37978</c:v>
                </c:pt>
                <c:pt idx="2768">
                  <c:v>37977</c:v>
                </c:pt>
                <c:pt idx="2769">
                  <c:v>37974</c:v>
                </c:pt>
                <c:pt idx="2770">
                  <c:v>37973</c:v>
                </c:pt>
                <c:pt idx="2771">
                  <c:v>37972</c:v>
                </c:pt>
                <c:pt idx="2772">
                  <c:v>37971</c:v>
                </c:pt>
                <c:pt idx="2773">
                  <c:v>37970</c:v>
                </c:pt>
                <c:pt idx="2774">
                  <c:v>37967</c:v>
                </c:pt>
                <c:pt idx="2775">
                  <c:v>37966</c:v>
                </c:pt>
                <c:pt idx="2776">
                  <c:v>37965</c:v>
                </c:pt>
                <c:pt idx="2777">
                  <c:v>37964</c:v>
                </c:pt>
                <c:pt idx="2778">
                  <c:v>37963</c:v>
                </c:pt>
                <c:pt idx="2779">
                  <c:v>37960</c:v>
                </c:pt>
                <c:pt idx="2780">
                  <c:v>37959</c:v>
                </c:pt>
                <c:pt idx="2781">
                  <c:v>37958</c:v>
                </c:pt>
                <c:pt idx="2782">
                  <c:v>37957</c:v>
                </c:pt>
                <c:pt idx="2783">
                  <c:v>37956</c:v>
                </c:pt>
                <c:pt idx="2784">
                  <c:v>37953</c:v>
                </c:pt>
                <c:pt idx="2785">
                  <c:v>37951</c:v>
                </c:pt>
                <c:pt idx="2786">
                  <c:v>37950</c:v>
                </c:pt>
                <c:pt idx="2787">
                  <c:v>37949</c:v>
                </c:pt>
                <c:pt idx="2788">
                  <c:v>37946</c:v>
                </c:pt>
                <c:pt idx="2789">
                  <c:v>37945</c:v>
                </c:pt>
                <c:pt idx="2790">
                  <c:v>37944</c:v>
                </c:pt>
                <c:pt idx="2791">
                  <c:v>37943</c:v>
                </c:pt>
                <c:pt idx="2792">
                  <c:v>37942</c:v>
                </c:pt>
                <c:pt idx="2793">
                  <c:v>37939</c:v>
                </c:pt>
                <c:pt idx="2794">
                  <c:v>37938</c:v>
                </c:pt>
                <c:pt idx="2795">
                  <c:v>37937</c:v>
                </c:pt>
                <c:pt idx="2796">
                  <c:v>37936</c:v>
                </c:pt>
                <c:pt idx="2797">
                  <c:v>37935</c:v>
                </c:pt>
                <c:pt idx="2798">
                  <c:v>37932</c:v>
                </c:pt>
                <c:pt idx="2799">
                  <c:v>37931</c:v>
                </c:pt>
                <c:pt idx="2800">
                  <c:v>37930</c:v>
                </c:pt>
                <c:pt idx="2801">
                  <c:v>37929</c:v>
                </c:pt>
                <c:pt idx="2802">
                  <c:v>37928</c:v>
                </c:pt>
                <c:pt idx="2803">
                  <c:v>37925</c:v>
                </c:pt>
                <c:pt idx="2804">
                  <c:v>37924</c:v>
                </c:pt>
                <c:pt idx="2805">
                  <c:v>37923</c:v>
                </c:pt>
                <c:pt idx="2806">
                  <c:v>37922</c:v>
                </c:pt>
                <c:pt idx="2807">
                  <c:v>37921</c:v>
                </c:pt>
                <c:pt idx="2808">
                  <c:v>37918</c:v>
                </c:pt>
                <c:pt idx="2809">
                  <c:v>37917</c:v>
                </c:pt>
                <c:pt idx="2810">
                  <c:v>37916</c:v>
                </c:pt>
                <c:pt idx="2811">
                  <c:v>37915</c:v>
                </c:pt>
                <c:pt idx="2812">
                  <c:v>37914</c:v>
                </c:pt>
                <c:pt idx="2813">
                  <c:v>37911</c:v>
                </c:pt>
                <c:pt idx="2814">
                  <c:v>37910</c:v>
                </c:pt>
                <c:pt idx="2815">
                  <c:v>37909</c:v>
                </c:pt>
                <c:pt idx="2816">
                  <c:v>37908</c:v>
                </c:pt>
                <c:pt idx="2817">
                  <c:v>37907</c:v>
                </c:pt>
                <c:pt idx="2818">
                  <c:v>37904</c:v>
                </c:pt>
                <c:pt idx="2819">
                  <c:v>37903</c:v>
                </c:pt>
                <c:pt idx="2820">
                  <c:v>37902</c:v>
                </c:pt>
                <c:pt idx="2821">
                  <c:v>37901</c:v>
                </c:pt>
                <c:pt idx="2822">
                  <c:v>37900</c:v>
                </c:pt>
                <c:pt idx="2823">
                  <c:v>37897</c:v>
                </c:pt>
                <c:pt idx="2824">
                  <c:v>37896</c:v>
                </c:pt>
                <c:pt idx="2825">
                  <c:v>37895</c:v>
                </c:pt>
                <c:pt idx="2826">
                  <c:v>37894</c:v>
                </c:pt>
                <c:pt idx="2827">
                  <c:v>37893</c:v>
                </c:pt>
                <c:pt idx="2828">
                  <c:v>37890</c:v>
                </c:pt>
                <c:pt idx="2829">
                  <c:v>37889</c:v>
                </c:pt>
                <c:pt idx="2830">
                  <c:v>37888</c:v>
                </c:pt>
                <c:pt idx="2831">
                  <c:v>37887</c:v>
                </c:pt>
                <c:pt idx="2832">
                  <c:v>37886</c:v>
                </c:pt>
                <c:pt idx="2833">
                  <c:v>37883</c:v>
                </c:pt>
                <c:pt idx="2834">
                  <c:v>37882</c:v>
                </c:pt>
                <c:pt idx="2835">
                  <c:v>37881</c:v>
                </c:pt>
                <c:pt idx="2836">
                  <c:v>37880</c:v>
                </c:pt>
                <c:pt idx="2837">
                  <c:v>37879</c:v>
                </c:pt>
                <c:pt idx="2838">
                  <c:v>37876</c:v>
                </c:pt>
                <c:pt idx="2839">
                  <c:v>37875</c:v>
                </c:pt>
                <c:pt idx="2840">
                  <c:v>37874</c:v>
                </c:pt>
                <c:pt idx="2841">
                  <c:v>37873</c:v>
                </c:pt>
                <c:pt idx="2842">
                  <c:v>37872</c:v>
                </c:pt>
                <c:pt idx="2843">
                  <c:v>37869</c:v>
                </c:pt>
                <c:pt idx="2844">
                  <c:v>37868</c:v>
                </c:pt>
                <c:pt idx="2845">
                  <c:v>37867</c:v>
                </c:pt>
                <c:pt idx="2846">
                  <c:v>37866</c:v>
                </c:pt>
                <c:pt idx="2847">
                  <c:v>37862</c:v>
                </c:pt>
                <c:pt idx="2848">
                  <c:v>37861</c:v>
                </c:pt>
                <c:pt idx="2849">
                  <c:v>37860</c:v>
                </c:pt>
                <c:pt idx="2850">
                  <c:v>37859</c:v>
                </c:pt>
                <c:pt idx="2851">
                  <c:v>37858</c:v>
                </c:pt>
                <c:pt idx="2852">
                  <c:v>37855</c:v>
                </c:pt>
                <c:pt idx="2853">
                  <c:v>37854</c:v>
                </c:pt>
                <c:pt idx="2854">
                  <c:v>37853</c:v>
                </c:pt>
                <c:pt idx="2855">
                  <c:v>37852</c:v>
                </c:pt>
                <c:pt idx="2856">
                  <c:v>37851</c:v>
                </c:pt>
                <c:pt idx="2857">
                  <c:v>37848</c:v>
                </c:pt>
                <c:pt idx="2858">
                  <c:v>37847</c:v>
                </c:pt>
                <c:pt idx="2859">
                  <c:v>37846</c:v>
                </c:pt>
                <c:pt idx="2860">
                  <c:v>37845</c:v>
                </c:pt>
                <c:pt idx="2861">
                  <c:v>37844</c:v>
                </c:pt>
                <c:pt idx="2862">
                  <c:v>37841</c:v>
                </c:pt>
                <c:pt idx="2863">
                  <c:v>37840</c:v>
                </c:pt>
                <c:pt idx="2864">
                  <c:v>37839</c:v>
                </c:pt>
                <c:pt idx="2865">
                  <c:v>37838</c:v>
                </c:pt>
                <c:pt idx="2866">
                  <c:v>37837</c:v>
                </c:pt>
                <c:pt idx="2867">
                  <c:v>37834</c:v>
                </c:pt>
                <c:pt idx="2868">
                  <c:v>37833</c:v>
                </c:pt>
                <c:pt idx="2869">
                  <c:v>37832</c:v>
                </c:pt>
                <c:pt idx="2870">
                  <c:v>37831</c:v>
                </c:pt>
                <c:pt idx="2871">
                  <c:v>37830</c:v>
                </c:pt>
                <c:pt idx="2872">
                  <c:v>37827</c:v>
                </c:pt>
                <c:pt idx="2873">
                  <c:v>37826</c:v>
                </c:pt>
                <c:pt idx="2874">
                  <c:v>37825</c:v>
                </c:pt>
                <c:pt idx="2875">
                  <c:v>37824</c:v>
                </c:pt>
                <c:pt idx="2876">
                  <c:v>37823</c:v>
                </c:pt>
                <c:pt idx="2877">
                  <c:v>37820</c:v>
                </c:pt>
                <c:pt idx="2878">
                  <c:v>37819</c:v>
                </c:pt>
                <c:pt idx="2879">
                  <c:v>37818</c:v>
                </c:pt>
                <c:pt idx="2880">
                  <c:v>37817</c:v>
                </c:pt>
                <c:pt idx="2881">
                  <c:v>37816</c:v>
                </c:pt>
                <c:pt idx="2882">
                  <c:v>37813</c:v>
                </c:pt>
                <c:pt idx="2883">
                  <c:v>37812</c:v>
                </c:pt>
                <c:pt idx="2884">
                  <c:v>37811</c:v>
                </c:pt>
                <c:pt idx="2885">
                  <c:v>37810</c:v>
                </c:pt>
                <c:pt idx="2886">
                  <c:v>37809</c:v>
                </c:pt>
                <c:pt idx="2887">
                  <c:v>37805</c:v>
                </c:pt>
                <c:pt idx="2888">
                  <c:v>37804</c:v>
                </c:pt>
                <c:pt idx="2889">
                  <c:v>37803</c:v>
                </c:pt>
                <c:pt idx="2890">
                  <c:v>37802</c:v>
                </c:pt>
                <c:pt idx="2891">
                  <c:v>37799</c:v>
                </c:pt>
                <c:pt idx="2892">
                  <c:v>37798</c:v>
                </c:pt>
                <c:pt idx="2893">
                  <c:v>37797</c:v>
                </c:pt>
                <c:pt idx="2894">
                  <c:v>37796</c:v>
                </c:pt>
                <c:pt idx="2895">
                  <c:v>37795</c:v>
                </c:pt>
                <c:pt idx="2896">
                  <c:v>37792</c:v>
                </c:pt>
                <c:pt idx="2897">
                  <c:v>37791</c:v>
                </c:pt>
                <c:pt idx="2898">
                  <c:v>37790</c:v>
                </c:pt>
                <c:pt idx="2899">
                  <c:v>37789</c:v>
                </c:pt>
                <c:pt idx="2900">
                  <c:v>37788</c:v>
                </c:pt>
                <c:pt idx="2901">
                  <c:v>37785</c:v>
                </c:pt>
                <c:pt idx="2902">
                  <c:v>37784</c:v>
                </c:pt>
                <c:pt idx="2903">
                  <c:v>37783</c:v>
                </c:pt>
                <c:pt idx="2904">
                  <c:v>37782</c:v>
                </c:pt>
                <c:pt idx="2905">
                  <c:v>37781</c:v>
                </c:pt>
                <c:pt idx="2906">
                  <c:v>37778</c:v>
                </c:pt>
                <c:pt idx="2907">
                  <c:v>37777</c:v>
                </c:pt>
                <c:pt idx="2908">
                  <c:v>37776</c:v>
                </c:pt>
                <c:pt idx="2909">
                  <c:v>37775</c:v>
                </c:pt>
                <c:pt idx="2910">
                  <c:v>37774</c:v>
                </c:pt>
                <c:pt idx="2911">
                  <c:v>37771</c:v>
                </c:pt>
                <c:pt idx="2912">
                  <c:v>37770</c:v>
                </c:pt>
                <c:pt idx="2913">
                  <c:v>37769</c:v>
                </c:pt>
                <c:pt idx="2914">
                  <c:v>37768</c:v>
                </c:pt>
                <c:pt idx="2915">
                  <c:v>37764</c:v>
                </c:pt>
                <c:pt idx="2916">
                  <c:v>37763</c:v>
                </c:pt>
                <c:pt idx="2917">
                  <c:v>37762</c:v>
                </c:pt>
                <c:pt idx="2918">
                  <c:v>37761</c:v>
                </c:pt>
                <c:pt idx="2919">
                  <c:v>37760</c:v>
                </c:pt>
                <c:pt idx="2920">
                  <c:v>37757</c:v>
                </c:pt>
                <c:pt idx="2921">
                  <c:v>37756</c:v>
                </c:pt>
                <c:pt idx="2922">
                  <c:v>37755</c:v>
                </c:pt>
                <c:pt idx="2923">
                  <c:v>37754</c:v>
                </c:pt>
                <c:pt idx="2924">
                  <c:v>37753</c:v>
                </c:pt>
                <c:pt idx="2925">
                  <c:v>37750</c:v>
                </c:pt>
                <c:pt idx="2926">
                  <c:v>37749</c:v>
                </c:pt>
                <c:pt idx="2927">
                  <c:v>37748</c:v>
                </c:pt>
                <c:pt idx="2928">
                  <c:v>37747</c:v>
                </c:pt>
                <c:pt idx="2929">
                  <c:v>37746</c:v>
                </c:pt>
                <c:pt idx="2930">
                  <c:v>37743</c:v>
                </c:pt>
                <c:pt idx="2931">
                  <c:v>37742</c:v>
                </c:pt>
                <c:pt idx="2932">
                  <c:v>37741</c:v>
                </c:pt>
                <c:pt idx="2933">
                  <c:v>37740</c:v>
                </c:pt>
                <c:pt idx="2934">
                  <c:v>37739</c:v>
                </c:pt>
                <c:pt idx="2935">
                  <c:v>37736</c:v>
                </c:pt>
                <c:pt idx="2936">
                  <c:v>37735</c:v>
                </c:pt>
                <c:pt idx="2937">
                  <c:v>37734</c:v>
                </c:pt>
                <c:pt idx="2938">
                  <c:v>37733</c:v>
                </c:pt>
                <c:pt idx="2939">
                  <c:v>37732</c:v>
                </c:pt>
                <c:pt idx="2940">
                  <c:v>37728</c:v>
                </c:pt>
                <c:pt idx="2941">
                  <c:v>37727</c:v>
                </c:pt>
                <c:pt idx="2942">
                  <c:v>37726</c:v>
                </c:pt>
                <c:pt idx="2943">
                  <c:v>37725</c:v>
                </c:pt>
                <c:pt idx="2944">
                  <c:v>37722</c:v>
                </c:pt>
                <c:pt idx="2945">
                  <c:v>37721</c:v>
                </c:pt>
                <c:pt idx="2946">
                  <c:v>37720</c:v>
                </c:pt>
                <c:pt idx="2947">
                  <c:v>37719</c:v>
                </c:pt>
                <c:pt idx="2948">
                  <c:v>37718</c:v>
                </c:pt>
                <c:pt idx="2949">
                  <c:v>37715</c:v>
                </c:pt>
                <c:pt idx="2950">
                  <c:v>37714</c:v>
                </c:pt>
                <c:pt idx="2951">
                  <c:v>37713</c:v>
                </c:pt>
                <c:pt idx="2952">
                  <c:v>37712</c:v>
                </c:pt>
                <c:pt idx="2953">
                  <c:v>37711</c:v>
                </c:pt>
                <c:pt idx="2954">
                  <c:v>37708</c:v>
                </c:pt>
                <c:pt idx="2955">
                  <c:v>37707</c:v>
                </c:pt>
                <c:pt idx="2956">
                  <c:v>37706</c:v>
                </c:pt>
                <c:pt idx="2957">
                  <c:v>37705</c:v>
                </c:pt>
                <c:pt idx="2958">
                  <c:v>37704</c:v>
                </c:pt>
                <c:pt idx="2959">
                  <c:v>37701</c:v>
                </c:pt>
                <c:pt idx="2960">
                  <c:v>37700</c:v>
                </c:pt>
                <c:pt idx="2961">
                  <c:v>37699</c:v>
                </c:pt>
                <c:pt idx="2962">
                  <c:v>37698</c:v>
                </c:pt>
                <c:pt idx="2963">
                  <c:v>37697</c:v>
                </c:pt>
                <c:pt idx="2964">
                  <c:v>37694</c:v>
                </c:pt>
                <c:pt idx="2965">
                  <c:v>37693</c:v>
                </c:pt>
                <c:pt idx="2966">
                  <c:v>37692</c:v>
                </c:pt>
                <c:pt idx="2967">
                  <c:v>37691</c:v>
                </c:pt>
                <c:pt idx="2968">
                  <c:v>37690</c:v>
                </c:pt>
                <c:pt idx="2969">
                  <c:v>37687</c:v>
                </c:pt>
                <c:pt idx="2970">
                  <c:v>37686</c:v>
                </c:pt>
                <c:pt idx="2971">
                  <c:v>37685</c:v>
                </c:pt>
                <c:pt idx="2972">
                  <c:v>37684</c:v>
                </c:pt>
                <c:pt idx="2973">
                  <c:v>37683</c:v>
                </c:pt>
                <c:pt idx="2974">
                  <c:v>37680</c:v>
                </c:pt>
                <c:pt idx="2975">
                  <c:v>37679</c:v>
                </c:pt>
                <c:pt idx="2976">
                  <c:v>37678</c:v>
                </c:pt>
                <c:pt idx="2977">
                  <c:v>37677</c:v>
                </c:pt>
                <c:pt idx="2978">
                  <c:v>37676</c:v>
                </c:pt>
                <c:pt idx="2979">
                  <c:v>37673</c:v>
                </c:pt>
                <c:pt idx="2980">
                  <c:v>37672</c:v>
                </c:pt>
                <c:pt idx="2981">
                  <c:v>37671</c:v>
                </c:pt>
                <c:pt idx="2982">
                  <c:v>37670</c:v>
                </c:pt>
                <c:pt idx="2983">
                  <c:v>37666</c:v>
                </c:pt>
                <c:pt idx="2984">
                  <c:v>37665</c:v>
                </c:pt>
                <c:pt idx="2985">
                  <c:v>37664</c:v>
                </c:pt>
                <c:pt idx="2986">
                  <c:v>37663</c:v>
                </c:pt>
                <c:pt idx="2987">
                  <c:v>37662</c:v>
                </c:pt>
                <c:pt idx="2988">
                  <c:v>37659</c:v>
                </c:pt>
                <c:pt idx="2989">
                  <c:v>37658</c:v>
                </c:pt>
                <c:pt idx="2990">
                  <c:v>37657</c:v>
                </c:pt>
                <c:pt idx="2991">
                  <c:v>37656</c:v>
                </c:pt>
                <c:pt idx="2992">
                  <c:v>37655</c:v>
                </c:pt>
                <c:pt idx="2993">
                  <c:v>37652</c:v>
                </c:pt>
                <c:pt idx="2994">
                  <c:v>37651</c:v>
                </c:pt>
                <c:pt idx="2995">
                  <c:v>37650</c:v>
                </c:pt>
                <c:pt idx="2996">
                  <c:v>37649</c:v>
                </c:pt>
                <c:pt idx="2997">
                  <c:v>37648</c:v>
                </c:pt>
                <c:pt idx="2998">
                  <c:v>37645</c:v>
                </c:pt>
                <c:pt idx="2999">
                  <c:v>37644</c:v>
                </c:pt>
                <c:pt idx="3000">
                  <c:v>37643</c:v>
                </c:pt>
                <c:pt idx="3001">
                  <c:v>37642</c:v>
                </c:pt>
                <c:pt idx="3002">
                  <c:v>37638</c:v>
                </c:pt>
                <c:pt idx="3003">
                  <c:v>37637</c:v>
                </c:pt>
                <c:pt idx="3004">
                  <c:v>37636</c:v>
                </c:pt>
                <c:pt idx="3005">
                  <c:v>37635</c:v>
                </c:pt>
                <c:pt idx="3006">
                  <c:v>37634</c:v>
                </c:pt>
                <c:pt idx="3007">
                  <c:v>37631</c:v>
                </c:pt>
                <c:pt idx="3008">
                  <c:v>37630</c:v>
                </c:pt>
                <c:pt idx="3009">
                  <c:v>37629</c:v>
                </c:pt>
                <c:pt idx="3010">
                  <c:v>37628</c:v>
                </c:pt>
                <c:pt idx="3011">
                  <c:v>37627</c:v>
                </c:pt>
                <c:pt idx="3012">
                  <c:v>37624</c:v>
                </c:pt>
                <c:pt idx="3013">
                  <c:v>37623</c:v>
                </c:pt>
                <c:pt idx="3014">
                  <c:v>37621</c:v>
                </c:pt>
                <c:pt idx="3015">
                  <c:v>37620</c:v>
                </c:pt>
                <c:pt idx="3016">
                  <c:v>37617</c:v>
                </c:pt>
                <c:pt idx="3017">
                  <c:v>37616</c:v>
                </c:pt>
                <c:pt idx="3018">
                  <c:v>37614</c:v>
                </c:pt>
                <c:pt idx="3019">
                  <c:v>37613</c:v>
                </c:pt>
                <c:pt idx="3020">
                  <c:v>37610</c:v>
                </c:pt>
                <c:pt idx="3021">
                  <c:v>37609</c:v>
                </c:pt>
                <c:pt idx="3022">
                  <c:v>37608</c:v>
                </c:pt>
                <c:pt idx="3023">
                  <c:v>37607</c:v>
                </c:pt>
                <c:pt idx="3024">
                  <c:v>37606</c:v>
                </c:pt>
                <c:pt idx="3025">
                  <c:v>37603</c:v>
                </c:pt>
                <c:pt idx="3026">
                  <c:v>37602</c:v>
                </c:pt>
                <c:pt idx="3027">
                  <c:v>37601</c:v>
                </c:pt>
                <c:pt idx="3028">
                  <c:v>37600</c:v>
                </c:pt>
                <c:pt idx="3029">
                  <c:v>37599</c:v>
                </c:pt>
                <c:pt idx="3030">
                  <c:v>37596</c:v>
                </c:pt>
                <c:pt idx="3031">
                  <c:v>37595</c:v>
                </c:pt>
                <c:pt idx="3032">
                  <c:v>37594</c:v>
                </c:pt>
                <c:pt idx="3033">
                  <c:v>37593</c:v>
                </c:pt>
                <c:pt idx="3034">
                  <c:v>37592</c:v>
                </c:pt>
                <c:pt idx="3035">
                  <c:v>37589</c:v>
                </c:pt>
                <c:pt idx="3036">
                  <c:v>37587</c:v>
                </c:pt>
                <c:pt idx="3037">
                  <c:v>37586</c:v>
                </c:pt>
                <c:pt idx="3038">
                  <c:v>37585</c:v>
                </c:pt>
                <c:pt idx="3039">
                  <c:v>37582</c:v>
                </c:pt>
                <c:pt idx="3040">
                  <c:v>37581</c:v>
                </c:pt>
                <c:pt idx="3041">
                  <c:v>37580</c:v>
                </c:pt>
                <c:pt idx="3042">
                  <c:v>37579</c:v>
                </c:pt>
                <c:pt idx="3043">
                  <c:v>37578</c:v>
                </c:pt>
                <c:pt idx="3044">
                  <c:v>37575</c:v>
                </c:pt>
                <c:pt idx="3045">
                  <c:v>37574</c:v>
                </c:pt>
                <c:pt idx="3046">
                  <c:v>37573</c:v>
                </c:pt>
                <c:pt idx="3047">
                  <c:v>37572</c:v>
                </c:pt>
                <c:pt idx="3048">
                  <c:v>37571</c:v>
                </c:pt>
                <c:pt idx="3049">
                  <c:v>37568</c:v>
                </c:pt>
                <c:pt idx="3050">
                  <c:v>37567</c:v>
                </c:pt>
                <c:pt idx="3051">
                  <c:v>37566</c:v>
                </c:pt>
                <c:pt idx="3052">
                  <c:v>37565</c:v>
                </c:pt>
                <c:pt idx="3053">
                  <c:v>37564</c:v>
                </c:pt>
                <c:pt idx="3054">
                  <c:v>37561</c:v>
                </c:pt>
                <c:pt idx="3055">
                  <c:v>37560</c:v>
                </c:pt>
                <c:pt idx="3056">
                  <c:v>37559</c:v>
                </c:pt>
                <c:pt idx="3057">
                  <c:v>37558</c:v>
                </c:pt>
                <c:pt idx="3058">
                  <c:v>37557</c:v>
                </c:pt>
                <c:pt idx="3059">
                  <c:v>37554</c:v>
                </c:pt>
                <c:pt idx="3060">
                  <c:v>37553</c:v>
                </c:pt>
                <c:pt idx="3061">
                  <c:v>37552</c:v>
                </c:pt>
                <c:pt idx="3062">
                  <c:v>37551</c:v>
                </c:pt>
                <c:pt idx="3063">
                  <c:v>37550</c:v>
                </c:pt>
                <c:pt idx="3064">
                  <c:v>37547</c:v>
                </c:pt>
                <c:pt idx="3065">
                  <c:v>37546</c:v>
                </c:pt>
                <c:pt idx="3066">
                  <c:v>37545</c:v>
                </c:pt>
                <c:pt idx="3067">
                  <c:v>37544</c:v>
                </c:pt>
                <c:pt idx="3068">
                  <c:v>37543</c:v>
                </c:pt>
                <c:pt idx="3069">
                  <c:v>37540</c:v>
                </c:pt>
                <c:pt idx="3070">
                  <c:v>37539</c:v>
                </c:pt>
                <c:pt idx="3071">
                  <c:v>37538</c:v>
                </c:pt>
                <c:pt idx="3072">
                  <c:v>37537</c:v>
                </c:pt>
                <c:pt idx="3073">
                  <c:v>37536</c:v>
                </c:pt>
                <c:pt idx="3074">
                  <c:v>37533</c:v>
                </c:pt>
                <c:pt idx="3075">
                  <c:v>37532</c:v>
                </c:pt>
                <c:pt idx="3076">
                  <c:v>37531</c:v>
                </c:pt>
                <c:pt idx="3077">
                  <c:v>37530</c:v>
                </c:pt>
                <c:pt idx="3078">
                  <c:v>37529</c:v>
                </c:pt>
                <c:pt idx="3079">
                  <c:v>37526</c:v>
                </c:pt>
                <c:pt idx="3080">
                  <c:v>37525</c:v>
                </c:pt>
                <c:pt idx="3081">
                  <c:v>37524</c:v>
                </c:pt>
                <c:pt idx="3082">
                  <c:v>37523</c:v>
                </c:pt>
                <c:pt idx="3083">
                  <c:v>37522</c:v>
                </c:pt>
                <c:pt idx="3084">
                  <c:v>37519</c:v>
                </c:pt>
                <c:pt idx="3085">
                  <c:v>37518</c:v>
                </c:pt>
                <c:pt idx="3086">
                  <c:v>37517</c:v>
                </c:pt>
                <c:pt idx="3087">
                  <c:v>37516</c:v>
                </c:pt>
                <c:pt idx="3088">
                  <c:v>37515</c:v>
                </c:pt>
                <c:pt idx="3089">
                  <c:v>37512</c:v>
                </c:pt>
                <c:pt idx="3090">
                  <c:v>37511</c:v>
                </c:pt>
                <c:pt idx="3091">
                  <c:v>37510</c:v>
                </c:pt>
                <c:pt idx="3092">
                  <c:v>37509</c:v>
                </c:pt>
                <c:pt idx="3093">
                  <c:v>37508</c:v>
                </c:pt>
                <c:pt idx="3094">
                  <c:v>37505</c:v>
                </c:pt>
                <c:pt idx="3095">
                  <c:v>37504</c:v>
                </c:pt>
                <c:pt idx="3096">
                  <c:v>37503</c:v>
                </c:pt>
                <c:pt idx="3097">
                  <c:v>37502</c:v>
                </c:pt>
                <c:pt idx="3098">
                  <c:v>37498</c:v>
                </c:pt>
                <c:pt idx="3099">
                  <c:v>37497</c:v>
                </c:pt>
                <c:pt idx="3100">
                  <c:v>37496</c:v>
                </c:pt>
                <c:pt idx="3101">
                  <c:v>37495</c:v>
                </c:pt>
                <c:pt idx="3102">
                  <c:v>37494</c:v>
                </c:pt>
                <c:pt idx="3103">
                  <c:v>37491</c:v>
                </c:pt>
                <c:pt idx="3104">
                  <c:v>37490</c:v>
                </c:pt>
                <c:pt idx="3105">
                  <c:v>37489</c:v>
                </c:pt>
                <c:pt idx="3106">
                  <c:v>37488</c:v>
                </c:pt>
                <c:pt idx="3107">
                  <c:v>37487</c:v>
                </c:pt>
                <c:pt idx="3108">
                  <c:v>37484</c:v>
                </c:pt>
                <c:pt idx="3109">
                  <c:v>37483</c:v>
                </c:pt>
                <c:pt idx="3110">
                  <c:v>37482</c:v>
                </c:pt>
                <c:pt idx="3111">
                  <c:v>37481</c:v>
                </c:pt>
                <c:pt idx="3112">
                  <c:v>37480</c:v>
                </c:pt>
                <c:pt idx="3113">
                  <c:v>37477</c:v>
                </c:pt>
                <c:pt idx="3114">
                  <c:v>37476</c:v>
                </c:pt>
                <c:pt idx="3115">
                  <c:v>37475</c:v>
                </c:pt>
                <c:pt idx="3116">
                  <c:v>37474</c:v>
                </c:pt>
                <c:pt idx="3117">
                  <c:v>37473</c:v>
                </c:pt>
                <c:pt idx="3118">
                  <c:v>37470</c:v>
                </c:pt>
                <c:pt idx="3119">
                  <c:v>37469</c:v>
                </c:pt>
                <c:pt idx="3120">
                  <c:v>37468</c:v>
                </c:pt>
                <c:pt idx="3121">
                  <c:v>37467</c:v>
                </c:pt>
                <c:pt idx="3122">
                  <c:v>37466</c:v>
                </c:pt>
                <c:pt idx="3123">
                  <c:v>37463</c:v>
                </c:pt>
                <c:pt idx="3124">
                  <c:v>37462</c:v>
                </c:pt>
                <c:pt idx="3125">
                  <c:v>37461</c:v>
                </c:pt>
                <c:pt idx="3126">
                  <c:v>37460</c:v>
                </c:pt>
                <c:pt idx="3127">
                  <c:v>37459</c:v>
                </c:pt>
                <c:pt idx="3128">
                  <c:v>37456</c:v>
                </c:pt>
                <c:pt idx="3129">
                  <c:v>37455</c:v>
                </c:pt>
                <c:pt idx="3130">
                  <c:v>37454</c:v>
                </c:pt>
                <c:pt idx="3131">
                  <c:v>37453</c:v>
                </c:pt>
                <c:pt idx="3132">
                  <c:v>37452</c:v>
                </c:pt>
                <c:pt idx="3133">
                  <c:v>37449</c:v>
                </c:pt>
                <c:pt idx="3134">
                  <c:v>37448</c:v>
                </c:pt>
                <c:pt idx="3135">
                  <c:v>37447</c:v>
                </c:pt>
                <c:pt idx="3136">
                  <c:v>37446</c:v>
                </c:pt>
                <c:pt idx="3137">
                  <c:v>37445</c:v>
                </c:pt>
                <c:pt idx="3138">
                  <c:v>37442</c:v>
                </c:pt>
                <c:pt idx="3139">
                  <c:v>37440</c:v>
                </c:pt>
                <c:pt idx="3140">
                  <c:v>37439</c:v>
                </c:pt>
                <c:pt idx="3141">
                  <c:v>37438</c:v>
                </c:pt>
                <c:pt idx="3142">
                  <c:v>37435</c:v>
                </c:pt>
                <c:pt idx="3143">
                  <c:v>37434</c:v>
                </c:pt>
                <c:pt idx="3144">
                  <c:v>37433</c:v>
                </c:pt>
                <c:pt idx="3145">
                  <c:v>37432</c:v>
                </c:pt>
                <c:pt idx="3146">
                  <c:v>37431</c:v>
                </c:pt>
                <c:pt idx="3147">
                  <c:v>37428</c:v>
                </c:pt>
                <c:pt idx="3148">
                  <c:v>37427</c:v>
                </c:pt>
                <c:pt idx="3149">
                  <c:v>37426</c:v>
                </c:pt>
                <c:pt idx="3150">
                  <c:v>37425</c:v>
                </c:pt>
                <c:pt idx="3151">
                  <c:v>37424</c:v>
                </c:pt>
                <c:pt idx="3152">
                  <c:v>37421</c:v>
                </c:pt>
                <c:pt idx="3153">
                  <c:v>37420</c:v>
                </c:pt>
                <c:pt idx="3154">
                  <c:v>37419</c:v>
                </c:pt>
                <c:pt idx="3155">
                  <c:v>37418</c:v>
                </c:pt>
                <c:pt idx="3156">
                  <c:v>37417</c:v>
                </c:pt>
                <c:pt idx="3157">
                  <c:v>37414</c:v>
                </c:pt>
                <c:pt idx="3158">
                  <c:v>37413</c:v>
                </c:pt>
                <c:pt idx="3159">
                  <c:v>37412</c:v>
                </c:pt>
                <c:pt idx="3160">
                  <c:v>37411</c:v>
                </c:pt>
                <c:pt idx="3161">
                  <c:v>37410</c:v>
                </c:pt>
                <c:pt idx="3162">
                  <c:v>37407</c:v>
                </c:pt>
                <c:pt idx="3163">
                  <c:v>37406</c:v>
                </c:pt>
                <c:pt idx="3164">
                  <c:v>37405</c:v>
                </c:pt>
                <c:pt idx="3165">
                  <c:v>37404</c:v>
                </c:pt>
                <c:pt idx="3166">
                  <c:v>37400</c:v>
                </c:pt>
                <c:pt idx="3167">
                  <c:v>37399</c:v>
                </c:pt>
                <c:pt idx="3168">
                  <c:v>37398</c:v>
                </c:pt>
                <c:pt idx="3169">
                  <c:v>37397</c:v>
                </c:pt>
                <c:pt idx="3170">
                  <c:v>37396</c:v>
                </c:pt>
                <c:pt idx="3171">
                  <c:v>37393</c:v>
                </c:pt>
                <c:pt idx="3172">
                  <c:v>37392</c:v>
                </c:pt>
                <c:pt idx="3173">
                  <c:v>37391</c:v>
                </c:pt>
                <c:pt idx="3174">
                  <c:v>37390</c:v>
                </c:pt>
                <c:pt idx="3175">
                  <c:v>37389</c:v>
                </c:pt>
                <c:pt idx="3176">
                  <c:v>37386</c:v>
                </c:pt>
                <c:pt idx="3177">
                  <c:v>37385</c:v>
                </c:pt>
                <c:pt idx="3178">
                  <c:v>37384</c:v>
                </c:pt>
                <c:pt idx="3179">
                  <c:v>37383</c:v>
                </c:pt>
                <c:pt idx="3180">
                  <c:v>37382</c:v>
                </c:pt>
                <c:pt idx="3181">
                  <c:v>37379</c:v>
                </c:pt>
                <c:pt idx="3182">
                  <c:v>37378</c:v>
                </c:pt>
                <c:pt idx="3183">
                  <c:v>37377</c:v>
                </c:pt>
                <c:pt idx="3184">
                  <c:v>37376</c:v>
                </c:pt>
                <c:pt idx="3185">
                  <c:v>37375</c:v>
                </c:pt>
                <c:pt idx="3186">
                  <c:v>37372</c:v>
                </c:pt>
                <c:pt idx="3187">
                  <c:v>37371</c:v>
                </c:pt>
                <c:pt idx="3188">
                  <c:v>37370</c:v>
                </c:pt>
                <c:pt idx="3189">
                  <c:v>37369</c:v>
                </c:pt>
                <c:pt idx="3190">
                  <c:v>37368</c:v>
                </c:pt>
                <c:pt idx="3191">
                  <c:v>37365</c:v>
                </c:pt>
                <c:pt idx="3192">
                  <c:v>37364</c:v>
                </c:pt>
                <c:pt idx="3193">
                  <c:v>37363</c:v>
                </c:pt>
                <c:pt idx="3194">
                  <c:v>37362</c:v>
                </c:pt>
                <c:pt idx="3195">
                  <c:v>37361</c:v>
                </c:pt>
                <c:pt idx="3196">
                  <c:v>37358</c:v>
                </c:pt>
                <c:pt idx="3197">
                  <c:v>37357</c:v>
                </c:pt>
                <c:pt idx="3198">
                  <c:v>37356</c:v>
                </c:pt>
                <c:pt idx="3199">
                  <c:v>37355</c:v>
                </c:pt>
                <c:pt idx="3200">
                  <c:v>37354</c:v>
                </c:pt>
                <c:pt idx="3201">
                  <c:v>37351</c:v>
                </c:pt>
                <c:pt idx="3202">
                  <c:v>37350</c:v>
                </c:pt>
                <c:pt idx="3203">
                  <c:v>37349</c:v>
                </c:pt>
                <c:pt idx="3204">
                  <c:v>37348</c:v>
                </c:pt>
                <c:pt idx="3205">
                  <c:v>37347</c:v>
                </c:pt>
                <c:pt idx="3206">
                  <c:v>37343</c:v>
                </c:pt>
                <c:pt idx="3207">
                  <c:v>37342</c:v>
                </c:pt>
                <c:pt idx="3208">
                  <c:v>37341</c:v>
                </c:pt>
                <c:pt idx="3209">
                  <c:v>37340</c:v>
                </c:pt>
                <c:pt idx="3210">
                  <c:v>37337</c:v>
                </c:pt>
                <c:pt idx="3211">
                  <c:v>37336</c:v>
                </c:pt>
                <c:pt idx="3212">
                  <c:v>37335</c:v>
                </c:pt>
                <c:pt idx="3213">
                  <c:v>37334</c:v>
                </c:pt>
                <c:pt idx="3214">
                  <c:v>37333</c:v>
                </c:pt>
                <c:pt idx="3215">
                  <c:v>37330</c:v>
                </c:pt>
                <c:pt idx="3216">
                  <c:v>37329</c:v>
                </c:pt>
                <c:pt idx="3217">
                  <c:v>37328</c:v>
                </c:pt>
                <c:pt idx="3218">
                  <c:v>37327</c:v>
                </c:pt>
                <c:pt idx="3219">
                  <c:v>37326</c:v>
                </c:pt>
                <c:pt idx="3220">
                  <c:v>37323</c:v>
                </c:pt>
                <c:pt idx="3221">
                  <c:v>37322</c:v>
                </c:pt>
                <c:pt idx="3222">
                  <c:v>37321</c:v>
                </c:pt>
                <c:pt idx="3223">
                  <c:v>37320</c:v>
                </c:pt>
                <c:pt idx="3224">
                  <c:v>37319</c:v>
                </c:pt>
                <c:pt idx="3225">
                  <c:v>37316</c:v>
                </c:pt>
                <c:pt idx="3226">
                  <c:v>37315</c:v>
                </c:pt>
                <c:pt idx="3227">
                  <c:v>37314</c:v>
                </c:pt>
                <c:pt idx="3228">
                  <c:v>37313</c:v>
                </c:pt>
                <c:pt idx="3229">
                  <c:v>37312</c:v>
                </c:pt>
                <c:pt idx="3230">
                  <c:v>37309</c:v>
                </c:pt>
                <c:pt idx="3231">
                  <c:v>37308</c:v>
                </c:pt>
                <c:pt idx="3232">
                  <c:v>37307</c:v>
                </c:pt>
                <c:pt idx="3233">
                  <c:v>37306</c:v>
                </c:pt>
                <c:pt idx="3234">
                  <c:v>37302</c:v>
                </c:pt>
                <c:pt idx="3235">
                  <c:v>37301</c:v>
                </c:pt>
                <c:pt idx="3236">
                  <c:v>37300</c:v>
                </c:pt>
                <c:pt idx="3237">
                  <c:v>37299</c:v>
                </c:pt>
                <c:pt idx="3238">
                  <c:v>37298</c:v>
                </c:pt>
                <c:pt idx="3239">
                  <c:v>37295</c:v>
                </c:pt>
                <c:pt idx="3240">
                  <c:v>37294</c:v>
                </c:pt>
                <c:pt idx="3241">
                  <c:v>37293</c:v>
                </c:pt>
                <c:pt idx="3242">
                  <c:v>37292</c:v>
                </c:pt>
                <c:pt idx="3243">
                  <c:v>37291</c:v>
                </c:pt>
                <c:pt idx="3244">
                  <c:v>37288</c:v>
                </c:pt>
                <c:pt idx="3245">
                  <c:v>37287</c:v>
                </c:pt>
                <c:pt idx="3246">
                  <c:v>37286</c:v>
                </c:pt>
                <c:pt idx="3247">
                  <c:v>37285</c:v>
                </c:pt>
                <c:pt idx="3248">
                  <c:v>37284</c:v>
                </c:pt>
                <c:pt idx="3249">
                  <c:v>37281</c:v>
                </c:pt>
                <c:pt idx="3250">
                  <c:v>37280</c:v>
                </c:pt>
                <c:pt idx="3251">
                  <c:v>37279</c:v>
                </c:pt>
                <c:pt idx="3252">
                  <c:v>37278</c:v>
                </c:pt>
                <c:pt idx="3253">
                  <c:v>37274</c:v>
                </c:pt>
                <c:pt idx="3254">
                  <c:v>37273</c:v>
                </c:pt>
                <c:pt idx="3255">
                  <c:v>37272</c:v>
                </c:pt>
                <c:pt idx="3256">
                  <c:v>37271</c:v>
                </c:pt>
                <c:pt idx="3257">
                  <c:v>37270</c:v>
                </c:pt>
                <c:pt idx="3258">
                  <c:v>37267</c:v>
                </c:pt>
                <c:pt idx="3259">
                  <c:v>37266</c:v>
                </c:pt>
                <c:pt idx="3260">
                  <c:v>37265</c:v>
                </c:pt>
                <c:pt idx="3261">
                  <c:v>37264</c:v>
                </c:pt>
                <c:pt idx="3262">
                  <c:v>37263</c:v>
                </c:pt>
                <c:pt idx="3263">
                  <c:v>37260</c:v>
                </c:pt>
                <c:pt idx="3264">
                  <c:v>37259</c:v>
                </c:pt>
                <c:pt idx="3265">
                  <c:v>37258</c:v>
                </c:pt>
                <c:pt idx="3266">
                  <c:v>37256</c:v>
                </c:pt>
                <c:pt idx="3267">
                  <c:v>37253</c:v>
                </c:pt>
                <c:pt idx="3268">
                  <c:v>37252</c:v>
                </c:pt>
                <c:pt idx="3269">
                  <c:v>37251</c:v>
                </c:pt>
                <c:pt idx="3270">
                  <c:v>37249</c:v>
                </c:pt>
                <c:pt idx="3271">
                  <c:v>37246</c:v>
                </c:pt>
                <c:pt idx="3272">
                  <c:v>37245</c:v>
                </c:pt>
                <c:pt idx="3273">
                  <c:v>37244</c:v>
                </c:pt>
                <c:pt idx="3274">
                  <c:v>37243</c:v>
                </c:pt>
                <c:pt idx="3275">
                  <c:v>37242</c:v>
                </c:pt>
                <c:pt idx="3276">
                  <c:v>37239</c:v>
                </c:pt>
                <c:pt idx="3277">
                  <c:v>37238</c:v>
                </c:pt>
                <c:pt idx="3278">
                  <c:v>37237</c:v>
                </c:pt>
                <c:pt idx="3279">
                  <c:v>37236</c:v>
                </c:pt>
                <c:pt idx="3280">
                  <c:v>37235</c:v>
                </c:pt>
                <c:pt idx="3281">
                  <c:v>37232</c:v>
                </c:pt>
                <c:pt idx="3282">
                  <c:v>37231</c:v>
                </c:pt>
                <c:pt idx="3283">
                  <c:v>37230</c:v>
                </c:pt>
                <c:pt idx="3284">
                  <c:v>37229</c:v>
                </c:pt>
                <c:pt idx="3285">
                  <c:v>37228</c:v>
                </c:pt>
                <c:pt idx="3286">
                  <c:v>37225</c:v>
                </c:pt>
                <c:pt idx="3287">
                  <c:v>37224</c:v>
                </c:pt>
                <c:pt idx="3288">
                  <c:v>37223</c:v>
                </c:pt>
                <c:pt idx="3289">
                  <c:v>37222</c:v>
                </c:pt>
                <c:pt idx="3290">
                  <c:v>37221</c:v>
                </c:pt>
                <c:pt idx="3291">
                  <c:v>37218</c:v>
                </c:pt>
                <c:pt idx="3292">
                  <c:v>37216</c:v>
                </c:pt>
                <c:pt idx="3293">
                  <c:v>37215</c:v>
                </c:pt>
                <c:pt idx="3294">
                  <c:v>37214</c:v>
                </c:pt>
                <c:pt idx="3295">
                  <c:v>37211</c:v>
                </c:pt>
                <c:pt idx="3296">
                  <c:v>37210</c:v>
                </c:pt>
                <c:pt idx="3297">
                  <c:v>37209</c:v>
                </c:pt>
                <c:pt idx="3298">
                  <c:v>37208</c:v>
                </c:pt>
                <c:pt idx="3299">
                  <c:v>37207</c:v>
                </c:pt>
                <c:pt idx="3300">
                  <c:v>37204</c:v>
                </c:pt>
                <c:pt idx="3301">
                  <c:v>37203</c:v>
                </c:pt>
                <c:pt idx="3302">
                  <c:v>37202</c:v>
                </c:pt>
                <c:pt idx="3303">
                  <c:v>37201</c:v>
                </c:pt>
                <c:pt idx="3304">
                  <c:v>37200</c:v>
                </c:pt>
                <c:pt idx="3305">
                  <c:v>37197</c:v>
                </c:pt>
                <c:pt idx="3306">
                  <c:v>37196</c:v>
                </c:pt>
                <c:pt idx="3307">
                  <c:v>37195</c:v>
                </c:pt>
                <c:pt idx="3308">
                  <c:v>37194</c:v>
                </c:pt>
                <c:pt idx="3309">
                  <c:v>37193</c:v>
                </c:pt>
                <c:pt idx="3310">
                  <c:v>37190</c:v>
                </c:pt>
                <c:pt idx="3311">
                  <c:v>37189</c:v>
                </c:pt>
                <c:pt idx="3312">
                  <c:v>37188</c:v>
                </c:pt>
                <c:pt idx="3313">
                  <c:v>37187</c:v>
                </c:pt>
                <c:pt idx="3314">
                  <c:v>37186</c:v>
                </c:pt>
                <c:pt idx="3315">
                  <c:v>37183</c:v>
                </c:pt>
                <c:pt idx="3316">
                  <c:v>37182</c:v>
                </c:pt>
                <c:pt idx="3317">
                  <c:v>37181</c:v>
                </c:pt>
                <c:pt idx="3318">
                  <c:v>37180</c:v>
                </c:pt>
                <c:pt idx="3319">
                  <c:v>37179</c:v>
                </c:pt>
                <c:pt idx="3320">
                  <c:v>37176</c:v>
                </c:pt>
                <c:pt idx="3321">
                  <c:v>37175</c:v>
                </c:pt>
                <c:pt idx="3322">
                  <c:v>37174</c:v>
                </c:pt>
                <c:pt idx="3323">
                  <c:v>37173</c:v>
                </c:pt>
                <c:pt idx="3324">
                  <c:v>37172</c:v>
                </c:pt>
                <c:pt idx="3325">
                  <c:v>37169</c:v>
                </c:pt>
                <c:pt idx="3326">
                  <c:v>37168</c:v>
                </c:pt>
                <c:pt idx="3327">
                  <c:v>37167</c:v>
                </c:pt>
                <c:pt idx="3328">
                  <c:v>37166</c:v>
                </c:pt>
                <c:pt idx="3329">
                  <c:v>37165</c:v>
                </c:pt>
                <c:pt idx="3330">
                  <c:v>37162</c:v>
                </c:pt>
                <c:pt idx="3331">
                  <c:v>37161</c:v>
                </c:pt>
                <c:pt idx="3332">
                  <c:v>37160</c:v>
                </c:pt>
                <c:pt idx="3333">
                  <c:v>37159</c:v>
                </c:pt>
                <c:pt idx="3334">
                  <c:v>37158</c:v>
                </c:pt>
                <c:pt idx="3335">
                  <c:v>37155</c:v>
                </c:pt>
                <c:pt idx="3336">
                  <c:v>37154</c:v>
                </c:pt>
                <c:pt idx="3337">
                  <c:v>37153</c:v>
                </c:pt>
                <c:pt idx="3338">
                  <c:v>37152</c:v>
                </c:pt>
                <c:pt idx="3339">
                  <c:v>37151</c:v>
                </c:pt>
                <c:pt idx="3340">
                  <c:v>37144</c:v>
                </c:pt>
                <c:pt idx="3341">
                  <c:v>37141</c:v>
                </c:pt>
                <c:pt idx="3342">
                  <c:v>37140</c:v>
                </c:pt>
                <c:pt idx="3343">
                  <c:v>37139</c:v>
                </c:pt>
                <c:pt idx="3344">
                  <c:v>37138</c:v>
                </c:pt>
                <c:pt idx="3345">
                  <c:v>37134</c:v>
                </c:pt>
                <c:pt idx="3346">
                  <c:v>37133</c:v>
                </c:pt>
                <c:pt idx="3347">
                  <c:v>37132</c:v>
                </c:pt>
                <c:pt idx="3348">
                  <c:v>37131</c:v>
                </c:pt>
                <c:pt idx="3349">
                  <c:v>37130</c:v>
                </c:pt>
                <c:pt idx="3350">
                  <c:v>37127</c:v>
                </c:pt>
                <c:pt idx="3351">
                  <c:v>37126</c:v>
                </c:pt>
                <c:pt idx="3352">
                  <c:v>37125</c:v>
                </c:pt>
                <c:pt idx="3353">
                  <c:v>37124</c:v>
                </c:pt>
                <c:pt idx="3354">
                  <c:v>37123</c:v>
                </c:pt>
                <c:pt idx="3355">
                  <c:v>37120</c:v>
                </c:pt>
                <c:pt idx="3356">
                  <c:v>37119</c:v>
                </c:pt>
                <c:pt idx="3357">
                  <c:v>37118</c:v>
                </c:pt>
                <c:pt idx="3358">
                  <c:v>37117</c:v>
                </c:pt>
                <c:pt idx="3359">
                  <c:v>37116</c:v>
                </c:pt>
                <c:pt idx="3360">
                  <c:v>37113</c:v>
                </c:pt>
                <c:pt idx="3361">
                  <c:v>37112</c:v>
                </c:pt>
                <c:pt idx="3362">
                  <c:v>37111</c:v>
                </c:pt>
                <c:pt idx="3363">
                  <c:v>37110</c:v>
                </c:pt>
                <c:pt idx="3364">
                  <c:v>37109</c:v>
                </c:pt>
                <c:pt idx="3365">
                  <c:v>37106</c:v>
                </c:pt>
                <c:pt idx="3366">
                  <c:v>37105</c:v>
                </c:pt>
                <c:pt idx="3367">
                  <c:v>37104</c:v>
                </c:pt>
                <c:pt idx="3368">
                  <c:v>37103</c:v>
                </c:pt>
                <c:pt idx="3369">
                  <c:v>37102</c:v>
                </c:pt>
                <c:pt idx="3370">
                  <c:v>37099</c:v>
                </c:pt>
                <c:pt idx="3371">
                  <c:v>37098</c:v>
                </c:pt>
                <c:pt idx="3372">
                  <c:v>37097</c:v>
                </c:pt>
                <c:pt idx="3373">
                  <c:v>37096</c:v>
                </c:pt>
                <c:pt idx="3374">
                  <c:v>37095</c:v>
                </c:pt>
                <c:pt idx="3375">
                  <c:v>37092</c:v>
                </c:pt>
                <c:pt idx="3376">
                  <c:v>37091</c:v>
                </c:pt>
                <c:pt idx="3377">
                  <c:v>37090</c:v>
                </c:pt>
                <c:pt idx="3378">
                  <c:v>37089</c:v>
                </c:pt>
                <c:pt idx="3379">
                  <c:v>37088</c:v>
                </c:pt>
                <c:pt idx="3380">
                  <c:v>37085</c:v>
                </c:pt>
                <c:pt idx="3381">
                  <c:v>37084</c:v>
                </c:pt>
                <c:pt idx="3382">
                  <c:v>37083</c:v>
                </c:pt>
                <c:pt idx="3383">
                  <c:v>37082</c:v>
                </c:pt>
                <c:pt idx="3384">
                  <c:v>37081</c:v>
                </c:pt>
                <c:pt idx="3385">
                  <c:v>37078</c:v>
                </c:pt>
                <c:pt idx="3386">
                  <c:v>37077</c:v>
                </c:pt>
                <c:pt idx="3387">
                  <c:v>37075</c:v>
                </c:pt>
                <c:pt idx="3388">
                  <c:v>37074</c:v>
                </c:pt>
                <c:pt idx="3389">
                  <c:v>37071</c:v>
                </c:pt>
                <c:pt idx="3390">
                  <c:v>37070</c:v>
                </c:pt>
                <c:pt idx="3391">
                  <c:v>37069</c:v>
                </c:pt>
                <c:pt idx="3392">
                  <c:v>37068</c:v>
                </c:pt>
                <c:pt idx="3393">
                  <c:v>37067</c:v>
                </c:pt>
                <c:pt idx="3394">
                  <c:v>37064</c:v>
                </c:pt>
                <c:pt idx="3395">
                  <c:v>37063</c:v>
                </c:pt>
                <c:pt idx="3396">
                  <c:v>37062</c:v>
                </c:pt>
                <c:pt idx="3397">
                  <c:v>37061</c:v>
                </c:pt>
                <c:pt idx="3398">
                  <c:v>37060</c:v>
                </c:pt>
                <c:pt idx="3399">
                  <c:v>37057</c:v>
                </c:pt>
                <c:pt idx="3400">
                  <c:v>37056</c:v>
                </c:pt>
                <c:pt idx="3401">
                  <c:v>37055</c:v>
                </c:pt>
                <c:pt idx="3402">
                  <c:v>37054</c:v>
                </c:pt>
                <c:pt idx="3403">
                  <c:v>37053</c:v>
                </c:pt>
                <c:pt idx="3404">
                  <c:v>37050</c:v>
                </c:pt>
                <c:pt idx="3405">
                  <c:v>37049</c:v>
                </c:pt>
                <c:pt idx="3406">
                  <c:v>37048</c:v>
                </c:pt>
                <c:pt idx="3407">
                  <c:v>37047</c:v>
                </c:pt>
                <c:pt idx="3408">
                  <c:v>37046</c:v>
                </c:pt>
                <c:pt idx="3409">
                  <c:v>37043</c:v>
                </c:pt>
                <c:pt idx="3410">
                  <c:v>37042</c:v>
                </c:pt>
                <c:pt idx="3411">
                  <c:v>37041</c:v>
                </c:pt>
                <c:pt idx="3412">
                  <c:v>37040</c:v>
                </c:pt>
                <c:pt idx="3413">
                  <c:v>37036</c:v>
                </c:pt>
                <c:pt idx="3414">
                  <c:v>37035</c:v>
                </c:pt>
                <c:pt idx="3415">
                  <c:v>37034</c:v>
                </c:pt>
                <c:pt idx="3416">
                  <c:v>37033</c:v>
                </c:pt>
                <c:pt idx="3417">
                  <c:v>37032</c:v>
                </c:pt>
                <c:pt idx="3418">
                  <c:v>37029</c:v>
                </c:pt>
                <c:pt idx="3419">
                  <c:v>37028</c:v>
                </c:pt>
                <c:pt idx="3420">
                  <c:v>37027</c:v>
                </c:pt>
                <c:pt idx="3421">
                  <c:v>37026</c:v>
                </c:pt>
                <c:pt idx="3422">
                  <c:v>37025</c:v>
                </c:pt>
                <c:pt idx="3423">
                  <c:v>37022</c:v>
                </c:pt>
                <c:pt idx="3424">
                  <c:v>37021</c:v>
                </c:pt>
                <c:pt idx="3425">
                  <c:v>37020</c:v>
                </c:pt>
                <c:pt idx="3426">
                  <c:v>37019</c:v>
                </c:pt>
                <c:pt idx="3427">
                  <c:v>37018</c:v>
                </c:pt>
                <c:pt idx="3428">
                  <c:v>37015</c:v>
                </c:pt>
                <c:pt idx="3429">
                  <c:v>37014</c:v>
                </c:pt>
                <c:pt idx="3430">
                  <c:v>37013</c:v>
                </c:pt>
                <c:pt idx="3431">
                  <c:v>37012</c:v>
                </c:pt>
                <c:pt idx="3432">
                  <c:v>37011</c:v>
                </c:pt>
                <c:pt idx="3433">
                  <c:v>37008</c:v>
                </c:pt>
                <c:pt idx="3434">
                  <c:v>37007</c:v>
                </c:pt>
                <c:pt idx="3435">
                  <c:v>37006</c:v>
                </c:pt>
                <c:pt idx="3436">
                  <c:v>37005</c:v>
                </c:pt>
                <c:pt idx="3437">
                  <c:v>37004</c:v>
                </c:pt>
                <c:pt idx="3438">
                  <c:v>37001</c:v>
                </c:pt>
                <c:pt idx="3439">
                  <c:v>37000</c:v>
                </c:pt>
                <c:pt idx="3440">
                  <c:v>36999</c:v>
                </c:pt>
                <c:pt idx="3441">
                  <c:v>36998</c:v>
                </c:pt>
                <c:pt idx="3442">
                  <c:v>36997</c:v>
                </c:pt>
                <c:pt idx="3443">
                  <c:v>36993</c:v>
                </c:pt>
                <c:pt idx="3444">
                  <c:v>36992</c:v>
                </c:pt>
                <c:pt idx="3445">
                  <c:v>36991</c:v>
                </c:pt>
                <c:pt idx="3446">
                  <c:v>36990</c:v>
                </c:pt>
                <c:pt idx="3447">
                  <c:v>36987</c:v>
                </c:pt>
                <c:pt idx="3448">
                  <c:v>36986</c:v>
                </c:pt>
                <c:pt idx="3449">
                  <c:v>36985</c:v>
                </c:pt>
                <c:pt idx="3450">
                  <c:v>36984</c:v>
                </c:pt>
                <c:pt idx="3451">
                  <c:v>36983</c:v>
                </c:pt>
                <c:pt idx="3452">
                  <c:v>36980</c:v>
                </c:pt>
                <c:pt idx="3453">
                  <c:v>36979</c:v>
                </c:pt>
                <c:pt idx="3454">
                  <c:v>36978</c:v>
                </c:pt>
                <c:pt idx="3455">
                  <c:v>36977</c:v>
                </c:pt>
                <c:pt idx="3456">
                  <c:v>36976</c:v>
                </c:pt>
                <c:pt idx="3457">
                  <c:v>36973</c:v>
                </c:pt>
                <c:pt idx="3458">
                  <c:v>36972</c:v>
                </c:pt>
                <c:pt idx="3459">
                  <c:v>36971</c:v>
                </c:pt>
                <c:pt idx="3460">
                  <c:v>36970</c:v>
                </c:pt>
                <c:pt idx="3461">
                  <c:v>36969</c:v>
                </c:pt>
                <c:pt idx="3462">
                  <c:v>36966</c:v>
                </c:pt>
                <c:pt idx="3463">
                  <c:v>36965</c:v>
                </c:pt>
                <c:pt idx="3464">
                  <c:v>36964</c:v>
                </c:pt>
                <c:pt idx="3465">
                  <c:v>36963</c:v>
                </c:pt>
                <c:pt idx="3466">
                  <c:v>36962</c:v>
                </c:pt>
                <c:pt idx="3467">
                  <c:v>36959</c:v>
                </c:pt>
                <c:pt idx="3468">
                  <c:v>36958</c:v>
                </c:pt>
                <c:pt idx="3469">
                  <c:v>36957</c:v>
                </c:pt>
                <c:pt idx="3470">
                  <c:v>36956</c:v>
                </c:pt>
                <c:pt idx="3471">
                  <c:v>36955</c:v>
                </c:pt>
                <c:pt idx="3472">
                  <c:v>36952</c:v>
                </c:pt>
                <c:pt idx="3473">
                  <c:v>36951</c:v>
                </c:pt>
                <c:pt idx="3474">
                  <c:v>36950</c:v>
                </c:pt>
                <c:pt idx="3475">
                  <c:v>36949</c:v>
                </c:pt>
                <c:pt idx="3476">
                  <c:v>36948</c:v>
                </c:pt>
                <c:pt idx="3477">
                  <c:v>36945</c:v>
                </c:pt>
                <c:pt idx="3478">
                  <c:v>36944</c:v>
                </c:pt>
                <c:pt idx="3479">
                  <c:v>36943</c:v>
                </c:pt>
                <c:pt idx="3480">
                  <c:v>36942</c:v>
                </c:pt>
                <c:pt idx="3481">
                  <c:v>36938</c:v>
                </c:pt>
                <c:pt idx="3482">
                  <c:v>36937</c:v>
                </c:pt>
                <c:pt idx="3483">
                  <c:v>36936</c:v>
                </c:pt>
                <c:pt idx="3484">
                  <c:v>36935</c:v>
                </c:pt>
                <c:pt idx="3485">
                  <c:v>36934</c:v>
                </c:pt>
                <c:pt idx="3486">
                  <c:v>36931</c:v>
                </c:pt>
                <c:pt idx="3487">
                  <c:v>36930</c:v>
                </c:pt>
                <c:pt idx="3488">
                  <c:v>36929</c:v>
                </c:pt>
                <c:pt idx="3489">
                  <c:v>36928</c:v>
                </c:pt>
                <c:pt idx="3490">
                  <c:v>36927</c:v>
                </c:pt>
                <c:pt idx="3491">
                  <c:v>36924</c:v>
                </c:pt>
                <c:pt idx="3492">
                  <c:v>36923</c:v>
                </c:pt>
                <c:pt idx="3493">
                  <c:v>36922</c:v>
                </c:pt>
                <c:pt idx="3494">
                  <c:v>36921</c:v>
                </c:pt>
                <c:pt idx="3495">
                  <c:v>36920</c:v>
                </c:pt>
                <c:pt idx="3496">
                  <c:v>36917</c:v>
                </c:pt>
                <c:pt idx="3497">
                  <c:v>36916</c:v>
                </c:pt>
                <c:pt idx="3498">
                  <c:v>36915</c:v>
                </c:pt>
                <c:pt idx="3499">
                  <c:v>36914</c:v>
                </c:pt>
                <c:pt idx="3500">
                  <c:v>36913</c:v>
                </c:pt>
                <c:pt idx="3501">
                  <c:v>36910</c:v>
                </c:pt>
                <c:pt idx="3502">
                  <c:v>36909</c:v>
                </c:pt>
                <c:pt idx="3503">
                  <c:v>36908</c:v>
                </c:pt>
                <c:pt idx="3504">
                  <c:v>36907</c:v>
                </c:pt>
                <c:pt idx="3505">
                  <c:v>36903</c:v>
                </c:pt>
                <c:pt idx="3506">
                  <c:v>36902</c:v>
                </c:pt>
                <c:pt idx="3507">
                  <c:v>36901</c:v>
                </c:pt>
                <c:pt idx="3508">
                  <c:v>36900</c:v>
                </c:pt>
                <c:pt idx="3509">
                  <c:v>36899</c:v>
                </c:pt>
                <c:pt idx="3510">
                  <c:v>36896</c:v>
                </c:pt>
                <c:pt idx="3511">
                  <c:v>36895</c:v>
                </c:pt>
                <c:pt idx="3512">
                  <c:v>36894</c:v>
                </c:pt>
                <c:pt idx="3513">
                  <c:v>36893</c:v>
                </c:pt>
                <c:pt idx="3514">
                  <c:v>36889</c:v>
                </c:pt>
                <c:pt idx="3515">
                  <c:v>36888</c:v>
                </c:pt>
                <c:pt idx="3516">
                  <c:v>36887</c:v>
                </c:pt>
                <c:pt idx="3517">
                  <c:v>36886</c:v>
                </c:pt>
                <c:pt idx="3518">
                  <c:v>36882</c:v>
                </c:pt>
                <c:pt idx="3519">
                  <c:v>36881</c:v>
                </c:pt>
                <c:pt idx="3520">
                  <c:v>36880</c:v>
                </c:pt>
                <c:pt idx="3521">
                  <c:v>36879</c:v>
                </c:pt>
                <c:pt idx="3522">
                  <c:v>36878</c:v>
                </c:pt>
                <c:pt idx="3523">
                  <c:v>36875</c:v>
                </c:pt>
                <c:pt idx="3524">
                  <c:v>36874</c:v>
                </c:pt>
                <c:pt idx="3525">
                  <c:v>36873</c:v>
                </c:pt>
                <c:pt idx="3526">
                  <c:v>36872</c:v>
                </c:pt>
                <c:pt idx="3527">
                  <c:v>36871</c:v>
                </c:pt>
                <c:pt idx="3528">
                  <c:v>36868</c:v>
                </c:pt>
                <c:pt idx="3529">
                  <c:v>36867</c:v>
                </c:pt>
                <c:pt idx="3530">
                  <c:v>36866</c:v>
                </c:pt>
                <c:pt idx="3531">
                  <c:v>36865</c:v>
                </c:pt>
                <c:pt idx="3532">
                  <c:v>36864</c:v>
                </c:pt>
                <c:pt idx="3533">
                  <c:v>36861</c:v>
                </c:pt>
                <c:pt idx="3534">
                  <c:v>36860</c:v>
                </c:pt>
                <c:pt idx="3535">
                  <c:v>36859</c:v>
                </c:pt>
                <c:pt idx="3536">
                  <c:v>36858</c:v>
                </c:pt>
                <c:pt idx="3537">
                  <c:v>36857</c:v>
                </c:pt>
                <c:pt idx="3538">
                  <c:v>36854</c:v>
                </c:pt>
                <c:pt idx="3539">
                  <c:v>36852</c:v>
                </c:pt>
                <c:pt idx="3540">
                  <c:v>36851</c:v>
                </c:pt>
                <c:pt idx="3541">
                  <c:v>36850</c:v>
                </c:pt>
                <c:pt idx="3542">
                  <c:v>36847</c:v>
                </c:pt>
                <c:pt idx="3543">
                  <c:v>36846</c:v>
                </c:pt>
                <c:pt idx="3544">
                  <c:v>36845</c:v>
                </c:pt>
                <c:pt idx="3545">
                  <c:v>36844</c:v>
                </c:pt>
                <c:pt idx="3546">
                  <c:v>36843</c:v>
                </c:pt>
                <c:pt idx="3547">
                  <c:v>36840</c:v>
                </c:pt>
                <c:pt idx="3548">
                  <c:v>36839</c:v>
                </c:pt>
                <c:pt idx="3549">
                  <c:v>36838</c:v>
                </c:pt>
                <c:pt idx="3550">
                  <c:v>36837</c:v>
                </c:pt>
                <c:pt idx="3551">
                  <c:v>36836</c:v>
                </c:pt>
                <c:pt idx="3552">
                  <c:v>36833</c:v>
                </c:pt>
                <c:pt idx="3553">
                  <c:v>36832</c:v>
                </c:pt>
                <c:pt idx="3554">
                  <c:v>36831</c:v>
                </c:pt>
                <c:pt idx="3555">
                  <c:v>36830</c:v>
                </c:pt>
                <c:pt idx="3556">
                  <c:v>36829</c:v>
                </c:pt>
                <c:pt idx="3557">
                  <c:v>36826</c:v>
                </c:pt>
                <c:pt idx="3558">
                  <c:v>36825</c:v>
                </c:pt>
                <c:pt idx="3559">
                  <c:v>36824</c:v>
                </c:pt>
                <c:pt idx="3560">
                  <c:v>36823</c:v>
                </c:pt>
                <c:pt idx="3561">
                  <c:v>36822</c:v>
                </c:pt>
                <c:pt idx="3562">
                  <c:v>36819</c:v>
                </c:pt>
                <c:pt idx="3563">
                  <c:v>36818</c:v>
                </c:pt>
                <c:pt idx="3564">
                  <c:v>36817</c:v>
                </c:pt>
                <c:pt idx="3565">
                  <c:v>36816</c:v>
                </c:pt>
                <c:pt idx="3566">
                  <c:v>36815</c:v>
                </c:pt>
                <c:pt idx="3567">
                  <c:v>36812</c:v>
                </c:pt>
                <c:pt idx="3568">
                  <c:v>36811</c:v>
                </c:pt>
                <c:pt idx="3569">
                  <c:v>36810</c:v>
                </c:pt>
                <c:pt idx="3570">
                  <c:v>36809</c:v>
                </c:pt>
                <c:pt idx="3571">
                  <c:v>36808</c:v>
                </c:pt>
                <c:pt idx="3572">
                  <c:v>36805</c:v>
                </c:pt>
                <c:pt idx="3573">
                  <c:v>36804</c:v>
                </c:pt>
                <c:pt idx="3574">
                  <c:v>36803</c:v>
                </c:pt>
                <c:pt idx="3575">
                  <c:v>36802</c:v>
                </c:pt>
                <c:pt idx="3576">
                  <c:v>36801</c:v>
                </c:pt>
                <c:pt idx="3577">
                  <c:v>36798</c:v>
                </c:pt>
                <c:pt idx="3578">
                  <c:v>36797</c:v>
                </c:pt>
                <c:pt idx="3579">
                  <c:v>36796</c:v>
                </c:pt>
                <c:pt idx="3580">
                  <c:v>36795</c:v>
                </c:pt>
                <c:pt idx="3581">
                  <c:v>36794</c:v>
                </c:pt>
                <c:pt idx="3582">
                  <c:v>36791</c:v>
                </c:pt>
                <c:pt idx="3583">
                  <c:v>36790</c:v>
                </c:pt>
                <c:pt idx="3584">
                  <c:v>36789</c:v>
                </c:pt>
                <c:pt idx="3585">
                  <c:v>36788</c:v>
                </c:pt>
                <c:pt idx="3586">
                  <c:v>36787</c:v>
                </c:pt>
                <c:pt idx="3587">
                  <c:v>36784</c:v>
                </c:pt>
                <c:pt idx="3588">
                  <c:v>36783</c:v>
                </c:pt>
                <c:pt idx="3589">
                  <c:v>36782</c:v>
                </c:pt>
                <c:pt idx="3590">
                  <c:v>36781</c:v>
                </c:pt>
                <c:pt idx="3591">
                  <c:v>36780</c:v>
                </c:pt>
                <c:pt idx="3592">
                  <c:v>36777</c:v>
                </c:pt>
                <c:pt idx="3593">
                  <c:v>36776</c:v>
                </c:pt>
                <c:pt idx="3594">
                  <c:v>36775</c:v>
                </c:pt>
                <c:pt idx="3595">
                  <c:v>36774</c:v>
                </c:pt>
                <c:pt idx="3596">
                  <c:v>36770</c:v>
                </c:pt>
                <c:pt idx="3597">
                  <c:v>36769</c:v>
                </c:pt>
                <c:pt idx="3598">
                  <c:v>36768</c:v>
                </c:pt>
                <c:pt idx="3599">
                  <c:v>36767</c:v>
                </c:pt>
                <c:pt idx="3600">
                  <c:v>36766</c:v>
                </c:pt>
                <c:pt idx="3601">
                  <c:v>36763</c:v>
                </c:pt>
                <c:pt idx="3602">
                  <c:v>36762</c:v>
                </c:pt>
                <c:pt idx="3603">
                  <c:v>36761</c:v>
                </c:pt>
                <c:pt idx="3604">
                  <c:v>36760</c:v>
                </c:pt>
                <c:pt idx="3605">
                  <c:v>36759</c:v>
                </c:pt>
                <c:pt idx="3606">
                  <c:v>36756</c:v>
                </c:pt>
                <c:pt idx="3607">
                  <c:v>36755</c:v>
                </c:pt>
                <c:pt idx="3608">
                  <c:v>36754</c:v>
                </c:pt>
                <c:pt idx="3609">
                  <c:v>36753</c:v>
                </c:pt>
                <c:pt idx="3610">
                  <c:v>36752</c:v>
                </c:pt>
                <c:pt idx="3611">
                  <c:v>36749</c:v>
                </c:pt>
                <c:pt idx="3612">
                  <c:v>36748</c:v>
                </c:pt>
                <c:pt idx="3613">
                  <c:v>36747</c:v>
                </c:pt>
                <c:pt idx="3614">
                  <c:v>36746</c:v>
                </c:pt>
                <c:pt idx="3615">
                  <c:v>36745</c:v>
                </c:pt>
                <c:pt idx="3616">
                  <c:v>36742</c:v>
                </c:pt>
                <c:pt idx="3617">
                  <c:v>36741</c:v>
                </c:pt>
                <c:pt idx="3618">
                  <c:v>36740</c:v>
                </c:pt>
                <c:pt idx="3619">
                  <c:v>36739</c:v>
                </c:pt>
                <c:pt idx="3620">
                  <c:v>36738</c:v>
                </c:pt>
                <c:pt idx="3621">
                  <c:v>36735</c:v>
                </c:pt>
                <c:pt idx="3622">
                  <c:v>36734</c:v>
                </c:pt>
                <c:pt idx="3623">
                  <c:v>36733</c:v>
                </c:pt>
                <c:pt idx="3624">
                  <c:v>36732</c:v>
                </c:pt>
                <c:pt idx="3625">
                  <c:v>36731</c:v>
                </c:pt>
                <c:pt idx="3626">
                  <c:v>36728</c:v>
                </c:pt>
                <c:pt idx="3627">
                  <c:v>36727</c:v>
                </c:pt>
                <c:pt idx="3628">
                  <c:v>36726</c:v>
                </c:pt>
                <c:pt idx="3629">
                  <c:v>36725</c:v>
                </c:pt>
                <c:pt idx="3630">
                  <c:v>36724</c:v>
                </c:pt>
                <c:pt idx="3631">
                  <c:v>36721</c:v>
                </c:pt>
                <c:pt idx="3632">
                  <c:v>36720</c:v>
                </c:pt>
                <c:pt idx="3633">
                  <c:v>36719</c:v>
                </c:pt>
                <c:pt idx="3634">
                  <c:v>36718</c:v>
                </c:pt>
                <c:pt idx="3635">
                  <c:v>36717</c:v>
                </c:pt>
                <c:pt idx="3636">
                  <c:v>36714</c:v>
                </c:pt>
                <c:pt idx="3637">
                  <c:v>36713</c:v>
                </c:pt>
                <c:pt idx="3638">
                  <c:v>36712</c:v>
                </c:pt>
                <c:pt idx="3639">
                  <c:v>36710</c:v>
                </c:pt>
                <c:pt idx="3640">
                  <c:v>36707</c:v>
                </c:pt>
                <c:pt idx="3641">
                  <c:v>36706</c:v>
                </c:pt>
                <c:pt idx="3642">
                  <c:v>36705</c:v>
                </c:pt>
                <c:pt idx="3643">
                  <c:v>36704</c:v>
                </c:pt>
                <c:pt idx="3644">
                  <c:v>36703</c:v>
                </c:pt>
                <c:pt idx="3645">
                  <c:v>36700</c:v>
                </c:pt>
                <c:pt idx="3646">
                  <c:v>36699</c:v>
                </c:pt>
                <c:pt idx="3647">
                  <c:v>36698</c:v>
                </c:pt>
                <c:pt idx="3648">
                  <c:v>36697</c:v>
                </c:pt>
                <c:pt idx="3649">
                  <c:v>36696</c:v>
                </c:pt>
                <c:pt idx="3650">
                  <c:v>36693</c:v>
                </c:pt>
                <c:pt idx="3651">
                  <c:v>36692</c:v>
                </c:pt>
                <c:pt idx="3652">
                  <c:v>36691</c:v>
                </c:pt>
                <c:pt idx="3653">
                  <c:v>36690</c:v>
                </c:pt>
                <c:pt idx="3654">
                  <c:v>36689</c:v>
                </c:pt>
                <c:pt idx="3655">
                  <c:v>36686</c:v>
                </c:pt>
                <c:pt idx="3656">
                  <c:v>36685</c:v>
                </c:pt>
                <c:pt idx="3657">
                  <c:v>36684</c:v>
                </c:pt>
                <c:pt idx="3658">
                  <c:v>36683</c:v>
                </c:pt>
                <c:pt idx="3659">
                  <c:v>36682</c:v>
                </c:pt>
                <c:pt idx="3660">
                  <c:v>36679</c:v>
                </c:pt>
                <c:pt idx="3661">
                  <c:v>36678</c:v>
                </c:pt>
                <c:pt idx="3662">
                  <c:v>36677</c:v>
                </c:pt>
                <c:pt idx="3663">
                  <c:v>36676</c:v>
                </c:pt>
                <c:pt idx="3664">
                  <c:v>36672</c:v>
                </c:pt>
                <c:pt idx="3665">
                  <c:v>36671</c:v>
                </c:pt>
                <c:pt idx="3666">
                  <c:v>36670</c:v>
                </c:pt>
                <c:pt idx="3667">
                  <c:v>36669</c:v>
                </c:pt>
                <c:pt idx="3668">
                  <c:v>36668</c:v>
                </c:pt>
                <c:pt idx="3669">
                  <c:v>36665</c:v>
                </c:pt>
                <c:pt idx="3670">
                  <c:v>36664</c:v>
                </c:pt>
                <c:pt idx="3671">
                  <c:v>36663</c:v>
                </c:pt>
                <c:pt idx="3672">
                  <c:v>36662</c:v>
                </c:pt>
                <c:pt idx="3673">
                  <c:v>36661</c:v>
                </c:pt>
                <c:pt idx="3674">
                  <c:v>36658</c:v>
                </c:pt>
                <c:pt idx="3675">
                  <c:v>36657</c:v>
                </c:pt>
                <c:pt idx="3676">
                  <c:v>36656</c:v>
                </c:pt>
                <c:pt idx="3677">
                  <c:v>36655</c:v>
                </c:pt>
                <c:pt idx="3678">
                  <c:v>36654</c:v>
                </c:pt>
                <c:pt idx="3679">
                  <c:v>36651</c:v>
                </c:pt>
                <c:pt idx="3680">
                  <c:v>36650</c:v>
                </c:pt>
                <c:pt idx="3681">
                  <c:v>36649</c:v>
                </c:pt>
                <c:pt idx="3682">
                  <c:v>36648</c:v>
                </c:pt>
                <c:pt idx="3683">
                  <c:v>36647</c:v>
                </c:pt>
                <c:pt idx="3684">
                  <c:v>36644</c:v>
                </c:pt>
                <c:pt idx="3685">
                  <c:v>36643</c:v>
                </c:pt>
                <c:pt idx="3686">
                  <c:v>36642</c:v>
                </c:pt>
                <c:pt idx="3687">
                  <c:v>36641</c:v>
                </c:pt>
                <c:pt idx="3688">
                  <c:v>36640</c:v>
                </c:pt>
                <c:pt idx="3689">
                  <c:v>36636</c:v>
                </c:pt>
                <c:pt idx="3690">
                  <c:v>36635</c:v>
                </c:pt>
                <c:pt idx="3691">
                  <c:v>36634</c:v>
                </c:pt>
                <c:pt idx="3692">
                  <c:v>36633</c:v>
                </c:pt>
                <c:pt idx="3693">
                  <c:v>36630</c:v>
                </c:pt>
                <c:pt idx="3694">
                  <c:v>36629</c:v>
                </c:pt>
                <c:pt idx="3695">
                  <c:v>36628</c:v>
                </c:pt>
                <c:pt idx="3696">
                  <c:v>36627</c:v>
                </c:pt>
                <c:pt idx="3697">
                  <c:v>36626</c:v>
                </c:pt>
                <c:pt idx="3698">
                  <c:v>36623</c:v>
                </c:pt>
                <c:pt idx="3699">
                  <c:v>36622</c:v>
                </c:pt>
                <c:pt idx="3700">
                  <c:v>36621</c:v>
                </c:pt>
                <c:pt idx="3701">
                  <c:v>36620</c:v>
                </c:pt>
                <c:pt idx="3702">
                  <c:v>36619</c:v>
                </c:pt>
                <c:pt idx="3703">
                  <c:v>36616</c:v>
                </c:pt>
                <c:pt idx="3704">
                  <c:v>36615</c:v>
                </c:pt>
                <c:pt idx="3705">
                  <c:v>36614</c:v>
                </c:pt>
                <c:pt idx="3706">
                  <c:v>36613</c:v>
                </c:pt>
                <c:pt idx="3707">
                  <c:v>36612</c:v>
                </c:pt>
                <c:pt idx="3708">
                  <c:v>36609</c:v>
                </c:pt>
                <c:pt idx="3709">
                  <c:v>36608</c:v>
                </c:pt>
                <c:pt idx="3710">
                  <c:v>36607</c:v>
                </c:pt>
                <c:pt idx="3711">
                  <c:v>36606</c:v>
                </c:pt>
                <c:pt idx="3712">
                  <c:v>36605</c:v>
                </c:pt>
                <c:pt idx="3713">
                  <c:v>36602</c:v>
                </c:pt>
                <c:pt idx="3714">
                  <c:v>36601</c:v>
                </c:pt>
                <c:pt idx="3715">
                  <c:v>36600</c:v>
                </c:pt>
                <c:pt idx="3716">
                  <c:v>36599</c:v>
                </c:pt>
                <c:pt idx="3717">
                  <c:v>36598</c:v>
                </c:pt>
                <c:pt idx="3718">
                  <c:v>36595</c:v>
                </c:pt>
                <c:pt idx="3719">
                  <c:v>36594</c:v>
                </c:pt>
                <c:pt idx="3720">
                  <c:v>36593</c:v>
                </c:pt>
                <c:pt idx="3721">
                  <c:v>36592</c:v>
                </c:pt>
                <c:pt idx="3722">
                  <c:v>36591</c:v>
                </c:pt>
                <c:pt idx="3723">
                  <c:v>36588</c:v>
                </c:pt>
                <c:pt idx="3724">
                  <c:v>36587</c:v>
                </c:pt>
                <c:pt idx="3725">
                  <c:v>36586</c:v>
                </c:pt>
                <c:pt idx="3726">
                  <c:v>36585</c:v>
                </c:pt>
                <c:pt idx="3727">
                  <c:v>36584</c:v>
                </c:pt>
                <c:pt idx="3728">
                  <c:v>36581</c:v>
                </c:pt>
                <c:pt idx="3729">
                  <c:v>36580</c:v>
                </c:pt>
                <c:pt idx="3730">
                  <c:v>36579</c:v>
                </c:pt>
                <c:pt idx="3731">
                  <c:v>36578</c:v>
                </c:pt>
                <c:pt idx="3732">
                  <c:v>36574</c:v>
                </c:pt>
                <c:pt idx="3733">
                  <c:v>36573</c:v>
                </c:pt>
                <c:pt idx="3734">
                  <c:v>36572</c:v>
                </c:pt>
                <c:pt idx="3735">
                  <c:v>36571</c:v>
                </c:pt>
                <c:pt idx="3736">
                  <c:v>36570</c:v>
                </c:pt>
                <c:pt idx="3737">
                  <c:v>36567</c:v>
                </c:pt>
                <c:pt idx="3738">
                  <c:v>36566</c:v>
                </c:pt>
                <c:pt idx="3739">
                  <c:v>36565</c:v>
                </c:pt>
                <c:pt idx="3740">
                  <c:v>36564</c:v>
                </c:pt>
                <c:pt idx="3741">
                  <c:v>36563</c:v>
                </c:pt>
                <c:pt idx="3742">
                  <c:v>36560</c:v>
                </c:pt>
                <c:pt idx="3743">
                  <c:v>36559</c:v>
                </c:pt>
                <c:pt idx="3744">
                  <c:v>36558</c:v>
                </c:pt>
                <c:pt idx="3745">
                  <c:v>36557</c:v>
                </c:pt>
                <c:pt idx="3746">
                  <c:v>36556</c:v>
                </c:pt>
                <c:pt idx="3747">
                  <c:v>36553</c:v>
                </c:pt>
                <c:pt idx="3748">
                  <c:v>36552</c:v>
                </c:pt>
                <c:pt idx="3749">
                  <c:v>36551</c:v>
                </c:pt>
                <c:pt idx="3750">
                  <c:v>36550</c:v>
                </c:pt>
                <c:pt idx="3751">
                  <c:v>36549</c:v>
                </c:pt>
                <c:pt idx="3752">
                  <c:v>36546</c:v>
                </c:pt>
                <c:pt idx="3753">
                  <c:v>36545</c:v>
                </c:pt>
                <c:pt idx="3754">
                  <c:v>36544</c:v>
                </c:pt>
                <c:pt idx="3755">
                  <c:v>36543</c:v>
                </c:pt>
                <c:pt idx="3756">
                  <c:v>36539</c:v>
                </c:pt>
                <c:pt idx="3757">
                  <c:v>36538</c:v>
                </c:pt>
                <c:pt idx="3758">
                  <c:v>36537</c:v>
                </c:pt>
                <c:pt idx="3759">
                  <c:v>36536</c:v>
                </c:pt>
                <c:pt idx="3760">
                  <c:v>36535</c:v>
                </c:pt>
                <c:pt idx="3761">
                  <c:v>36532</c:v>
                </c:pt>
                <c:pt idx="3762">
                  <c:v>36531</c:v>
                </c:pt>
                <c:pt idx="3763">
                  <c:v>36530</c:v>
                </c:pt>
                <c:pt idx="3764">
                  <c:v>36529</c:v>
                </c:pt>
                <c:pt idx="3765">
                  <c:v>36528</c:v>
                </c:pt>
                <c:pt idx="3766">
                  <c:v>36525</c:v>
                </c:pt>
                <c:pt idx="3767">
                  <c:v>36524</c:v>
                </c:pt>
                <c:pt idx="3768">
                  <c:v>36523</c:v>
                </c:pt>
                <c:pt idx="3769">
                  <c:v>36522</c:v>
                </c:pt>
                <c:pt idx="3770">
                  <c:v>36521</c:v>
                </c:pt>
                <c:pt idx="3771">
                  <c:v>36517</c:v>
                </c:pt>
                <c:pt idx="3772">
                  <c:v>36516</c:v>
                </c:pt>
                <c:pt idx="3773">
                  <c:v>36515</c:v>
                </c:pt>
                <c:pt idx="3774">
                  <c:v>36514</c:v>
                </c:pt>
                <c:pt idx="3775">
                  <c:v>36511</c:v>
                </c:pt>
                <c:pt idx="3776">
                  <c:v>36510</c:v>
                </c:pt>
                <c:pt idx="3777">
                  <c:v>36509</c:v>
                </c:pt>
                <c:pt idx="3778">
                  <c:v>36508</c:v>
                </c:pt>
                <c:pt idx="3779">
                  <c:v>36507</c:v>
                </c:pt>
                <c:pt idx="3780">
                  <c:v>36504</c:v>
                </c:pt>
                <c:pt idx="3781">
                  <c:v>36503</c:v>
                </c:pt>
                <c:pt idx="3782">
                  <c:v>36502</c:v>
                </c:pt>
                <c:pt idx="3783">
                  <c:v>36501</c:v>
                </c:pt>
                <c:pt idx="3784">
                  <c:v>36500</c:v>
                </c:pt>
                <c:pt idx="3785">
                  <c:v>36497</c:v>
                </c:pt>
                <c:pt idx="3786">
                  <c:v>36496</c:v>
                </c:pt>
                <c:pt idx="3787">
                  <c:v>36495</c:v>
                </c:pt>
                <c:pt idx="3788">
                  <c:v>36494</c:v>
                </c:pt>
                <c:pt idx="3789">
                  <c:v>36493</c:v>
                </c:pt>
                <c:pt idx="3790">
                  <c:v>36490</c:v>
                </c:pt>
                <c:pt idx="3791">
                  <c:v>36488</c:v>
                </c:pt>
                <c:pt idx="3792">
                  <c:v>36487</c:v>
                </c:pt>
                <c:pt idx="3793">
                  <c:v>36486</c:v>
                </c:pt>
                <c:pt idx="3794">
                  <c:v>36483</c:v>
                </c:pt>
                <c:pt idx="3795">
                  <c:v>36482</c:v>
                </c:pt>
                <c:pt idx="3796">
                  <c:v>36481</c:v>
                </c:pt>
                <c:pt idx="3797">
                  <c:v>36480</c:v>
                </c:pt>
                <c:pt idx="3798">
                  <c:v>36479</c:v>
                </c:pt>
                <c:pt idx="3799">
                  <c:v>36476</c:v>
                </c:pt>
                <c:pt idx="3800">
                  <c:v>36475</c:v>
                </c:pt>
                <c:pt idx="3801">
                  <c:v>36474</c:v>
                </c:pt>
                <c:pt idx="3802">
                  <c:v>36473</c:v>
                </c:pt>
                <c:pt idx="3803">
                  <c:v>36472</c:v>
                </c:pt>
                <c:pt idx="3804">
                  <c:v>36469</c:v>
                </c:pt>
                <c:pt idx="3805">
                  <c:v>36468</c:v>
                </c:pt>
                <c:pt idx="3806">
                  <c:v>36467</c:v>
                </c:pt>
                <c:pt idx="3807">
                  <c:v>36466</c:v>
                </c:pt>
                <c:pt idx="3808">
                  <c:v>36465</c:v>
                </c:pt>
                <c:pt idx="3809">
                  <c:v>36462</c:v>
                </c:pt>
                <c:pt idx="3810">
                  <c:v>36461</c:v>
                </c:pt>
                <c:pt idx="3811">
                  <c:v>36460</c:v>
                </c:pt>
                <c:pt idx="3812">
                  <c:v>36459</c:v>
                </c:pt>
                <c:pt idx="3813">
                  <c:v>36458</c:v>
                </c:pt>
                <c:pt idx="3814">
                  <c:v>36455</c:v>
                </c:pt>
                <c:pt idx="3815">
                  <c:v>36454</c:v>
                </c:pt>
                <c:pt idx="3816">
                  <c:v>36453</c:v>
                </c:pt>
                <c:pt idx="3817">
                  <c:v>36452</c:v>
                </c:pt>
                <c:pt idx="3818">
                  <c:v>36451</c:v>
                </c:pt>
                <c:pt idx="3819">
                  <c:v>36448</c:v>
                </c:pt>
                <c:pt idx="3820">
                  <c:v>36447</c:v>
                </c:pt>
                <c:pt idx="3821">
                  <c:v>36446</c:v>
                </c:pt>
                <c:pt idx="3822">
                  <c:v>36445</c:v>
                </c:pt>
                <c:pt idx="3823">
                  <c:v>36444</c:v>
                </c:pt>
                <c:pt idx="3824">
                  <c:v>36441</c:v>
                </c:pt>
                <c:pt idx="3825">
                  <c:v>36440</c:v>
                </c:pt>
                <c:pt idx="3826">
                  <c:v>36439</c:v>
                </c:pt>
                <c:pt idx="3827">
                  <c:v>36438</c:v>
                </c:pt>
                <c:pt idx="3828">
                  <c:v>36437</c:v>
                </c:pt>
                <c:pt idx="3829">
                  <c:v>36434</c:v>
                </c:pt>
                <c:pt idx="3830">
                  <c:v>36433</c:v>
                </c:pt>
                <c:pt idx="3831">
                  <c:v>36432</c:v>
                </c:pt>
                <c:pt idx="3832">
                  <c:v>36431</c:v>
                </c:pt>
                <c:pt idx="3833">
                  <c:v>36430</c:v>
                </c:pt>
                <c:pt idx="3834">
                  <c:v>36427</c:v>
                </c:pt>
                <c:pt idx="3835">
                  <c:v>36426</c:v>
                </c:pt>
                <c:pt idx="3836">
                  <c:v>36425</c:v>
                </c:pt>
                <c:pt idx="3837">
                  <c:v>36424</c:v>
                </c:pt>
                <c:pt idx="3838">
                  <c:v>36423</c:v>
                </c:pt>
                <c:pt idx="3839">
                  <c:v>36420</c:v>
                </c:pt>
                <c:pt idx="3840">
                  <c:v>36419</c:v>
                </c:pt>
                <c:pt idx="3841">
                  <c:v>36418</c:v>
                </c:pt>
                <c:pt idx="3842">
                  <c:v>36417</c:v>
                </c:pt>
                <c:pt idx="3843">
                  <c:v>36416</c:v>
                </c:pt>
                <c:pt idx="3844">
                  <c:v>36413</c:v>
                </c:pt>
                <c:pt idx="3845">
                  <c:v>36412</c:v>
                </c:pt>
                <c:pt idx="3846">
                  <c:v>36411</c:v>
                </c:pt>
                <c:pt idx="3847">
                  <c:v>36410</c:v>
                </c:pt>
                <c:pt idx="3848">
                  <c:v>36406</c:v>
                </c:pt>
                <c:pt idx="3849">
                  <c:v>36405</c:v>
                </c:pt>
                <c:pt idx="3850">
                  <c:v>36404</c:v>
                </c:pt>
                <c:pt idx="3851">
                  <c:v>36403</c:v>
                </c:pt>
                <c:pt idx="3852">
                  <c:v>36402</c:v>
                </c:pt>
                <c:pt idx="3853">
                  <c:v>36399</c:v>
                </c:pt>
                <c:pt idx="3854">
                  <c:v>36398</c:v>
                </c:pt>
                <c:pt idx="3855">
                  <c:v>36397</c:v>
                </c:pt>
                <c:pt idx="3856">
                  <c:v>36396</c:v>
                </c:pt>
                <c:pt idx="3857">
                  <c:v>36395</c:v>
                </c:pt>
                <c:pt idx="3858">
                  <c:v>36392</c:v>
                </c:pt>
                <c:pt idx="3859">
                  <c:v>36391</c:v>
                </c:pt>
                <c:pt idx="3860">
                  <c:v>36390</c:v>
                </c:pt>
                <c:pt idx="3861">
                  <c:v>36389</c:v>
                </c:pt>
                <c:pt idx="3862">
                  <c:v>36388</c:v>
                </c:pt>
                <c:pt idx="3863">
                  <c:v>36385</c:v>
                </c:pt>
                <c:pt idx="3864">
                  <c:v>36384</c:v>
                </c:pt>
                <c:pt idx="3865">
                  <c:v>36383</c:v>
                </c:pt>
                <c:pt idx="3866">
                  <c:v>36382</c:v>
                </c:pt>
                <c:pt idx="3867">
                  <c:v>36381</c:v>
                </c:pt>
                <c:pt idx="3868">
                  <c:v>36378</c:v>
                </c:pt>
                <c:pt idx="3869">
                  <c:v>36377</c:v>
                </c:pt>
                <c:pt idx="3870">
                  <c:v>36376</c:v>
                </c:pt>
                <c:pt idx="3871">
                  <c:v>36375</c:v>
                </c:pt>
                <c:pt idx="3872">
                  <c:v>36374</c:v>
                </c:pt>
                <c:pt idx="3873">
                  <c:v>36371</c:v>
                </c:pt>
                <c:pt idx="3874">
                  <c:v>36370</c:v>
                </c:pt>
                <c:pt idx="3875">
                  <c:v>36369</c:v>
                </c:pt>
                <c:pt idx="3876">
                  <c:v>36368</c:v>
                </c:pt>
                <c:pt idx="3877">
                  <c:v>36367</c:v>
                </c:pt>
                <c:pt idx="3878">
                  <c:v>36364</c:v>
                </c:pt>
                <c:pt idx="3879">
                  <c:v>36363</c:v>
                </c:pt>
                <c:pt idx="3880">
                  <c:v>36362</c:v>
                </c:pt>
                <c:pt idx="3881">
                  <c:v>36361</c:v>
                </c:pt>
                <c:pt idx="3882">
                  <c:v>36360</c:v>
                </c:pt>
                <c:pt idx="3883">
                  <c:v>36357</c:v>
                </c:pt>
                <c:pt idx="3884">
                  <c:v>36356</c:v>
                </c:pt>
                <c:pt idx="3885">
                  <c:v>36355</c:v>
                </c:pt>
                <c:pt idx="3886">
                  <c:v>36354</c:v>
                </c:pt>
                <c:pt idx="3887">
                  <c:v>36353</c:v>
                </c:pt>
                <c:pt idx="3888">
                  <c:v>36350</c:v>
                </c:pt>
                <c:pt idx="3889">
                  <c:v>36349</c:v>
                </c:pt>
                <c:pt idx="3890">
                  <c:v>36348</c:v>
                </c:pt>
                <c:pt idx="3891">
                  <c:v>36347</c:v>
                </c:pt>
                <c:pt idx="3892">
                  <c:v>36343</c:v>
                </c:pt>
                <c:pt idx="3893">
                  <c:v>36342</c:v>
                </c:pt>
                <c:pt idx="3894">
                  <c:v>36341</c:v>
                </c:pt>
                <c:pt idx="3895">
                  <c:v>36340</c:v>
                </c:pt>
                <c:pt idx="3896">
                  <c:v>36339</c:v>
                </c:pt>
                <c:pt idx="3897">
                  <c:v>36336</c:v>
                </c:pt>
                <c:pt idx="3898">
                  <c:v>36335</c:v>
                </c:pt>
                <c:pt idx="3899">
                  <c:v>36334</c:v>
                </c:pt>
                <c:pt idx="3900">
                  <c:v>36333</c:v>
                </c:pt>
                <c:pt idx="3901">
                  <c:v>36332</c:v>
                </c:pt>
                <c:pt idx="3902">
                  <c:v>36329</c:v>
                </c:pt>
                <c:pt idx="3903">
                  <c:v>36328</c:v>
                </c:pt>
                <c:pt idx="3904">
                  <c:v>36327</c:v>
                </c:pt>
                <c:pt idx="3905">
                  <c:v>36326</c:v>
                </c:pt>
                <c:pt idx="3906">
                  <c:v>36325</c:v>
                </c:pt>
                <c:pt idx="3907">
                  <c:v>36322</c:v>
                </c:pt>
                <c:pt idx="3908">
                  <c:v>36321</c:v>
                </c:pt>
                <c:pt idx="3909">
                  <c:v>36320</c:v>
                </c:pt>
                <c:pt idx="3910">
                  <c:v>36319</c:v>
                </c:pt>
                <c:pt idx="3911">
                  <c:v>36318</c:v>
                </c:pt>
                <c:pt idx="3912">
                  <c:v>36315</c:v>
                </c:pt>
                <c:pt idx="3913">
                  <c:v>36314</c:v>
                </c:pt>
                <c:pt idx="3914">
                  <c:v>36313</c:v>
                </c:pt>
                <c:pt idx="3915">
                  <c:v>36312</c:v>
                </c:pt>
                <c:pt idx="3916">
                  <c:v>36308</c:v>
                </c:pt>
                <c:pt idx="3917">
                  <c:v>36307</c:v>
                </c:pt>
                <c:pt idx="3918">
                  <c:v>36306</c:v>
                </c:pt>
                <c:pt idx="3919">
                  <c:v>36305</c:v>
                </c:pt>
                <c:pt idx="3920">
                  <c:v>36304</c:v>
                </c:pt>
                <c:pt idx="3921">
                  <c:v>36301</c:v>
                </c:pt>
                <c:pt idx="3922">
                  <c:v>36300</c:v>
                </c:pt>
                <c:pt idx="3923">
                  <c:v>36299</c:v>
                </c:pt>
                <c:pt idx="3924">
                  <c:v>36298</c:v>
                </c:pt>
                <c:pt idx="3925">
                  <c:v>36297</c:v>
                </c:pt>
                <c:pt idx="3926">
                  <c:v>36294</c:v>
                </c:pt>
                <c:pt idx="3927">
                  <c:v>36293</c:v>
                </c:pt>
                <c:pt idx="3928">
                  <c:v>36292</c:v>
                </c:pt>
                <c:pt idx="3929">
                  <c:v>36291</c:v>
                </c:pt>
                <c:pt idx="3930">
                  <c:v>36290</c:v>
                </c:pt>
                <c:pt idx="3931">
                  <c:v>36287</c:v>
                </c:pt>
                <c:pt idx="3932">
                  <c:v>36286</c:v>
                </c:pt>
                <c:pt idx="3933">
                  <c:v>36285</c:v>
                </c:pt>
                <c:pt idx="3934">
                  <c:v>36284</c:v>
                </c:pt>
                <c:pt idx="3935">
                  <c:v>36283</c:v>
                </c:pt>
                <c:pt idx="3936">
                  <c:v>36280</c:v>
                </c:pt>
                <c:pt idx="3937">
                  <c:v>36279</c:v>
                </c:pt>
                <c:pt idx="3938">
                  <c:v>36278</c:v>
                </c:pt>
                <c:pt idx="3939">
                  <c:v>36277</c:v>
                </c:pt>
                <c:pt idx="3940">
                  <c:v>36276</c:v>
                </c:pt>
                <c:pt idx="3941">
                  <c:v>36273</c:v>
                </c:pt>
                <c:pt idx="3942">
                  <c:v>36272</c:v>
                </c:pt>
                <c:pt idx="3943">
                  <c:v>36271</c:v>
                </c:pt>
                <c:pt idx="3944">
                  <c:v>36270</c:v>
                </c:pt>
                <c:pt idx="3945">
                  <c:v>36269</c:v>
                </c:pt>
                <c:pt idx="3946">
                  <c:v>36266</c:v>
                </c:pt>
                <c:pt idx="3947">
                  <c:v>36265</c:v>
                </c:pt>
                <c:pt idx="3948">
                  <c:v>36264</c:v>
                </c:pt>
                <c:pt idx="3949">
                  <c:v>36263</c:v>
                </c:pt>
                <c:pt idx="3950">
                  <c:v>36262</c:v>
                </c:pt>
                <c:pt idx="3951">
                  <c:v>36259</c:v>
                </c:pt>
                <c:pt idx="3952">
                  <c:v>36258</c:v>
                </c:pt>
                <c:pt idx="3953">
                  <c:v>36257</c:v>
                </c:pt>
                <c:pt idx="3954">
                  <c:v>36256</c:v>
                </c:pt>
                <c:pt idx="3955">
                  <c:v>36255</c:v>
                </c:pt>
                <c:pt idx="3956">
                  <c:v>36251</c:v>
                </c:pt>
                <c:pt idx="3957">
                  <c:v>36250</c:v>
                </c:pt>
                <c:pt idx="3958">
                  <c:v>36249</c:v>
                </c:pt>
                <c:pt idx="3959">
                  <c:v>36248</c:v>
                </c:pt>
                <c:pt idx="3960">
                  <c:v>36245</c:v>
                </c:pt>
                <c:pt idx="3961">
                  <c:v>36244</c:v>
                </c:pt>
                <c:pt idx="3962">
                  <c:v>36243</c:v>
                </c:pt>
                <c:pt idx="3963">
                  <c:v>36242</c:v>
                </c:pt>
                <c:pt idx="3964">
                  <c:v>36241</c:v>
                </c:pt>
                <c:pt idx="3965">
                  <c:v>36238</c:v>
                </c:pt>
                <c:pt idx="3966">
                  <c:v>36237</c:v>
                </c:pt>
                <c:pt idx="3967">
                  <c:v>36236</c:v>
                </c:pt>
                <c:pt idx="3968">
                  <c:v>36235</c:v>
                </c:pt>
                <c:pt idx="3969">
                  <c:v>36234</c:v>
                </c:pt>
                <c:pt idx="3970">
                  <c:v>36231</c:v>
                </c:pt>
                <c:pt idx="3971">
                  <c:v>36230</c:v>
                </c:pt>
                <c:pt idx="3972">
                  <c:v>36229</c:v>
                </c:pt>
                <c:pt idx="3973">
                  <c:v>36228</c:v>
                </c:pt>
                <c:pt idx="3974">
                  <c:v>36227</c:v>
                </c:pt>
                <c:pt idx="3975">
                  <c:v>36224</c:v>
                </c:pt>
                <c:pt idx="3976">
                  <c:v>36223</c:v>
                </c:pt>
                <c:pt idx="3977">
                  <c:v>36222</c:v>
                </c:pt>
                <c:pt idx="3978">
                  <c:v>36221</c:v>
                </c:pt>
                <c:pt idx="3979">
                  <c:v>36220</c:v>
                </c:pt>
                <c:pt idx="3980">
                  <c:v>36217</c:v>
                </c:pt>
                <c:pt idx="3981">
                  <c:v>36216</c:v>
                </c:pt>
                <c:pt idx="3982">
                  <c:v>36215</c:v>
                </c:pt>
                <c:pt idx="3983">
                  <c:v>36214</c:v>
                </c:pt>
                <c:pt idx="3984">
                  <c:v>36213</c:v>
                </c:pt>
                <c:pt idx="3985">
                  <c:v>36210</c:v>
                </c:pt>
                <c:pt idx="3986">
                  <c:v>36209</c:v>
                </c:pt>
                <c:pt idx="3987">
                  <c:v>36208</c:v>
                </c:pt>
                <c:pt idx="3988">
                  <c:v>36207</c:v>
                </c:pt>
                <c:pt idx="3989">
                  <c:v>36203</c:v>
                </c:pt>
                <c:pt idx="3990">
                  <c:v>36202</c:v>
                </c:pt>
                <c:pt idx="3991">
                  <c:v>36201</c:v>
                </c:pt>
                <c:pt idx="3992">
                  <c:v>36200</c:v>
                </c:pt>
                <c:pt idx="3993">
                  <c:v>36199</c:v>
                </c:pt>
                <c:pt idx="3994">
                  <c:v>36196</c:v>
                </c:pt>
                <c:pt idx="3995">
                  <c:v>36195</c:v>
                </c:pt>
                <c:pt idx="3996">
                  <c:v>36194</c:v>
                </c:pt>
                <c:pt idx="3997">
                  <c:v>36193</c:v>
                </c:pt>
                <c:pt idx="3998">
                  <c:v>36192</c:v>
                </c:pt>
                <c:pt idx="3999">
                  <c:v>36189</c:v>
                </c:pt>
                <c:pt idx="4000">
                  <c:v>36188</c:v>
                </c:pt>
                <c:pt idx="4001">
                  <c:v>36187</c:v>
                </c:pt>
                <c:pt idx="4002">
                  <c:v>36186</c:v>
                </c:pt>
                <c:pt idx="4003">
                  <c:v>36185</c:v>
                </c:pt>
                <c:pt idx="4004">
                  <c:v>36182</c:v>
                </c:pt>
                <c:pt idx="4005">
                  <c:v>36181</c:v>
                </c:pt>
                <c:pt idx="4006">
                  <c:v>36180</c:v>
                </c:pt>
                <c:pt idx="4007">
                  <c:v>36179</c:v>
                </c:pt>
                <c:pt idx="4008">
                  <c:v>36175</c:v>
                </c:pt>
                <c:pt idx="4009">
                  <c:v>36174</c:v>
                </c:pt>
                <c:pt idx="4010">
                  <c:v>36173</c:v>
                </c:pt>
                <c:pt idx="4011">
                  <c:v>36172</c:v>
                </c:pt>
                <c:pt idx="4012">
                  <c:v>36171</c:v>
                </c:pt>
                <c:pt idx="4013">
                  <c:v>36168</c:v>
                </c:pt>
                <c:pt idx="4014">
                  <c:v>36167</c:v>
                </c:pt>
                <c:pt idx="4015">
                  <c:v>36166</c:v>
                </c:pt>
                <c:pt idx="4016">
                  <c:v>36165</c:v>
                </c:pt>
                <c:pt idx="4017">
                  <c:v>36164</c:v>
                </c:pt>
                <c:pt idx="4018">
                  <c:v>36160</c:v>
                </c:pt>
                <c:pt idx="4019">
                  <c:v>36159</c:v>
                </c:pt>
                <c:pt idx="4020">
                  <c:v>36158</c:v>
                </c:pt>
                <c:pt idx="4021">
                  <c:v>36157</c:v>
                </c:pt>
                <c:pt idx="4022">
                  <c:v>36153</c:v>
                </c:pt>
                <c:pt idx="4023">
                  <c:v>36152</c:v>
                </c:pt>
                <c:pt idx="4024">
                  <c:v>36151</c:v>
                </c:pt>
                <c:pt idx="4025">
                  <c:v>36150</c:v>
                </c:pt>
                <c:pt idx="4026">
                  <c:v>36147</c:v>
                </c:pt>
                <c:pt idx="4027">
                  <c:v>36146</c:v>
                </c:pt>
                <c:pt idx="4028">
                  <c:v>36145</c:v>
                </c:pt>
                <c:pt idx="4029">
                  <c:v>36144</c:v>
                </c:pt>
                <c:pt idx="4030">
                  <c:v>36143</c:v>
                </c:pt>
                <c:pt idx="4031">
                  <c:v>36140</c:v>
                </c:pt>
                <c:pt idx="4032">
                  <c:v>36139</c:v>
                </c:pt>
                <c:pt idx="4033">
                  <c:v>36138</c:v>
                </c:pt>
                <c:pt idx="4034">
                  <c:v>36137</c:v>
                </c:pt>
                <c:pt idx="4035">
                  <c:v>36136</c:v>
                </c:pt>
                <c:pt idx="4036">
                  <c:v>36133</c:v>
                </c:pt>
                <c:pt idx="4037">
                  <c:v>36132</c:v>
                </c:pt>
                <c:pt idx="4038">
                  <c:v>36131</c:v>
                </c:pt>
                <c:pt idx="4039">
                  <c:v>36130</c:v>
                </c:pt>
                <c:pt idx="4040">
                  <c:v>36129</c:v>
                </c:pt>
                <c:pt idx="4041">
                  <c:v>36126</c:v>
                </c:pt>
                <c:pt idx="4042">
                  <c:v>36124</c:v>
                </c:pt>
                <c:pt idx="4043">
                  <c:v>36123</c:v>
                </c:pt>
                <c:pt idx="4044">
                  <c:v>36122</c:v>
                </c:pt>
                <c:pt idx="4045">
                  <c:v>36119</c:v>
                </c:pt>
                <c:pt idx="4046">
                  <c:v>36118</c:v>
                </c:pt>
                <c:pt idx="4047">
                  <c:v>36117</c:v>
                </c:pt>
                <c:pt idx="4048">
                  <c:v>36116</c:v>
                </c:pt>
                <c:pt idx="4049">
                  <c:v>36115</c:v>
                </c:pt>
                <c:pt idx="4050">
                  <c:v>36112</c:v>
                </c:pt>
                <c:pt idx="4051">
                  <c:v>36111</c:v>
                </c:pt>
                <c:pt idx="4052">
                  <c:v>36110</c:v>
                </c:pt>
                <c:pt idx="4053">
                  <c:v>36109</c:v>
                </c:pt>
                <c:pt idx="4054">
                  <c:v>36108</c:v>
                </c:pt>
                <c:pt idx="4055">
                  <c:v>36105</c:v>
                </c:pt>
                <c:pt idx="4056">
                  <c:v>36104</c:v>
                </c:pt>
                <c:pt idx="4057">
                  <c:v>36103</c:v>
                </c:pt>
                <c:pt idx="4058">
                  <c:v>36102</c:v>
                </c:pt>
                <c:pt idx="4059">
                  <c:v>36101</c:v>
                </c:pt>
                <c:pt idx="4060">
                  <c:v>36098</c:v>
                </c:pt>
                <c:pt idx="4061">
                  <c:v>36097</c:v>
                </c:pt>
                <c:pt idx="4062">
                  <c:v>36096</c:v>
                </c:pt>
                <c:pt idx="4063">
                  <c:v>36095</c:v>
                </c:pt>
                <c:pt idx="4064">
                  <c:v>36094</c:v>
                </c:pt>
                <c:pt idx="4065">
                  <c:v>36091</c:v>
                </c:pt>
                <c:pt idx="4066">
                  <c:v>36090</c:v>
                </c:pt>
                <c:pt idx="4067">
                  <c:v>36089</c:v>
                </c:pt>
                <c:pt idx="4068">
                  <c:v>36088</c:v>
                </c:pt>
                <c:pt idx="4069">
                  <c:v>36087</c:v>
                </c:pt>
                <c:pt idx="4070">
                  <c:v>36084</c:v>
                </c:pt>
                <c:pt idx="4071">
                  <c:v>36083</c:v>
                </c:pt>
                <c:pt idx="4072">
                  <c:v>36082</c:v>
                </c:pt>
                <c:pt idx="4073">
                  <c:v>36081</c:v>
                </c:pt>
                <c:pt idx="4074">
                  <c:v>36080</c:v>
                </c:pt>
                <c:pt idx="4075">
                  <c:v>36077</c:v>
                </c:pt>
                <c:pt idx="4076">
                  <c:v>36076</c:v>
                </c:pt>
                <c:pt idx="4077">
                  <c:v>36075</c:v>
                </c:pt>
                <c:pt idx="4078">
                  <c:v>36074</c:v>
                </c:pt>
                <c:pt idx="4079">
                  <c:v>36073</c:v>
                </c:pt>
                <c:pt idx="4080">
                  <c:v>36070</c:v>
                </c:pt>
                <c:pt idx="4081">
                  <c:v>36069</c:v>
                </c:pt>
                <c:pt idx="4082">
                  <c:v>36068</c:v>
                </c:pt>
                <c:pt idx="4083">
                  <c:v>36067</c:v>
                </c:pt>
                <c:pt idx="4084">
                  <c:v>36066</c:v>
                </c:pt>
                <c:pt idx="4085">
                  <c:v>36063</c:v>
                </c:pt>
                <c:pt idx="4086">
                  <c:v>36062</c:v>
                </c:pt>
                <c:pt idx="4087">
                  <c:v>36061</c:v>
                </c:pt>
                <c:pt idx="4088">
                  <c:v>36060</c:v>
                </c:pt>
                <c:pt idx="4089">
                  <c:v>36059</c:v>
                </c:pt>
                <c:pt idx="4090">
                  <c:v>36056</c:v>
                </c:pt>
                <c:pt idx="4091">
                  <c:v>36055</c:v>
                </c:pt>
                <c:pt idx="4092">
                  <c:v>36054</c:v>
                </c:pt>
                <c:pt idx="4093">
                  <c:v>36053</c:v>
                </c:pt>
                <c:pt idx="4094">
                  <c:v>36052</c:v>
                </c:pt>
                <c:pt idx="4095">
                  <c:v>36049</c:v>
                </c:pt>
                <c:pt idx="4096">
                  <c:v>36048</c:v>
                </c:pt>
                <c:pt idx="4097">
                  <c:v>36047</c:v>
                </c:pt>
                <c:pt idx="4098">
                  <c:v>36046</c:v>
                </c:pt>
                <c:pt idx="4099">
                  <c:v>36042</c:v>
                </c:pt>
                <c:pt idx="4100">
                  <c:v>36041</c:v>
                </c:pt>
                <c:pt idx="4101">
                  <c:v>36040</c:v>
                </c:pt>
                <c:pt idx="4102">
                  <c:v>36039</c:v>
                </c:pt>
                <c:pt idx="4103">
                  <c:v>36038</c:v>
                </c:pt>
                <c:pt idx="4104">
                  <c:v>36035</c:v>
                </c:pt>
                <c:pt idx="4105">
                  <c:v>36034</c:v>
                </c:pt>
                <c:pt idx="4106">
                  <c:v>36033</c:v>
                </c:pt>
                <c:pt idx="4107">
                  <c:v>36032</c:v>
                </c:pt>
                <c:pt idx="4108">
                  <c:v>36031</c:v>
                </c:pt>
                <c:pt idx="4109">
                  <c:v>36028</c:v>
                </c:pt>
                <c:pt idx="4110">
                  <c:v>36027</c:v>
                </c:pt>
                <c:pt idx="4111">
                  <c:v>36026</c:v>
                </c:pt>
                <c:pt idx="4112">
                  <c:v>36025</c:v>
                </c:pt>
                <c:pt idx="4113">
                  <c:v>36024</c:v>
                </c:pt>
                <c:pt idx="4114">
                  <c:v>36021</c:v>
                </c:pt>
                <c:pt idx="4115">
                  <c:v>36020</c:v>
                </c:pt>
                <c:pt idx="4116">
                  <c:v>36019</c:v>
                </c:pt>
                <c:pt idx="4117">
                  <c:v>36018</c:v>
                </c:pt>
                <c:pt idx="4118">
                  <c:v>36017</c:v>
                </c:pt>
                <c:pt idx="4119">
                  <c:v>36014</c:v>
                </c:pt>
                <c:pt idx="4120">
                  <c:v>36013</c:v>
                </c:pt>
                <c:pt idx="4121">
                  <c:v>36012</c:v>
                </c:pt>
                <c:pt idx="4122">
                  <c:v>36011</c:v>
                </c:pt>
                <c:pt idx="4123">
                  <c:v>36010</c:v>
                </c:pt>
                <c:pt idx="4124">
                  <c:v>36007</c:v>
                </c:pt>
                <c:pt idx="4125">
                  <c:v>36006</c:v>
                </c:pt>
                <c:pt idx="4126">
                  <c:v>36005</c:v>
                </c:pt>
                <c:pt idx="4127">
                  <c:v>36004</c:v>
                </c:pt>
                <c:pt idx="4128">
                  <c:v>36003</c:v>
                </c:pt>
                <c:pt idx="4129">
                  <c:v>36000</c:v>
                </c:pt>
                <c:pt idx="4130">
                  <c:v>35999</c:v>
                </c:pt>
                <c:pt idx="4131">
                  <c:v>35998</c:v>
                </c:pt>
                <c:pt idx="4132">
                  <c:v>35997</c:v>
                </c:pt>
                <c:pt idx="4133">
                  <c:v>35996</c:v>
                </c:pt>
                <c:pt idx="4134">
                  <c:v>35993</c:v>
                </c:pt>
                <c:pt idx="4135">
                  <c:v>35992</c:v>
                </c:pt>
                <c:pt idx="4136">
                  <c:v>35991</c:v>
                </c:pt>
                <c:pt idx="4137">
                  <c:v>35990</c:v>
                </c:pt>
                <c:pt idx="4138">
                  <c:v>35989</c:v>
                </c:pt>
                <c:pt idx="4139">
                  <c:v>35986</c:v>
                </c:pt>
                <c:pt idx="4140">
                  <c:v>35985</c:v>
                </c:pt>
                <c:pt idx="4141">
                  <c:v>35984</c:v>
                </c:pt>
                <c:pt idx="4142">
                  <c:v>35983</c:v>
                </c:pt>
                <c:pt idx="4143">
                  <c:v>35982</c:v>
                </c:pt>
                <c:pt idx="4144">
                  <c:v>35978</c:v>
                </c:pt>
                <c:pt idx="4145">
                  <c:v>35977</c:v>
                </c:pt>
                <c:pt idx="4146">
                  <c:v>35976</c:v>
                </c:pt>
                <c:pt idx="4147">
                  <c:v>35975</c:v>
                </c:pt>
                <c:pt idx="4148">
                  <c:v>35972</c:v>
                </c:pt>
                <c:pt idx="4149">
                  <c:v>35971</c:v>
                </c:pt>
                <c:pt idx="4150">
                  <c:v>35970</c:v>
                </c:pt>
                <c:pt idx="4151">
                  <c:v>35969</c:v>
                </c:pt>
                <c:pt idx="4152">
                  <c:v>35968</c:v>
                </c:pt>
                <c:pt idx="4153">
                  <c:v>35965</c:v>
                </c:pt>
                <c:pt idx="4154">
                  <c:v>35964</c:v>
                </c:pt>
                <c:pt idx="4155">
                  <c:v>35963</c:v>
                </c:pt>
                <c:pt idx="4156">
                  <c:v>35962</c:v>
                </c:pt>
                <c:pt idx="4157">
                  <c:v>35961</c:v>
                </c:pt>
                <c:pt idx="4158">
                  <c:v>35958</c:v>
                </c:pt>
                <c:pt idx="4159">
                  <c:v>35957</c:v>
                </c:pt>
                <c:pt idx="4160">
                  <c:v>35956</c:v>
                </c:pt>
                <c:pt idx="4161">
                  <c:v>35955</c:v>
                </c:pt>
                <c:pt idx="4162">
                  <c:v>35954</c:v>
                </c:pt>
                <c:pt idx="4163">
                  <c:v>35951</c:v>
                </c:pt>
                <c:pt idx="4164">
                  <c:v>35950</c:v>
                </c:pt>
                <c:pt idx="4165">
                  <c:v>35949</c:v>
                </c:pt>
                <c:pt idx="4166">
                  <c:v>35948</c:v>
                </c:pt>
                <c:pt idx="4167">
                  <c:v>35947</c:v>
                </c:pt>
                <c:pt idx="4168">
                  <c:v>35944</c:v>
                </c:pt>
                <c:pt idx="4169">
                  <c:v>35943</c:v>
                </c:pt>
                <c:pt idx="4170">
                  <c:v>35942</c:v>
                </c:pt>
                <c:pt idx="4171">
                  <c:v>35941</c:v>
                </c:pt>
                <c:pt idx="4172">
                  <c:v>35937</c:v>
                </c:pt>
                <c:pt idx="4173">
                  <c:v>35936</c:v>
                </c:pt>
                <c:pt idx="4174">
                  <c:v>35935</c:v>
                </c:pt>
                <c:pt idx="4175">
                  <c:v>35934</c:v>
                </c:pt>
                <c:pt idx="4176">
                  <c:v>35933</c:v>
                </c:pt>
                <c:pt idx="4177">
                  <c:v>35930</c:v>
                </c:pt>
                <c:pt idx="4178">
                  <c:v>35929</c:v>
                </c:pt>
                <c:pt idx="4179">
                  <c:v>35928</c:v>
                </c:pt>
                <c:pt idx="4180">
                  <c:v>35927</c:v>
                </c:pt>
                <c:pt idx="4181">
                  <c:v>35926</c:v>
                </c:pt>
                <c:pt idx="4182">
                  <c:v>35923</c:v>
                </c:pt>
                <c:pt idx="4183">
                  <c:v>35922</c:v>
                </c:pt>
                <c:pt idx="4184">
                  <c:v>35921</c:v>
                </c:pt>
                <c:pt idx="4185">
                  <c:v>35920</c:v>
                </c:pt>
                <c:pt idx="4186">
                  <c:v>35919</c:v>
                </c:pt>
                <c:pt idx="4187">
                  <c:v>35916</c:v>
                </c:pt>
                <c:pt idx="4188">
                  <c:v>35915</c:v>
                </c:pt>
                <c:pt idx="4189">
                  <c:v>35914</c:v>
                </c:pt>
                <c:pt idx="4190">
                  <c:v>35913</c:v>
                </c:pt>
                <c:pt idx="4191">
                  <c:v>35912</c:v>
                </c:pt>
                <c:pt idx="4192">
                  <c:v>35909</c:v>
                </c:pt>
                <c:pt idx="4193">
                  <c:v>35908</c:v>
                </c:pt>
                <c:pt idx="4194">
                  <c:v>35907</c:v>
                </c:pt>
                <c:pt idx="4195">
                  <c:v>35906</c:v>
                </c:pt>
                <c:pt idx="4196">
                  <c:v>35905</c:v>
                </c:pt>
                <c:pt idx="4197">
                  <c:v>35902</c:v>
                </c:pt>
                <c:pt idx="4198">
                  <c:v>35901</c:v>
                </c:pt>
                <c:pt idx="4199">
                  <c:v>35900</c:v>
                </c:pt>
                <c:pt idx="4200">
                  <c:v>35899</c:v>
                </c:pt>
                <c:pt idx="4201">
                  <c:v>35898</c:v>
                </c:pt>
                <c:pt idx="4202">
                  <c:v>35894</c:v>
                </c:pt>
                <c:pt idx="4203">
                  <c:v>35893</c:v>
                </c:pt>
                <c:pt idx="4204">
                  <c:v>35892</c:v>
                </c:pt>
                <c:pt idx="4205">
                  <c:v>35891</c:v>
                </c:pt>
                <c:pt idx="4206">
                  <c:v>35888</c:v>
                </c:pt>
                <c:pt idx="4207">
                  <c:v>35887</c:v>
                </c:pt>
                <c:pt idx="4208">
                  <c:v>35886</c:v>
                </c:pt>
                <c:pt idx="4209">
                  <c:v>35885</c:v>
                </c:pt>
                <c:pt idx="4210">
                  <c:v>35884</c:v>
                </c:pt>
                <c:pt idx="4211">
                  <c:v>35881</c:v>
                </c:pt>
                <c:pt idx="4212">
                  <c:v>35880</c:v>
                </c:pt>
                <c:pt idx="4213">
                  <c:v>35879</c:v>
                </c:pt>
                <c:pt idx="4214">
                  <c:v>35878</c:v>
                </c:pt>
                <c:pt idx="4215">
                  <c:v>35877</c:v>
                </c:pt>
                <c:pt idx="4216">
                  <c:v>35874</c:v>
                </c:pt>
                <c:pt idx="4217">
                  <c:v>35873</c:v>
                </c:pt>
                <c:pt idx="4218">
                  <c:v>35872</c:v>
                </c:pt>
                <c:pt idx="4219">
                  <c:v>35871</c:v>
                </c:pt>
                <c:pt idx="4220">
                  <c:v>35870</c:v>
                </c:pt>
                <c:pt idx="4221">
                  <c:v>35867</c:v>
                </c:pt>
                <c:pt idx="4222">
                  <c:v>35866</c:v>
                </c:pt>
                <c:pt idx="4223">
                  <c:v>35865</c:v>
                </c:pt>
                <c:pt idx="4224">
                  <c:v>35864</c:v>
                </c:pt>
                <c:pt idx="4225">
                  <c:v>35863</c:v>
                </c:pt>
                <c:pt idx="4226">
                  <c:v>35860</c:v>
                </c:pt>
                <c:pt idx="4227">
                  <c:v>35859</c:v>
                </c:pt>
                <c:pt idx="4228">
                  <c:v>35858</c:v>
                </c:pt>
                <c:pt idx="4229">
                  <c:v>35857</c:v>
                </c:pt>
                <c:pt idx="4230">
                  <c:v>35856</c:v>
                </c:pt>
                <c:pt idx="4231">
                  <c:v>35853</c:v>
                </c:pt>
                <c:pt idx="4232">
                  <c:v>35852</c:v>
                </c:pt>
                <c:pt idx="4233">
                  <c:v>35851</c:v>
                </c:pt>
                <c:pt idx="4234">
                  <c:v>35850</c:v>
                </c:pt>
                <c:pt idx="4235">
                  <c:v>35849</c:v>
                </c:pt>
                <c:pt idx="4236">
                  <c:v>35846</c:v>
                </c:pt>
                <c:pt idx="4237">
                  <c:v>35845</c:v>
                </c:pt>
                <c:pt idx="4238">
                  <c:v>35844</c:v>
                </c:pt>
                <c:pt idx="4239">
                  <c:v>35843</c:v>
                </c:pt>
                <c:pt idx="4240">
                  <c:v>35839</c:v>
                </c:pt>
                <c:pt idx="4241">
                  <c:v>35838</c:v>
                </c:pt>
                <c:pt idx="4242">
                  <c:v>35837</c:v>
                </c:pt>
                <c:pt idx="4243">
                  <c:v>35836</c:v>
                </c:pt>
                <c:pt idx="4244">
                  <c:v>35835</c:v>
                </c:pt>
                <c:pt idx="4245">
                  <c:v>35832</c:v>
                </c:pt>
                <c:pt idx="4246">
                  <c:v>35831</c:v>
                </c:pt>
                <c:pt idx="4247">
                  <c:v>35830</c:v>
                </c:pt>
                <c:pt idx="4248">
                  <c:v>35829</c:v>
                </c:pt>
                <c:pt idx="4249">
                  <c:v>35828</c:v>
                </c:pt>
                <c:pt idx="4250">
                  <c:v>35825</c:v>
                </c:pt>
                <c:pt idx="4251">
                  <c:v>35824</c:v>
                </c:pt>
                <c:pt idx="4252">
                  <c:v>35823</c:v>
                </c:pt>
                <c:pt idx="4253">
                  <c:v>35822</c:v>
                </c:pt>
                <c:pt idx="4254">
                  <c:v>35821</c:v>
                </c:pt>
                <c:pt idx="4255">
                  <c:v>35818</c:v>
                </c:pt>
                <c:pt idx="4256">
                  <c:v>35817</c:v>
                </c:pt>
                <c:pt idx="4257">
                  <c:v>35816</c:v>
                </c:pt>
                <c:pt idx="4258">
                  <c:v>35815</c:v>
                </c:pt>
                <c:pt idx="4259">
                  <c:v>35811</c:v>
                </c:pt>
                <c:pt idx="4260">
                  <c:v>35810</c:v>
                </c:pt>
                <c:pt idx="4261">
                  <c:v>35809</c:v>
                </c:pt>
                <c:pt idx="4262">
                  <c:v>35808</c:v>
                </c:pt>
                <c:pt idx="4263">
                  <c:v>35807</c:v>
                </c:pt>
                <c:pt idx="4264">
                  <c:v>35804</c:v>
                </c:pt>
                <c:pt idx="4265">
                  <c:v>35803</c:v>
                </c:pt>
                <c:pt idx="4266">
                  <c:v>35802</c:v>
                </c:pt>
                <c:pt idx="4267">
                  <c:v>35801</c:v>
                </c:pt>
                <c:pt idx="4268">
                  <c:v>35800</c:v>
                </c:pt>
                <c:pt idx="4269">
                  <c:v>35797</c:v>
                </c:pt>
                <c:pt idx="4270">
                  <c:v>35795</c:v>
                </c:pt>
                <c:pt idx="4271">
                  <c:v>35794</c:v>
                </c:pt>
                <c:pt idx="4272">
                  <c:v>35793</c:v>
                </c:pt>
                <c:pt idx="4273">
                  <c:v>35790</c:v>
                </c:pt>
                <c:pt idx="4274">
                  <c:v>35788</c:v>
                </c:pt>
                <c:pt idx="4275">
                  <c:v>35787</c:v>
                </c:pt>
                <c:pt idx="4276">
                  <c:v>35786</c:v>
                </c:pt>
                <c:pt idx="4277">
                  <c:v>35783</c:v>
                </c:pt>
                <c:pt idx="4278">
                  <c:v>35782</c:v>
                </c:pt>
                <c:pt idx="4279">
                  <c:v>35781</c:v>
                </c:pt>
                <c:pt idx="4280">
                  <c:v>35780</c:v>
                </c:pt>
                <c:pt idx="4281">
                  <c:v>35779</c:v>
                </c:pt>
                <c:pt idx="4282">
                  <c:v>35776</c:v>
                </c:pt>
                <c:pt idx="4283">
                  <c:v>35775</c:v>
                </c:pt>
                <c:pt idx="4284">
                  <c:v>35774</c:v>
                </c:pt>
                <c:pt idx="4285">
                  <c:v>35773</c:v>
                </c:pt>
                <c:pt idx="4286">
                  <c:v>35772</c:v>
                </c:pt>
                <c:pt idx="4287">
                  <c:v>35769</c:v>
                </c:pt>
                <c:pt idx="4288">
                  <c:v>35768</c:v>
                </c:pt>
                <c:pt idx="4289">
                  <c:v>35767</c:v>
                </c:pt>
                <c:pt idx="4290">
                  <c:v>35766</c:v>
                </c:pt>
                <c:pt idx="4291">
                  <c:v>35765</c:v>
                </c:pt>
                <c:pt idx="4292">
                  <c:v>35762</c:v>
                </c:pt>
                <c:pt idx="4293">
                  <c:v>35760</c:v>
                </c:pt>
                <c:pt idx="4294">
                  <c:v>35759</c:v>
                </c:pt>
                <c:pt idx="4295">
                  <c:v>35758</c:v>
                </c:pt>
                <c:pt idx="4296">
                  <c:v>35755</c:v>
                </c:pt>
                <c:pt idx="4297">
                  <c:v>35754</c:v>
                </c:pt>
                <c:pt idx="4298">
                  <c:v>35753</c:v>
                </c:pt>
                <c:pt idx="4299">
                  <c:v>35752</c:v>
                </c:pt>
                <c:pt idx="4300">
                  <c:v>35751</c:v>
                </c:pt>
                <c:pt idx="4301">
                  <c:v>35748</c:v>
                </c:pt>
                <c:pt idx="4302">
                  <c:v>35747</c:v>
                </c:pt>
                <c:pt idx="4303">
                  <c:v>35746</c:v>
                </c:pt>
                <c:pt idx="4304">
                  <c:v>35745</c:v>
                </c:pt>
                <c:pt idx="4305">
                  <c:v>35744</c:v>
                </c:pt>
                <c:pt idx="4306">
                  <c:v>35741</c:v>
                </c:pt>
                <c:pt idx="4307">
                  <c:v>35740</c:v>
                </c:pt>
                <c:pt idx="4308">
                  <c:v>35739</c:v>
                </c:pt>
                <c:pt idx="4309">
                  <c:v>35738</c:v>
                </c:pt>
                <c:pt idx="4310">
                  <c:v>35737</c:v>
                </c:pt>
                <c:pt idx="4311">
                  <c:v>35734</c:v>
                </c:pt>
                <c:pt idx="4312">
                  <c:v>35733</c:v>
                </c:pt>
                <c:pt idx="4313">
                  <c:v>35732</c:v>
                </c:pt>
                <c:pt idx="4314">
                  <c:v>35731</c:v>
                </c:pt>
                <c:pt idx="4315">
                  <c:v>35730</c:v>
                </c:pt>
                <c:pt idx="4316">
                  <c:v>35727</c:v>
                </c:pt>
                <c:pt idx="4317">
                  <c:v>35726</c:v>
                </c:pt>
                <c:pt idx="4318">
                  <c:v>35725</c:v>
                </c:pt>
                <c:pt idx="4319">
                  <c:v>35724</c:v>
                </c:pt>
                <c:pt idx="4320">
                  <c:v>35723</c:v>
                </c:pt>
                <c:pt idx="4321">
                  <c:v>35720</c:v>
                </c:pt>
                <c:pt idx="4322">
                  <c:v>35719</c:v>
                </c:pt>
                <c:pt idx="4323">
                  <c:v>35718</c:v>
                </c:pt>
                <c:pt idx="4324">
                  <c:v>35717</c:v>
                </c:pt>
                <c:pt idx="4325">
                  <c:v>35716</c:v>
                </c:pt>
                <c:pt idx="4326">
                  <c:v>35713</c:v>
                </c:pt>
                <c:pt idx="4327">
                  <c:v>35712</c:v>
                </c:pt>
                <c:pt idx="4328">
                  <c:v>35711</c:v>
                </c:pt>
                <c:pt idx="4329">
                  <c:v>35710</c:v>
                </c:pt>
                <c:pt idx="4330">
                  <c:v>35709</c:v>
                </c:pt>
                <c:pt idx="4331">
                  <c:v>35706</c:v>
                </c:pt>
                <c:pt idx="4332">
                  <c:v>35705</c:v>
                </c:pt>
                <c:pt idx="4333">
                  <c:v>35704</c:v>
                </c:pt>
                <c:pt idx="4334">
                  <c:v>35703</c:v>
                </c:pt>
                <c:pt idx="4335">
                  <c:v>35702</c:v>
                </c:pt>
                <c:pt idx="4336">
                  <c:v>35699</c:v>
                </c:pt>
                <c:pt idx="4337">
                  <c:v>35698</c:v>
                </c:pt>
                <c:pt idx="4338">
                  <c:v>35697</c:v>
                </c:pt>
                <c:pt idx="4339">
                  <c:v>35696</c:v>
                </c:pt>
                <c:pt idx="4340">
                  <c:v>35695</c:v>
                </c:pt>
                <c:pt idx="4341">
                  <c:v>35692</c:v>
                </c:pt>
                <c:pt idx="4342">
                  <c:v>35691</c:v>
                </c:pt>
                <c:pt idx="4343">
                  <c:v>35690</c:v>
                </c:pt>
                <c:pt idx="4344">
                  <c:v>35689</c:v>
                </c:pt>
                <c:pt idx="4345">
                  <c:v>35688</c:v>
                </c:pt>
                <c:pt idx="4346">
                  <c:v>35685</c:v>
                </c:pt>
                <c:pt idx="4347">
                  <c:v>35684</c:v>
                </c:pt>
                <c:pt idx="4348">
                  <c:v>35683</c:v>
                </c:pt>
                <c:pt idx="4349">
                  <c:v>35682</c:v>
                </c:pt>
                <c:pt idx="4350">
                  <c:v>35681</c:v>
                </c:pt>
                <c:pt idx="4351">
                  <c:v>35678</c:v>
                </c:pt>
                <c:pt idx="4352">
                  <c:v>35677</c:v>
                </c:pt>
                <c:pt idx="4353">
                  <c:v>35676</c:v>
                </c:pt>
                <c:pt idx="4354">
                  <c:v>35675</c:v>
                </c:pt>
                <c:pt idx="4355">
                  <c:v>35671</c:v>
                </c:pt>
                <c:pt idx="4356">
                  <c:v>35670</c:v>
                </c:pt>
                <c:pt idx="4357">
                  <c:v>35669</c:v>
                </c:pt>
                <c:pt idx="4358">
                  <c:v>35668</c:v>
                </c:pt>
                <c:pt idx="4359">
                  <c:v>35667</c:v>
                </c:pt>
                <c:pt idx="4360">
                  <c:v>35664</c:v>
                </c:pt>
                <c:pt idx="4361">
                  <c:v>35663</c:v>
                </c:pt>
                <c:pt idx="4362">
                  <c:v>35662</c:v>
                </c:pt>
                <c:pt idx="4363">
                  <c:v>35661</c:v>
                </c:pt>
                <c:pt idx="4364">
                  <c:v>35660</c:v>
                </c:pt>
                <c:pt idx="4365">
                  <c:v>35657</c:v>
                </c:pt>
                <c:pt idx="4366">
                  <c:v>35656</c:v>
                </c:pt>
                <c:pt idx="4367">
                  <c:v>35655</c:v>
                </c:pt>
                <c:pt idx="4368">
                  <c:v>35654</c:v>
                </c:pt>
                <c:pt idx="4369">
                  <c:v>35653</c:v>
                </c:pt>
                <c:pt idx="4370">
                  <c:v>35650</c:v>
                </c:pt>
                <c:pt idx="4371">
                  <c:v>35649</c:v>
                </c:pt>
                <c:pt idx="4372">
                  <c:v>35648</c:v>
                </c:pt>
                <c:pt idx="4373">
                  <c:v>35647</c:v>
                </c:pt>
                <c:pt idx="4374">
                  <c:v>35646</c:v>
                </c:pt>
                <c:pt idx="4375">
                  <c:v>35643</c:v>
                </c:pt>
                <c:pt idx="4376">
                  <c:v>35642</c:v>
                </c:pt>
                <c:pt idx="4377">
                  <c:v>35641</c:v>
                </c:pt>
                <c:pt idx="4378">
                  <c:v>35640</c:v>
                </c:pt>
                <c:pt idx="4379">
                  <c:v>35639</c:v>
                </c:pt>
                <c:pt idx="4380">
                  <c:v>35636</c:v>
                </c:pt>
                <c:pt idx="4381">
                  <c:v>35635</c:v>
                </c:pt>
                <c:pt idx="4382">
                  <c:v>35634</c:v>
                </c:pt>
                <c:pt idx="4383">
                  <c:v>35633</c:v>
                </c:pt>
                <c:pt idx="4384">
                  <c:v>35632</c:v>
                </c:pt>
                <c:pt idx="4385">
                  <c:v>35629</c:v>
                </c:pt>
                <c:pt idx="4386">
                  <c:v>35628</c:v>
                </c:pt>
                <c:pt idx="4387">
                  <c:v>35627</c:v>
                </c:pt>
                <c:pt idx="4388">
                  <c:v>35626</c:v>
                </c:pt>
                <c:pt idx="4389">
                  <c:v>35625</c:v>
                </c:pt>
                <c:pt idx="4390">
                  <c:v>35622</c:v>
                </c:pt>
                <c:pt idx="4391">
                  <c:v>35621</c:v>
                </c:pt>
                <c:pt idx="4392">
                  <c:v>35620</c:v>
                </c:pt>
                <c:pt idx="4393">
                  <c:v>35619</c:v>
                </c:pt>
                <c:pt idx="4394">
                  <c:v>35618</c:v>
                </c:pt>
                <c:pt idx="4395">
                  <c:v>35614</c:v>
                </c:pt>
                <c:pt idx="4396">
                  <c:v>35613</c:v>
                </c:pt>
                <c:pt idx="4397">
                  <c:v>35612</c:v>
                </c:pt>
                <c:pt idx="4398">
                  <c:v>35611</c:v>
                </c:pt>
                <c:pt idx="4399">
                  <c:v>35608</c:v>
                </c:pt>
                <c:pt idx="4400">
                  <c:v>35607</c:v>
                </c:pt>
                <c:pt idx="4401">
                  <c:v>35606</c:v>
                </c:pt>
                <c:pt idx="4402">
                  <c:v>35605</c:v>
                </c:pt>
                <c:pt idx="4403">
                  <c:v>35604</c:v>
                </c:pt>
                <c:pt idx="4404">
                  <c:v>35601</c:v>
                </c:pt>
                <c:pt idx="4405">
                  <c:v>35600</c:v>
                </c:pt>
                <c:pt idx="4406">
                  <c:v>35599</c:v>
                </c:pt>
                <c:pt idx="4407">
                  <c:v>35598</c:v>
                </c:pt>
                <c:pt idx="4408">
                  <c:v>35597</c:v>
                </c:pt>
                <c:pt idx="4409">
                  <c:v>35594</c:v>
                </c:pt>
                <c:pt idx="4410">
                  <c:v>35593</c:v>
                </c:pt>
                <c:pt idx="4411">
                  <c:v>35592</c:v>
                </c:pt>
                <c:pt idx="4412">
                  <c:v>35591</c:v>
                </c:pt>
                <c:pt idx="4413">
                  <c:v>35590</c:v>
                </c:pt>
                <c:pt idx="4414">
                  <c:v>35587</c:v>
                </c:pt>
                <c:pt idx="4415">
                  <c:v>35586</c:v>
                </c:pt>
                <c:pt idx="4416">
                  <c:v>35585</c:v>
                </c:pt>
                <c:pt idx="4417">
                  <c:v>35584</c:v>
                </c:pt>
                <c:pt idx="4418">
                  <c:v>35583</c:v>
                </c:pt>
                <c:pt idx="4419">
                  <c:v>35580</c:v>
                </c:pt>
                <c:pt idx="4420">
                  <c:v>35579</c:v>
                </c:pt>
                <c:pt idx="4421">
                  <c:v>35578</c:v>
                </c:pt>
                <c:pt idx="4422">
                  <c:v>35577</c:v>
                </c:pt>
                <c:pt idx="4423">
                  <c:v>35573</c:v>
                </c:pt>
                <c:pt idx="4424">
                  <c:v>35572</c:v>
                </c:pt>
                <c:pt idx="4425">
                  <c:v>35571</c:v>
                </c:pt>
                <c:pt idx="4426">
                  <c:v>35570</c:v>
                </c:pt>
                <c:pt idx="4427">
                  <c:v>35569</c:v>
                </c:pt>
                <c:pt idx="4428">
                  <c:v>35566</c:v>
                </c:pt>
                <c:pt idx="4429">
                  <c:v>35565</c:v>
                </c:pt>
                <c:pt idx="4430">
                  <c:v>35564</c:v>
                </c:pt>
                <c:pt idx="4431">
                  <c:v>35563</c:v>
                </c:pt>
                <c:pt idx="4432">
                  <c:v>35562</c:v>
                </c:pt>
                <c:pt idx="4433">
                  <c:v>35559</c:v>
                </c:pt>
                <c:pt idx="4434">
                  <c:v>35558</c:v>
                </c:pt>
                <c:pt idx="4435">
                  <c:v>35557</c:v>
                </c:pt>
                <c:pt idx="4436">
                  <c:v>35556</c:v>
                </c:pt>
                <c:pt idx="4437">
                  <c:v>35555</c:v>
                </c:pt>
                <c:pt idx="4438">
                  <c:v>35552</c:v>
                </c:pt>
                <c:pt idx="4439">
                  <c:v>35551</c:v>
                </c:pt>
                <c:pt idx="4440">
                  <c:v>35550</c:v>
                </c:pt>
                <c:pt idx="4441">
                  <c:v>35549</c:v>
                </c:pt>
                <c:pt idx="4442">
                  <c:v>35548</c:v>
                </c:pt>
                <c:pt idx="4443">
                  <c:v>35545</c:v>
                </c:pt>
                <c:pt idx="4444">
                  <c:v>35544</c:v>
                </c:pt>
                <c:pt idx="4445">
                  <c:v>35543</c:v>
                </c:pt>
                <c:pt idx="4446">
                  <c:v>35542</c:v>
                </c:pt>
                <c:pt idx="4447">
                  <c:v>35541</c:v>
                </c:pt>
                <c:pt idx="4448">
                  <c:v>35538</c:v>
                </c:pt>
                <c:pt idx="4449">
                  <c:v>35537</c:v>
                </c:pt>
                <c:pt idx="4450">
                  <c:v>35536</c:v>
                </c:pt>
                <c:pt idx="4451">
                  <c:v>35535</c:v>
                </c:pt>
                <c:pt idx="4452">
                  <c:v>35534</c:v>
                </c:pt>
                <c:pt idx="4453">
                  <c:v>35531</c:v>
                </c:pt>
                <c:pt idx="4454">
                  <c:v>35530</c:v>
                </c:pt>
                <c:pt idx="4455">
                  <c:v>35529</c:v>
                </c:pt>
                <c:pt idx="4456">
                  <c:v>35528</c:v>
                </c:pt>
                <c:pt idx="4457">
                  <c:v>35527</c:v>
                </c:pt>
                <c:pt idx="4458">
                  <c:v>35524</c:v>
                </c:pt>
                <c:pt idx="4459">
                  <c:v>35523</c:v>
                </c:pt>
                <c:pt idx="4460">
                  <c:v>35522</c:v>
                </c:pt>
                <c:pt idx="4461">
                  <c:v>35521</c:v>
                </c:pt>
                <c:pt idx="4462">
                  <c:v>35520</c:v>
                </c:pt>
                <c:pt idx="4463">
                  <c:v>35516</c:v>
                </c:pt>
                <c:pt idx="4464">
                  <c:v>35515</c:v>
                </c:pt>
                <c:pt idx="4465">
                  <c:v>35514</c:v>
                </c:pt>
                <c:pt idx="4466">
                  <c:v>35513</c:v>
                </c:pt>
                <c:pt idx="4467">
                  <c:v>35510</c:v>
                </c:pt>
                <c:pt idx="4468">
                  <c:v>35509</c:v>
                </c:pt>
                <c:pt idx="4469">
                  <c:v>35508</c:v>
                </c:pt>
                <c:pt idx="4470">
                  <c:v>35507</c:v>
                </c:pt>
                <c:pt idx="4471">
                  <c:v>35506</c:v>
                </c:pt>
                <c:pt idx="4472">
                  <c:v>35503</c:v>
                </c:pt>
                <c:pt idx="4473">
                  <c:v>35502</c:v>
                </c:pt>
                <c:pt idx="4474">
                  <c:v>35501</c:v>
                </c:pt>
                <c:pt idx="4475">
                  <c:v>35500</c:v>
                </c:pt>
                <c:pt idx="4476">
                  <c:v>35499</c:v>
                </c:pt>
                <c:pt idx="4477">
                  <c:v>35496</c:v>
                </c:pt>
                <c:pt idx="4478">
                  <c:v>35495</c:v>
                </c:pt>
                <c:pt idx="4479">
                  <c:v>35494</c:v>
                </c:pt>
                <c:pt idx="4480">
                  <c:v>35493</c:v>
                </c:pt>
                <c:pt idx="4481">
                  <c:v>35492</c:v>
                </c:pt>
                <c:pt idx="4482">
                  <c:v>35489</c:v>
                </c:pt>
                <c:pt idx="4483">
                  <c:v>35488</c:v>
                </c:pt>
                <c:pt idx="4484">
                  <c:v>35487</c:v>
                </c:pt>
                <c:pt idx="4485">
                  <c:v>35486</c:v>
                </c:pt>
                <c:pt idx="4486">
                  <c:v>35485</c:v>
                </c:pt>
                <c:pt idx="4487">
                  <c:v>35482</c:v>
                </c:pt>
                <c:pt idx="4488">
                  <c:v>35481</c:v>
                </c:pt>
                <c:pt idx="4489">
                  <c:v>35480</c:v>
                </c:pt>
                <c:pt idx="4490">
                  <c:v>35479</c:v>
                </c:pt>
                <c:pt idx="4491">
                  <c:v>35475</c:v>
                </c:pt>
                <c:pt idx="4492">
                  <c:v>35474</c:v>
                </c:pt>
                <c:pt idx="4493">
                  <c:v>35473</c:v>
                </c:pt>
                <c:pt idx="4494">
                  <c:v>35472</c:v>
                </c:pt>
                <c:pt idx="4495">
                  <c:v>35471</c:v>
                </c:pt>
                <c:pt idx="4496">
                  <c:v>35468</c:v>
                </c:pt>
                <c:pt idx="4497">
                  <c:v>35467</c:v>
                </c:pt>
                <c:pt idx="4498">
                  <c:v>35466</c:v>
                </c:pt>
                <c:pt idx="4499">
                  <c:v>35465</c:v>
                </c:pt>
                <c:pt idx="4500">
                  <c:v>35464</c:v>
                </c:pt>
                <c:pt idx="4501">
                  <c:v>35461</c:v>
                </c:pt>
                <c:pt idx="4502">
                  <c:v>35460</c:v>
                </c:pt>
                <c:pt idx="4503">
                  <c:v>35459</c:v>
                </c:pt>
                <c:pt idx="4504">
                  <c:v>35458</c:v>
                </c:pt>
                <c:pt idx="4505">
                  <c:v>35457</c:v>
                </c:pt>
                <c:pt idx="4506">
                  <c:v>35454</c:v>
                </c:pt>
                <c:pt idx="4507">
                  <c:v>35453</c:v>
                </c:pt>
                <c:pt idx="4508">
                  <c:v>35452</c:v>
                </c:pt>
                <c:pt idx="4509">
                  <c:v>35451</c:v>
                </c:pt>
                <c:pt idx="4510">
                  <c:v>35450</c:v>
                </c:pt>
                <c:pt idx="4511">
                  <c:v>35447</c:v>
                </c:pt>
                <c:pt idx="4512">
                  <c:v>35446</c:v>
                </c:pt>
                <c:pt idx="4513">
                  <c:v>35445</c:v>
                </c:pt>
                <c:pt idx="4514">
                  <c:v>35444</c:v>
                </c:pt>
                <c:pt idx="4515">
                  <c:v>35443</c:v>
                </c:pt>
                <c:pt idx="4516">
                  <c:v>35440</c:v>
                </c:pt>
                <c:pt idx="4517">
                  <c:v>35439</c:v>
                </c:pt>
                <c:pt idx="4518">
                  <c:v>35438</c:v>
                </c:pt>
                <c:pt idx="4519">
                  <c:v>35437</c:v>
                </c:pt>
                <c:pt idx="4520">
                  <c:v>35436</c:v>
                </c:pt>
                <c:pt idx="4521">
                  <c:v>35433</c:v>
                </c:pt>
                <c:pt idx="4522">
                  <c:v>35432</c:v>
                </c:pt>
                <c:pt idx="4523">
                  <c:v>35430</c:v>
                </c:pt>
                <c:pt idx="4524">
                  <c:v>35429</c:v>
                </c:pt>
                <c:pt idx="4525">
                  <c:v>35426</c:v>
                </c:pt>
                <c:pt idx="4526">
                  <c:v>35425</c:v>
                </c:pt>
                <c:pt idx="4527">
                  <c:v>35423</c:v>
                </c:pt>
                <c:pt idx="4528">
                  <c:v>35422</c:v>
                </c:pt>
                <c:pt idx="4529">
                  <c:v>35419</c:v>
                </c:pt>
                <c:pt idx="4530">
                  <c:v>35418</c:v>
                </c:pt>
                <c:pt idx="4531">
                  <c:v>35417</c:v>
                </c:pt>
                <c:pt idx="4532">
                  <c:v>35416</c:v>
                </c:pt>
                <c:pt idx="4533">
                  <c:v>35415</c:v>
                </c:pt>
                <c:pt idx="4534">
                  <c:v>35412</c:v>
                </c:pt>
                <c:pt idx="4535">
                  <c:v>35411</c:v>
                </c:pt>
                <c:pt idx="4536">
                  <c:v>35410</c:v>
                </c:pt>
                <c:pt idx="4537">
                  <c:v>35409</c:v>
                </c:pt>
                <c:pt idx="4538">
                  <c:v>35408</c:v>
                </c:pt>
                <c:pt idx="4539">
                  <c:v>35405</c:v>
                </c:pt>
                <c:pt idx="4540">
                  <c:v>35404</c:v>
                </c:pt>
                <c:pt idx="4541">
                  <c:v>35403</c:v>
                </c:pt>
                <c:pt idx="4542">
                  <c:v>35402</c:v>
                </c:pt>
                <c:pt idx="4543">
                  <c:v>35401</c:v>
                </c:pt>
                <c:pt idx="4544">
                  <c:v>35398</c:v>
                </c:pt>
                <c:pt idx="4545">
                  <c:v>35396</c:v>
                </c:pt>
                <c:pt idx="4546">
                  <c:v>35395</c:v>
                </c:pt>
                <c:pt idx="4547">
                  <c:v>35394</c:v>
                </c:pt>
                <c:pt idx="4548">
                  <c:v>35391</c:v>
                </c:pt>
                <c:pt idx="4549">
                  <c:v>35390</c:v>
                </c:pt>
                <c:pt idx="4550">
                  <c:v>35389</c:v>
                </c:pt>
                <c:pt idx="4551">
                  <c:v>35388</c:v>
                </c:pt>
                <c:pt idx="4552">
                  <c:v>35387</c:v>
                </c:pt>
                <c:pt idx="4553">
                  <c:v>35384</c:v>
                </c:pt>
                <c:pt idx="4554">
                  <c:v>35383</c:v>
                </c:pt>
                <c:pt idx="4555">
                  <c:v>35382</c:v>
                </c:pt>
                <c:pt idx="4556">
                  <c:v>35381</c:v>
                </c:pt>
                <c:pt idx="4557">
                  <c:v>35380</c:v>
                </c:pt>
                <c:pt idx="4558">
                  <c:v>35377</c:v>
                </c:pt>
                <c:pt idx="4559">
                  <c:v>35376</c:v>
                </c:pt>
                <c:pt idx="4560">
                  <c:v>35375</c:v>
                </c:pt>
                <c:pt idx="4561">
                  <c:v>35374</c:v>
                </c:pt>
                <c:pt idx="4562">
                  <c:v>35373</c:v>
                </c:pt>
                <c:pt idx="4563">
                  <c:v>35370</c:v>
                </c:pt>
                <c:pt idx="4564">
                  <c:v>35369</c:v>
                </c:pt>
                <c:pt idx="4565">
                  <c:v>35368</c:v>
                </c:pt>
                <c:pt idx="4566">
                  <c:v>35367</c:v>
                </c:pt>
                <c:pt idx="4567">
                  <c:v>35366</c:v>
                </c:pt>
                <c:pt idx="4568">
                  <c:v>35363</c:v>
                </c:pt>
                <c:pt idx="4569">
                  <c:v>35362</c:v>
                </c:pt>
                <c:pt idx="4570">
                  <c:v>35361</c:v>
                </c:pt>
                <c:pt idx="4571">
                  <c:v>35360</c:v>
                </c:pt>
                <c:pt idx="4572">
                  <c:v>35359</c:v>
                </c:pt>
                <c:pt idx="4573">
                  <c:v>35356</c:v>
                </c:pt>
                <c:pt idx="4574">
                  <c:v>35355</c:v>
                </c:pt>
                <c:pt idx="4575">
                  <c:v>35354</c:v>
                </c:pt>
                <c:pt idx="4576">
                  <c:v>35353</c:v>
                </c:pt>
                <c:pt idx="4577">
                  <c:v>35352</c:v>
                </c:pt>
                <c:pt idx="4578">
                  <c:v>35349</c:v>
                </c:pt>
                <c:pt idx="4579">
                  <c:v>35348</c:v>
                </c:pt>
                <c:pt idx="4580">
                  <c:v>35347</c:v>
                </c:pt>
                <c:pt idx="4581">
                  <c:v>35346</c:v>
                </c:pt>
                <c:pt idx="4582">
                  <c:v>35345</c:v>
                </c:pt>
                <c:pt idx="4583">
                  <c:v>35342</c:v>
                </c:pt>
                <c:pt idx="4584">
                  <c:v>35341</c:v>
                </c:pt>
                <c:pt idx="4585">
                  <c:v>35340</c:v>
                </c:pt>
                <c:pt idx="4586">
                  <c:v>35339</c:v>
                </c:pt>
                <c:pt idx="4587">
                  <c:v>35338</c:v>
                </c:pt>
                <c:pt idx="4588">
                  <c:v>35335</c:v>
                </c:pt>
                <c:pt idx="4589">
                  <c:v>35334</c:v>
                </c:pt>
                <c:pt idx="4590">
                  <c:v>35333</c:v>
                </c:pt>
                <c:pt idx="4591">
                  <c:v>35332</c:v>
                </c:pt>
                <c:pt idx="4592">
                  <c:v>35331</c:v>
                </c:pt>
                <c:pt idx="4593">
                  <c:v>35328</c:v>
                </c:pt>
                <c:pt idx="4594">
                  <c:v>35327</c:v>
                </c:pt>
                <c:pt idx="4595">
                  <c:v>35326</c:v>
                </c:pt>
                <c:pt idx="4596">
                  <c:v>35325</c:v>
                </c:pt>
                <c:pt idx="4597">
                  <c:v>35324</c:v>
                </c:pt>
                <c:pt idx="4598">
                  <c:v>35321</c:v>
                </c:pt>
                <c:pt idx="4599">
                  <c:v>35320</c:v>
                </c:pt>
                <c:pt idx="4600">
                  <c:v>35319</c:v>
                </c:pt>
                <c:pt idx="4601">
                  <c:v>35318</c:v>
                </c:pt>
                <c:pt idx="4602">
                  <c:v>35317</c:v>
                </c:pt>
                <c:pt idx="4603">
                  <c:v>35314</c:v>
                </c:pt>
                <c:pt idx="4604">
                  <c:v>35313</c:v>
                </c:pt>
                <c:pt idx="4605">
                  <c:v>35312</c:v>
                </c:pt>
                <c:pt idx="4606">
                  <c:v>35311</c:v>
                </c:pt>
                <c:pt idx="4607">
                  <c:v>35307</c:v>
                </c:pt>
                <c:pt idx="4608">
                  <c:v>35306</c:v>
                </c:pt>
                <c:pt idx="4609">
                  <c:v>35305</c:v>
                </c:pt>
                <c:pt idx="4610">
                  <c:v>35304</c:v>
                </c:pt>
                <c:pt idx="4611">
                  <c:v>35303</c:v>
                </c:pt>
                <c:pt idx="4612">
                  <c:v>35300</c:v>
                </c:pt>
                <c:pt idx="4613">
                  <c:v>35299</c:v>
                </c:pt>
                <c:pt idx="4614">
                  <c:v>35298</c:v>
                </c:pt>
                <c:pt idx="4615">
                  <c:v>35297</c:v>
                </c:pt>
                <c:pt idx="4616">
                  <c:v>35296</c:v>
                </c:pt>
                <c:pt idx="4617">
                  <c:v>35293</c:v>
                </c:pt>
                <c:pt idx="4618">
                  <c:v>35292</c:v>
                </c:pt>
                <c:pt idx="4619">
                  <c:v>35291</c:v>
                </c:pt>
                <c:pt idx="4620">
                  <c:v>35290</c:v>
                </c:pt>
                <c:pt idx="4621">
                  <c:v>35289</c:v>
                </c:pt>
                <c:pt idx="4622">
                  <c:v>35286</c:v>
                </c:pt>
                <c:pt idx="4623">
                  <c:v>35285</c:v>
                </c:pt>
                <c:pt idx="4624">
                  <c:v>35284</c:v>
                </c:pt>
                <c:pt idx="4625">
                  <c:v>35283</c:v>
                </c:pt>
                <c:pt idx="4626">
                  <c:v>35282</c:v>
                </c:pt>
                <c:pt idx="4627">
                  <c:v>35279</c:v>
                </c:pt>
                <c:pt idx="4628">
                  <c:v>35278</c:v>
                </c:pt>
                <c:pt idx="4629">
                  <c:v>35277</c:v>
                </c:pt>
                <c:pt idx="4630">
                  <c:v>35276</c:v>
                </c:pt>
                <c:pt idx="4631">
                  <c:v>35275</c:v>
                </c:pt>
                <c:pt idx="4632">
                  <c:v>35272</c:v>
                </c:pt>
                <c:pt idx="4633">
                  <c:v>35271</c:v>
                </c:pt>
                <c:pt idx="4634">
                  <c:v>35270</c:v>
                </c:pt>
                <c:pt idx="4635">
                  <c:v>35269</c:v>
                </c:pt>
                <c:pt idx="4636">
                  <c:v>35268</c:v>
                </c:pt>
                <c:pt idx="4637">
                  <c:v>35265</c:v>
                </c:pt>
                <c:pt idx="4638">
                  <c:v>35264</c:v>
                </c:pt>
                <c:pt idx="4639">
                  <c:v>35263</c:v>
                </c:pt>
                <c:pt idx="4640">
                  <c:v>35262</c:v>
                </c:pt>
                <c:pt idx="4641">
                  <c:v>35261</c:v>
                </c:pt>
                <c:pt idx="4642">
                  <c:v>35258</c:v>
                </c:pt>
                <c:pt idx="4643">
                  <c:v>35257</c:v>
                </c:pt>
                <c:pt idx="4644">
                  <c:v>35256</c:v>
                </c:pt>
                <c:pt idx="4645">
                  <c:v>35255</c:v>
                </c:pt>
                <c:pt idx="4646">
                  <c:v>35254</c:v>
                </c:pt>
                <c:pt idx="4647">
                  <c:v>35251</c:v>
                </c:pt>
                <c:pt idx="4648">
                  <c:v>35249</c:v>
                </c:pt>
                <c:pt idx="4649">
                  <c:v>35248</c:v>
                </c:pt>
                <c:pt idx="4650">
                  <c:v>35247</c:v>
                </c:pt>
                <c:pt idx="4651">
                  <c:v>35244</c:v>
                </c:pt>
                <c:pt idx="4652">
                  <c:v>35243</c:v>
                </c:pt>
                <c:pt idx="4653">
                  <c:v>35242</c:v>
                </c:pt>
                <c:pt idx="4654">
                  <c:v>35241</c:v>
                </c:pt>
                <c:pt idx="4655">
                  <c:v>35240</c:v>
                </c:pt>
                <c:pt idx="4656">
                  <c:v>35237</c:v>
                </c:pt>
                <c:pt idx="4657">
                  <c:v>35236</c:v>
                </c:pt>
                <c:pt idx="4658">
                  <c:v>35235</c:v>
                </c:pt>
                <c:pt idx="4659">
                  <c:v>35234</c:v>
                </c:pt>
                <c:pt idx="4660">
                  <c:v>35233</c:v>
                </c:pt>
                <c:pt idx="4661">
                  <c:v>35230</c:v>
                </c:pt>
                <c:pt idx="4662">
                  <c:v>35229</c:v>
                </c:pt>
                <c:pt idx="4663">
                  <c:v>35228</c:v>
                </c:pt>
                <c:pt idx="4664">
                  <c:v>35227</c:v>
                </c:pt>
                <c:pt idx="4665">
                  <c:v>35226</c:v>
                </c:pt>
                <c:pt idx="4666">
                  <c:v>35223</c:v>
                </c:pt>
                <c:pt idx="4667">
                  <c:v>35222</c:v>
                </c:pt>
                <c:pt idx="4668">
                  <c:v>35221</c:v>
                </c:pt>
                <c:pt idx="4669">
                  <c:v>35220</c:v>
                </c:pt>
                <c:pt idx="4670">
                  <c:v>35219</c:v>
                </c:pt>
                <c:pt idx="4671">
                  <c:v>35216</c:v>
                </c:pt>
                <c:pt idx="4672">
                  <c:v>35215</c:v>
                </c:pt>
                <c:pt idx="4673">
                  <c:v>35214</c:v>
                </c:pt>
                <c:pt idx="4674">
                  <c:v>35213</c:v>
                </c:pt>
                <c:pt idx="4675">
                  <c:v>35209</c:v>
                </c:pt>
                <c:pt idx="4676">
                  <c:v>35208</c:v>
                </c:pt>
                <c:pt idx="4677">
                  <c:v>35207</c:v>
                </c:pt>
                <c:pt idx="4678">
                  <c:v>35206</c:v>
                </c:pt>
                <c:pt idx="4679">
                  <c:v>35205</c:v>
                </c:pt>
                <c:pt idx="4680">
                  <c:v>35202</c:v>
                </c:pt>
                <c:pt idx="4681">
                  <c:v>35201</c:v>
                </c:pt>
                <c:pt idx="4682">
                  <c:v>35200</c:v>
                </c:pt>
                <c:pt idx="4683">
                  <c:v>35199</c:v>
                </c:pt>
                <c:pt idx="4684">
                  <c:v>35198</c:v>
                </c:pt>
                <c:pt idx="4685">
                  <c:v>35195</c:v>
                </c:pt>
                <c:pt idx="4686">
                  <c:v>35194</c:v>
                </c:pt>
                <c:pt idx="4687">
                  <c:v>35193</c:v>
                </c:pt>
                <c:pt idx="4688">
                  <c:v>35192</c:v>
                </c:pt>
                <c:pt idx="4689">
                  <c:v>35191</c:v>
                </c:pt>
                <c:pt idx="4690">
                  <c:v>35188</c:v>
                </c:pt>
                <c:pt idx="4691">
                  <c:v>35187</c:v>
                </c:pt>
                <c:pt idx="4692">
                  <c:v>35186</c:v>
                </c:pt>
                <c:pt idx="4693">
                  <c:v>35185</c:v>
                </c:pt>
                <c:pt idx="4694">
                  <c:v>35184</c:v>
                </c:pt>
                <c:pt idx="4695">
                  <c:v>35181</c:v>
                </c:pt>
                <c:pt idx="4696">
                  <c:v>35180</c:v>
                </c:pt>
                <c:pt idx="4697">
                  <c:v>35179</c:v>
                </c:pt>
                <c:pt idx="4698">
                  <c:v>35178</c:v>
                </c:pt>
                <c:pt idx="4699">
                  <c:v>35177</c:v>
                </c:pt>
                <c:pt idx="4700">
                  <c:v>35174</c:v>
                </c:pt>
                <c:pt idx="4701">
                  <c:v>35173</c:v>
                </c:pt>
                <c:pt idx="4702">
                  <c:v>35172</c:v>
                </c:pt>
                <c:pt idx="4703">
                  <c:v>35171</c:v>
                </c:pt>
                <c:pt idx="4704">
                  <c:v>35170</c:v>
                </c:pt>
                <c:pt idx="4705">
                  <c:v>35167</c:v>
                </c:pt>
              </c:numCache>
            </c:numRef>
          </c:cat>
          <c:val>
            <c:numRef>
              <c:f>'Example of Statistics (an)'!$G$9:$G$4714</c:f>
              <c:numCache>
                <c:formatCode>General</c:formatCode>
                <c:ptCount val="4706"/>
                <c:pt idx="0">
                  <c:v>50.88</c:v>
                </c:pt>
                <c:pt idx="1">
                  <c:v>50.91</c:v>
                </c:pt>
                <c:pt idx="2">
                  <c:v>50.12</c:v>
                </c:pt>
                <c:pt idx="3">
                  <c:v>48.85</c:v>
                </c:pt>
                <c:pt idx="4">
                  <c:v>49.82</c:v>
                </c:pt>
                <c:pt idx="5">
                  <c:v>50.24</c:v>
                </c:pt>
                <c:pt idx="6">
                  <c:v>49.94</c:v>
                </c:pt>
                <c:pt idx="7">
                  <c:v>49.21</c:v>
                </c:pt>
                <c:pt idx="8">
                  <c:v>50.51</c:v>
                </c:pt>
                <c:pt idx="9">
                  <c:v>49.62</c:v>
                </c:pt>
                <c:pt idx="10">
                  <c:v>50.99</c:v>
                </c:pt>
                <c:pt idx="11">
                  <c:v>50.41</c:v>
                </c:pt>
                <c:pt idx="12">
                  <c:v>50.28</c:v>
                </c:pt>
                <c:pt idx="13">
                  <c:v>50.67</c:v>
                </c:pt>
                <c:pt idx="14">
                  <c:v>50.1</c:v>
                </c:pt>
                <c:pt idx="15">
                  <c:v>51.74</c:v>
                </c:pt>
                <c:pt idx="16">
                  <c:v>51.93</c:v>
                </c:pt>
                <c:pt idx="17">
                  <c:v>51.72</c:v>
                </c:pt>
                <c:pt idx="18">
                  <c:v>51.83</c:v>
                </c:pt>
                <c:pt idx="19">
                  <c:v>51.04</c:v>
                </c:pt>
                <c:pt idx="20">
                  <c:v>51.25</c:v>
                </c:pt>
                <c:pt idx="21">
                  <c:v>50.58</c:v>
                </c:pt>
                <c:pt idx="22">
                  <c:v>51.75</c:v>
                </c:pt>
                <c:pt idx="23">
                  <c:v>52.37</c:v>
                </c:pt>
                <c:pt idx="24">
                  <c:v>51.75</c:v>
                </c:pt>
                <c:pt idx="25">
                  <c:v>50.5</c:v>
                </c:pt>
                <c:pt idx="26">
                  <c:v>50.6</c:v>
                </c:pt>
                <c:pt idx="27">
                  <c:v>49.05</c:v>
                </c:pt>
                <c:pt idx="28">
                  <c:v>49.41</c:v>
                </c:pt>
                <c:pt idx="29">
                  <c:v>48.55</c:v>
                </c:pt>
                <c:pt idx="30">
                  <c:v>47.93</c:v>
                </c:pt>
                <c:pt idx="31">
                  <c:v>47.46</c:v>
                </c:pt>
                <c:pt idx="32">
                  <c:v>47.08</c:v>
                </c:pt>
                <c:pt idx="33">
                  <c:v>46.34</c:v>
                </c:pt>
                <c:pt idx="34">
                  <c:v>46.05</c:v>
                </c:pt>
                <c:pt idx="35">
                  <c:v>45.63</c:v>
                </c:pt>
                <c:pt idx="36">
                  <c:v>45.43</c:v>
                </c:pt>
                <c:pt idx="37">
                  <c:v>45.87</c:v>
                </c:pt>
                <c:pt idx="38">
                  <c:v>44.7</c:v>
                </c:pt>
                <c:pt idx="39">
                  <c:v>43.5</c:v>
                </c:pt>
                <c:pt idx="40">
                  <c:v>42.6</c:v>
                </c:pt>
                <c:pt idx="41">
                  <c:v>42</c:v>
                </c:pt>
                <c:pt idx="42">
                  <c:v>40.18</c:v>
                </c:pt>
                <c:pt idx="43">
                  <c:v>39.28</c:v>
                </c:pt>
                <c:pt idx="44">
                  <c:v>38.450000000000003</c:v>
                </c:pt>
                <c:pt idx="45">
                  <c:v>38.119999999999997</c:v>
                </c:pt>
                <c:pt idx="46">
                  <c:v>37.82</c:v>
                </c:pt>
                <c:pt idx="47">
                  <c:v>37.97</c:v>
                </c:pt>
                <c:pt idx="48">
                  <c:v>38.380000000000003</c:v>
                </c:pt>
                <c:pt idx="49">
                  <c:v>39.6</c:v>
                </c:pt>
                <c:pt idx="50">
                  <c:v>41.1</c:v>
                </c:pt>
                <c:pt idx="51">
                  <c:v>41.08</c:v>
                </c:pt>
                <c:pt idx="52">
                  <c:v>40.93</c:v>
                </c:pt>
                <c:pt idx="53">
                  <c:v>41.52</c:v>
                </c:pt>
                <c:pt idx="54">
                  <c:v>41.03</c:v>
                </c:pt>
                <c:pt idx="55">
                  <c:v>40.5</c:v>
                </c:pt>
                <c:pt idx="56">
                  <c:v>40.32</c:v>
                </c:pt>
                <c:pt idx="57">
                  <c:v>40.75</c:v>
                </c:pt>
                <c:pt idx="58">
                  <c:v>40.520000000000003</c:v>
                </c:pt>
                <c:pt idx="59">
                  <c:v>40.659999999999997</c:v>
                </c:pt>
                <c:pt idx="60">
                  <c:v>38.950000000000003</c:v>
                </c:pt>
                <c:pt idx="61">
                  <c:v>39.880000000000003</c:v>
                </c:pt>
                <c:pt idx="62">
                  <c:v>39.049999999999997</c:v>
                </c:pt>
                <c:pt idx="63">
                  <c:v>38.65</c:v>
                </c:pt>
                <c:pt idx="64">
                  <c:v>40.93</c:v>
                </c:pt>
                <c:pt idx="65">
                  <c:v>42.09</c:v>
                </c:pt>
                <c:pt idx="66">
                  <c:v>42.59</c:v>
                </c:pt>
                <c:pt idx="67">
                  <c:v>42.71</c:v>
                </c:pt>
                <c:pt idx="68">
                  <c:v>42.55</c:v>
                </c:pt>
                <c:pt idx="69">
                  <c:v>42.88</c:v>
                </c:pt>
                <c:pt idx="70">
                  <c:v>41.26</c:v>
                </c:pt>
                <c:pt idx="71">
                  <c:v>41.14</c:v>
                </c:pt>
                <c:pt idx="72">
                  <c:v>40.78</c:v>
                </c:pt>
                <c:pt idx="73">
                  <c:v>41.81</c:v>
                </c:pt>
                <c:pt idx="74">
                  <c:v>39.590000000000003</c:v>
                </c:pt>
                <c:pt idx="75">
                  <c:v>39.19</c:v>
                </c:pt>
                <c:pt idx="76">
                  <c:v>38.869999999999997</c:v>
                </c:pt>
                <c:pt idx="77">
                  <c:v>39.270000000000003</c:v>
                </c:pt>
                <c:pt idx="78">
                  <c:v>38.51</c:v>
                </c:pt>
                <c:pt idx="79">
                  <c:v>38.31</c:v>
                </c:pt>
                <c:pt idx="80">
                  <c:v>38.18</c:v>
                </c:pt>
                <c:pt idx="81">
                  <c:v>37.79</c:v>
                </c:pt>
                <c:pt idx="82">
                  <c:v>37.71</c:v>
                </c:pt>
                <c:pt idx="83">
                  <c:v>38.01</c:v>
                </c:pt>
                <c:pt idx="84">
                  <c:v>37.64</c:v>
                </c:pt>
                <c:pt idx="85">
                  <c:v>37.5</c:v>
                </c:pt>
                <c:pt idx="86">
                  <c:v>37.83</c:v>
                </c:pt>
                <c:pt idx="87">
                  <c:v>37.380000000000003</c:v>
                </c:pt>
                <c:pt idx="88">
                  <c:v>36.47</c:v>
                </c:pt>
                <c:pt idx="89">
                  <c:v>36.36</c:v>
                </c:pt>
                <c:pt idx="90">
                  <c:v>36.19</c:v>
                </c:pt>
                <c:pt idx="91">
                  <c:v>35.520000000000003</c:v>
                </c:pt>
                <c:pt idx="92">
                  <c:v>35.79</c:v>
                </c:pt>
                <c:pt idx="93">
                  <c:v>35.909999999999997</c:v>
                </c:pt>
                <c:pt idx="94">
                  <c:v>35.659999999999997</c:v>
                </c:pt>
                <c:pt idx="95">
                  <c:v>35.79</c:v>
                </c:pt>
                <c:pt idx="96">
                  <c:v>35.700000000000003</c:v>
                </c:pt>
                <c:pt idx="97">
                  <c:v>36.53</c:v>
                </c:pt>
                <c:pt idx="98">
                  <c:v>35.619999999999997</c:v>
                </c:pt>
                <c:pt idx="99">
                  <c:v>35.81</c:v>
                </c:pt>
                <c:pt idx="100">
                  <c:v>36.6</c:v>
                </c:pt>
                <c:pt idx="101">
                  <c:v>35.68</c:v>
                </c:pt>
                <c:pt idx="102">
                  <c:v>35.9</c:v>
                </c:pt>
                <c:pt idx="103">
                  <c:v>36.119999999999997</c:v>
                </c:pt>
                <c:pt idx="104">
                  <c:v>36.17</c:v>
                </c:pt>
                <c:pt idx="105">
                  <c:v>34.71</c:v>
                </c:pt>
                <c:pt idx="106">
                  <c:v>33.6</c:v>
                </c:pt>
                <c:pt idx="107">
                  <c:v>33.28</c:v>
                </c:pt>
                <c:pt idx="108">
                  <c:v>33.33</c:v>
                </c:pt>
                <c:pt idx="109">
                  <c:v>33.21</c:v>
                </c:pt>
                <c:pt idx="110">
                  <c:v>33.79</c:v>
                </c:pt>
                <c:pt idx="111">
                  <c:v>35.61</c:v>
                </c:pt>
                <c:pt idx="112">
                  <c:v>35.700000000000003</c:v>
                </c:pt>
                <c:pt idx="113">
                  <c:v>35.43</c:v>
                </c:pt>
                <c:pt idx="114">
                  <c:v>34.93</c:v>
                </c:pt>
                <c:pt idx="115">
                  <c:v>34.85</c:v>
                </c:pt>
                <c:pt idx="116">
                  <c:v>34.53</c:v>
                </c:pt>
                <c:pt idx="117">
                  <c:v>35.520000000000003</c:v>
                </c:pt>
                <c:pt idx="118">
                  <c:v>36.14</c:v>
                </c:pt>
                <c:pt idx="119">
                  <c:v>35.880000000000003</c:v>
                </c:pt>
                <c:pt idx="120">
                  <c:v>35.35</c:v>
                </c:pt>
                <c:pt idx="121">
                  <c:v>35.130000000000003</c:v>
                </c:pt>
                <c:pt idx="122">
                  <c:v>34.25</c:v>
                </c:pt>
                <c:pt idx="123">
                  <c:v>33.659999999999997</c:v>
                </c:pt>
                <c:pt idx="124">
                  <c:v>33.25</c:v>
                </c:pt>
                <c:pt idx="125">
                  <c:v>33.479999999999997</c:v>
                </c:pt>
                <c:pt idx="126">
                  <c:v>33.64</c:v>
                </c:pt>
                <c:pt idx="127">
                  <c:v>34.049999999999997</c:v>
                </c:pt>
                <c:pt idx="128">
                  <c:v>34.68</c:v>
                </c:pt>
                <c:pt idx="129">
                  <c:v>34.94</c:v>
                </c:pt>
                <c:pt idx="130">
                  <c:v>34.43</c:v>
                </c:pt>
                <c:pt idx="131">
                  <c:v>34.81</c:v>
                </c:pt>
                <c:pt idx="132">
                  <c:v>36.94</c:v>
                </c:pt>
                <c:pt idx="133">
                  <c:v>36.78</c:v>
                </c:pt>
                <c:pt idx="134">
                  <c:v>36.630000000000003</c:v>
                </c:pt>
                <c:pt idx="135">
                  <c:v>36.31</c:v>
                </c:pt>
                <c:pt idx="136">
                  <c:v>36.04</c:v>
                </c:pt>
                <c:pt idx="137">
                  <c:v>35.92</c:v>
                </c:pt>
                <c:pt idx="138">
                  <c:v>34.94</c:v>
                </c:pt>
                <c:pt idx="139">
                  <c:v>34.729999999999997</c:v>
                </c:pt>
                <c:pt idx="140">
                  <c:v>34.65</c:v>
                </c:pt>
                <c:pt idx="141">
                  <c:v>34.869999999999997</c:v>
                </c:pt>
                <c:pt idx="142">
                  <c:v>34.65</c:v>
                </c:pt>
                <c:pt idx="143">
                  <c:v>34.9</c:v>
                </c:pt>
                <c:pt idx="144">
                  <c:v>34.78</c:v>
                </c:pt>
                <c:pt idx="145">
                  <c:v>35.119999999999997</c:v>
                </c:pt>
                <c:pt idx="146">
                  <c:v>35.020000000000003</c:v>
                </c:pt>
                <c:pt idx="147">
                  <c:v>34.700000000000003</c:v>
                </c:pt>
                <c:pt idx="148">
                  <c:v>34.36</c:v>
                </c:pt>
                <c:pt idx="149">
                  <c:v>33.869999999999997</c:v>
                </c:pt>
                <c:pt idx="150">
                  <c:v>33.89</c:v>
                </c:pt>
                <c:pt idx="151">
                  <c:v>33.409999999999997</c:v>
                </c:pt>
                <c:pt idx="152">
                  <c:v>33.799999999999997</c:v>
                </c:pt>
                <c:pt idx="153">
                  <c:v>34.17</c:v>
                </c:pt>
                <c:pt idx="154">
                  <c:v>34.4</c:v>
                </c:pt>
                <c:pt idx="155">
                  <c:v>34.450000000000003</c:v>
                </c:pt>
                <c:pt idx="156">
                  <c:v>33.76</c:v>
                </c:pt>
                <c:pt idx="157">
                  <c:v>33.92</c:v>
                </c:pt>
                <c:pt idx="158">
                  <c:v>34.07</c:v>
                </c:pt>
                <c:pt idx="159">
                  <c:v>36.49</c:v>
                </c:pt>
                <c:pt idx="160">
                  <c:v>36.909999999999997</c:v>
                </c:pt>
                <c:pt idx="161">
                  <c:v>36.869999999999997</c:v>
                </c:pt>
                <c:pt idx="162">
                  <c:v>36.51</c:v>
                </c:pt>
                <c:pt idx="163">
                  <c:v>35.950000000000003</c:v>
                </c:pt>
                <c:pt idx="164">
                  <c:v>35.83</c:v>
                </c:pt>
                <c:pt idx="165">
                  <c:v>33.99</c:v>
                </c:pt>
                <c:pt idx="166">
                  <c:v>34.479999999999997</c:v>
                </c:pt>
                <c:pt idx="167">
                  <c:v>35.24</c:v>
                </c:pt>
                <c:pt idx="168">
                  <c:v>35.44</c:v>
                </c:pt>
                <c:pt idx="169">
                  <c:v>36.14</c:v>
                </c:pt>
                <c:pt idx="170">
                  <c:v>36.4</c:v>
                </c:pt>
                <c:pt idx="171">
                  <c:v>36.380000000000003</c:v>
                </c:pt>
                <c:pt idx="172">
                  <c:v>36.35</c:v>
                </c:pt>
                <c:pt idx="173">
                  <c:v>34.21</c:v>
                </c:pt>
                <c:pt idx="174">
                  <c:v>33.450000000000003</c:v>
                </c:pt>
                <c:pt idx="175">
                  <c:v>32.869999999999997</c:v>
                </c:pt>
                <c:pt idx="176">
                  <c:v>33.4</c:v>
                </c:pt>
                <c:pt idx="177">
                  <c:v>34.869999999999997</c:v>
                </c:pt>
                <c:pt idx="178">
                  <c:v>33.83</c:v>
                </c:pt>
                <c:pt idx="179">
                  <c:v>33.07</c:v>
                </c:pt>
                <c:pt idx="180">
                  <c:v>34.26</c:v>
                </c:pt>
                <c:pt idx="181">
                  <c:v>35.76</c:v>
                </c:pt>
                <c:pt idx="182">
                  <c:v>36.64</c:v>
                </c:pt>
                <c:pt idx="183">
                  <c:v>36.49</c:v>
                </c:pt>
                <c:pt idx="184">
                  <c:v>35.9</c:v>
                </c:pt>
                <c:pt idx="185">
                  <c:v>35.9</c:v>
                </c:pt>
                <c:pt idx="186">
                  <c:v>35.590000000000003</c:v>
                </c:pt>
                <c:pt idx="187">
                  <c:v>35.450000000000003</c:v>
                </c:pt>
                <c:pt idx="188">
                  <c:v>35.93</c:v>
                </c:pt>
                <c:pt idx="189">
                  <c:v>36.68</c:v>
                </c:pt>
                <c:pt idx="190">
                  <c:v>37.94</c:v>
                </c:pt>
                <c:pt idx="191">
                  <c:v>37.770000000000003</c:v>
                </c:pt>
                <c:pt idx="192">
                  <c:v>38.61</c:v>
                </c:pt>
                <c:pt idx="193">
                  <c:v>39.450000000000003</c:v>
                </c:pt>
                <c:pt idx="194">
                  <c:v>39.11</c:v>
                </c:pt>
                <c:pt idx="195">
                  <c:v>37.6</c:v>
                </c:pt>
                <c:pt idx="196">
                  <c:v>37.229999999999997</c:v>
                </c:pt>
                <c:pt idx="197">
                  <c:v>37.5</c:v>
                </c:pt>
                <c:pt idx="198">
                  <c:v>37.56</c:v>
                </c:pt>
                <c:pt idx="199">
                  <c:v>38.049999999999997</c:v>
                </c:pt>
                <c:pt idx="200">
                  <c:v>38.700000000000003</c:v>
                </c:pt>
                <c:pt idx="201">
                  <c:v>39.659999999999997</c:v>
                </c:pt>
                <c:pt idx="202">
                  <c:v>39.5</c:v>
                </c:pt>
                <c:pt idx="203">
                  <c:v>39.630000000000003</c:v>
                </c:pt>
                <c:pt idx="204">
                  <c:v>38.25</c:v>
                </c:pt>
                <c:pt idx="205">
                  <c:v>38.67</c:v>
                </c:pt>
                <c:pt idx="206">
                  <c:v>38.47</c:v>
                </c:pt>
                <c:pt idx="207">
                  <c:v>37.619999999999997</c:v>
                </c:pt>
                <c:pt idx="208">
                  <c:v>37.26</c:v>
                </c:pt>
                <c:pt idx="209">
                  <c:v>37.42</c:v>
                </c:pt>
                <c:pt idx="210">
                  <c:v>37.29</c:v>
                </c:pt>
                <c:pt idx="211">
                  <c:v>37.79</c:v>
                </c:pt>
                <c:pt idx="212">
                  <c:v>37.81</c:v>
                </c:pt>
                <c:pt idx="213">
                  <c:v>38.31</c:v>
                </c:pt>
                <c:pt idx="214">
                  <c:v>38.229999999999997</c:v>
                </c:pt>
                <c:pt idx="215">
                  <c:v>38.520000000000003</c:v>
                </c:pt>
                <c:pt idx="216">
                  <c:v>38.11</c:v>
                </c:pt>
                <c:pt idx="217">
                  <c:v>38.5</c:v>
                </c:pt>
                <c:pt idx="218">
                  <c:v>37.76</c:v>
                </c:pt>
                <c:pt idx="219">
                  <c:v>37.229999999999997</c:v>
                </c:pt>
                <c:pt idx="220">
                  <c:v>36.24</c:v>
                </c:pt>
                <c:pt idx="221">
                  <c:v>35.49</c:v>
                </c:pt>
                <c:pt idx="222">
                  <c:v>35.659999999999997</c:v>
                </c:pt>
                <c:pt idx="223">
                  <c:v>34.9</c:v>
                </c:pt>
                <c:pt idx="224">
                  <c:v>36.01</c:v>
                </c:pt>
                <c:pt idx="225">
                  <c:v>35.31</c:v>
                </c:pt>
                <c:pt idx="226">
                  <c:v>34.89</c:v>
                </c:pt>
                <c:pt idx="227">
                  <c:v>38.22</c:v>
                </c:pt>
                <c:pt idx="228">
                  <c:v>36.65</c:v>
                </c:pt>
                <c:pt idx="229">
                  <c:v>37.909999999999997</c:v>
                </c:pt>
                <c:pt idx="230">
                  <c:v>39.39</c:v>
                </c:pt>
                <c:pt idx="231">
                  <c:v>40.18</c:v>
                </c:pt>
                <c:pt idx="232">
                  <c:v>39.520000000000003</c:v>
                </c:pt>
                <c:pt idx="233">
                  <c:v>40.01</c:v>
                </c:pt>
                <c:pt idx="234">
                  <c:v>40.340000000000003</c:v>
                </c:pt>
                <c:pt idx="235">
                  <c:v>41.07</c:v>
                </c:pt>
                <c:pt idx="236">
                  <c:v>41.14</c:v>
                </c:pt>
                <c:pt idx="237">
                  <c:v>39.99</c:v>
                </c:pt>
                <c:pt idx="238">
                  <c:v>41.23</c:v>
                </c:pt>
                <c:pt idx="239">
                  <c:v>40.92</c:v>
                </c:pt>
                <c:pt idx="240">
                  <c:v>41.02</c:v>
                </c:pt>
                <c:pt idx="241">
                  <c:v>40.92</c:v>
                </c:pt>
                <c:pt idx="242">
                  <c:v>39.93</c:v>
                </c:pt>
                <c:pt idx="243">
                  <c:v>40.119999999999997</c:v>
                </c:pt>
                <c:pt idx="244">
                  <c:v>39.590000000000003</c:v>
                </c:pt>
                <c:pt idx="245">
                  <c:v>40.44</c:v>
                </c:pt>
                <c:pt idx="246">
                  <c:v>40.200000000000003</c:v>
                </c:pt>
                <c:pt idx="247">
                  <c:v>40.49</c:v>
                </c:pt>
                <c:pt idx="248">
                  <c:v>40.65</c:v>
                </c:pt>
                <c:pt idx="249">
                  <c:v>40.85</c:v>
                </c:pt>
                <c:pt idx="250">
                  <c:v>40.770000000000003</c:v>
                </c:pt>
                <c:pt idx="251">
                  <c:v>40.119999999999997</c:v>
                </c:pt>
                <c:pt idx="252">
                  <c:v>40.200000000000003</c:v>
                </c:pt>
                <c:pt idx="253">
                  <c:v>40.04</c:v>
                </c:pt>
                <c:pt idx="254">
                  <c:v>39.51</c:v>
                </c:pt>
                <c:pt idx="255">
                  <c:v>39.729999999999997</c:v>
                </c:pt>
                <c:pt idx="256">
                  <c:v>39.729999999999997</c:v>
                </c:pt>
                <c:pt idx="257">
                  <c:v>39.35</c:v>
                </c:pt>
                <c:pt idx="258">
                  <c:v>39.159999999999997</c:v>
                </c:pt>
                <c:pt idx="259">
                  <c:v>40.22</c:v>
                </c:pt>
                <c:pt idx="260">
                  <c:v>38.869999999999997</c:v>
                </c:pt>
                <c:pt idx="261">
                  <c:v>38.86</c:v>
                </c:pt>
                <c:pt idx="262">
                  <c:v>38.869999999999997</c:v>
                </c:pt>
                <c:pt idx="263">
                  <c:v>38.130000000000003</c:v>
                </c:pt>
                <c:pt idx="264">
                  <c:v>36.56</c:v>
                </c:pt>
                <c:pt idx="265">
                  <c:v>37.01</c:v>
                </c:pt>
                <c:pt idx="266">
                  <c:v>36.979999999999997</c:v>
                </c:pt>
                <c:pt idx="267">
                  <c:v>36.96</c:v>
                </c:pt>
                <c:pt idx="268">
                  <c:v>36.64</c:v>
                </c:pt>
                <c:pt idx="269">
                  <c:v>36.29</c:v>
                </c:pt>
                <c:pt idx="270">
                  <c:v>36.49</c:v>
                </c:pt>
                <c:pt idx="271">
                  <c:v>36.299999999999997</c:v>
                </c:pt>
                <c:pt idx="272">
                  <c:v>35.619999999999997</c:v>
                </c:pt>
                <c:pt idx="273">
                  <c:v>34.630000000000003</c:v>
                </c:pt>
                <c:pt idx="274">
                  <c:v>34.979999999999997</c:v>
                </c:pt>
                <c:pt idx="275">
                  <c:v>35.47</c:v>
                </c:pt>
                <c:pt idx="276">
                  <c:v>35.69</c:v>
                </c:pt>
                <c:pt idx="277">
                  <c:v>35.1</c:v>
                </c:pt>
                <c:pt idx="278">
                  <c:v>34.07</c:v>
                </c:pt>
                <c:pt idx="279">
                  <c:v>33.82</c:v>
                </c:pt>
                <c:pt idx="280">
                  <c:v>33.119999999999997</c:v>
                </c:pt>
                <c:pt idx="281">
                  <c:v>32.11</c:v>
                </c:pt>
                <c:pt idx="282">
                  <c:v>32.880000000000003</c:v>
                </c:pt>
                <c:pt idx="283">
                  <c:v>32.97</c:v>
                </c:pt>
                <c:pt idx="284">
                  <c:v>33.19</c:v>
                </c:pt>
                <c:pt idx="285">
                  <c:v>33.18</c:v>
                </c:pt>
                <c:pt idx="286">
                  <c:v>32.94</c:v>
                </c:pt>
                <c:pt idx="287">
                  <c:v>32.57</c:v>
                </c:pt>
                <c:pt idx="288">
                  <c:v>33.17</c:v>
                </c:pt>
                <c:pt idx="289">
                  <c:v>32.35</c:v>
                </c:pt>
                <c:pt idx="290">
                  <c:v>32.25</c:v>
                </c:pt>
                <c:pt idx="291">
                  <c:v>33.08</c:v>
                </c:pt>
                <c:pt idx="292">
                  <c:v>33.1</c:v>
                </c:pt>
                <c:pt idx="293">
                  <c:v>33.94</c:v>
                </c:pt>
                <c:pt idx="294">
                  <c:v>34.06</c:v>
                </c:pt>
                <c:pt idx="295">
                  <c:v>33.43</c:v>
                </c:pt>
                <c:pt idx="296">
                  <c:v>32.74</c:v>
                </c:pt>
                <c:pt idx="297">
                  <c:v>33.090000000000003</c:v>
                </c:pt>
                <c:pt idx="298">
                  <c:v>33.380000000000003</c:v>
                </c:pt>
                <c:pt idx="299">
                  <c:v>34</c:v>
                </c:pt>
                <c:pt idx="300">
                  <c:v>34.15</c:v>
                </c:pt>
                <c:pt idx="301">
                  <c:v>33.869999999999997</c:v>
                </c:pt>
                <c:pt idx="302">
                  <c:v>33.01</c:v>
                </c:pt>
                <c:pt idx="303">
                  <c:v>32.93</c:v>
                </c:pt>
                <c:pt idx="304">
                  <c:v>34.14</c:v>
                </c:pt>
                <c:pt idx="305">
                  <c:v>34.89</c:v>
                </c:pt>
                <c:pt idx="306">
                  <c:v>33.880000000000003</c:v>
                </c:pt>
                <c:pt idx="307">
                  <c:v>34.14</c:v>
                </c:pt>
                <c:pt idx="308">
                  <c:v>34.31</c:v>
                </c:pt>
                <c:pt idx="309">
                  <c:v>33.17</c:v>
                </c:pt>
                <c:pt idx="310">
                  <c:v>33.549999999999997</c:v>
                </c:pt>
                <c:pt idx="311">
                  <c:v>32.75</c:v>
                </c:pt>
                <c:pt idx="312">
                  <c:v>31.34</c:v>
                </c:pt>
                <c:pt idx="313">
                  <c:v>31.27</c:v>
                </c:pt>
                <c:pt idx="314">
                  <c:v>30.26</c:v>
                </c:pt>
                <c:pt idx="315">
                  <c:v>30.93</c:v>
                </c:pt>
                <c:pt idx="316">
                  <c:v>31.03</c:v>
                </c:pt>
                <c:pt idx="317">
                  <c:v>30.44</c:v>
                </c:pt>
                <c:pt idx="318">
                  <c:v>30</c:v>
                </c:pt>
                <c:pt idx="319">
                  <c:v>29.62</c:v>
                </c:pt>
                <c:pt idx="320">
                  <c:v>29.26</c:v>
                </c:pt>
                <c:pt idx="321">
                  <c:v>29.65</c:v>
                </c:pt>
                <c:pt idx="322">
                  <c:v>29.19</c:v>
                </c:pt>
                <c:pt idx="323">
                  <c:v>29.48</c:v>
                </c:pt>
                <c:pt idx="324">
                  <c:v>29.24</c:v>
                </c:pt>
                <c:pt idx="325">
                  <c:v>28.17</c:v>
                </c:pt>
                <c:pt idx="326">
                  <c:v>28.23</c:v>
                </c:pt>
                <c:pt idx="327">
                  <c:v>28.07</c:v>
                </c:pt>
                <c:pt idx="328">
                  <c:v>27.78</c:v>
                </c:pt>
                <c:pt idx="329">
                  <c:v>27.12</c:v>
                </c:pt>
                <c:pt idx="330">
                  <c:v>27.3</c:v>
                </c:pt>
                <c:pt idx="331">
                  <c:v>27.11</c:v>
                </c:pt>
                <c:pt idx="332">
                  <c:v>27</c:v>
                </c:pt>
                <c:pt idx="333">
                  <c:v>27.7</c:v>
                </c:pt>
                <c:pt idx="334">
                  <c:v>27.99</c:v>
                </c:pt>
                <c:pt idx="335">
                  <c:v>27.9</c:v>
                </c:pt>
                <c:pt idx="336">
                  <c:v>27.06</c:v>
                </c:pt>
                <c:pt idx="337">
                  <c:v>27.12</c:v>
                </c:pt>
                <c:pt idx="338">
                  <c:v>26.91</c:v>
                </c:pt>
                <c:pt idx="339">
                  <c:v>27.32</c:v>
                </c:pt>
                <c:pt idx="340">
                  <c:v>27.14</c:v>
                </c:pt>
                <c:pt idx="341">
                  <c:v>28.05</c:v>
                </c:pt>
                <c:pt idx="342">
                  <c:v>28.34</c:v>
                </c:pt>
                <c:pt idx="343">
                  <c:v>28.35</c:v>
                </c:pt>
                <c:pt idx="344">
                  <c:v>27.68</c:v>
                </c:pt>
                <c:pt idx="345">
                  <c:v>27.48</c:v>
                </c:pt>
                <c:pt idx="346">
                  <c:v>27.39</c:v>
                </c:pt>
                <c:pt idx="347">
                  <c:v>27.32</c:v>
                </c:pt>
                <c:pt idx="348">
                  <c:v>27.67</c:v>
                </c:pt>
                <c:pt idx="349">
                  <c:v>27.65</c:v>
                </c:pt>
                <c:pt idx="350">
                  <c:v>27.96</c:v>
                </c:pt>
                <c:pt idx="351">
                  <c:v>28.09</c:v>
                </c:pt>
                <c:pt idx="352">
                  <c:v>28.05</c:v>
                </c:pt>
                <c:pt idx="353">
                  <c:v>27.93</c:v>
                </c:pt>
                <c:pt idx="354">
                  <c:v>28.11</c:v>
                </c:pt>
                <c:pt idx="355">
                  <c:v>28.27</c:v>
                </c:pt>
                <c:pt idx="356">
                  <c:v>27.84</c:v>
                </c:pt>
                <c:pt idx="357">
                  <c:v>27.36</c:v>
                </c:pt>
                <c:pt idx="358">
                  <c:v>27.86</c:v>
                </c:pt>
                <c:pt idx="359">
                  <c:v>29.11</c:v>
                </c:pt>
                <c:pt idx="360">
                  <c:v>29.66</c:v>
                </c:pt>
                <c:pt idx="361">
                  <c:v>29.66</c:v>
                </c:pt>
                <c:pt idx="362">
                  <c:v>26.88</c:v>
                </c:pt>
                <c:pt idx="363">
                  <c:v>27.34</c:v>
                </c:pt>
                <c:pt idx="364">
                  <c:v>27.23</c:v>
                </c:pt>
                <c:pt idx="365">
                  <c:v>27.04</c:v>
                </c:pt>
                <c:pt idx="366">
                  <c:v>26.56</c:v>
                </c:pt>
                <c:pt idx="367">
                  <c:v>26.68</c:v>
                </c:pt>
                <c:pt idx="368">
                  <c:v>25.53</c:v>
                </c:pt>
                <c:pt idx="369">
                  <c:v>25.68</c:v>
                </c:pt>
                <c:pt idx="370">
                  <c:v>25.59</c:v>
                </c:pt>
                <c:pt idx="371">
                  <c:v>24.99</c:v>
                </c:pt>
                <c:pt idx="372">
                  <c:v>25.24</c:v>
                </c:pt>
                <c:pt idx="373">
                  <c:v>25.13</c:v>
                </c:pt>
                <c:pt idx="374">
                  <c:v>25.47</c:v>
                </c:pt>
                <c:pt idx="375">
                  <c:v>25.29</c:v>
                </c:pt>
                <c:pt idx="376">
                  <c:v>24.96</c:v>
                </c:pt>
                <c:pt idx="377">
                  <c:v>24.07</c:v>
                </c:pt>
                <c:pt idx="378">
                  <c:v>25.19</c:v>
                </c:pt>
                <c:pt idx="379">
                  <c:v>25.35</c:v>
                </c:pt>
                <c:pt idx="380">
                  <c:v>26.24</c:v>
                </c:pt>
                <c:pt idx="381">
                  <c:v>26.66</c:v>
                </c:pt>
                <c:pt idx="382">
                  <c:v>26.54</c:v>
                </c:pt>
                <c:pt idx="383">
                  <c:v>26.28</c:v>
                </c:pt>
                <c:pt idx="384">
                  <c:v>26.37</c:v>
                </c:pt>
                <c:pt idx="385">
                  <c:v>25.89</c:v>
                </c:pt>
                <c:pt idx="386">
                  <c:v>26.4</c:v>
                </c:pt>
                <c:pt idx="387">
                  <c:v>26.74</c:v>
                </c:pt>
                <c:pt idx="388">
                  <c:v>27.04</c:v>
                </c:pt>
                <c:pt idx="389">
                  <c:v>26.21</c:v>
                </c:pt>
                <c:pt idx="390">
                  <c:v>25.75</c:v>
                </c:pt>
                <c:pt idx="391">
                  <c:v>26.26</c:v>
                </c:pt>
                <c:pt idx="392">
                  <c:v>26.39</c:v>
                </c:pt>
                <c:pt idx="393">
                  <c:v>26.3</c:v>
                </c:pt>
                <c:pt idx="394">
                  <c:v>26.33</c:v>
                </c:pt>
                <c:pt idx="395">
                  <c:v>25.81</c:v>
                </c:pt>
                <c:pt idx="396">
                  <c:v>26.07</c:v>
                </c:pt>
                <c:pt idx="397">
                  <c:v>26.33</c:v>
                </c:pt>
                <c:pt idx="398">
                  <c:v>26.02</c:v>
                </c:pt>
                <c:pt idx="399">
                  <c:v>26.54</c:v>
                </c:pt>
                <c:pt idx="400">
                  <c:v>27</c:v>
                </c:pt>
                <c:pt idx="401">
                  <c:v>26.58</c:v>
                </c:pt>
                <c:pt idx="402">
                  <c:v>26.52</c:v>
                </c:pt>
                <c:pt idx="403">
                  <c:v>26.58</c:v>
                </c:pt>
                <c:pt idx="404">
                  <c:v>27.34</c:v>
                </c:pt>
                <c:pt idx="405">
                  <c:v>26.64</c:v>
                </c:pt>
                <c:pt idx="406">
                  <c:v>26.39</c:v>
                </c:pt>
                <c:pt idx="407">
                  <c:v>26.83</c:v>
                </c:pt>
                <c:pt idx="408">
                  <c:v>26.24</c:v>
                </c:pt>
                <c:pt idx="409">
                  <c:v>26.41</c:v>
                </c:pt>
                <c:pt idx="410">
                  <c:v>26.07</c:v>
                </c:pt>
                <c:pt idx="411">
                  <c:v>25.17</c:v>
                </c:pt>
                <c:pt idx="412">
                  <c:v>25.07</c:v>
                </c:pt>
                <c:pt idx="413">
                  <c:v>24.97</c:v>
                </c:pt>
                <c:pt idx="414">
                  <c:v>24.3</c:v>
                </c:pt>
                <c:pt idx="415">
                  <c:v>24.73</c:v>
                </c:pt>
                <c:pt idx="416">
                  <c:v>24.43</c:v>
                </c:pt>
                <c:pt idx="417">
                  <c:v>24.68</c:v>
                </c:pt>
                <c:pt idx="418">
                  <c:v>25.2</c:v>
                </c:pt>
                <c:pt idx="419">
                  <c:v>24.75</c:v>
                </c:pt>
                <c:pt idx="420">
                  <c:v>24.38</c:v>
                </c:pt>
                <c:pt idx="421">
                  <c:v>23.95</c:v>
                </c:pt>
                <c:pt idx="422">
                  <c:v>23.47</c:v>
                </c:pt>
                <c:pt idx="423">
                  <c:v>23.26</c:v>
                </c:pt>
                <c:pt idx="424">
                  <c:v>23.7</c:v>
                </c:pt>
                <c:pt idx="425">
                  <c:v>23.79</c:v>
                </c:pt>
                <c:pt idx="426">
                  <c:v>23.98</c:v>
                </c:pt>
                <c:pt idx="427">
                  <c:v>24.69</c:v>
                </c:pt>
                <c:pt idx="428">
                  <c:v>24.49</c:v>
                </c:pt>
                <c:pt idx="429">
                  <c:v>24.2</c:v>
                </c:pt>
                <c:pt idx="430">
                  <c:v>23.83</c:v>
                </c:pt>
                <c:pt idx="431">
                  <c:v>23.48</c:v>
                </c:pt>
                <c:pt idx="432">
                  <c:v>23.3</c:v>
                </c:pt>
                <c:pt idx="433">
                  <c:v>23.52</c:v>
                </c:pt>
                <c:pt idx="434">
                  <c:v>23.38</c:v>
                </c:pt>
                <c:pt idx="435">
                  <c:v>23.78</c:v>
                </c:pt>
                <c:pt idx="436">
                  <c:v>23.5</c:v>
                </c:pt>
                <c:pt idx="437">
                  <c:v>23.53</c:v>
                </c:pt>
                <c:pt idx="438">
                  <c:v>23.59</c:v>
                </c:pt>
                <c:pt idx="439">
                  <c:v>23.59</c:v>
                </c:pt>
                <c:pt idx="440">
                  <c:v>23.38</c:v>
                </c:pt>
                <c:pt idx="441">
                  <c:v>23.26</c:v>
                </c:pt>
                <c:pt idx="442">
                  <c:v>22.86</c:v>
                </c:pt>
                <c:pt idx="443">
                  <c:v>22.1</c:v>
                </c:pt>
                <c:pt idx="444">
                  <c:v>22.17</c:v>
                </c:pt>
                <c:pt idx="445">
                  <c:v>22.01</c:v>
                </c:pt>
                <c:pt idx="446">
                  <c:v>22.07</c:v>
                </c:pt>
                <c:pt idx="447">
                  <c:v>22.43</c:v>
                </c:pt>
                <c:pt idx="448">
                  <c:v>22.34</c:v>
                </c:pt>
                <c:pt idx="449">
                  <c:v>22.4</c:v>
                </c:pt>
                <c:pt idx="450">
                  <c:v>22.6</c:v>
                </c:pt>
                <c:pt idx="451">
                  <c:v>22.9</c:v>
                </c:pt>
                <c:pt idx="452">
                  <c:v>22.7</c:v>
                </c:pt>
                <c:pt idx="453">
                  <c:v>22.8</c:v>
                </c:pt>
                <c:pt idx="454">
                  <c:v>22.95</c:v>
                </c:pt>
                <c:pt idx="455">
                  <c:v>22.7</c:v>
                </c:pt>
                <c:pt idx="456">
                  <c:v>21.94</c:v>
                </c:pt>
                <c:pt idx="457">
                  <c:v>21.31</c:v>
                </c:pt>
                <c:pt idx="458">
                  <c:v>21.16</c:v>
                </c:pt>
                <c:pt idx="459">
                  <c:v>20.76</c:v>
                </c:pt>
                <c:pt idx="460">
                  <c:v>20.73</c:v>
                </c:pt>
                <c:pt idx="461">
                  <c:v>21.22</c:v>
                </c:pt>
                <c:pt idx="462">
                  <c:v>20.83</c:v>
                </c:pt>
                <c:pt idx="463">
                  <c:v>20.92</c:v>
                </c:pt>
                <c:pt idx="464">
                  <c:v>21.29</c:v>
                </c:pt>
                <c:pt idx="465">
                  <c:v>21.02</c:v>
                </c:pt>
                <c:pt idx="466">
                  <c:v>21.18</c:v>
                </c:pt>
                <c:pt idx="467">
                  <c:v>21.15</c:v>
                </c:pt>
                <c:pt idx="468">
                  <c:v>21.21</c:v>
                </c:pt>
                <c:pt idx="469">
                  <c:v>20.9</c:v>
                </c:pt>
                <c:pt idx="470">
                  <c:v>20.5</c:v>
                </c:pt>
                <c:pt idx="471">
                  <c:v>20.32</c:v>
                </c:pt>
                <c:pt idx="472">
                  <c:v>19.850000000000001</c:v>
                </c:pt>
                <c:pt idx="473">
                  <c:v>19.66</c:v>
                </c:pt>
                <c:pt idx="474">
                  <c:v>19.34</c:v>
                </c:pt>
                <c:pt idx="475">
                  <c:v>19.760000000000002</c:v>
                </c:pt>
                <c:pt idx="476">
                  <c:v>19.63</c:v>
                </c:pt>
                <c:pt idx="477">
                  <c:v>20.12</c:v>
                </c:pt>
                <c:pt idx="478">
                  <c:v>19.7</c:v>
                </c:pt>
                <c:pt idx="479">
                  <c:v>20.309999999999999</c:v>
                </c:pt>
                <c:pt idx="480">
                  <c:v>20.37</c:v>
                </c:pt>
                <c:pt idx="481">
                  <c:v>20.440000000000001</c:v>
                </c:pt>
                <c:pt idx="482">
                  <c:v>20.11</c:v>
                </c:pt>
                <c:pt idx="483">
                  <c:v>19.899999999999999</c:v>
                </c:pt>
                <c:pt idx="484">
                  <c:v>20.02</c:v>
                </c:pt>
                <c:pt idx="485">
                  <c:v>20.13</c:v>
                </c:pt>
                <c:pt idx="486">
                  <c:v>20.07</c:v>
                </c:pt>
                <c:pt idx="487">
                  <c:v>19.52</c:v>
                </c:pt>
                <c:pt idx="488">
                  <c:v>19.43</c:v>
                </c:pt>
                <c:pt idx="489">
                  <c:v>19.29</c:v>
                </c:pt>
                <c:pt idx="490">
                  <c:v>18.989999999999998</c:v>
                </c:pt>
                <c:pt idx="491">
                  <c:v>19.32</c:v>
                </c:pt>
                <c:pt idx="492">
                  <c:v>19.66</c:v>
                </c:pt>
                <c:pt idx="493">
                  <c:v>19.399999999999999</c:v>
                </c:pt>
                <c:pt idx="494">
                  <c:v>19.86</c:v>
                </c:pt>
                <c:pt idx="495">
                  <c:v>19.78</c:v>
                </c:pt>
                <c:pt idx="496">
                  <c:v>20.079999999999998</c:v>
                </c:pt>
                <c:pt idx="497">
                  <c:v>19.899999999999999</c:v>
                </c:pt>
                <c:pt idx="498">
                  <c:v>19.5</c:v>
                </c:pt>
                <c:pt idx="499">
                  <c:v>19.600000000000001</c:v>
                </c:pt>
                <c:pt idx="500">
                  <c:v>19.57</c:v>
                </c:pt>
                <c:pt idx="501">
                  <c:v>19.649999999999999</c:v>
                </c:pt>
                <c:pt idx="502">
                  <c:v>19.350000000000001</c:v>
                </c:pt>
                <c:pt idx="503">
                  <c:v>19.690000000000001</c:v>
                </c:pt>
                <c:pt idx="504">
                  <c:v>19.600000000000001</c:v>
                </c:pt>
                <c:pt idx="505">
                  <c:v>19.62</c:v>
                </c:pt>
                <c:pt idx="506">
                  <c:v>19.690000000000001</c:v>
                </c:pt>
                <c:pt idx="507">
                  <c:v>19.64</c:v>
                </c:pt>
                <c:pt idx="508">
                  <c:v>19.350000000000001</c:v>
                </c:pt>
                <c:pt idx="509">
                  <c:v>19.38</c:v>
                </c:pt>
                <c:pt idx="510">
                  <c:v>19.52</c:v>
                </c:pt>
                <c:pt idx="511">
                  <c:v>19.43</c:v>
                </c:pt>
                <c:pt idx="512">
                  <c:v>19.2</c:v>
                </c:pt>
                <c:pt idx="513">
                  <c:v>19.2</c:v>
                </c:pt>
                <c:pt idx="514">
                  <c:v>18.89</c:v>
                </c:pt>
                <c:pt idx="515">
                  <c:v>18.93</c:v>
                </c:pt>
                <c:pt idx="516">
                  <c:v>18.55</c:v>
                </c:pt>
                <c:pt idx="517">
                  <c:v>18.77</c:v>
                </c:pt>
                <c:pt idx="518">
                  <c:v>18.87</c:v>
                </c:pt>
                <c:pt idx="519">
                  <c:v>18.91</c:v>
                </c:pt>
                <c:pt idx="520">
                  <c:v>18.93</c:v>
                </c:pt>
                <c:pt idx="521">
                  <c:v>18.760000000000002</c:v>
                </c:pt>
                <c:pt idx="522">
                  <c:v>18.57</c:v>
                </c:pt>
                <c:pt idx="523">
                  <c:v>18.399999999999999</c:v>
                </c:pt>
                <c:pt idx="524">
                  <c:v>18.239999999999998</c:v>
                </c:pt>
                <c:pt idx="525">
                  <c:v>18.36</c:v>
                </c:pt>
                <c:pt idx="526">
                  <c:v>17.86</c:v>
                </c:pt>
                <c:pt idx="527">
                  <c:v>17.89</c:v>
                </c:pt>
                <c:pt idx="528">
                  <c:v>17.829999999999998</c:v>
                </c:pt>
                <c:pt idx="529">
                  <c:v>17.850000000000001</c:v>
                </c:pt>
                <c:pt idx="530">
                  <c:v>17.510000000000002</c:v>
                </c:pt>
                <c:pt idx="531">
                  <c:v>17.260000000000002</c:v>
                </c:pt>
                <c:pt idx="532">
                  <c:v>17.239999999999998</c:v>
                </c:pt>
                <c:pt idx="533">
                  <c:v>17.39</c:v>
                </c:pt>
                <c:pt idx="534">
                  <c:v>17.46</c:v>
                </c:pt>
                <c:pt idx="535">
                  <c:v>17.37</c:v>
                </c:pt>
                <c:pt idx="536">
                  <c:v>17.11</c:v>
                </c:pt>
                <c:pt idx="537">
                  <c:v>16.95</c:v>
                </c:pt>
                <c:pt idx="538">
                  <c:v>16.84</c:v>
                </c:pt>
                <c:pt idx="539">
                  <c:v>16.79</c:v>
                </c:pt>
                <c:pt idx="540">
                  <c:v>16.61</c:v>
                </c:pt>
                <c:pt idx="541">
                  <c:v>16.55</c:v>
                </c:pt>
                <c:pt idx="542">
                  <c:v>16.670000000000002</c:v>
                </c:pt>
                <c:pt idx="543">
                  <c:v>15.77</c:v>
                </c:pt>
                <c:pt idx="544">
                  <c:v>15.84</c:v>
                </c:pt>
                <c:pt idx="545">
                  <c:v>16</c:v>
                </c:pt>
                <c:pt idx="546">
                  <c:v>16.09</c:v>
                </c:pt>
                <c:pt idx="547">
                  <c:v>15.92</c:v>
                </c:pt>
                <c:pt idx="548">
                  <c:v>15.68</c:v>
                </c:pt>
                <c:pt idx="549">
                  <c:v>15.88</c:v>
                </c:pt>
                <c:pt idx="550">
                  <c:v>15.92</c:v>
                </c:pt>
                <c:pt idx="551">
                  <c:v>15.83</c:v>
                </c:pt>
                <c:pt idx="552">
                  <c:v>15.85</c:v>
                </c:pt>
                <c:pt idx="553">
                  <c:v>16.03</c:v>
                </c:pt>
                <c:pt idx="554">
                  <c:v>16.09</c:v>
                </c:pt>
                <c:pt idx="555">
                  <c:v>16.27</c:v>
                </c:pt>
                <c:pt idx="556">
                  <c:v>16.21</c:v>
                </c:pt>
                <c:pt idx="557">
                  <c:v>15.94</c:v>
                </c:pt>
                <c:pt idx="558">
                  <c:v>15.83</c:v>
                </c:pt>
                <c:pt idx="559">
                  <c:v>15.98</c:v>
                </c:pt>
                <c:pt idx="560">
                  <c:v>16.04</c:v>
                </c:pt>
                <c:pt idx="561">
                  <c:v>15.61</c:v>
                </c:pt>
                <c:pt idx="562">
                  <c:v>15.68</c:v>
                </c:pt>
                <c:pt idx="563">
                  <c:v>16</c:v>
                </c:pt>
                <c:pt idx="564">
                  <c:v>15.74</c:v>
                </c:pt>
                <c:pt idx="565">
                  <c:v>15.79</c:v>
                </c:pt>
                <c:pt idx="566">
                  <c:v>15.86</c:v>
                </c:pt>
                <c:pt idx="567">
                  <c:v>15.91</c:v>
                </c:pt>
                <c:pt idx="568">
                  <c:v>15.68</c:v>
                </c:pt>
                <c:pt idx="569">
                  <c:v>15.77</c:v>
                </c:pt>
                <c:pt idx="570">
                  <c:v>15.6</c:v>
                </c:pt>
                <c:pt idx="571">
                  <c:v>15.4</c:v>
                </c:pt>
                <c:pt idx="572">
                  <c:v>15.16</c:v>
                </c:pt>
                <c:pt idx="573">
                  <c:v>15.11</c:v>
                </c:pt>
                <c:pt idx="574">
                  <c:v>15.22</c:v>
                </c:pt>
                <c:pt idx="575">
                  <c:v>15.11</c:v>
                </c:pt>
                <c:pt idx="576">
                  <c:v>15.09</c:v>
                </c:pt>
                <c:pt idx="577">
                  <c:v>14.89</c:v>
                </c:pt>
                <c:pt idx="578">
                  <c:v>14.65</c:v>
                </c:pt>
                <c:pt idx="579">
                  <c:v>14.67</c:v>
                </c:pt>
                <c:pt idx="580">
                  <c:v>14.84</c:v>
                </c:pt>
                <c:pt idx="581">
                  <c:v>14.72</c:v>
                </c:pt>
                <c:pt idx="582">
                  <c:v>14.85</c:v>
                </c:pt>
                <c:pt idx="583">
                  <c:v>14.92</c:v>
                </c:pt>
                <c:pt idx="584">
                  <c:v>14.87</c:v>
                </c:pt>
                <c:pt idx="585">
                  <c:v>14.92</c:v>
                </c:pt>
                <c:pt idx="586">
                  <c:v>14.97</c:v>
                </c:pt>
                <c:pt idx="587">
                  <c:v>14.96</c:v>
                </c:pt>
                <c:pt idx="588">
                  <c:v>15.03</c:v>
                </c:pt>
                <c:pt idx="589">
                  <c:v>14.99</c:v>
                </c:pt>
                <c:pt idx="590">
                  <c:v>14.76</c:v>
                </c:pt>
                <c:pt idx="591">
                  <c:v>14.73</c:v>
                </c:pt>
                <c:pt idx="592">
                  <c:v>15.02</c:v>
                </c:pt>
                <c:pt idx="593">
                  <c:v>15.15</c:v>
                </c:pt>
                <c:pt idx="594">
                  <c:v>16.010000000000002</c:v>
                </c:pt>
                <c:pt idx="595">
                  <c:v>16.170000000000002</c:v>
                </c:pt>
                <c:pt idx="596">
                  <c:v>16.22</c:v>
                </c:pt>
                <c:pt idx="597">
                  <c:v>16.04</c:v>
                </c:pt>
                <c:pt idx="598">
                  <c:v>15.97</c:v>
                </c:pt>
                <c:pt idx="599">
                  <c:v>15.75</c:v>
                </c:pt>
                <c:pt idx="600">
                  <c:v>15.99</c:v>
                </c:pt>
                <c:pt idx="601">
                  <c:v>15.84</c:v>
                </c:pt>
                <c:pt idx="602">
                  <c:v>15.98</c:v>
                </c:pt>
                <c:pt idx="603">
                  <c:v>16.11</c:v>
                </c:pt>
                <c:pt idx="604">
                  <c:v>15.8</c:v>
                </c:pt>
                <c:pt idx="605">
                  <c:v>15.5</c:v>
                </c:pt>
                <c:pt idx="606">
                  <c:v>15.43</c:v>
                </c:pt>
                <c:pt idx="607">
                  <c:v>15.76</c:v>
                </c:pt>
                <c:pt idx="608">
                  <c:v>15.92</c:v>
                </c:pt>
                <c:pt idx="609">
                  <c:v>15.73</c:v>
                </c:pt>
                <c:pt idx="610">
                  <c:v>15.7</c:v>
                </c:pt>
                <c:pt idx="611">
                  <c:v>15.6</c:v>
                </c:pt>
                <c:pt idx="612">
                  <c:v>15.65</c:v>
                </c:pt>
                <c:pt idx="613">
                  <c:v>15.74</c:v>
                </c:pt>
                <c:pt idx="614">
                  <c:v>15.69</c:v>
                </c:pt>
                <c:pt idx="615">
                  <c:v>15.8</c:v>
                </c:pt>
                <c:pt idx="616">
                  <c:v>15.82</c:v>
                </c:pt>
                <c:pt idx="617">
                  <c:v>15.75</c:v>
                </c:pt>
                <c:pt idx="618">
                  <c:v>15.78</c:v>
                </c:pt>
                <c:pt idx="619">
                  <c:v>15.85</c:v>
                </c:pt>
                <c:pt idx="620">
                  <c:v>15.98</c:v>
                </c:pt>
                <c:pt idx="621">
                  <c:v>15.84</c:v>
                </c:pt>
                <c:pt idx="622">
                  <c:v>15.83</c:v>
                </c:pt>
                <c:pt idx="623">
                  <c:v>15.45</c:v>
                </c:pt>
                <c:pt idx="624">
                  <c:v>15.52</c:v>
                </c:pt>
                <c:pt idx="625">
                  <c:v>15.35</c:v>
                </c:pt>
                <c:pt idx="626">
                  <c:v>15.44</c:v>
                </c:pt>
                <c:pt idx="627">
                  <c:v>15.61</c:v>
                </c:pt>
                <c:pt idx="628">
                  <c:v>15.52</c:v>
                </c:pt>
                <c:pt idx="629">
                  <c:v>15.74</c:v>
                </c:pt>
                <c:pt idx="630">
                  <c:v>15.65</c:v>
                </c:pt>
                <c:pt idx="631">
                  <c:v>15.49</c:v>
                </c:pt>
                <c:pt idx="632">
                  <c:v>15.36</c:v>
                </c:pt>
                <c:pt idx="633">
                  <c:v>15.36</c:v>
                </c:pt>
                <c:pt idx="634">
                  <c:v>15.34</c:v>
                </c:pt>
                <c:pt idx="635">
                  <c:v>15.47</c:v>
                </c:pt>
                <c:pt idx="636">
                  <c:v>15.3</c:v>
                </c:pt>
                <c:pt idx="637">
                  <c:v>15.65</c:v>
                </c:pt>
                <c:pt idx="638">
                  <c:v>15.36</c:v>
                </c:pt>
                <c:pt idx="639">
                  <c:v>15.36</c:v>
                </c:pt>
                <c:pt idx="640">
                  <c:v>15.1</c:v>
                </c:pt>
                <c:pt idx="641">
                  <c:v>15.01</c:v>
                </c:pt>
                <c:pt idx="642">
                  <c:v>14.92</c:v>
                </c:pt>
                <c:pt idx="643">
                  <c:v>15.24</c:v>
                </c:pt>
                <c:pt idx="644">
                  <c:v>15.25</c:v>
                </c:pt>
                <c:pt idx="645">
                  <c:v>15.47</c:v>
                </c:pt>
                <c:pt idx="646">
                  <c:v>15.36</c:v>
                </c:pt>
                <c:pt idx="647">
                  <c:v>15.35</c:v>
                </c:pt>
                <c:pt idx="648">
                  <c:v>15.38</c:v>
                </c:pt>
                <c:pt idx="649">
                  <c:v>15.29</c:v>
                </c:pt>
                <c:pt idx="650">
                  <c:v>15.58</c:v>
                </c:pt>
                <c:pt idx="651">
                  <c:v>15.42</c:v>
                </c:pt>
                <c:pt idx="652">
                  <c:v>14.87</c:v>
                </c:pt>
                <c:pt idx="653">
                  <c:v>15.28</c:v>
                </c:pt>
                <c:pt idx="654">
                  <c:v>15.4</c:v>
                </c:pt>
                <c:pt idx="655">
                  <c:v>15.5</c:v>
                </c:pt>
                <c:pt idx="656">
                  <c:v>15.19</c:v>
                </c:pt>
                <c:pt idx="657">
                  <c:v>15.44</c:v>
                </c:pt>
                <c:pt idx="658">
                  <c:v>15.3</c:v>
                </c:pt>
                <c:pt idx="659">
                  <c:v>15.36</c:v>
                </c:pt>
                <c:pt idx="660">
                  <c:v>15.35</c:v>
                </c:pt>
                <c:pt idx="661">
                  <c:v>15.15</c:v>
                </c:pt>
                <c:pt idx="662">
                  <c:v>15.4</c:v>
                </c:pt>
                <c:pt idx="663">
                  <c:v>15.67</c:v>
                </c:pt>
                <c:pt idx="664">
                  <c:v>15.63</c:v>
                </c:pt>
                <c:pt idx="665">
                  <c:v>15.54</c:v>
                </c:pt>
                <c:pt idx="666">
                  <c:v>15.57</c:v>
                </c:pt>
                <c:pt idx="667">
                  <c:v>15.53</c:v>
                </c:pt>
                <c:pt idx="668">
                  <c:v>15.5</c:v>
                </c:pt>
                <c:pt idx="669">
                  <c:v>15.43</c:v>
                </c:pt>
                <c:pt idx="670">
                  <c:v>15.33</c:v>
                </c:pt>
                <c:pt idx="671">
                  <c:v>15.6</c:v>
                </c:pt>
                <c:pt idx="672">
                  <c:v>15.4</c:v>
                </c:pt>
                <c:pt idx="673">
                  <c:v>15.49</c:v>
                </c:pt>
                <c:pt idx="674">
                  <c:v>15.01</c:v>
                </c:pt>
                <c:pt idx="675">
                  <c:v>14.79</c:v>
                </c:pt>
                <c:pt idx="676">
                  <c:v>14.87</c:v>
                </c:pt>
                <c:pt idx="677">
                  <c:v>15.06</c:v>
                </c:pt>
                <c:pt idx="678">
                  <c:v>14.88</c:v>
                </c:pt>
                <c:pt idx="679">
                  <c:v>14.99</c:v>
                </c:pt>
                <c:pt idx="680">
                  <c:v>15.1</c:v>
                </c:pt>
                <c:pt idx="681">
                  <c:v>15.07</c:v>
                </c:pt>
                <c:pt idx="682">
                  <c:v>15.27</c:v>
                </c:pt>
                <c:pt idx="683">
                  <c:v>15.18</c:v>
                </c:pt>
                <c:pt idx="684">
                  <c:v>15.46</c:v>
                </c:pt>
                <c:pt idx="685">
                  <c:v>15.22</c:v>
                </c:pt>
                <c:pt idx="686">
                  <c:v>15.3</c:v>
                </c:pt>
                <c:pt idx="687">
                  <c:v>15.32</c:v>
                </c:pt>
                <c:pt idx="688">
                  <c:v>15.43</c:v>
                </c:pt>
                <c:pt idx="689">
                  <c:v>15.54</c:v>
                </c:pt>
                <c:pt idx="690">
                  <c:v>15.39</c:v>
                </c:pt>
                <c:pt idx="691">
                  <c:v>15.49</c:v>
                </c:pt>
                <c:pt idx="692">
                  <c:v>15.51</c:v>
                </c:pt>
                <c:pt idx="693">
                  <c:v>15.41</c:v>
                </c:pt>
                <c:pt idx="694">
                  <c:v>15.15</c:v>
                </c:pt>
                <c:pt idx="695">
                  <c:v>15.18</c:v>
                </c:pt>
                <c:pt idx="696">
                  <c:v>14.89</c:v>
                </c:pt>
                <c:pt idx="697">
                  <c:v>14.63</c:v>
                </c:pt>
                <c:pt idx="698">
                  <c:v>14.55</c:v>
                </c:pt>
                <c:pt idx="699">
                  <c:v>14.49</c:v>
                </c:pt>
                <c:pt idx="700">
                  <c:v>14.63</c:v>
                </c:pt>
                <c:pt idx="701">
                  <c:v>14.62</c:v>
                </c:pt>
                <c:pt idx="702">
                  <c:v>14.62</c:v>
                </c:pt>
                <c:pt idx="703">
                  <c:v>14.42</c:v>
                </c:pt>
                <c:pt idx="704">
                  <c:v>14.62</c:v>
                </c:pt>
                <c:pt idx="705">
                  <c:v>14.72</c:v>
                </c:pt>
                <c:pt idx="706">
                  <c:v>14.93</c:v>
                </c:pt>
                <c:pt idx="707">
                  <c:v>14.83</c:v>
                </c:pt>
                <c:pt idx="708">
                  <c:v>14.9</c:v>
                </c:pt>
                <c:pt idx="709">
                  <c:v>14.86</c:v>
                </c:pt>
                <c:pt idx="710">
                  <c:v>14.89</c:v>
                </c:pt>
                <c:pt idx="711">
                  <c:v>14.78</c:v>
                </c:pt>
                <c:pt idx="712">
                  <c:v>14.5</c:v>
                </c:pt>
                <c:pt idx="713">
                  <c:v>14.75</c:v>
                </c:pt>
                <c:pt idx="714">
                  <c:v>15.01</c:v>
                </c:pt>
                <c:pt idx="715">
                  <c:v>15.36</c:v>
                </c:pt>
                <c:pt idx="716">
                  <c:v>15.12</c:v>
                </c:pt>
                <c:pt idx="717">
                  <c:v>15.37</c:v>
                </c:pt>
                <c:pt idx="718">
                  <c:v>16.12</c:v>
                </c:pt>
                <c:pt idx="719">
                  <c:v>16.14</c:v>
                </c:pt>
                <c:pt idx="720">
                  <c:v>16</c:v>
                </c:pt>
                <c:pt idx="721">
                  <c:v>15.78</c:v>
                </c:pt>
                <c:pt idx="722">
                  <c:v>15.83</c:v>
                </c:pt>
                <c:pt idx="723">
                  <c:v>15.82</c:v>
                </c:pt>
                <c:pt idx="724">
                  <c:v>15.92</c:v>
                </c:pt>
                <c:pt idx="725">
                  <c:v>15.72</c:v>
                </c:pt>
                <c:pt idx="726">
                  <c:v>15.73</c:v>
                </c:pt>
                <c:pt idx="727">
                  <c:v>15.47</c:v>
                </c:pt>
                <c:pt idx="728">
                  <c:v>15.55</c:v>
                </c:pt>
                <c:pt idx="729">
                  <c:v>15.74</c:v>
                </c:pt>
                <c:pt idx="730">
                  <c:v>15.53</c:v>
                </c:pt>
                <c:pt idx="731">
                  <c:v>15.56</c:v>
                </c:pt>
                <c:pt idx="732">
                  <c:v>15.69</c:v>
                </c:pt>
                <c:pt idx="733">
                  <c:v>15.68</c:v>
                </c:pt>
                <c:pt idx="734">
                  <c:v>15.96</c:v>
                </c:pt>
                <c:pt idx="735">
                  <c:v>16.12</c:v>
                </c:pt>
                <c:pt idx="736">
                  <c:v>15.92</c:v>
                </c:pt>
                <c:pt idx="737">
                  <c:v>15.43</c:v>
                </c:pt>
                <c:pt idx="738">
                  <c:v>15.48</c:v>
                </c:pt>
                <c:pt idx="739">
                  <c:v>15.66</c:v>
                </c:pt>
                <c:pt idx="740">
                  <c:v>15.53</c:v>
                </c:pt>
                <c:pt idx="741">
                  <c:v>15.51</c:v>
                </c:pt>
                <c:pt idx="742">
                  <c:v>15.46</c:v>
                </c:pt>
                <c:pt idx="743">
                  <c:v>15.52</c:v>
                </c:pt>
                <c:pt idx="744">
                  <c:v>15.64</c:v>
                </c:pt>
                <c:pt idx="745">
                  <c:v>15.78</c:v>
                </c:pt>
                <c:pt idx="746">
                  <c:v>16.29</c:v>
                </c:pt>
                <c:pt idx="747">
                  <c:v>16.13</c:v>
                </c:pt>
                <c:pt idx="748">
                  <c:v>16.13</c:v>
                </c:pt>
                <c:pt idx="749">
                  <c:v>15.78</c:v>
                </c:pt>
                <c:pt idx="750">
                  <c:v>16.09</c:v>
                </c:pt>
                <c:pt idx="751">
                  <c:v>16.190000000000001</c:v>
                </c:pt>
                <c:pt idx="752">
                  <c:v>16</c:v>
                </c:pt>
                <c:pt idx="753">
                  <c:v>15.99</c:v>
                </c:pt>
                <c:pt idx="754">
                  <c:v>15.11</c:v>
                </c:pt>
                <c:pt idx="755">
                  <c:v>14.62</c:v>
                </c:pt>
                <c:pt idx="756">
                  <c:v>14.96</c:v>
                </c:pt>
                <c:pt idx="757">
                  <c:v>15.16</c:v>
                </c:pt>
                <c:pt idx="758">
                  <c:v>15.02</c:v>
                </c:pt>
                <c:pt idx="759">
                  <c:v>15.42</c:v>
                </c:pt>
                <c:pt idx="760">
                  <c:v>15.47</c:v>
                </c:pt>
                <c:pt idx="761">
                  <c:v>15.94</c:v>
                </c:pt>
                <c:pt idx="762">
                  <c:v>15.61</c:v>
                </c:pt>
                <c:pt idx="763">
                  <c:v>15.62</c:v>
                </c:pt>
                <c:pt idx="764">
                  <c:v>15.84</c:v>
                </c:pt>
                <c:pt idx="765">
                  <c:v>15.89</c:v>
                </c:pt>
                <c:pt idx="766">
                  <c:v>16.05</c:v>
                </c:pt>
                <c:pt idx="767">
                  <c:v>16.23</c:v>
                </c:pt>
                <c:pt idx="768">
                  <c:v>15.71</c:v>
                </c:pt>
                <c:pt idx="769">
                  <c:v>15.7</c:v>
                </c:pt>
                <c:pt idx="770">
                  <c:v>15.35</c:v>
                </c:pt>
                <c:pt idx="771">
                  <c:v>15.1</c:v>
                </c:pt>
                <c:pt idx="772">
                  <c:v>14.94</c:v>
                </c:pt>
                <c:pt idx="773">
                  <c:v>14.97</c:v>
                </c:pt>
                <c:pt idx="774">
                  <c:v>14.99</c:v>
                </c:pt>
                <c:pt idx="775">
                  <c:v>15.38</c:v>
                </c:pt>
                <c:pt idx="776">
                  <c:v>15.34</c:v>
                </c:pt>
                <c:pt idx="777">
                  <c:v>15.72</c:v>
                </c:pt>
                <c:pt idx="778">
                  <c:v>15.93</c:v>
                </c:pt>
                <c:pt idx="779">
                  <c:v>16</c:v>
                </c:pt>
                <c:pt idx="780">
                  <c:v>16.27</c:v>
                </c:pt>
                <c:pt idx="781">
                  <c:v>15.95</c:v>
                </c:pt>
                <c:pt idx="782">
                  <c:v>15.92</c:v>
                </c:pt>
                <c:pt idx="783">
                  <c:v>15.97</c:v>
                </c:pt>
                <c:pt idx="784">
                  <c:v>15.69</c:v>
                </c:pt>
                <c:pt idx="785">
                  <c:v>15.24</c:v>
                </c:pt>
                <c:pt idx="786">
                  <c:v>15.48</c:v>
                </c:pt>
                <c:pt idx="787">
                  <c:v>15.1</c:v>
                </c:pt>
                <c:pt idx="788">
                  <c:v>14.93</c:v>
                </c:pt>
                <c:pt idx="789">
                  <c:v>15.64</c:v>
                </c:pt>
                <c:pt idx="790">
                  <c:v>16.559999999999999</c:v>
                </c:pt>
                <c:pt idx="791">
                  <c:v>16.63</c:v>
                </c:pt>
                <c:pt idx="792">
                  <c:v>16.3</c:v>
                </c:pt>
                <c:pt idx="793">
                  <c:v>16.239999999999998</c:v>
                </c:pt>
                <c:pt idx="794">
                  <c:v>16.71</c:v>
                </c:pt>
                <c:pt idx="795">
                  <c:v>16.12</c:v>
                </c:pt>
                <c:pt idx="796">
                  <c:v>16.18</c:v>
                </c:pt>
                <c:pt idx="797">
                  <c:v>15.94</c:v>
                </c:pt>
                <c:pt idx="798">
                  <c:v>15.47</c:v>
                </c:pt>
                <c:pt idx="799">
                  <c:v>15.7</c:v>
                </c:pt>
                <c:pt idx="800">
                  <c:v>15.91</c:v>
                </c:pt>
                <c:pt idx="801">
                  <c:v>15.93</c:v>
                </c:pt>
                <c:pt idx="802">
                  <c:v>15.77</c:v>
                </c:pt>
                <c:pt idx="803">
                  <c:v>15.86</c:v>
                </c:pt>
                <c:pt idx="804">
                  <c:v>15.84</c:v>
                </c:pt>
                <c:pt idx="805">
                  <c:v>15.47</c:v>
                </c:pt>
                <c:pt idx="806">
                  <c:v>15.65</c:v>
                </c:pt>
                <c:pt idx="807">
                  <c:v>15.92</c:v>
                </c:pt>
                <c:pt idx="808">
                  <c:v>14.46</c:v>
                </c:pt>
                <c:pt idx="809">
                  <c:v>13.53</c:v>
                </c:pt>
                <c:pt idx="810">
                  <c:v>13.17</c:v>
                </c:pt>
                <c:pt idx="811">
                  <c:v>13.42</c:v>
                </c:pt>
                <c:pt idx="812">
                  <c:v>14.19</c:v>
                </c:pt>
                <c:pt idx="813">
                  <c:v>14.54</c:v>
                </c:pt>
                <c:pt idx="814">
                  <c:v>14.75</c:v>
                </c:pt>
                <c:pt idx="815">
                  <c:v>14.71</c:v>
                </c:pt>
                <c:pt idx="816">
                  <c:v>13.99</c:v>
                </c:pt>
                <c:pt idx="817">
                  <c:v>13.96</c:v>
                </c:pt>
                <c:pt idx="818">
                  <c:v>14.36</c:v>
                </c:pt>
                <c:pt idx="819">
                  <c:v>14.61</c:v>
                </c:pt>
                <c:pt idx="820">
                  <c:v>14.97</c:v>
                </c:pt>
                <c:pt idx="821">
                  <c:v>14.89</c:v>
                </c:pt>
                <c:pt idx="822">
                  <c:v>14.55</c:v>
                </c:pt>
                <c:pt idx="823">
                  <c:v>14.26</c:v>
                </c:pt>
                <c:pt idx="824">
                  <c:v>14.26</c:v>
                </c:pt>
                <c:pt idx="825">
                  <c:v>14.48</c:v>
                </c:pt>
                <c:pt idx="826">
                  <c:v>14.44</c:v>
                </c:pt>
                <c:pt idx="827">
                  <c:v>13.61</c:v>
                </c:pt>
                <c:pt idx="828">
                  <c:v>12.91</c:v>
                </c:pt>
                <c:pt idx="829">
                  <c:v>12.87</c:v>
                </c:pt>
                <c:pt idx="830">
                  <c:v>13.35</c:v>
                </c:pt>
                <c:pt idx="831">
                  <c:v>13.61</c:v>
                </c:pt>
                <c:pt idx="832">
                  <c:v>13.84</c:v>
                </c:pt>
                <c:pt idx="833">
                  <c:v>13.68</c:v>
                </c:pt>
                <c:pt idx="834">
                  <c:v>12.74</c:v>
                </c:pt>
                <c:pt idx="835">
                  <c:v>12.87</c:v>
                </c:pt>
                <c:pt idx="836">
                  <c:v>13.15</c:v>
                </c:pt>
                <c:pt idx="837">
                  <c:v>13.35</c:v>
                </c:pt>
                <c:pt idx="838">
                  <c:v>12.84</c:v>
                </c:pt>
                <c:pt idx="839">
                  <c:v>12.92</c:v>
                </c:pt>
                <c:pt idx="840">
                  <c:v>12.96</c:v>
                </c:pt>
                <c:pt idx="841">
                  <c:v>13.47</c:v>
                </c:pt>
                <c:pt idx="842">
                  <c:v>13.48</c:v>
                </c:pt>
                <c:pt idx="843">
                  <c:v>13.47</c:v>
                </c:pt>
                <c:pt idx="844">
                  <c:v>13.59</c:v>
                </c:pt>
                <c:pt idx="845">
                  <c:v>12.86</c:v>
                </c:pt>
                <c:pt idx="846">
                  <c:v>11.77</c:v>
                </c:pt>
                <c:pt idx="847">
                  <c:v>12.09</c:v>
                </c:pt>
                <c:pt idx="848">
                  <c:v>11.09</c:v>
                </c:pt>
                <c:pt idx="849">
                  <c:v>11.74</c:v>
                </c:pt>
                <c:pt idx="850">
                  <c:v>12</c:v>
                </c:pt>
                <c:pt idx="851">
                  <c:v>13.02</c:v>
                </c:pt>
                <c:pt idx="852">
                  <c:v>12.76</c:v>
                </c:pt>
                <c:pt idx="853">
                  <c:v>13.1</c:v>
                </c:pt>
                <c:pt idx="854">
                  <c:v>13.1</c:v>
                </c:pt>
                <c:pt idx="855">
                  <c:v>13.5</c:v>
                </c:pt>
                <c:pt idx="856">
                  <c:v>13.59</c:v>
                </c:pt>
                <c:pt idx="857">
                  <c:v>13.94</c:v>
                </c:pt>
                <c:pt idx="858">
                  <c:v>13.69</c:v>
                </c:pt>
                <c:pt idx="859">
                  <c:v>13.98</c:v>
                </c:pt>
                <c:pt idx="860">
                  <c:v>13.59</c:v>
                </c:pt>
                <c:pt idx="861">
                  <c:v>13.48</c:v>
                </c:pt>
                <c:pt idx="862">
                  <c:v>14.59</c:v>
                </c:pt>
                <c:pt idx="863">
                  <c:v>14.42</c:v>
                </c:pt>
                <c:pt idx="864">
                  <c:v>14.69</c:v>
                </c:pt>
                <c:pt idx="865">
                  <c:v>14.63</c:v>
                </c:pt>
                <c:pt idx="866">
                  <c:v>14.91</c:v>
                </c:pt>
                <c:pt idx="867">
                  <c:v>14.86</c:v>
                </c:pt>
                <c:pt idx="868">
                  <c:v>15.05</c:v>
                </c:pt>
                <c:pt idx="869">
                  <c:v>15.61</c:v>
                </c:pt>
                <c:pt idx="870">
                  <c:v>15.81</c:v>
                </c:pt>
                <c:pt idx="871">
                  <c:v>15.72</c:v>
                </c:pt>
                <c:pt idx="872">
                  <c:v>15.49</c:v>
                </c:pt>
                <c:pt idx="873">
                  <c:v>15.45</c:v>
                </c:pt>
                <c:pt idx="874">
                  <c:v>15.04</c:v>
                </c:pt>
                <c:pt idx="875">
                  <c:v>14.89</c:v>
                </c:pt>
                <c:pt idx="876">
                  <c:v>14.95</c:v>
                </c:pt>
                <c:pt idx="877">
                  <c:v>14.88</c:v>
                </c:pt>
                <c:pt idx="878">
                  <c:v>14.89</c:v>
                </c:pt>
                <c:pt idx="879">
                  <c:v>15.08</c:v>
                </c:pt>
                <c:pt idx="880">
                  <c:v>15.23</c:v>
                </c:pt>
                <c:pt idx="881">
                  <c:v>15.35</c:v>
                </c:pt>
                <c:pt idx="882">
                  <c:v>14.99</c:v>
                </c:pt>
                <c:pt idx="883">
                  <c:v>14.7</c:v>
                </c:pt>
                <c:pt idx="884">
                  <c:v>14.78</c:v>
                </c:pt>
                <c:pt idx="885">
                  <c:v>14.81</c:v>
                </c:pt>
                <c:pt idx="886">
                  <c:v>15.2</c:v>
                </c:pt>
                <c:pt idx="887">
                  <c:v>15.16</c:v>
                </c:pt>
                <c:pt idx="888">
                  <c:v>15.2</c:v>
                </c:pt>
                <c:pt idx="889">
                  <c:v>15.22</c:v>
                </c:pt>
                <c:pt idx="890">
                  <c:v>15.1</c:v>
                </c:pt>
                <c:pt idx="891">
                  <c:v>15.45</c:v>
                </c:pt>
                <c:pt idx="892">
                  <c:v>15.45</c:v>
                </c:pt>
                <c:pt idx="893">
                  <c:v>15.68</c:v>
                </c:pt>
                <c:pt idx="894">
                  <c:v>16.02</c:v>
                </c:pt>
                <c:pt idx="895">
                  <c:v>15.85</c:v>
                </c:pt>
                <c:pt idx="896">
                  <c:v>16.55</c:v>
                </c:pt>
                <c:pt idx="897">
                  <c:v>16.02</c:v>
                </c:pt>
                <c:pt idx="898">
                  <c:v>15.98</c:v>
                </c:pt>
                <c:pt idx="899">
                  <c:v>16.149999999999999</c:v>
                </c:pt>
                <c:pt idx="900">
                  <c:v>16.14</c:v>
                </c:pt>
                <c:pt idx="901">
                  <c:v>16.059999999999999</c:v>
                </c:pt>
                <c:pt idx="902">
                  <c:v>16.3</c:v>
                </c:pt>
                <c:pt idx="903">
                  <c:v>16.350000000000001</c:v>
                </c:pt>
                <c:pt idx="904">
                  <c:v>15.96</c:v>
                </c:pt>
                <c:pt idx="905">
                  <c:v>16</c:v>
                </c:pt>
                <c:pt idx="906">
                  <c:v>15.81</c:v>
                </c:pt>
                <c:pt idx="907">
                  <c:v>16.55</c:v>
                </c:pt>
                <c:pt idx="908">
                  <c:v>17.170000000000002</c:v>
                </c:pt>
                <c:pt idx="909">
                  <c:v>17.2</c:v>
                </c:pt>
                <c:pt idx="910">
                  <c:v>18.55</c:v>
                </c:pt>
                <c:pt idx="911">
                  <c:v>18.559999999999999</c:v>
                </c:pt>
                <c:pt idx="912">
                  <c:v>18.649999999999999</c:v>
                </c:pt>
                <c:pt idx="913">
                  <c:v>18.43</c:v>
                </c:pt>
                <c:pt idx="914">
                  <c:v>18.2</c:v>
                </c:pt>
                <c:pt idx="915">
                  <c:v>17.920000000000002</c:v>
                </c:pt>
                <c:pt idx="916">
                  <c:v>18.14</c:v>
                </c:pt>
                <c:pt idx="917">
                  <c:v>17.7</c:v>
                </c:pt>
                <c:pt idx="918">
                  <c:v>17.510000000000002</c:v>
                </c:pt>
                <c:pt idx="919">
                  <c:v>17.260000000000002</c:v>
                </c:pt>
                <c:pt idx="920">
                  <c:v>17.28</c:v>
                </c:pt>
                <c:pt idx="921">
                  <c:v>17.11</c:v>
                </c:pt>
                <c:pt idx="922">
                  <c:v>16.850000000000001</c:v>
                </c:pt>
                <c:pt idx="923">
                  <c:v>16.87</c:v>
                </c:pt>
                <c:pt idx="924">
                  <c:v>16.12</c:v>
                </c:pt>
                <c:pt idx="925">
                  <c:v>16.350000000000001</c:v>
                </c:pt>
                <c:pt idx="926">
                  <c:v>16.62</c:v>
                </c:pt>
                <c:pt idx="927">
                  <c:v>16.690000000000001</c:v>
                </c:pt>
                <c:pt idx="928">
                  <c:v>16.64</c:v>
                </c:pt>
                <c:pt idx="929">
                  <c:v>16.36</c:v>
                </c:pt>
                <c:pt idx="930">
                  <c:v>16.59</c:v>
                </c:pt>
                <c:pt idx="931">
                  <c:v>16.77</c:v>
                </c:pt>
                <c:pt idx="932">
                  <c:v>17</c:v>
                </c:pt>
                <c:pt idx="933">
                  <c:v>17.05</c:v>
                </c:pt>
                <c:pt idx="934">
                  <c:v>17.11</c:v>
                </c:pt>
                <c:pt idx="935">
                  <c:v>16.87</c:v>
                </c:pt>
                <c:pt idx="936">
                  <c:v>16.84</c:v>
                </c:pt>
                <c:pt idx="937">
                  <c:v>16.68</c:v>
                </c:pt>
                <c:pt idx="938">
                  <c:v>16.739999999999998</c:v>
                </c:pt>
                <c:pt idx="939">
                  <c:v>16.75</c:v>
                </c:pt>
                <c:pt idx="940">
                  <c:v>16.579999999999998</c:v>
                </c:pt>
                <c:pt idx="941">
                  <c:v>16.96</c:v>
                </c:pt>
                <c:pt idx="942">
                  <c:v>16.829999999999998</c:v>
                </c:pt>
                <c:pt idx="943">
                  <c:v>16.13</c:v>
                </c:pt>
                <c:pt idx="944">
                  <c:v>16.36</c:v>
                </c:pt>
                <c:pt idx="945">
                  <c:v>16.29</c:v>
                </c:pt>
                <c:pt idx="946">
                  <c:v>16.03</c:v>
                </c:pt>
                <c:pt idx="947">
                  <c:v>15.86</c:v>
                </c:pt>
                <c:pt idx="948">
                  <c:v>15.91</c:v>
                </c:pt>
                <c:pt idx="949">
                  <c:v>16.329999999999998</c:v>
                </c:pt>
                <c:pt idx="950">
                  <c:v>17.309999999999999</c:v>
                </c:pt>
                <c:pt idx="951">
                  <c:v>17.420000000000002</c:v>
                </c:pt>
                <c:pt idx="952">
                  <c:v>17.059999999999999</c:v>
                </c:pt>
                <c:pt idx="953">
                  <c:v>17.649999999999999</c:v>
                </c:pt>
                <c:pt idx="954">
                  <c:v>16.940000000000001</c:v>
                </c:pt>
                <c:pt idx="955">
                  <c:v>16.7</c:v>
                </c:pt>
                <c:pt idx="956">
                  <c:v>17.079999999999998</c:v>
                </c:pt>
                <c:pt idx="957">
                  <c:v>16.86</c:v>
                </c:pt>
                <c:pt idx="958">
                  <c:v>16.63</c:v>
                </c:pt>
                <c:pt idx="959">
                  <c:v>16.100000000000001</c:v>
                </c:pt>
                <c:pt idx="960">
                  <c:v>16.399999999999999</c:v>
                </c:pt>
                <c:pt idx="961">
                  <c:v>16.5</c:v>
                </c:pt>
                <c:pt idx="962">
                  <c:v>16.37</c:v>
                </c:pt>
                <c:pt idx="963">
                  <c:v>16.579999999999998</c:v>
                </c:pt>
                <c:pt idx="964">
                  <c:v>16.91</c:v>
                </c:pt>
                <c:pt idx="965">
                  <c:v>17.66</c:v>
                </c:pt>
                <c:pt idx="966">
                  <c:v>17.77</c:v>
                </c:pt>
                <c:pt idx="967">
                  <c:v>17.760000000000002</c:v>
                </c:pt>
                <c:pt idx="968">
                  <c:v>17.2</c:v>
                </c:pt>
                <c:pt idx="969">
                  <c:v>16.89</c:v>
                </c:pt>
                <c:pt idx="970">
                  <c:v>16.850000000000001</c:v>
                </c:pt>
                <c:pt idx="971">
                  <c:v>16.62</c:v>
                </c:pt>
                <c:pt idx="972">
                  <c:v>16.43</c:v>
                </c:pt>
                <c:pt idx="973">
                  <c:v>16.600000000000001</c:v>
                </c:pt>
                <c:pt idx="974">
                  <c:v>16.8</c:v>
                </c:pt>
                <c:pt idx="975">
                  <c:v>16.79</c:v>
                </c:pt>
                <c:pt idx="976">
                  <c:v>16.690000000000001</c:v>
                </c:pt>
                <c:pt idx="977">
                  <c:v>16.57</c:v>
                </c:pt>
                <c:pt idx="978">
                  <c:v>16.38</c:v>
                </c:pt>
                <c:pt idx="979">
                  <c:v>16.12</c:v>
                </c:pt>
                <c:pt idx="980">
                  <c:v>15.83</c:v>
                </c:pt>
                <c:pt idx="981">
                  <c:v>16.2</c:v>
                </c:pt>
                <c:pt idx="982">
                  <c:v>15.57</c:v>
                </c:pt>
                <c:pt idx="983">
                  <c:v>16.02</c:v>
                </c:pt>
                <c:pt idx="984">
                  <c:v>16.09</c:v>
                </c:pt>
                <c:pt idx="985">
                  <c:v>15.97</c:v>
                </c:pt>
                <c:pt idx="986">
                  <c:v>16.23</c:v>
                </c:pt>
                <c:pt idx="987">
                  <c:v>16.309999999999999</c:v>
                </c:pt>
                <c:pt idx="988">
                  <c:v>16.5</c:v>
                </c:pt>
                <c:pt idx="989">
                  <c:v>16.809999999999999</c:v>
                </c:pt>
                <c:pt idx="990">
                  <c:v>16.75</c:v>
                </c:pt>
                <c:pt idx="991">
                  <c:v>16.649999999999999</c:v>
                </c:pt>
                <c:pt idx="992">
                  <c:v>16.579999999999998</c:v>
                </c:pt>
                <c:pt idx="993">
                  <c:v>16.600000000000001</c:v>
                </c:pt>
                <c:pt idx="994">
                  <c:v>16.899999999999999</c:v>
                </c:pt>
                <c:pt idx="995">
                  <c:v>17.059999999999999</c:v>
                </c:pt>
                <c:pt idx="996">
                  <c:v>16.91</c:v>
                </c:pt>
                <c:pt idx="997">
                  <c:v>16.59</c:v>
                </c:pt>
                <c:pt idx="998">
                  <c:v>16.75</c:v>
                </c:pt>
                <c:pt idx="999">
                  <c:v>16.63</c:v>
                </c:pt>
                <c:pt idx="1000">
                  <c:v>16.760000000000002</c:v>
                </c:pt>
                <c:pt idx="1001">
                  <c:v>16.61</c:v>
                </c:pt>
                <c:pt idx="1002">
                  <c:v>16.43</c:v>
                </c:pt>
                <c:pt idx="1003">
                  <c:v>16.48</c:v>
                </c:pt>
                <c:pt idx="1004">
                  <c:v>16.72</c:v>
                </c:pt>
                <c:pt idx="1005">
                  <c:v>16.63</c:v>
                </c:pt>
                <c:pt idx="1006">
                  <c:v>16.600000000000001</c:v>
                </c:pt>
                <c:pt idx="1007">
                  <c:v>16.28</c:v>
                </c:pt>
                <c:pt idx="1008">
                  <c:v>16.38</c:v>
                </c:pt>
                <c:pt idx="1009">
                  <c:v>16.510000000000002</c:v>
                </c:pt>
                <c:pt idx="1010">
                  <c:v>16.45</c:v>
                </c:pt>
                <c:pt idx="1011">
                  <c:v>16.63</c:v>
                </c:pt>
                <c:pt idx="1012">
                  <c:v>16.7</c:v>
                </c:pt>
                <c:pt idx="1013">
                  <c:v>17.010000000000002</c:v>
                </c:pt>
                <c:pt idx="1014">
                  <c:v>16.95</c:v>
                </c:pt>
                <c:pt idx="1015">
                  <c:v>17.02</c:v>
                </c:pt>
                <c:pt idx="1016">
                  <c:v>16.940000000000001</c:v>
                </c:pt>
                <c:pt idx="1017">
                  <c:v>16.329999999999998</c:v>
                </c:pt>
                <c:pt idx="1018">
                  <c:v>16.350000000000001</c:v>
                </c:pt>
                <c:pt idx="1019">
                  <c:v>16.329999999999998</c:v>
                </c:pt>
                <c:pt idx="1020">
                  <c:v>16.149999999999999</c:v>
                </c:pt>
                <c:pt idx="1021">
                  <c:v>15.82</c:v>
                </c:pt>
                <c:pt idx="1022">
                  <c:v>16.38</c:v>
                </c:pt>
                <c:pt idx="1023">
                  <c:v>16.22</c:v>
                </c:pt>
                <c:pt idx="1024">
                  <c:v>16.41</c:v>
                </c:pt>
                <c:pt idx="1025">
                  <c:v>16.190000000000001</c:v>
                </c:pt>
                <c:pt idx="1026">
                  <c:v>16.559999999999999</c:v>
                </c:pt>
                <c:pt idx="1027">
                  <c:v>16.57</c:v>
                </c:pt>
                <c:pt idx="1028">
                  <c:v>16.989999999999998</c:v>
                </c:pt>
                <c:pt idx="1029">
                  <c:v>16.149999999999999</c:v>
                </c:pt>
                <c:pt idx="1030">
                  <c:v>16.239999999999998</c:v>
                </c:pt>
                <c:pt idx="1031">
                  <c:v>16.600000000000001</c:v>
                </c:pt>
                <c:pt idx="1032">
                  <c:v>16.55</c:v>
                </c:pt>
                <c:pt idx="1033">
                  <c:v>16.8</c:v>
                </c:pt>
                <c:pt idx="1034">
                  <c:v>16.940000000000001</c:v>
                </c:pt>
                <c:pt idx="1035">
                  <c:v>16.97</c:v>
                </c:pt>
                <c:pt idx="1036">
                  <c:v>16.440000000000001</c:v>
                </c:pt>
                <c:pt idx="1037">
                  <c:v>16.27</c:v>
                </c:pt>
                <c:pt idx="1038">
                  <c:v>16.2</c:v>
                </c:pt>
                <c:pt idx="1039">
                  <c:v>16.170000000000002</c:v>
                </c:pt>
                <c:pt idx="1040">
                  <c:v>16.190000000000001</c:v>
                </c:pt>
                <c:pt idx="1041">
                  <c:v>16.149999999999999</c:v>
                </c:pt>
                <c:pt idx="1042">
                  <c:v>16.489999999999998</c:v>
                </c:pt>
                <c:pt idx="1043">
                  <c:v>16.399999999999999</c:v>
                </c:pt>
                <c:pt idx="1044">
                  <c:v>16.420000000000002</c:v>
                </c:pt>
                <c:pt idx="1045">
                  <c:v>16.46</c:v>
                </c:pt>
                <c:pt idx="1046">
                  <c:v>16.399999999999999</c:v>
                </c:pt>
                <c:pt idx="1047">
                  <c:v>16.309999999999999</c:v>
                </c:pt>
                <c:pt idx="1048">
                  <c:v>15.97</c:v>
                </c:pt>
                <c:pt idx="1049">
                  <c:v>15.8</c:v>
                </c:pt>
                <c:pt idx="1050">
                  <c:v>15.49</c:v>
                </c:pt>
                <c:pt idx="1051">
                  <c:v>15.93</c:v>
                </c:pt>
                <c:pt idx="1052">
                  <c:v>16.25</c:v>
                </c:pt>
                <c:pt idx="1053">
                  <c:v>15.93</c:v>
                </c:pt>
                <c:pt idx="1054">
                  <c:v>15.25</c:v>
                </c:pt>
                <c:pt idx="1055">
                  <c:v>14.43</c:v>
                </c:pt>
                <c:pt idx="1056">
                  <c:v>14.41</c:v>
                </c:pt>
                <c:pt idx="1057">
                  <c:v>14.49</c:v>
                </c:pt>
                <c:pt idx="1058">
                  <c:v>14.23</c:v>
                </c:pt>
                <c:pt idx="1059">
                  <c:v>14.52</c:v>
                </c:pt>
                <c:pt idx="1060">
                  <c:v>14.61</c:v>
                </c:pt>
                <c:pt idx="1061">
                  <c:v>14.28</c:v>
                </c:pt>
                <c:pt idx="1062">
                  <c:v>14.27</c:v>
                </c:pt>
                <c:pt idx="1063">
                  <c:v>14.17</c:v>
                </c:pt>
                <c:pt idx="1064">
                  <c:v>14.34</c:v>
                </c:pt>
                <c:pt idx="1065">
                  <c:v>14.39</c:v>
                </c:pt>
                <c:pt idx="1066">
                  <c:v>14.28</c:v>
                </c:pt>
                <c:pt idx="1067">
                  <c:v>14.5</c:v>
                </c:pt>
                <c:pt idx="1068">
                  <c:v>14.17</c:v>
                </c:pt>
                <c:pt idx="1069">
                  <c:v>14.04</c:v>
                </c:pt>
                <c:pt idx="1070">
                  <c:v>14.18</c:v>
                </c:pt>
                <c:pt idx="1071">
                  <c:v>13.86</c:v>
                </c:pt>
                <c:pt idx="1072">
                  <c:v>13.89</c:v>
                </c:pt>
                <c:pt idx="1073">
                  <c:v>14.19</c:v>
                </c:pt>
                <c:pt idx="1074">
                  <c:v>14.27</c:v>
                </c:pt>
                <c:pt idx="1075">
                  <c:v>13.63</c:v>
                </c:pt>
                <c:pt idx="1076">
                  <c:v>13.73</c:v>
                </c:pt>
                <c:pt idx="1077">
                  <c:v>13.68</c:v>
                </c:pt>
                <c:pt idx="1078">
                  <c:v>13.65</c:v>
                </c:pt>
                <c:pt idx="1079">
                  <c:v>13.75</c:v>
                </c:pt>
                <c:pt idx="1080">
                  <c:v>13.53</c:v>
                </c:pt>
                <c:pt idx="1081">
                  <c:v>13.62</c:v>
                </c:pt>
                <c:pt idx="1082">
                  <c:v>13.51</c:v>
                </c:pt>
                <c:pt idx="1083">
                  <c:v>13.37</c:v>
                </c:pt>
                <c:pt idx="1084">
                  <c:v>13.11</c:v>
                </c:pt>
                <c:pt idx="1085">
                  <c:v>13.18</c:v>
                </c:pt>
                <c:pt idx="1086">
                  <c:v>13.43</c:v>
                </c:pt>
                <c:pt idx="1087">
                  <c:v>13.21</c:v>
                </c:pt>
                <c:pt idx="1088">
                  <c:v>13.26</c:v>
                </c:pt>
                <c:pt idx="1089">
                  <c:v>13.4</c:v>
                </c:pt>
                <c:pt idx="1090">
                  <c:v>13.65</c:v>
                </c:pt>
                <c:pt idx="1091">
                  <c:v>13.79</c:v>
                </c:pt>
                <c:pt idx="1092">
                  <c:v>13.85</c:v>
                </c:pt>
                <c:pt idx="1093">
                  <c:v>13.99</c:v>
                </c:pt>
                <c:pt idx="1094">
                  <c:v>13.94</c:v>
                </c:pt>
                <c:pt idx="1095">
                  <c:v>13.79</c:v>
                </c:pt>
                <c:pt idx="1096">
                  <c:v>13.83</c:v>
                </c:pt>
                <c:pt idx="1097">
                  <c:v>13.85</c:v>
                </c:pt>
                <c:pt idx="1098">
                  <c:v>13.87</c:v>
                </c:pt>
                <c:pt idx="1099">
                  <c:v>14.35</c:v>
                </c:pt>
                <c:pt idx="1100">
                  <c:v>14.4</c:v>
                </c:pt>
                <c:pt idx="1101">
                  <c:v>14.34</c:v>
                </c:pt>
                <c:pt idx="1102">
                  <c:v>14.16</c:v>
                </c:pt>
                <c:pt idx="1103">
                  <c:v>14.18</c:v>
                </c:pt>
                <c:pt idx="1104">
                  <c:v>13.94</c:v>
                </c:pt>
                <c:pt idx="1105">
                  <c:v>14</c:v>
                </c:pt>
                <c:pt idx="1106">
                  <c:v>13.88</c:v>
                </c:pt>
                <c:pt idx="1107">
                  <c:v>13.76</c:v>
                </c:pt>
                <c:pt idx="1108">
                  <c:v>13.87</c:v>
                </c:pt>
                <c:pt idx="1109">
                  <c:v>13.95</c:v>
                </c:pt>
                <c:pt idx="1110">
                  <c:v>14.15</c:v>
                </c:pt>
                <c:pt idx="1111">
                  <c:v>13.99</c:v>
                </c:pt>
                <c:pt idx="1112">
                  <c:v>13.88</c:v>
                </c:pt>
                <c:pt idx="1113">
                  <c:v>13.91</c:v>
                </c:pt>
                <c:pt idx="1114">
                  <c:v>15.2</c:v>
                </c:pt>
                <c:pt idx="1115">
                  <c:v>15.1</c:v>
                </c:pt>
                <c:pt idx="1116">
                  <c:v>14.9</c:v>
                </c:pt>
                <c:pt idx="1117">
                  <c:v>15.37</c:v>
                </c:pt>
                <c:pt idx="1118">
                  <c:v>15.37</c:v>
                </c:pt>
                <c:pt idx="1119">
                  <c:v>15.52</c:v>
                </c:pt>
                <c:pt idx="1120">
                  <c:v>14.94</c:v>
                </c:pt>
                <c:pt idx="1121">
                  <c:v>14.89</c:v>
                </c:pt>
                <c:pt idx="1122">
                  <c:v>14.6</c:v>
                </c:pt>
                <c:pt idx="1123">
                  <c:v>14.4</c:v>
                </c:pt>
                <c:pt idx="1124">
                  <c:v>14.13</c:v>
                </c:pt>
                <c:pt idx="1125">
                  <c:v>14.07</c:v>
                </c:pt>
                <c:pt idx="1126">
                  <c:v>14.09</c:v>
                </c:pt>
                <c:pt idx="1127">
                  <c:v>13.84</c:v>
                </c:pt>
                <c:pt idx="1128">
                  <c:v>14.04</c:v>
                </c:pt>
                <c:pt idx="1129">
                  <c:v>14.73</c:v>
                </c:pt>
                <c:pt idx="1130">
                  <c:v>14.81</c:v>
                </c:pt>
                <c:pt idx="1131">
                  <c:v>14.83</c:v>
                </c:pt>
                <c:pt idx="1132">
                  <c:v>15.23</c:v>
                </c:pt>
                <c:pt idx="1133">
                  <c:v>15.09</c:v>
                </c:pt>
                <c:pt idx="1134">
                  <c:v>15.21</c:v>
                </c:pt>
                <c:pt idx="1135">
                  <c:v>15.54</c:v>
                </c:pt>
                <c:pt idx="1136">
                  <c:v>15.6</c:v>
                </c:pt>
                <c:pt idx="1137">
                  <c:v>15.49</c:v>
                </c:pt>
                <c:pt idx="1138">
                  <c:v>15.65</c:v>
                </c:pt>
                <c:pt idx="1139">
                  <c:v>15.17</c:v>
                </c:pt>
                <c:pt idx="1140">
                  <c:v>15.29</c:v>
                </c:pt>
                <c:pt idx="1141">
                  <c:v>15.1</c:v>
                </c:pt>
                <c:pt idx="1142">
                  <c:v>14.69</c:v>
                </c:pt>
                <c:pt idx="1143">
                  <c:v>14.79</c:v>
                </c:pt>
                <c:pt idx="1144">
                  <c:v>14.94</c:v>
                </c:pt>
                <c:pt idx="1145">
                  <c:v>15</c:v>
                </c:pt>
                <c:pt idx="1146">
                  <c:v>15.43</c:v>
                </c:pt>
                <c:pt idx="1147">
                  <c:v>15.18</c:v>
                </c:pt>
                <c:pt idx="1148">
                  <c:v>15.02</c:v>
                </c:pt>
                <c:pt idx="1149">
                  <c:v>15.34</c:v>
                </c:pt>
                <c:pt idx="1150">
                  <c:v>15.69</c:v>
                </c:pt>
                <c:pt idx="1151">
                  <c:v>15.45</c:v>
                </c:pt>
                <c:pt idx="1152">
                  <c:v>15.31</c:v>
                </c:pt>
                <c:pt idx="1153">
                  <c:v>15.54</c:v>
                </c:pt>
                <c:pt idx="1154">
                  <c:v>15.48</c:v>
                </c:pt>
                <c:pt idx="1155">
                  <c:v>15.1</c:v>
                </c:pt>
                <c:pt idx="1156">
                  <c:v>15.79</c:v>
                </c:pt>
                <c:pt idx="1157">
                  <c:v>16.03</c:v>
                </c:pt>
                <c:pt idx="1158">
                  <c:v>16.27</c:v>
                </c:pt>
                <c:pt idx="1159">
                  <c:v>16.39</c:v>
                </c:pt>
                <c:pt idx="1160">
                  <c:v>16.14</c:v>
                </c:pt>
                <c:pt idx="1161">
                  <c:v>16.47</c:v>
                </c:pt>
                <c:pt idx="1162">
                  <c:v>16.41</c:v>
                </c:pt>
                <c:pt idx="1163">
                  <c:v>16.329999999999998</c:v>
                </c:pt>
                <c:pt idx="1164">
                  <c:v>15.29</c:v>
                </c:pt>
                <c:pt idx="1165">
                  <c:v>15.92</c:v>
                </c:pt>
                <c:pt idx="1166">
                  <c:v>16.489999999999998</c:v>
                </c:pt>
                <c:pt idx="1167">
                  <c:v>16.32</c:v>
                </c:pt>
                <c:pt idx="1168">
                  <c:v>16.95</c:v>
                </c:pt>
                <c:pt idx="1169">
                  <c:v>16.53</c:v>
                </c:pt>
                <c:pt idx="1170">
                  <c:v>16.97</c:v>
                </c:pt>
                <c:pt idx="1171">
                  <c:v>16.75</c:v>
                </c:pt>
                <c:pt idx="1172">
                  <c:v>16.920000000000002</c:v>
                </c:pt>
                <c:pt idx="1173">
                  <c:v>17.39</c:v>
                </c:pt>
                <c:pt idx="1174">
                  <c:v>17.64</c:v>
                </c:pt>
                <c:pt idx="1175">
                  <c:v>17.72</c:v>
                </c:pt>
                <c:pt idx="1176">
                  <c:v>17.45</c:v>
                </c:pt>
                <c:pt idx="1177">
                  <c:v>18.38</c:v>
                </c:pt>
                <c:pt idx="1178">
                  <c:v>18.39</c:v>
                </c:pt>
                <c:pt idx="1179">
                  <c:v>18.170000000000002</c:v>
                </c:pt>
                <c:pt idx="1180">
                  <c:v>18.97</c:v>
                </c:pt>
                <c:pt idx="1181">
                  <c:v>18.38</c:v>
                </c:pt>
                <c:pt idx="1182">
                  <c:v>18.18</c:v>
                </c:pt>
                <c:pt idx="1183">
                  <c:v>17.64</c:v>
                </c:pt>
                <c:pt idx="1184">
                  <c:v>17.52</c:v>
                </c:pt>
                <c:pt idx="1185">
                  <c:v>17.350000000000001</c:v>
                </c:pt>
                <c:pt idx="1186">
                  <c:v>16.87</c:v>
                </c:pt>
                <c:pt idx="1187">
                  <c:v>16.920000000000002</c:v>
                </c:pt>
                <c:pt idx="1188">
                  <c:v>16.510000000000002</c:v>
                </c:pt>
                <c:pt idx="1189">
                  <c:v>16.29</c:v>
                </c:pt>
                <c:pt idx="1190">
                  <c:v>16.53</c:v>
                </c:pt>
                <c:pt idx="1191">
                  <c:v>16.61</c:v>
                </c:pt>
                <c:pt idx="1192">
                  <c:v>16.559999999999999</c:v>
                </c:pt>
                <c:pt idx="1193">
                  <c:v>16.54</c:v>
                </c:pt>
                <c:pt idx="1194">
                  <c:v>16.32</c:v>
                </c:pt>
                <c:pt idx="1195">
                  <c:v>16.09</c:v>
                </c:pt>
                <c:pt idx="1196">
                  <c:v>16.03</c:v>
                </c:pt>
                <c:pt idx="1197">
                  <c:v>16.34</c:v>
                </c:pt>
                <c:pt idx="1198">
                  <c:v>16.440000000000001</c:v>
                </c:pt>
                <c:pt idx="1199">
                  <c:v>16.559999999999999</c:v>
                </c:pt>
                <c:pt idx="1200">
                  <c:v>16.5</c:v>
                </c:pt>
                <c:pt idx="1201">
                  <c:v>16.36</c:v>
                </c:pt>
                <c:pt idx="1202">
                  <c:v>16.46</c:v>
                </c:pt>
                <c:pt idx="1203">
                  <c:v>16.32</c:v>
                </c:pt>
                <c:pt idx="1204">
                  <c:v>16.53</c:v>
                </c:pt>
                <c:pt idx="1205">
                  <c:v>16.79</c:v>
                </c:pt>
                <c:pt idx="1206">
                  <c:v>16.53</c:v>
                </c:pt>
                <c:pt idx="1207">
                  <c:v>16.52</c:v>
                </c:pt>
                <c:pt idx="1208">
                  <c:v>16.059999999999999</c:v>
                </c:pt>
                <c:pt idx="1209">
                  <c:v>15.81</c:v>
                </c:pt>
                <c:pt idx="1210">
                  <c:v>15.57</c:v>
                </c:pt>
                <c:pt idx="1211">
                  <c:v>15.73</c:v>
                </c:pt>
                <c:pt idx="1212">
                  <c:v>15.79</c:v>
                </c:pt>
                <c:pt idx="1213">
                  <c:v>15.31</c:v>
                </c:pt>
                <c:pt idx="1214">
                  <c:v>15.24</c:v>
                </c:pt>
                <c:pt idx="1215">
                  <c:v>15.59</c:v>
                </c:pt>
                <c:pt idx="1216">
                  <c:v>15.38</c:v>
                </c:pt>
                <c:pt idx="1217">
                  <c:v>15.49</c:v>
                </c:pt>
                <c:pt idx="1218">
                  <c:v>15.58</c:v>
                </c:pt>
                <c:pt idx="1219">
                  <c:v>15.54</c:v>
                </c:pt>
                <c:pt idx="1220">
                  <c:v>15.44</c:v>
                </c:pt>
                <c:pt idx="1221">
                  <c:v>15.41</c:v>
                </c:pt>
                <c:pt idx="1222">
                  <c:v>15.17</c:v>
                </c:pt>
                <c:pt idx="1223">
                  <c:v>15.22</c:v>
                </c:pt>
                <c:pt idx="1224">
                  <c:v>14.8</c:v>
                </c:pt>
                <c:pt idx="1225">
                  <c:v>15.07</c:v>
                </c:pt>
                <c:pt idx="1226">
                  <c:v>14.99</c:v>
                </c:pt>
                <c:pt idx="1227">
                  <c:v>15.19</c:v>
                </c:pt>
                <c:pt idx="1228">
                  <c:v>15.01</c:v>
                </c:pt>
                <c:pt idx="1229">
                  <c:v>15.46</c:v>
                </c:pt>
                <c:pt idx="1230">
                  <c:v>15.17</c:v>
                </c:pt>
                <c:pt idx="1231">
                  <c:v>15.05</c:v>
                </c:pt>
                <c:pt idx="1232">
                  <c:v>15.01</c:v>
                </c:pt>
                <c:pt idx="1233">
                  <c:v>15.44</c:v>
                </c:pt>
                <c:pt idx="1234">
                  <c:v>15.98</c:v>
                </c:pt>
                <c:pt idx="1235">
                  <c:v>15.99</c:v>
                </c:pt>
                <c:pt idx="1236">
                  <c:v>15.86</c:v>
                </c:pt>
                <c:pt idx="1237">
                  <c:v>15.88</c:v>
                </c:pt>
                <c:pt idx="1238">
                  <c:v>16.2</c:v>
                </c:pt>
                <c:pt idx="1239">
                  <c:v>16.38</c:v>
                </c:pt>
                <c:pt idx="1240">
                  <c:v>16.75</c:v>
                </c:pt>
                <c:pt idx="1241">
                  <c:v>16.82</c:v>
                </c:pt>
                <c:pt idx="1242">
                  <c:v>17.12</c:v>
                </c:pt>
                <c:pt idx="1243">
                  <c:v>16.899999999999999</c:v>
                </c:pt>
                <c:pt idx="1244">
                  <c:v>16.68</c:v>
                </c:pt>
                <c:pt idx="1245">
                  <c:v>16.739999999999998</c:v>
                </c:pt>
                <c:pt idx="1246">
                  <c:v>16.7</c:v>
                </c:pt>
                <c:pt idx="1247">
                  <c:v>16.7</c:v>
                </c:pt>
                <c:pt idx="1248">
                  <c:v>17.170000000000002</c:v>
                </c:pt>
                <c:pt idx="1249">
                  <c:v>17.23</c:v>
                </c:pt>
                <c:pt idx="1250">
                  <c:v>17.100000000000001</c:v>
                </c:pt>
                <c:pt idx="1251">
                  <c:v>16.78</c:v>
                </c:pt>
                <c:pt idx="1252">
                  <c:v>16.98</c:v>
                </c:pt>
                <c:pt idx="1253">
                  <c:v>16.920000000000002</c:v>
                </c:pt>
                <c:pt idx="1254">
                  <c:v>16.88</c:v>
                </c:pt>
                <c:pt idx="1255">
                  <c:v>16.72</c:v>
                </c:pt>
                <c:pt idx="1256">
                  <c:v>16.670000000000002</c:v>
                </c:pt>
                <c:pt idx="1257">
                  <c:v>15.98</c:v>
                </c:pt>
                <c:pt idx="1258">
                  <c:v>15.88</c:v>
                </c:pt>
                <c:pt idx="1259">
                  <c:v>16.14</c:v>
                </c:pt>
                <c:pt idx="1260">
                  <c:v>15.82</c:v>
                </c:pt>
                <c:pt idx="1261">
                  <c:v>15.79</c:v>
                </c:pt>
                <c:pt idx="1262">
                  <c:v>15.74</c:v>
                </c:pt>
                <c:pt idx="1263">
                  <c:v>15.81</c:v>
                </c:pt>
                <c:pt idx="1264">
                  <c:v>15.74</c:v>
                </c:pt>
                <c:pt idx="1265">
                  <c:v>15.49</c:v>
                </c:pt>
                <c:pt idx="1266">
                  <c:v>15.18</c:v>
                </c:pt>
                <c:pt idx="1267">
                  <c:v>15.45</c:v>
                </c:pt>
                <c:pt idx="1268">
                  <c:v>15.45</c:v>
                </c:pt>
                <c:pt idx="1269">
                  <c:v>15.19</c:v>
                </c:pt>
                <c:pt idx="1270">
                  <c:v>15.11</c:v>
                </c:pt>
                <c:pt idx="1271">
                  <c:v>15.31</c:v>
                </c:pt>
                <c:pt idx="1272">
                  <c:v>15.13</c:v>
                </c:pt>
                <c:pt idx="1273">
                  <c:v>14.97</c:v>
                </c:pt>
                <c:pt idx="1274">
                  <c:v>15</c:v>
                </c:pt>
                <c:pt idx="1275">
                  <c:v>15.3</c:v>
                </c:pt>
                <c:pt idx="1276">
                  <c:v>15.24</c:v>
                </c:pt>
                <c:pt idx="1277">
                  <c:v>15.45</c:v>
                </c:pt>
                <c:pt idx="1278">
                  <c:v>15.38</c:v>
                </c:pt>
                <c:pt idx="1279">
                  <c:v>15.61</c:v>
                </c:pt>
                <c:pt idx="1280">
                  <c:v>15.98</c:v>
                </c:pt>
                <c:pt idx="1281">
                  <c:v>16.05</c:v>
                </c:pt>
                <c:pt idx="1282">
                  <c:v>16.07</c:v>
                </c:pt>
                <c:pt idx="1283">
                  <c:v>15.93</c:v>
                </c:pt>
                <c:pt idx="1284">
                  <c:v>16</c:v>
                </c:pt>
                <c:pt idx="1285">
                  <c:v>16.09</c:v>
                </c:pt>
                <c:pt idx="1286">
                  <c:v>16.04</c:v>
                </c:pt>
                <c:pt idx="1287">
                  <c:v>16.02</c:v>
                </c:pt>
                <c:pt idx="1288">
                  <c:v>15.94</c:v>
                </c:pt>
                <c:pt idx="1289">
                  <c:v>15.9</c:v>
                </c:pt>
                <c:pt idx="1290">
                  <c:v>15.69</c:v>
                </c:pt>
                <c:pt idx="1291">
                  <c:v>15.7</c:v>
                </c:pt>
                <c:pt idx="1292">
                  <c:v>15.85</c:v>
                </c:pt>
                <c:pt idx="1293">
                  <c:v>15.9</c:v>
                </c:pt>
                <c:pt idx="1294">
                  <c:v>16.13</c:v>
                </c:pt>
                <c:pt idx="1295">
                  <c:v>16.04</c:v>
                </c:pt>
                <c:pt idx="1296">
                  <c:v>16.690000000000001</c:v>
                </c:pt>
                <c:pt idx="1297">
                  <c:v>16.87</c:v>
                </c:pt>
                <c:pt idx="1298">
                  <c:v>17.22</c:v>
                </c:pt>
                <c:pt idx="1299">
                  <c:v>17.670000000000002</c:v>
                </c:pt>
                <c:pt idx="1300">
                  <c:v>17.66</c:v>
                </c:pt>
                <c:pt idx="1301">
                  <c:v>17.170000000000002</c:v>
                </c:pt>
                <c:pt idx="1302">
                  <c:v>17.22</c:v>
                </c:pt>
                <c:pt idx="1303">
                  <c:v>16.809999999999999</c:v>
                </c:pt>
                <c:pt idx="1304">
                  <c:v>16.52</c:v>
                </c:pt>
                <c:pt idx="1305">
                  <c:v>16.95</c:v>
                </c:pt>
                <c:pt idx="1306">
                  <c:v>16.88</c:v>
                </c:pt>
                <c:pt idx="1307">
                  <c:v>16.75</c:v>
                </c:pt>
                <c:pt idx="1308">
                  <c:v>16.87</c:v>
                </c:pt>
                <c:pt idx="1309">
                  <c:v>17.579999999999998</c:v>
                </c:pt>
                <c:pt idx="1310">
                  <c:v>17.489999999999998</c:v>
                </c:pt>
                <c:pt idx="1311">
                  <c:v>17.3</c:v>
                </c:pt>
                <c:pt idx="1312">
                  <c:v>16.8</c:v>
                </c:pt>
                <c:pt idx="1313">
                  <c:v>16.84</c:v>
                </c:pt>
                <c:pt idx="1314">
                  <c:v>17.39</c:v>
                </c:pt>
                <c:pt idx="1315">
                  <c:v>17.809999999999999</c:v>
                </c:pt>
                <c:pt idx="1316">
                  <c:v>17.45</c:v>
                </c:pt>
                <c:pt idx="1317">
                  <c:v>17.47</c:v>
                </c:pt>
                <c:pt idx="1318">
                  <c:v>17.079999999999998</c:v>
                </c:pt>
                <c:pt idx="1319">
                  <c:v>16.89</c:v>
                </c:pt>
                <c:pt idx="1320">
                  <c:v>17.21</c:v>
                </c:pt>
                <c:pt idx="1321">
                  <c:v>16.86</c:v>
                </c:pt>
                <c:pt idx="1322">
                  <c:v>17.04</c:v>
                </c:pt>
                <c:pt idx="1323">
                  <c:v>17.39</c:v>
                </c:pt>
                <c:pt idx="1324">
                  <c:v>17.5</c:v>
                </c:pt>
                <c:pt idx="1325">
                  <c:v>16.989999999999998</c:v>
                </c:pt>
                <c:pt idx="1326">
                  <c:v>16.41</c:v>
                </c:pt>
                <c:pt idx="1327">
                  <c:v>15.57</c:v>
                </c:pt>
                <c:pt idx="1328">
                  <c:v>15.59</c:v>
                </c:pt>
                <c:pt idx="1329">
                  <c:v>15.45</c:v>
                </c:pt>
                <c:pt idx="1330">
                  <c:v>14.78</c:v>
                </c:pt>
                <c:pt idx="1331">
                  <c:v>14.49</c:v>
                </c:pt>
                <c:pt idx="1332">
                  <c:v>14.5</c:v>
                </c:pt>
                <c:pt idx="1333">
                  <c:v>14.28</c:v>
                </c:pt>
                <c:pt idx="1334">
                  <c:v>14.23</c:v>
                </c:pt>
                <c:pt idx="1335">
                  <c:v>14.18</c:v>
                </c:pt>
                <c:pt idx="1336">
                  <c:v>14.61</c:v>
                </c:pt>
                <c:pt idx="1337">
                  <c:v>14.85</c:v>
                </c:pt>
                <c:pt idx="1338">
                  <c:v>14.93</c:v>
                </c:pt>
                <c:pt idx="1339">
                  <c:v>14.93</c:v>
                </c:pt>
                <c:pt idx="1340">
                  <c:v>15.07</c:v>
                </c:pt>
                <c:pt idx="1341">
                  <c:v>14.99</c:v>
                </c:pt>
                <c:pt idx="1342">
                  <c:v>14.79</c:v>
                </c:pt>
                <c:pt idx="1343">
                  <c:v>14.77</c:v>
                </c:pt>
                <c:pt idx="1344">
                  <c:v>14.79</c:v>
                </c:pt>
                <c:pt idx="1345">
                  <c:v>14.75</c:v>
                </c:pt>
                <c:pt idx="1346">
                  <c:v>14.56</c:v>
                </c:pt>
                <c:pt idx="1347">
                  <c:v>15.04</c:v>
                </c:pt>
                <c:pt idx="1348">
                  <c:v>15.04</c:v>
                </c:pt>
                <c:pt idx="1349">
                  <c:v>14.68</c:v>
                </c:pt>
                <c:pt idx="1350">
                  <c:v>14.46</c:v>
                </c:pt>
                <c:pt idx="1351">
                  <c:v>14.63</c:v>
                </c:pt>
                <c:pt idx="1352">
                  <c:v>14.62</c:v>
                </c:pt>
                <c:pt idx="1353">
                  <c:v>14.74</c:v>
                </c:pt>
                <c:pt idx="1354">
                  <c:v>14.67</c:v>
                </c:pt>
                <c:pt idx="1355">
                  <c:v>14.51</c:v>
                </c:pt>
                <c:pt idx="1356">
                  <c:v>14.34</c:v>
                </c:pt>
                <c:pt idx="1357">
                  <c:v>14.32</c:v>
                </c:pt>
                <c:pt idx="1358">
                  <c:v>14.6</c:v>
                </c:pt>
                <c:pt idx="1359">
                  <c:v>15.14</c:v>
                </c:pt>
                <c:pt idx="1360">
                  <c:v>17.22</c:v>
                </c:pt>
                <c:pt idx="1361">
                  <c:v>17</c:v>
                </c:pt>
                <c:pt idx="1362">
                  <c:v>17.48</c:v>
                </c:pt>
                <c:pt idx="1363">
                  <c:v>17.36</c:v>
                </c:pt>
                <c:pt idx="1364">
                  <c:v>17.37</c:v>
                </c:pt>
                <c:pt idx="1365">
                  <c:v>16.75</c:v>
                </c:pt>
                <c:pt idx="1366">
                  <c:v>17.010000000000002</c:v>
                </c:pt>
                <c:pt idx="1367">
                  <c:v>16.84</c:v>
                </c:pt>
                <c:pt idx="1368">
                  <c:v>16.190000000000001</c:v>
                </c:pt>
                <c:pt idx="1369">
                  <c:v>15.71</c:v>
                </c:pt>
                <c:pt idx="1370">
                  <c:v>15.18</c:v>
                </c:pt>
                <c:pt idx="1371">
                  <c:v>15.01</c:v>
                </c:pt>
                <c:pt idx="1372">
                  <c:v>14.93</c:v>
                </c:pt>
                <c:pt idx="1373">
                  <c:v>14.55</c:v>
                </c:pt>
                <c:pt idx="1374">
                  <c:v>14.38</c:v>
                </c:pt>
                <c:pt idx="1375">
                  <c:v>14.44</c:v>
                </c:pt>
                <c:pt idx="1376">
                  <c:v>14.91</c:v>
                </c:pt>
                <c:pt idx="1377">
                  <c:v>14.99</c:v>
                </c:pt>
                <c:pt idx="1378">
                  <c:v>15.41</c:v>
                </c:pt>
                <c:pt idx="1379">
                  <c:v>15.66</c:v>
                </c:pt>
                <c:pt idx="1380">
                  <c:v>15.9</c:v>
                </c:pt>
                <c:pt idx="1381">
                  <c:v>15.74</c:v>
                </c:pt>
                <c:pt idx="1382">
                  <c:v>15.53</c:v>
                </c:pt>
                <c:pt idx="1383">
                  <c:v>15.45</c:v>
                </c:pt>
                <c:pt idx="1384">
                  <c:v>14.68</c:v>
                </c:pt>
                <c:pt idx="1385">
                  <c:v>14.71</c:v>
                </c:pt>
                <c:pt idx="1386">
                  <c:v>15.8</c:v>
                </c:pt>
                <c:pt idx="1387">
                  <c:v>15.34</c:v>
                </c:pt>
                <c:pt idx="1388">
                  <c:v>15.6</c:v>
                </c:pt>
                <c:pt idx="1389">
                  <c:v>15.96</c:v>
                </c:pt>
                <c:pt idx="1390">
                  <c:v>16.399999999999999</c:v>
                </c:pt>
                <c:pt idx="1391">
                  <c:v>16.399999999999999</c:v>
                </c:pt>
                <c:pt idx="1392">
                  <c:v>16.190000000000001</c:v>
                </c:pt>
                <c:pt idx="1393">
                  <c:v>16.32</c:v>
                </c:pt>
                <c:pt idx="1394">
                  <c:v>16.399999999999999</c:v>
                </c:pt>
                <c:pt idx="1395">
                  <c:v>16.190000000000001</c:v>
                </c:pt>
                <c:pt idx="1396">
                  <c:v>16.64</c:v>
                </c:pt>
                <c:pt idx="1397">
                  <c:v>16.649999999999999</c:v>
                </c:pt>
                <c:pt idx="1398">
                  <c:v>16.3</c:v>
                </c:pt>
                <c:pt idx="1399">
                  <c:v>16.62</c:v>
                </c:pt>
                <c:pt idx="1400">
                  <c:v>16.579999999999998</c:v>
                </c:pt>
                <c:pt idx="1401">
                  <c:v>15.84</c:v>
                </c:pt>
                <c:pt idx="1402">
                  <c:v>15.09</c:v>
                </c:pt>
                <c:pt idx="1403">
                  <c:v>14.94</c:v>
                </c:pt>
                <c:pt idx="1404">
                  <c:v>15.28</c:v>
                </c:pt>
                <c:pt idx="1405">
                  <c:v>14.98</c:v>
                </c:pt>
                <c:pt idx="1406">
                  <c:v>14.87</c:v>
                </c:pt>
                <c:pt idx="1407">
                  <c:v>14.96</c:v>
                </c:pt>
                <c:pt idx="1408">
                  <c:v>15.18</c:v>
                </c:pt>
                <c:pt idx="1409">
                  <c:v>15.17</c:v>
                </c:pt>
                <c:pt idx="1410">
                  <c:v>14.91</c:v>
                </c:pt>
                <c:pt idx="1411">
                  <c:v>14.76</c:v>
                </c:pt>
                <c:pt idx="1412">
                  <c:v>14.52</c:v>
                </c:pt>
                <c:pt idx="1413">
                  <c:v>15.1</c:v>
                </c:pt>
                <c:pt idx="1414">
                  <c:v>15.54</c:v>
                </c:pt>
                <c:pt idx="1415">
                  <c:v>15.15</c:v>
                </c:pt>
                <c:pt idx="1416">
                  <c:v>14.8</c:v>
                </c:pt>
                <c:pt idx="1417">
                  <c:v>14.85</c:v>
                </c:pt>
                <c:pt idx="1418">
                  <c:v>14.74</c:v>
                </c:pt>
                <c:pt idx="1419">
                  <c:v>14.18</c:v>
                </c:pt>
                <c:pt idx="1420">
                  <c:v>14.14</c:v>
                </c:pt>
                <c:pt idx="1421">
                  <c:v>14.29</c:v>
                </c:pt>
                <c:pt idx="1422">
                  <c:v>14.02</c:v>
                </c:pt>
                <c:pt idx="1423">
                  <c:v>13.64</c:v>
                </c:pt>
                <c:pt idx="1424">
                  <c:v>13.89</c:v>
                </c:pt>
                <c:pt idx="1425">
                  <c:v>14.73</c:v>
                </c:pt>
                <c:pt idx="1426">
                  <c:v>14.55</c:v>
                </c:pt>
                <c:pt idx="1427">
                  <c:v>14.48</c:v>
                </c:pt>
                <c:pt idx="1428">
                  <c:v>14.38</c:v>
                </c:pt>
                <c:pt idx="1429">
                  <c:v>13.66</c:v>
                </c:pt>
                <c:pt idx="1430">
                  <c:v>14.39</c:v>
                </c:pt>
                <c:pt idx="1431">
                  <c:v>14.43</c:v>
                </c:pt>
                <c:pt idx="1432">
                  <c:v>14.02</c:v>
                </c:pt>
                <c:pt idx="1433">
                  <c:v>14.07</c:v>
                </c:pt>
                <c:pt idx="1434">
                  <c:v>14.42</c:v>
                </c:pt>
                <c:pt idx="1435">
                  <c:v>13.47</c:v>
                </c:pt>
                <c:pt idx="1436">
                  <c:v>12.92</c:v>
                </c:pt>
                <c:pt idx="1437">
                  <c:v>12.81</c:v>
                </c:pt>
                <c:pt idx="1438">
                  <c:v>13.23</c:v>
                </c:pt>
                <c:pt idx="1439">
                  <c:v>13.34</c:v>
                </c:pt>
                <c:pt idx="1440">
                  <c:v>12.95</c:v>
                </c:pt>
                <c:pt idx="1441">
                  <c:v>12.75</c:v>
                </c:pt>
                <c:pt idx="1442">
                  <c:v>12.81</c:v>
                </c:pt>
                <c:pt idx="1443">
                  <c:v>12.7</c:v>
                </c:pt>
                <c:pt idx="1444">
                  <c:v>13.18</c:v>
                </c:pt>
                <c:pt idx="1445">
                  <c:v>13.35</c:v>
                </c:pt>
                <c:pt idx="1446">
                  <c:v>13.55</c:v>
                </c:pt>
                <c:pt idx="1447">
                  <c:v>13.63</c:v>
                </c:pt>
                <c:pt idx="1448">
                  <c:v>14.09</c:v>
                </c:pt>
                <c:pt idx="1449">
                  <c:v>13.6</c:v>
                </c:pt>
                <c:pt idx="1450">
                  <c:v>13.74</c:v>
                </c:pt>
                <c:pt idx="1451">
                  <c:v>13.42</c:v>
                </c:pt>
                <c:pt idx="1452">
                  <c:v>13.99</c:v>
                </c:pt>
                <c:pt idx="1453">
                  <c:v>13.22</c:v>
                </c:pt>
                <c:pt idx="1454">
                  <c:v>13.51</c:v>
                </c:pt>
                <c:pt idx="1455">
                  <c:v>13.6</c:v>
                </c:pt>
                <c:pt idx="1456">
                  <c:v>13.39</c:v>
                </c:pt>
                <c:pt idx="1457">
                  <c:v>13.23</c:v>
                </c:pt>
                <c:pt idx="1458">
                  <c:v>12.66</c:v>
                </c:pt>
                <c:pt idx="1459">
                  <c:v>13.05</c:v>
                </c:pt>
                <c:pt idx="1460">
                  <c:v>12.53</c:v>
                </c:pt>
                <c:pt idx="1461">
                  <c:v>13.16</c:v>
                </c:pt>
                <c:pt idx="1462">
                  <c:v>12.5</c:v>
                </c:pt>
                <c:pt idx="1463">
                  <c:v>12.58</c:v>
                </c:pt>
                <c:pt idx="1464">
                  <c:v>13.23</c:v>
                </c:pt>
                <c:pt idx="1465">
                  <c:v>12.98</c:v>
                </c:pt>
                <c:pt idx="1466">
                  <c:v>12.48</c:v>
                </c:pt>
                <c:pt idx="1467">
                  <c:v>12.75</c:v>
                </c:pt>
                <c:pt idx="1468">
                  <c:v>11.97</c:v>
                </c:pt>
                <c:pt idx="1469">
                  <c:v>12.14</c:v>
                </c:pt>
                <c:pt idx="1470">
                  <c:v>11.98</c:v>
                </c:pt>
                <c:pt idx="1471">
                  <c:v>12.22</c:v>
                </c:pt>
                <c:pt idx="1472">
                  <c:v>12.02</c:v>
                </c:pt>
                <c:pt idx="1473">
                  <c:v>12.84</c:v>
                </c:pt>
                <c:pt idx="1474">
                  <c:v>12.66</c:v>
                </c:pt>
                <c:pt idx="1475">
                  <c:v>12.63</c:v>
                </c:pt>
                <c:pt idx="1476">
                  <c:v>12.75</c:v>
                </c:pt>
                <c:pt idx="1477">
                  <c:v>13.9</c:v>
                </c:pt>
                <c:pt idx="1478">
                  <c:v>13.63</c:v>
                </c:pt>
                <c:pt idx="1479">
                  <c:v>13.51</c:v>
                </c:pt>
                <c:pt idx="1480">
                  <c:v>13</c:v>
                </c:pt>
                <c:pt idx="1481">
                  <c:v>12.68</c:v>
                </c:pt>
                <c:pt idx="1482">
                  <c:v>12.15</c:v>
                </c:pt>
                <c:pt idx="1483">
                  <c:v>11.73</c:v>
                </c:pt>
                <c:pt idx="1484">
                  <c:v>11.74</c:v>
                </c:pt>
                <c:pt idx="1485">
                  <c:v>12.24</c:v>
                </c:pt>
                <c:pt idx="1486">
                  <c:v>11.34</c:v>
                </c:pt>
                <c:pt idx="1487">
                  <c:v>11.17</c:v>
                </c:pt>
                <c:pt idx="1488">
                  <c:v>11.32</c:v>
                </c:pt>
                <c:pt idx="1489">
                  <c:v>11.28</c:v>
                </c:pt>
                <c:pt idx="1490">
                  <c:v>11.59</c:v>
                </c:pt>
                <c:pt idx="1491">
                  <c:v>11.01</c:v>
                </c:pt>
                <c:pt idx="1492">
                  <c:v>11.59</c:v>
                </c:pt>
                <c:pt idx="1493">
                  <c:v>11.61</c:v>
                </c:pt>
                <c:pt idx="1494">
                  <c:v>12.41</c:v>
                </c:pt>
                <c:pt idx="1495">
                  <c:v>12.1</c:v>
                </c:pt>
                <c:pt idx="1496">
                  <c:v>12.22</c:v>
                </c:pt>
                <c:pt idx="1497">
                  <c:v>13.13</c:v>
                </c:pt>
                <c:pt idx="1498">
                  <c:v>13.07</c:v>
                </c:pt>
                <c:pt idx="1499">
                  <c:v>12.71</c:v>
                </c:pt>
                <c:pt idx="1500">
                  <c:v>13</c:v>
                </c:pt>
                <c:pt idx="1501">
                  <c:v>12.86</c:v>
                </c:pt>
                <c:pt idx="1502">
                  <c:v>12.85</c:v>
                </c:pt>
                <c:pt idx="1503">
                  <c:v>12.2</c:v>
                </c:pt>
                <c:pt idx="1504">
                  <c:v>11.97</c:v>
                </c:pt>
                <c:pt idx="1505">
                  <c:v>11.88</c:v>
                </c:pt>
                <c:pt idx="1506">
                  <c:v>12.34</c:v>
                </c:pt>
                <c:pt idx="1507">
                  <c:v>12.32</c:v>
                </c:pt>
                <c:pt idx="1508">
                  <c:v>12.42</c:v>
                </c:pt>
                <c:pt idx="1509">
                  <c:v>12.35</c:v>
                </c:pt>
                <c:pt idx="1510">
                  <c:v>13.03</c:v>
                </c:pt>
                <c:pt idx="1511">
                  <c:v>12.72</c:v>
                </c:pt>
                <c:pt idx="1512">
                  <c:v>13.11</c:v>
                </c:pt>
                <c:pt idx="1513">
                  <c:v>13.36</c:v>
                </c:pt>
                <c:pt idx="1514">
                  <c:v>12.73</c:v>
                </c:pt>
                <c:pt idx="1515">
                  <c:v>13.15</c:v>
                </c:pt>
                <c:pt idx="1516">
                  <c:v>12.73</c:v>
                </c:pt>
                <c:pt idx="1517">
                  <c:v>13.4</c:v>
                </c:pt>
                <c:pt idx="1518">
                  <c:v>12.19</c:v>
                </c:pt>
                <c:pt idx="1519">
                  <c:v>12.2</c:v>
                </c:pt>
                <c:pt idx="1520">
                  <c:v>11.66</c:v>
                </c:pt>
                <c:pt idx="1521">
                  <c:v>11.05</c:v>
                </c:pt>
                <c:pt idx="1522">
                  <c:v>11.5</c:v>
                </c:pt>
                <c:pt idx="1523">
                  <c:v>11.5</c:v>
                </c:pt>
                <c:pt idx="1524">
                  <c:v>10.74</c:v>
                </c:pt>
                <c:pt idx="1525">
                  <c:v>11.51</c:v>
                </c:pt>
                <c:pt idx="1526">
                  <c:v>10.58</c:v>
                </c:pt>
                <c:pt idx="1527">
                  <c:v>10.07</c:v>
                </c:pt>
                <c:pt idx="1528">
                  <c:v>10.210000000000001</c:v>
                </c:pt>
                <c:pt idx="1529">
                  <c:v>9.39</c:v>
                </c:pt>
                <c:pt idx="1530">
                  <c:v>8.9499999999999993</c:v>
                </c:pt>
                <c:pt idx="1531">
                  <c:v>9.14</c:v>
                </c:pt>
                <c:pt idx="1532">
                  <c:v>11.55</c:v>
                </c:pt>
                <c:pt idx="1533">
                  <c:v>10.63</c:v>
                </c:pt>
                <c:pt idx="1534">
                  <c:v>10.82</c:v>
                </c:pt>
                <c:pt idx="1535">
                  <c:v>11.15</c:v>
                </c:pt>
                <c:pt idx="1536">
                  <c:v>10.34</c:v>
                </c:pt>
                <c:pt idx="1537">
                  <c:v>11.35</c:v>
                </c:pt>
                <c:pt idx="1538">
                  <c:v>11.87</c:v>
                </c:pt>
                <c:pt idx="1539">
                  <c:v>12.2</c:v>
                </c:pt>
                <c:pt idx="1540">
                  <c:v>13.96</c:v>
                </c:pt>
                <c:pt idx="1541">
                  <c:v>13.92</c:v>
                </c:pt>
                <c:pt idx="1542">
                  <c:v>13.35</c:v>
                </c:pt>
                <c:pt idx="1543">
                  <c:v>12.75</c:v>
                </c:pt>
                <c:pt idx="1544">
                  <c:v>12.82</c:v>
                </c:pt>
                <c:pt idx="1545">
                  <c:v>12.93</c:v>
                </c:pt>
                <c:pt idx="1546">
                  <c:v>12.14</c:v>
                </c:pt>
                <c:pt idx="1547">
                  <c:v>12.36</c:v>
                </c:pt>
                <c:pt idx="1548">
                  <c:v>11.58</c:v>
                </c:pt>
                <c:pt idx="1549">
                  <c:v>12.1</c:v>
                </c:pt>
                <c:pt idx="1550">
                  <c:v>12.65</c:v>
                </c:pt>
                <c:pt idx="1551">
                  <c:v>12.39</c:v>
                </c:pt>
                <c:pt idx="1552">
                  <c:v>12.07</c:v>
                </c:pt>
                <c:pt idx="1553">
                  <c:v>12.86</c:v>
                </c:pt>
                <c:pt idx="1554">
                  <c:v>12.9</c:v>
                </c:pt>
                <c:pt idx="1555">
                  <c:v>12.99</c:v>
                </c:pt>
                <c:pt idx="1556">
                  <c:v>11.75</c:v>
                </c:pt>
                <c:pt idx="1557">
                  <c:v>12.65</c:v>
                </c:pt>
                <c:pt idx="1558">
                  <c:v>13.49</c:v>
                </c:pt>
                <c:pt idx="1559">
                  <c:v>12.29</c:v>
                </c:pt>
                <c:pt idx="1560">
                  <c:v>12.65</c:v>
                </c:pt>
                <c:pt idx="1561">
                  <c:v>13.76</c:v>
                </c:pt>
                <c:pt idx="1562">
                  <c:v>14.58</c:v>
                </c:pt>
                <c:pt idx="1563">
                  <c:v>15.31</c:v>
                </c:pt>
                <c:pt idx="1564">
                  <c:v>16</c:v>
                </c:pt>
                <c:pt idx="1565">
                  <c:v>15.58</c:v>
                </c:pt>
                <c:pt idx="1566">
                  <c:v>16.96</c:v>
                </c:pt>
                <c:pt idx="1567">
                  <c:v>17.3</c:v>
                </c:pt>
                <c:pt idx="1568">
                  <c:v>16.88</c:v>
                </c:pt>
                <c:pt idx="1569">
                  <c:v>18.920000000000002</c:v>
                </c:pt>
                <c:pt idx="1570">
                  <c:v>19.2</c:v>
                </c:pt>
                <c:pt idx="1571">
                  <c:v>19.149999999999999</c:v>
                </c:pt>
                <c:pt idx="1572">
                  <c:v>18.93</c:v>
                </c:pt>
                <c:pt idx="1573">
                  <c:v>18.68</c:v>
                </c:pt>
                <c:pt idx="1574">
                  <c:v>19.89</c:v>
                </c:pt>
                <c:pt idx="1575">
                  <c:v>20.82</c:v>
                </c:pt>
                <c:pt idx="1576">
                  <c:v>18.82</c:v>
                </c:pt>
                <c:pt idx="1577">
                  <c:v>19.260000000000002</c:v>
                </c:pt>
                <c:pt idx="1578">
                  <c:v>18.850000000000001</c:v>
                </c:pt>
                <c:pt idx="1579">
                  <c:v>19.079999999999998</c:v>
                </c:pt>
                <c:pt idx="1580">
                  <c:v>18.55</c:v>
                </c:pt>
                <c:pt idx="1581">
                  <c:v>17.7</c:v>
                </c:pt>
                <c:pt idx="1582">
                  <c:v>17.579999999999998</c:v>
                </c:pt>
                <c:pt idx="1583">
                  <c:v>18.260000000000002</c:v>
                </c:pt>
                <c:pt idx="1584">
                  <c:v>18.079999999999998</c:v>
                </c:pt>
                <c:pt idx="1585">
                  <c:v>17.75</c:v>
                </c:pt>
                <c:pt idx="1586">
                  <c:v>18.760000000000002</c:v>
                </c:pt>
                <c:pt idx="1587">
                  <c:v>18.75</c:v>
                </c:pt>
                <c:pt idx="1588">
                  <c:v>19.38</c:v>
                </c:pt>
                <c:pt idx="1589">
                  <c:v>19.649999999999999</c:v>
                </c:pt>
                <c:pt idx="1590">
                  <c:v>19.37</c:v>
                </c:pt>
                <c:pt idx="1591">
                  <c:v>19.09</c:v>
                </c:pt>
                <c:pt idx="1592">
                  <c:v>19.09</c:v>
                </c:pt>
                <c:pt idx="1593">
                  <c:v>19.53</c:v>
                </c:pt>
                <c:pt idx="1594">
                  <c:v>19.11</c:v>
                </c:pt>
                <c:pt idx="1595">
                  <c:v>19.170000000000002</c:v>
                </c:pt>
                <c:pt idx="1596">
                  <c:v>19.420000000000002</c:v>
                </c:pt>
                <c:pt idx="1597">
                  <c:v>19.73</c:v>
                </c:pt>
                <c:pt idx="1598">
                  <c:v>20.440000000000001</c:v>
                </c:pt>
                <c:pt idx="1599">
                  <c:v>20.28</c:v>
                </c:pt>
                <c:pt idx="1600">
                  <c:v>20.36</c:v>
                </c:pt>
                <c:pt idx="1601">
                  <c:v>20.43</c:v>
                </c:pt>
                <c:pt idx="1602">
                  <c:v>20.260000000000002</c:v>
                </c:pt>
                <c:pt idx="1603">
                  <c:v>19.899999999999999</c:v>
                </c:pt>
                <c:pt idx="1604">
                  <c:v>20.190000000000001</c:v>
                </c:pt>
                <c:pt idx="1605">
                  <c:v>20</c:v>
                </c:pt>
                <c:pt idx="1606">
                  <c:v>19.82</c:v>
                </c:pt>
                <c:pt idx="1607">
                  <c:v>19.38</c:v>
                </c:pt>
                <c:pt idx="1608">
                  <c:v>19.8</c:v>
                </c:pt>
                <c:pt idx="1609">
                  <c:v>19.89</c:v>
                </c:pt>
                <c:pt idx="1610">
                  <c:v>20.03</c:v>
                </c:pt>
                <c:pt idx="1611">
                  <c:v>20.149999999999999</c:v>
                </c:pt>
                <c:pt idx="1612">
                  <c:v>20.12</c:v>
                </c:pt>
                <c:pt idx="1613">
                  <c:v>21.13</c:v>
                </c:pt>
                <c:pt idx="1614">
                  <c:v>20.53</c:v>
                </c:pt>
                <c:pt idx="1615">
                  <c:v>20.39</c:v>
                </c:pt>
                <c:pt idx="1616">
                  <c:v>21.4</c:v>
                </c:pt>
                <c:pt idx="1617">
                  <c:v>21.67</c:v>
                </c:pt>
                <c:pt idx="1618">
                  <c:v>22.45</c:v>
                </c:pt>
                <c:pt idx="1619">
                  <c:v>22.44</c:v>
                </c:pt>
                <c:pt idx="1620">
                  <c:v>22.48</c:v>
                </c:pt>
                <c:pt idx="1621">
                  <c:v>21.54</c:v>
                </c:pt>
                <c:pt idx="1622">
                  <c:v>22.57</c:v>
                </c:pt>
                <c:pt idx="1623">
                  <c:v>23.57</c:v>
                </c:pt>
                <c:pt idx="1624">
                  <c:v>23.5</c:v>
                </c:pt>
                <c:pt idx="1625">
                  <c:v>23.82</c:v>
                </c:pt>
                <c:pt idx="1626">
                  <c:v>24.64</c:v>
                </c:pt>
                <c:pt idx="1627">
                  <c:v>23.91</c:v>
                </c:pt>
                <c:pt idx="1628">
                  <c:v>21.35</c:v>
                </c:pt>
                <c:pt idx="1629">
                  <c:v>20.88</c:v>
                </c:pt>
                <c:pt idx="1630">
                  <c:v>20.2</c:v>
                </c:pt>
                <c:pt idx="1631">
                  <c:v>20.66</c:v>
                </c:pt>
                <c:pt idx="1632">
                  <c:v>21.33</c:v>
                </c:pt>
                <c:pt idx="1633">
                  <c:v>21.37</c:v>
                </c:pt>
                <c:pt idx="1634">
                  <c:v>22.01</c:v>
                </c:pt>
                <c:pt idx="1635">
                  <c:v>22.04</c:v>
                </c:pt>
                <c:pt idx="1636">
                  <c:v>21.45</c:v>
                </c:pt>
                <c:pt idx="1637">
                  <c:v>21.99</c:v>
                </c:pt>
                <c:pt idx="1638">
                  <c:v>22.73</c:v>
                </c:pt>
                <c:pt idx="1639">
                  <c:v>22.91</c:v>
                </c:pt>
                <c:pt idx="1640">
                  <c:v>23.25</c:v>
                </c:pt>
                <c:pt idx="1641">
                  <c:v>23.54</c:v>
                </c:pt>
                <c:pt idx="1642">
                  <c:v>23.47</c:v>
                </c:pt>
                <c:pt idx="1643">
                  <c:v>23.52</c:v>
                </c:pt>
                <c:pt idx="1644">
                  <c:v>26.15</c:v>
                </c:pt>
                <c:pt idx="1645">
                  <c:v>26.4</c:v>
                </c:pt>
                <c:pt idx="1646">
                  <c:v>26.58</c:v>
                </c:pt>
                <c:pt idx="1647">
                  <c:v>26.44</c:v>
                </c:pt>
                <c:pt idx="1648">
                  <c:v>26.36</c:v>
                </c:pt>
                <c:pt idx="1649">
                  <c:v>26.85</c:v>
                </c:pt>
                <c:pt idx="1650">
                  <c:v>26.15</c:v>
                </c:pt>
                <c:pt idx="1651">
                  <c:v>26.4</c:v>
                </c:pt>
                <c:pt idx="1652">
                  <c:v>26.76</c:v>
                </c:pt>
                <c:pt idx="1653">
                  <c:v>27.07</c:v>
                </c:pt>
                <c:pt idx="1654">
                  <c:v>27.16</c:v>
                </c:pt>
                <c:pt idx="1655">
                  <c:v>27</c:v>
                </c:pt>
                <c:pt idx="1656">
                  <c:v>27.72</c:v>
                </c:pt>
                <c:pt idx="1657">
                  <c:v>27.53</c:v>
                </c:pt>
                <c:pt idx="1658">
                  <c:v>27.33</c:v>
                </c:pt>
                <c:pt idx="1659">
                  <c:v>27.48</c:v>
                </c:pt>
                <c:pt idx="1660">
                  <c:v>27.68</c:v>
                </c:pt>
                <c:pt idx="1661">
                  <c:v>27.66</c:v>
                </c:pt>
                <c:pt idx="1662">
                  <c:v>27.75</c:v>
                </c:pt>
                <c:pt idx="1663">
                  <c:v>27.14</c:v>
                </c:pt>
                <c:pt idx="1664">
                  <c:v>26.56</c:v>
                </c:pt>
                <c:pt idx="1665">
                  <c:v>25.26</c:v>
                </c:pt>
                <c:pt idx="1666">
                  <c:v>25.93</c:v>
                </c:pt>
                <c:pt idx="1667">
                  <c:v>26.22</c:v>
                </c:pt>
                <c:pt idx="1668">
                  <c:v>25.64</c:v>
                </c:pt>
                <c:pt idx="1669">
                  <c:v>25.72</c:v>
                </c:pt>
                <c:pt idx="1670">
                  <c:v>24.37</c:v>
                </c:pt>
                <c:pt idx="1671">
                  <c:v>28.67</c:v>
                </c:pt>
                <c:pt idx="1672">
                  <c:v>26.81</c:v>
                </c:pt>
                <c:pt idx="1673">
                  <c:v>27.41</c:v>
                </c:pt>
                <c:pt idx="1674">
                  <c:v>27.36</c:v>
                </c:pt>
                <c:pt idx="1675">
                  <c:v>26.43</c:v>
                </c:pt>
                <c:pt idx="1676">
                  <c:v>26.8</c:v>
                </c:pt>
                <c:pt idx="1677">
                  <c:v>27.3</c:v>
                </c:pt>
                <c:pt idx="1678">
                  <c:v>28.08</c:v>
                </c:pt>
                <c:pt idx="1679">
                  <c:v>28.54</c:v>
                </c:pt>
                <c:pt idx="1680">
                  <c:v>28.55</c:v>
                </c:pt>
                <c:pt idx="1681">
                  <c:v>28.43</c:v>
                </c:pt>
                <c:pt idx="1682">
                  <c:v>28.03</c:v>
                </c:pt>
                <c:pt idx="1683">
                  <c:v>28.31</c:v>
                </c:pt>
                <c:pt idx="1684">
                  <c:v>28.17</c:v>
                </c:pt>
                <c:pt idx="1685">
                  <c:v>27.8</c:v>
                </c:pt>
                <c:pt idx="1686">
                  <c:v>28.34</c:v>
                </c:pt>
                <c:pt idx="1687">
                  <c:v>28.59</c:v>
                </c:pt>
                <c:pt idx="1688">
                  <c:v>27.77</c:v>
                </c:pt>
                <c:pt idx="1689">
                  <c:v>27.7</c:v>
                </c:pt>
                <c:pt idx="1690">
                  <c:v>27.7</c:v>
                </c:pt>
                <c:pt idx="1691">
                  <c:v>28.36</c:v>
                </c:pt>
                <c:pt idx="1692">
                  <c:v>28.13</c:v>
                </c:pt>
                <c:pt idx="1693">
                  <c:v>27.82</c:v>
                </c:pt>
                <c:pt idx="1694">
                  <c:v>28.5</c:v>
                </c:pt>
                <c:pt idx="1695">
                  <c:v>28.93</c:v>
                </c:pt>
                <c:pt idx="1696">
                  <c:v>28.99</c:v>
                </c:pt>
                <c:pt idx="1697">
                  <c:v>28.09</c:v>
                </c:pt>
                <c:pt idx="1698">
                  <c:v>28.49</c:v>
                </c:pt>
                <c:pt idx="1699">
                  <c:v>28.73</c:v>
                </c:pt>
                <c:pt idx="1700">
                  <c:v>27.52</c:v>
                </c:pt>
                <c:pt idx="1701">
                  <c:v>27.66</c:v>
                </c:pt>
                <c:pt idx="1702">
                  <c:v>27.07</c:v>
                </c:pt>
                <c:pt idx="1703">
                  <c:v>27.66</c:v>
                </c:pt>
                <c:pt idx="1704">
                  <c:v>25.85</c:v>
                </c:pt>
                <c:pt idx="1705">
                  <c:v>26.71</c:v>
                </c:pt>
                <c:pt idx="1706">
                  <c:v>27.5</c:v>
                </c:pt>
                <c:pt idx="1707">
                  <c:v>28.45</c:v>
                </c:pt>
                <c:pt idx="1708">
                  <c:v>29</c:v>
                </c:pt>
                <c:pt idx="1709">
                  <c:v>28.51</c:v>
                </c:pt>
                <c:pt idx="1710">
                  <c:v>29.03</c:v>
                </c:pt>
                <c:pt idx="1711">
                  <c:v>28.7</c:v>
                </c:pt>
                <c:pt idx="1712">
                  <c:v>28.67</c:v>
                </c:pt>
                <c:pt idx="1713">
                  <c:v>28.06</c:v>
                </c:pt>
                <c:pt idx="1714">
                  <c:v>27.77</c:v>
                </c:pt>
                <c:pt idx="1715">
                  <c:v>27.78</c:v>
                </c:pt>
                <c:pt idx="1716">
                  <c:v>28.15</c:v>
                </c:pt>
                <c:pt idx="1717">
                  <c:v>28.37</c:v>
                </c:pt>
                <c:pt idx="1718">
                  <c:v>28.22</c:v>
                </c:pt>
                <c:pt idx="1719">
                  <c:v>28.13</c:v>
                </c:pt>
                <c:pt idx="1720">
                  <c:v>28.42</c:v>
                </c:pt>
                <c:pt idx="1721">
                  <c:v>28.42</c:v>
                </c:pt>
                <c:pt idx="1722">
                  <c:v>28.83</c:v>
                </c:pt>
                <c:pt idx="1723">
                  <c:v>29.01</c:v>
                </c:pt>
                <c:pt idx="1724">
                  <c:v>29.66</c:v>
                </c:pt>
                <c:pt idx="1725">
                  <c:v>29.98</c:v>
                </c:pt>
                <c:pt idx="1726">
                  <c:v>29.88</c:v>
                </c:pt>
                <c:pt idx="1727">
                  <c:v>29.57</c:v>
                </c:pt>
                <c:pt idx="1728">
                  <c:v>29.87</c:v>
                </c:pt>
                <c:pt idx="1729">
                  <c:v>29.2</c:v>
                </c:pt>
                <c:pt idx="1730">
                  <c:v>29.04</c:v>
                </c:pt>
                <c:pt idx="1731">
                  <c:v>28.57</c:v>
                </c:pt>
                <c:pt idx="1732">
                  <c:v>28.98</c:v>
                </c:pt>
                <c:pt idx="1733">
                  <c:v>29.33</c:v>
                </c:pt>
                <c:pt idx="1734">
                  <c:v>28.38</c:v>
                </c:pt>
                <c:pt idx="1735">
                  <c:v>19.18</c:v>
                </c:pt>
                <c:pt idx="1736">
                  <c:v>19.05</c:v>
                </c:pt>
                <c:pt idx="1737">
                  <c:v>20.81</c:v>
                </c:pt>
                <c:pt idx="1738">
                  <c:v>20.78</c:v>
                </c:pt>
                <c:pt idx="1739">
                  <c:v>21.94</c:v>
                </c:pt>
                <c:pt idx="1740">
                  <c:v>21.69</c:v>
                </c:pt>
                <c:pt idx="1741">
                  <c:v>20.010000000000002</c:v>
                </c:pt>
                <c:pt idx="1742">
                  <c:v>19.86</c:v>
                </c:pt>
                <c:pt idx="1743">
                  <c:v>20.78</c:v>
                </c:pt>
                <c:pt idx="1744">
                  <c:v>21.22</c:v>
                </c:pt>
                <c:pt idx="1745">
                  <c:v>21.95</c:v>
                </c:pt>
                <c:pt idx="1746">
                  <c:v>22.91</c:v>
                </c:pt>
                <c:pt idx="1747">
                  <c:v>23.7</c:v>
                </c:pt>
                <c:pt idx="1748">
                  <c:v>23.36</c:v>
                </c:pt>
                <c:pt idx="1749">
                  <c:v>24.09</c:v>
                </c:pt>
                <c:pt idx="1750">
                  <c:v>22.56</c:v>
                </c:pt>
                <c:pt idx="1751">
                  <c:v>22.61</c:v>
                </c:pt>
                <c:pt idx="1752">
                  <c:v>23.18</c:v>
                </c:pt>
                <c:pt idx="1753">
                  <c:v>23.16</c:v>
                </c:pt>
                <c:pt idx="1754">
                  <c:v>23.84</c:v>
                </c:pt>
                <c:pt idx="1755">
                  <c:v>23.72</c:v>
                </c:pt>
                <c:pt idx="1756">
                  <c:v>23.26</c:v>
                </c:pt>
                <c:pt idx="1757">
                  <c:v>23.45</c:v>
                </c:pt>
                <c:pt idx="1758">
                  <c:v>23.71</c:v>
                </c:pt>
                <c:pt idx="1759">
                  <c:v>23.96</c:v>
                </c:pt>
                <c:pt idx="1760">
                  <c:v>24.05</c:v>
                </c:pt>
                <c:pt idx="1761">
                  <c:v>24.01</c:v>
                </c:pt>
                <c:pt idx="1762">
                  <c:v>23.64</c:v>
                </c:pt>
                <c:pt idx="1763">
                  <c:v>23.31</c:v>
                </c:pt>
                <c:pt idx="1764">
                  <c:v>23.02</c:v>
                </c:pt>
                <c:pt idx="1765">
                  <c:v>23.04</c:v>
                </c:pt>
                <c:pt idx="1766">
                  <c:v>24.06</c:v>
                </c:pt>
                <c:pt idx="1767">
                  <c:v>24.38</c:v>
                </c:pt>
                <c:pt idx="1768">
                  <c:v>24.54</c:v>
                </c:pt>
                <c:pt idx="1769">
                  <c:v>24.47</c:v>
                </c:pt>
                <c:pt idx="1770">
                  <c:v>25.2</c:v>
                </c:pt>
                <c:pt idx="1771">
                  <c:v>25.63</c:v>
                </c:pt>
                <c:pt idx="1772">
                  <c:v>25.96</c:v>
                </c:pt>
                <c:pt idx="1773">
                  <c:v>25.98</c:v>
                </c:pt>
                <c:pt idx="1774">
                  <c:v>26.42</c:v>
                </c:pt>
                <c:pt idx="1775">
                  <c:v>26.61</c:v>
                </c:pt>
                <c:pt idx="1776">
                  <c:v>26.81</c:v>
                </c:pt>
                <c:pt idx="1777">
                  <c:v>26.63</c:v>
                </c:pt>
                <c:pt idx="1778">
                  <c:v>26.2</c:v>
                </c:pt>
                <c:pt idx="1779">
                  <c:v>25.59</c:v>
                </c:pt>
                <c:pt idx="1780">
                  <c:v>25.22</c:v>
                </c:pt>
                <c:pt idx="1781">
                  <c:v>26.13</c:v>
                </c:pt>
                <c:pt idx="1782">
                  <c:v>25.71</c:v>
                </c:pt>
                <c:pt idx="1783">
                  <c:v>26.72</c:v>
                </c:pt>
                <c:pt idx="1784">
                  <c:v>26.76</c:v>
                </c:pt>
                <c:pt idx="1785">
                  <c:v>26.82</c:v>
                </c:pt>
                <c:pt idx="1786">
                  <c:v>25.42</c:v>
                </c:pt>
                <c:pt idx="1787">
                  <c:v>25.07</c:v>
                </c:pt>
                <c:pt idx="1788">
                  <c:v>26.1</c:v>
                </c:pt>
                <c:pt idx="1789">
                  <c:v>24.78</c:v>
                </c:pt>
                <c:pt idx="1790">
                  <c:v>25.79</c:v>
                </c:pt>
                <c:pt idx="1791">
                  <c:v>26.7</c:v>
                </c:pt>
                <c:pt idx="1792">
                  <c:v>27.63</c:v>
                </c:pt>
                <c:pt idx="1793">
                  <c:v>29.93</c:v>
                </c:pt>
                <c:pt idx="1794">
                  <c:v>31.36</c:v>
                </c:pt>
                <c:pt idx="1795">
                  <c:v>31.11</c:v>
                </c:pt>
                <c:pt idx="1796">
                  <c:v>30.22</c:v>
                </c:pt>
                <c:pt idx="1797">
                  <c:v>31.1</c:v>
                </c:pt>
                <c:pt idx="1798">
                  <c:v>30.83</c:v>
                </c:pt>
                <c:pt idx="1799">
                  <c:v>31.79</c:v>
                </c:pt>
                <c:pt idx="1800">
                  <c:v>33.630000000000003</c:v>
                </c:pt>
                <c:pt idx="1801">
                  <c:v>31.34</c:v>
                </c:pt>
                <c:pt idx="1802">
                  <c:v>30.68</c:v>
                </c:pt>
                <c:pt idx="1803">
                  <c:v>30.64</c:v>
                </c:pt>
                <c:pt idx="1804">
                  <c:v>29.85</c:v>
                </c:pt>
                <c:pt idx="1805">
                  <c:v>29.03</c:v>
                </c:pt>
                <c:pt idx="1806">
                  <c:v>29.35</c:v>
                </c:pt>
                <c:pt idx="1807">
                  <c:v>28.82</c:v>
                </c:pt>
                <c:pt idx="1808">
                  <c:v>26.69</c:v>
                </c:pt>
                <c:pt idx="1809">
                  <c:v>27.86</c:v>
                </c:pt>
                <c:pt idx="1810">
                  <c:v>28.48</c:v>
                </c:pt>
                <c:pt idx="1811">
                  <c:v>27.65</c:v>
                </c:pt>
                <c:pt idx="1812">
                  <c:v>28.36</c:v>
                </c:pt>
                <c:pt idx="1813">
                  <c:v>28.37</c:v>
                </c:pt>
                <c:pt idx="1814">
                  <c:v>28.05</c:v>
                </c:pt>
                <c:pt idx="1815">
                  <c:v>27.88</c:v>
                </c:pt>
                <c:pt idx="1816">
                  <c:v>27.15</c:v>
                </c:pt>
                <c:pt idx="1817">
                  <c:v>27.17</c:v>
                </c:pt>
                <c:pt idx="1818">
                  <c:v>26.95</c:v>
                </c:pt>
                <c:pt idx="1819">
                  <c:v>27.04</c:v>
                </c:pt>
                <c:pt idx="1820">
                  <c:v>26.84</c:v>
                </c:pt>
                <c:pt idx="1821">
                  <c:v>26.27</c:v>
                </c:pt>
                <c:pt idx="1822">
                  <c:v>26.7</c:v>
                </c:pt>
                <c:pt idx="1823">
                  <c:v>26.51</c:v>
                </c:pt>
                <c:pt idx="1824">
                  <c:v>25.73</c:v>
                </c:pt>
                <c:pt idx="1825">
                  <c:v>26.05</c:v>
                </c:pt>
                <c:pt idx="1826">
                  <c:v>25.29</c:v>
                </c:pt>
                <c:pt idx="1827">
                  <c:v>25.29</c:v>
                </c:pt>
                <c:pt idx="1828">
                  <c:v>25.06</c:v>
                </c:pt>
                <c:pt idx="1829">
                  <c:v>24.95</c:v>
                </c:pt>
                <c:pt idx="1830">
                  <c:v>24.73</c:v>
                </c:pt>
                <c:pt idx="1831">
                  <c:v>23.72</c:v>
                </c:pt>
                <c:pt idx="1832">
                  <c:v>23.56</c:v>
                </c:pt>
                <c:pt idx="1833">
                  <c:v>23.71</c:v>
                </c:pt>
                <c:pt idx="1834">
                  <c:v>23.3</c:v>
                </c:pt>
                <c:pt idx="1835">
                  <c:v>23.76</c:v>
                </c:pt>
                <c:pt idx="1836">
                  <c:v>24.15</c:v>
                </c:pt>
                <c:pt idx="1837">
                  <c:v>24.1</c:v>
                </c:pt>
                <c:pt idx="1838">
                  <c:v>23.97</c:v>
                </c:pt>
                <c:pt idx="1839">
                  <c:v>22.73</c:v>
                </c:pt>
                <c:pt idx="1840">
                  <c:v>22.61</c:v>
                </c:pt>
                <c:pt idx="1841">
                  <c:v>22.55</c:v>
                </c:pt>
                <c:pt idx="1842">
                  <c:v>22.52</c:v>
                </c:pt>
                <c:pt idx="1843">
                  <c:v>23.03</c:v>
                </c:pt>
                <c:pt idx="1844">
                  <c:v>23.59</c:v>
                </c:pt>
                <c:pt idx="1845">
                  <c:v>23.13</c:v>
                </c:pt>
                <c:pt idx="1846">
                  <c:v>23.23</c:v>
                </c:pt>
                <c:pt idx="1847">
                  <c:v>23.04</c:v>
                </c:pt>
                <c:pt idx="1848">
                  <c:v>23.34</c:v>
                </c:pt>
                <c:pt idx="1849">
                  <c:v>23.54</c:v>
                </c:pt>
                <c:pt idx="1850">
                  <c:v>22.76</c:v>
                </c:pt>
                <c:pt idx="1851">
                  <c:v>23.32</c:v>
                </c:pt>
                <c:pt idx="1852">
                  <c:v>23.72</c:v>
                </c:pt>
                <c:pt idx="1853">
                  <c:v>24.57</c:v>
                </c:pt>
                <c:pt idx="1854">
                  <c:v>23.94</c:v>
                </c:pt>
                <c:pt idx="1855">
                  <c:v>23.8</c:v>
                </c:pt>
                <c:pt idx="1856">
                  <c:v>23.87</c:v>
                </c:pt>
                <c:pt idx="1857">
                  <c:v>23.44</c:v>
                </c:pt>
                <c:pt idx="1858">
                  <c:v>22.97</c:v>
                </c:pt>
                <c:pt idx="1859">
                  <c:v>22.92</c:v>
                </c:pt>
                <c:pt idx="1860">
                  <c:v>23.36</c:v>
                </c:pt>
                <c:pt idx="1861">
                  <c:v>23.25</c:v>
                </c:pt>
                <c:pt idx="1862">
                  <c:v>23.25</c:v>
                </c:pt>
                <c:pt idx="1863">
                  <c:v>23.62</c:v>
                </c:pt>
                <c:pt idx="1864">
                  <c:v>23.49</c:v>
                </c:pt>
                <c:pt idx="1865">
                  <c:v>24.03</c:v>
                </c:pt>
                <c:pt idx="1866">
                  <c:v>24.68</c:v>
                </c:pt>
                <c:pt idx="1867">
                  <c:v>24.84</c:v>
                </c:pt>
                <c:pt idx="1868">
                  <c:v>24.99</c:v>
                </c:pt>
                <c:pt idx="1869">
                  <c:v>25.35</c:v>
                </c:pt>
                <c:pt idx="1870">
                  <c:v>26.03</c:v>
                </c:pt>
                <c:pt idx="1871">
                  <c:v>26.2</c:v>
                </c:pt>
                <c:pt idx="1872">
                  <c:v>27.53</c:v>
                </c:pt>
                <c:pt idx="1873">
                  <c:v>26.7</c:v>
                </c:pt>
                <c:pt idx="1874">
                  <c:v>26.58</c:v>
                </c:pt>
                <c:pt idx="1875">
                  <c:v>26.96</c:v>
                </c:pt>
                <c:pt idx="1876">
                  <c:v>26.69</c:v>
                </c:pt>
                <c:pt idx="1877">
                  <c:v>26.97</c:v>
                </c:pt>
                <c:pt idx="1878">
                  <c:v>27.2</c:v>
                </c:pt>
                <c:pt idx="1879">
                  <c:v>27.1</c:v>
                </c:pt>
                <c:pt idx="1880">
                  <c:v>26.99</c:v>
                </c:pt>
                <c:pt idx="1881">
                  <c:v>27</c:v>
                </c:pt>
                <c:pt idx="1882">
                  <c:v>26.86</c:v>
                </c:pt>
                <c:pt idx="1883">
                  <c:v>27.13</c:v>
                </c:pt>
                <c:pt idx="1884">
                  <c:v>27.25</c:v>
                </c:pt>
                <c:pt idx="1885">
                  <c:v>27.58</c:v>
                </c:pt>
                <c:pt idx="1886">
                  <c:v>27.71</c:v>
                </c:pt>
                <c:pt idx="1887">
                  <c:v>27.64</c:v>
                </c:pt>
                <c:pt idx="1888">
                  <c:v>27.38</c:v>
                </c:pt>
                <c:pt idx="1889">
                  <c:v>27.67</c:v>
                </c:pt>
                <c:pt idx="1890">
                  <c:v>27.66</c:v>
                </c:pt>
                <c:pt idx="1891">
                  <c:v>27.63</c:v>
                </c:pt>
                <c:pt idx="1892">
                  <c:v>28.12</c:v>
                </c:pt>
                <c:pt idx="1893">
                  <c:v>27.31</c:v>
                </c:pt>
                <c:pt idx="1894">
                  <c:v>27.3</c:v>
                </c:pt>
                <c:pt idx="1895">
                  <c:v>27.38</c:v>
                </c:pt>
                <c:pt idx="1896">
                  <c:v>27.05</c:v>
                </c:pt>
                <c:pt idx="1897">
                  <c:v>27.35</c:v>
                </c:pt>
                <c:pt idx="1898">
                  <c:v>27.39</c:v>
                </c:pt>
                <c:pt idx="1899">
                  <c:v>26.98</c:v>
                </c:pt>
                <c:pt idx="1900">
                  <c:v>27.44</c:v>
                </c:pt>
                <c:pt idx="1901">
                  <c:v>28.23</c:v>
                </c:pt>
                <c:pt idx="1902">
                  <c:v>28.59</c:v>
                </c:pt>
                <c:pt idx="1903">
                  <c:v>28.78</c:v>
                </c:pt>
                <c:pt idx="1904">
                  <c:v>28.7</c:v>
                </c:pt>
                <c:pt idx="1905">
                  <c:v>28.38</c:v>
                </c:pt>
                <c:pt idx="1906">
                  <c:v>28.4</c:v>
                </c:pt>
                <c:pt idx="1907">
                  <c:v>28.58</c:v>
                </c:pt>
                <c:pt idx="1908">
                  <c:v>28.41</c:v>
                </c:pt>
                <c:pt idx="1909">
                  <c:v>28.61</c:v>
                </c:pt>
                <c:pt idx="1910">
                  <c:v>28.92</c:v>
                </c:pt>
                <c:pt idx="1911">
                  <c:v>29.35</c:v>
                </c:pt>
                <c:pt idx="1912">
                  <c:v>29.75</c:v>
                </c:pt>
                <c:pt idx="1913">
                  <c:v>28.57</c:v>
                </c:pt>
                <c:pt idx="1914">
                  <c:v>29.21</c:v>
                </c:pt>
                <c:pt idx="1915">
                  <c:v>28.81</c:v>
                </c:pt>
                <c:pt idx="1916">
                  <c:v>29.31</c:v>
                </c:pt>
                <c:pt idx="1917">
                  <c:v>30.05</c:v>
                </c:pt>
                <c:pt idx="1918">
                  <c:v>29.7</c:v>
                </c:pt>
                <c:pt idx="1919">
                  <c:v>30.22</c:v>
                </c:pt>
                <c:pt idx="1920">
                  <c:v>30.41</c:v>
                </c:pt>
                <c:pt idx="1921">
                  <c:v>30.38</c:v>
                </c:pt>
                <c:pt idx="1922">
                  <c:v>30.98</c:v>
                </c:pt>
                <c:pt idx="1923">
                  <c:v>28.18</c:v>
                </c:pt>
                <c:pt idx="1924">
                  <c:v>28.12</c:v>
                </c:pt>
                <c:pt idx="1925">
                  <c:v>27.73</c:v>
                </c:pt>
                <c:pt idx="1926">
                  <c:v>28.04</c:v>
                </c:pt>
                <c:pt idx="1927">
                  <c:v>28.34</c:v>
                </c:pt>
                <c:pt idx="1928">
                  <c:v>28.49</c:v>
                </c:pt>
                <c:pt idx="1929">
                  <c:v>28.06</c:v>
                </c:pt>
                <c:pt idx="1930">
                  <c:v>28.02</c:v>
                </c:pt>
                <c:pt idx="1931">
                  <c:v>27.88</c:v>
                </c:pt>
                <c:pt idx="1932">
                  <c:v>27.46</c:v>
                </c:pt>
                <c:pt idx="1933">
                  <c:v>27.51</c:v>
                </c:pt>
                <c:pt idx="1934">
                  <c:v>28.31</c:v>
                </c:pt>
                <c:pt idx="1935">
                  <c:v>32.090000000000003</c:v>
                </c:pt>
                <c:pt idx="1936">
                  <c:v>31.61</c:v>
                </c:pt>
                <c:pt idx="1937">
                  <c:v>31.41</c:v>
                </c:pt>
                <c:pt idx="1938">
                  <c:v>31.21</c:v>
                </c:pt>
                <c:pt idx="1939">
                  <c:v>31.17</c:v>
                </c:pt>
                <c:pt idx="1940">
                  <c:v>31.69</c:v>
                </c:pt>
                <c:pt idx="1941">
                  <c:v>31.64</c:v>
                </c:pt>
                <c:pt idx="1942">
                  <c:v>31.96</c:v>
                </c:pt>
                <c:pt idx="1943">
                  <c:v>31.62</c:v>
                </c:pt>
                <c:pt idx="1944">
                  <c:v>31.72</c:v>
                </c:pt>
                <c:pt idx="1945">
                  <c:v>31.28</c:v>
                </c:pt>
                <c:pt idx="1946">
                  <c:v>31.29</c:v>
                </c:pt>
                <c:pt idx="1947">
                  <c:v>31.34</c:v>
                </c:pt>
                <c:pt idx="1948">
                  <c:v>31.41</c:v>
                </c:pt>
                <c:pt idx="1949">
                  <c:v>31.55</c:v>
                </c:pt>
                <c:pt idx="1950">
                  <c:v>31.66</c:v>
                </c:pt>
                <c:pt idx="1951">
                  <c:v>31.36</c:v>
                </c:pt>
                <c:pt idx="1952">
                  <c:v>31.26</c:v>
                </c:pt>
                <c:pt idx="1953">
                  <c:v>31.29</c:v>
                </c:pt>
                <c:pt idx="1954">
                  <c:v>30.33</c:v>
                </c:pt>
                <c:pt idx="1955">
                  <c:v>30.03</c:v>
                </c:pt>
                <c:pt idx="1956">
                  <c:v>29.88</c:v>
                </c:pt>
                <c:pt idx="1957">
                  <c:v>30.06</c:v>
                </c:pt>
                <c:pt idx="1958">
                  <c:v>29.86</c:v>
                </c:pt>
                <c:pt idx="1959">
                  <c:v>29.56</c:v>
                </c:pt>
                <c:pt idx="1960">
                  <c:v>29.99</c:v>
                </c:pt>
                <c:pt idx="1961">
                  <c:v>29.12</c:v>
                </c:pt>
                <c:pt idx="1962">
                  <c:v>30.71</c:v>
                </c:pt>
                <c:pt idx="1963">
                  <c:v>30.39</c:v>
                </c:pt>
                <c:pt idx="1964">
                  <c:v>30.8</c:v>
                </c:pt>
                <c:pt idx="1965">
                  <c:v>30.31</c:v>
                </c:pt>
                <c:pt idx="1966">
                  <c:v>30.42</c:v>
                </c:pt>
                <c:pt idx="1967">
                  <c:v>30.86</c:v>
                </c:pt>
                <c:pt idx="1968">
                  <c:v>30.86</c:v>
                </c:pt>
                <c:pt idx="1969">
                  <c:v>30.95</c:v>
                </c:pt>
                <c:pt idx="1970">
                  <c:v>32.11</c:v>
                </c:pt>
                <c:pt idx="1971">
                  <c:v>32.1</c:v>
                </c:pt>
                <c:pt idx="1972">
                  <c:v>31.6</c:v>
                </c:pt>
                <c:pt idx="1973">
                  <c:v>31.65</c:v>
                </c:pt>
                <c:pt idx="1974">
                  <c:v>32.01</c:v>
                </c:pt>
                <c:pt idx="1975">
                  <c:v>31.91</c:v>
                </c:pt>
                <c:pt idx="1976">
                  <c:v>31.25</c:v>
                </c:pt>
                <c:pt idx="1977">
                  <c:v>30.66</c:v>
                </c:pt>
                <c:pt idx="1978">
                  <c:v>29.56</c:v>
                </c:pt>
                <c:pt idx="1979">
                  <c:v>29.17</c:v>
                </c:pt>
                <c:pt idx="1980">
                  <c:v>29.74</c:v>
                </c:pt>
                <c:pt idx="1981">
                  <c:v>30.08</c:v>
                </c:pt>
                <c:pt idx="1982">
                  <c:v>29.89</c:v>
                </c:pt>
                <c:pt idx="1983">
                  <c:v>29.35</c:v>
                </c:pt>
                <c:pt idx="1984">
                  <c:v>28.56</c:v>
                </c:pt>
                <c:pt idx="1985">
                  <c:v>28.77</c:v>
                </c:pt>
                <c:pt idx="1986">
                  <c:v>28.35</c:v>
                </c:pt>
                <c:pt idx="1987">
                  <c:v>28.31</c:v>
                </c:pt>
                <c:pt idx="1988">
                  <c:v>28.04</c:v>
                </c:pt>
                <c:pt idx="1989">
                  <c:v>27.87</c:v>
                </c:pt>
                <c:pt idx="1990">
                  <c:v>28.04</c:v>
                </c:pt>
                <c:pt idx="1991">
                  <c:v>28.21</c:v>
                </c:pt>
                <c:pt idx="1992">
                  <c:v>28.94</c:v>
                </c:pt>
                <c:pt idx="1993">
                  <c:v>26.96</c:v>
                </c:pt>
                <c:pt idx="1994">
                  <c:v>27.42</c:v>
                </c:pt>
                <c:pt idx="1995">
                  <c:v>27.64</c:v>
                </c:pt>
                <c:pt idx="1996">
                  <c:v>28.12</c:v>
                </c:pt>
                <c:pt idx="1997">
                  <c:v>29.05</c:v>
                </c:pt>
                <c:pt idx="1998">
                  <c:v>29.29</c:v>
                </c:pt>
                <c:pt idx="1999">
                  <c:v>29.45</c:v>
                </c:pt>
                <c:pt idx="2000">
                  <c:v>29.2</c:v>
                </c:pt>
                <c:pt idx="2001">
                  <c:v>28.7</c:v>
                </c:pt>
                <c:pt idx="2002">
                  <c:v>27.58</c:v>
                </c:pt>
                <c:pt idx="2003">
                  <c:v>27.92</c:v>
                </c:pt>
                <c:pt idx="2004">
                  <c:v>27.74</c:v>
                </c:pt>
                <c:pt idx="2005">
                  <c:v>26.85</c:v>
                </c:pt>
                <c:pt idx="2006">
                  <c:v>25.61</c:v>
                </c:pt>
                <c:pt idx="2007">
                  <c:v>25.54</c:v>
                </c:pt>
                <c:pt idx="2008">
                  <c:v>25.36</c:v>
                </c:pt>
                <c:pt idx="2009">
                  <c:v>25.75</c:v>
                </c:pt>
                <c:pt idx="2010">
                  <c:v>25.45</c:v>
                </c:pt>
                <c:pt idx="2011">
                  <c:v>25.55</c:v>
                </c:pt>
                <c:pt idx="2012">
                  <c:v>25.48</c:v>
                </c:pt>
                <c:pt idx="2013">
                  <c:v>25.59</c:v>
                </c:pt>
                <c:pt idx="2014">
                  <c:v>26.41</c:v>
                </c:pt>
                <c:pt idx="2015">
                  <c:v>26.3</c:v>
                </c:pt>
                <c:pt idx="2016">
                  <c:v>26.9</c:v>
                </c:pt>
                <c:pt idx="2017">
                  <c:v>26.87</c:v>
                </c:pt>
                <c:pt idx="2018">
                  <c:v>26.6</c:v>
                </c:pt>
                <c:pt idx="2019">
                  <c:v>26.75</c:v>
                </c:pt>
                <c:pt idx="2020">
                  <c:v>26.49</c:v>
                </c:pt>
                <c:pt idx="2021">
                  <c:v>26.34</c:v>
                </c:pt>
                <c:pt idx="2022">
                  <c:v>26.63</c:v>
                </c:pt>
                <c:pt idx="2023">
                  <c:v>26.86</c:v>
                </c:pt>
                <c:pt idx="2024">
                  <c:v>27.43</c:v>
                </c:pt>
                <c:pt idx="2025">
                  <c:v>26.89</c:v>
                </c:pt>
                <c:pt idx="2026">
                  <c:v>26.49</c:v>
                </c:pt>
                <c:pt idx="2027">
                  <c:v>27.01</c:v>
                </c:pt>
                <c:pt idx="2028">
                  <c:v>27.04</c:v>
                </c:pt>
                <c:pt idx="2029">
                  <c:v>27</c:v>
                </c:pt>
                <c:pt idx="2030">
                  <c:v>27.27</c:v>
                </c:pt>
                <c:pt idx="2031">
                  <c:v>28.03</c:v>
                </c:pt>
                <c:pt idx="2032">
                  <c:v>28.49</c:v>
                </c:pt>
                <c:pt idx="2033">
                  <c:v>27.14</c:v>
                </c:pt>
                <c:pt idx="2034">
                  <c:v>26.72</c:v>
                </c:pt>
                <c:pt idx="2035">
                  <c:v>26.91</c:v>
                </c:pt>
                <c:pt idx="2036">
                  <c:v>26.64</c:v>
                </c:pt>
                <c:pt idx="2037">
                  <c:v>27.15</c:v>
                </c:pt>
                <c:pt idx="2038">
                  <c:v>27.24</c:v>
                </c:pt>
                <c:pt idx="2039">
                  <c:v>27.4</c:v>
                </c:pt>
                <c:pt idx="2040">
                  <c:v>27.39</c:v>
                </c:pt>
                <c:pt idx="2041">
                  <c:v>27.45</c:v>
                </c:pt>
                <c:pt idx="2042">
                  <c:v>26.9</c:v>
                </c:pt>
                <c:pt idx="2043">
                  <c:v>26.61</c:v>
                </c:pt>
                <c:pt idx="2044">
                  <c:v>26.59</c:v>
                </c:pt>
                <c:pt idx="2045">
                  <c:v>26.18</c:v>
                </c:pt>
                <c:pt idx="2046">
                  <c:v>26.53</c:v>
                </c:pt>
                <c:pt idx="2047">
                  <c:v>25.99</c:v>
                </c:pt>
                <c:pt idx="2048">
                  <c:v>26.34</c:v>
                </c:pt>
                <c:pt idx="2049">
                  <c:v>25.95</c:v>
                </c:pt>
                <c:pt idx="2050">
                  <c:v>25.34</c:v>
                </c:pt>
                <c:pt idx="2051">
                  <c:v>25.28</c:v>
                </c:pt>
                <c:pt idx="2052">
                  <c:v>24.49</c:v>
                </c:pt>
                <c:pt idx="2053">
                  <c:v>23.53</c:v>
                </c:pt>
                <c:pt idx="2054">
                  <c:v>23.37</c:v>
                </c:pt>
                <c:pt idx="2055">
                  <c:v>23.21</c:v>
                </c:pt>
                <c:pt idx="2056">
                  <c:v>23.14</c:v>
                </c:pt>
                <c:pt idx="2057">
                  <c:v>22.99</c:v>
                </c:pt>
                <c:pt idx="2058">
                  <c:v>24.15</c:v>
                </c:pt>
                <c:pt idx="2059">
                  <c:v>24.18</c:v>
                </c:pt>
                <c:pt idx="2060">
                  <c:v>24.42</c:v>
                </c:pt>
                <c:pt idx="2061">
                  <c:v>24.12</c:v>
                </c:pt>
                <c:pt idx="2062">
                  <c:v>24.24</c:v>
                </c:pt>
                <c:pt idx="2063">
                  <c:v>24.47</c:v>
                </c:pt>
                <c:pt idx="2064">
                  <c:v>25.03</c:v>
                </c:pt>
                <c:pt idx="2065">
                  <c:v>25.47</c:v>
                </c:pt>
                <c:pt idx="2066">
                  <c:v>25.18</c:v>
                </c:pt>
                <c:pt idx="2067">
                  <c:v>25.21</c:v>
                </c:pt>
                <c:pt idx="2068">
                  <c:v>24.84</c:v>
                </c:pt>
                <c:pt idx="2069">
                  <c:v>24.88</c:v>
                </c:pt>
                <c:pt idx="2070">
                  <c:v>25.28</c:v>
                </c:pt>
                <c:pt idx="2071">
                  <c:v>25.33</c:v>
                </c:pt>
                <c:pt idx="2072">
                  <c:v>24.65</c:v>
                </c:pt>
                <c:pt idx="2073">
                  <c:v>25.05</c:v>
                </c:pt>
                <c:pt idx="2074">
                  <c:v>25.29</c:v>
                </c:pt>
                <c:pt idx="2075">
                  <c:v>25.52</c:v>
                </c:pt>
                <c:pt idx="2076">
                  <c:v>25.34</c:v>
                </c:pt>
                <c:pt idx="2077">
                  <c:v>25.64</c:v>
                </c:pt>
                <c:pt idx="2078">
                  <c:v>25.75</c:v>
                </c:pt>
                <c:pt idx="2079">
                  <c:v>29</c:v>
                </c:pt>
                <c:pt idx="2080">
                  <c:v>29.32</c:v>
                </c:pt>
                <c:pt idx="2081">
                  <c:v>29.03</c:v>
                </c:pt>
                <c:pt idx="2082">
                  <c:v>29.17</c:v>
                </c:pt>
                <c:pt idx="2083">
                  <c:v>29.09</c:v>
                </c:pt>
                <c:pt idx="2084">
                  <c:v>28.61</c:v>
                </c:pt>
                <c:pt idx="2085">
                  <c:v>28.14</c:v>
                </c:pt>
                <c:pt idx="2086">
                  <c:v>27.86</c:v>
                </c:pt>
                <c:pt idx="2087">
                  <c:v>28.5</c:v>
                </c:pt>
                <c:pt idx="2088">
                  <c:v>29.07</c:v>
                </c:pt>
                <c:pt idx="2089">
                  <c:v>29.49</c:v>
                </c:pt>
                <c:pt idx="2090">
                  <c:v>28.83</c:v>
                </c:pt>
                <c:pt idx="2091">
                  <c:v>29.02</c:v>
                </c:pt>
                <c:pt idx="2092">
                  <c:v>28.96</c:v>
                </c:pt>
                <c:pt idx="2093">
                  <c:v>28.91</c:v>
                </c:pt>
                <c:pt idx="2094">
                  <c:v>28.77</c:v>
                </c:pt>
                <c:pt idx="2095">
                  <c:v>28.99</c:v>
                </c:pt>
                <c:pt idx="2096">
                  <c:v>28.7</c:v>
                </c:pt>
                <c:pt idx="2097">
                  <c:v>29.26</c:v>
                </c:pt>
                <c:pt idx="2098">
                  <c:v>28.9</c:v>
                </c:pt>
                <c:pt idx="2099">
                  <c:v>29.78</c:v>
                </c:pt>
                <c:pt idx="2100">
                  <c:v>28.91</c:v>
                </c:pt>
                <c:pt idx="2101">
                  <c:v>28.39</c:v>
                </c:pt>
                <c:pt idx="2102">
                  <c:v>28.17</c:v>
                </c:pt>
                <c:pt idx="2103">
                  <c:v>27.26</c:v>
                </c:pt>
                <c:pt idx="2104">
                  <c:v>27.5</c:v>
                </c:pt>
                <c:pt idx="2105">
                  <c:v>27.49</c:v>
                </c:pt>
                <c:pt idx="2106">
                  <c:v>27.22</c:v>
                </c:pt>
                <c:pt idx="2107">
                  <c:v>27.44</c:v>
                </c:pt>
                <c:pt idx="2108">
                  <c:v>27.08</c:v>
                </c:pt>
                <c:pt idx="2109">
                  <c:v>26.99</c:v>
                </c:pt>
                <c:pt idx="2110">
                  <c:v>26.9</c:v>
                </c:pt>
                <c:pt idx="2111">
                  <c:v>26.63</c:v>
                </c:pt>
                <c:pt idx="2112">
                  <c:v>26.94</c:v>
                </c:pt>
                <c:pt idx="2113">
                  <c:v>27.14</c:v>
                </c:pt>
                <c:pt idx="2114">
                  <c:v>27.47</c:v>
                </c:pt>
                <c:pt idx="2115">
                  <c:v>26.7</c:v>
                </c:pt>
                <c:pt idx="2116">
                  <c:v>27.08</c:v>
                </c:pt>
                <c:pt idx="2117">
                  <c:v>26.95</c:v>
                </c:pt>
                <c:pt idx="2118">
                  <c:v>26.94</c:v>
                </c:pt>
                <c:pt idx="2119">
                  <c:v>25.89</c:v>
                </c:pt>
                <c:pt idx="2120">
                  <c:v>25.27</c:v>
                </c:pt>
                <c:pt idx="2121">
                  <c:v>25.2</c:v>
                </c:pt>
                <c:pt idx="2122">
                  <c:v>32.24</c:v>
                </c:pt>
                <c:pt idx="2123">
                  <c:v>31.84</c:v>
                </c:pt>
                <c:pt idx="2124">
                  <c:v>32.08</c:v>
                </c:pt>
                <c:pt idx="2125">
                  <c:v>32.229999999999997</c:v>
                </c:pt>
                <c:pt idx="2126">
                  <c:v>33.380000000000003</c:v>
                </c:pt>
                <c:pt idx="2127">
                  <c:v>33.17</c:v>
                </c:pt>
                <c:pt idx="2128">
                  <c:v>32.85</c:v>
                </c:pt>
                <c:pt idx="2129">
                  <c:v>32.5</c:v>
                </c:pt>
                <c:pt idx="2130">
                  <c:v>33.11</c:v>
                </c:pt>
                <c:pt idx="2131">
                  <c:v>32.47</c:v>
                </c:pt>
                <c:pt idx="2132">
                  <c:v>33.299999999999997</c:v>
                </c:pt>
                <c:pt idx="2133">
                  <c:v>33</c:v>
                </c:pt>
                <c:pt idx="2134">
                  <c:v>32.97</c:v>
                </c:pt>
                <c:pt idx="2135">
                  <c:v>31.92</c:v>
                </c:pt>
                <c:pt idx="2136">
                  <c:v>31.51</c:v>
                </c:pt>
                <c:pt idx="2137">
                  <c:v>31.55</c:v>
                </c:pt>
                <c:pt idx="2138">
                  <c:v>31.37</c:v>
                </c:pt>
                <c:pt idx="2139">
                  <c:v>30.68</c:v>
                </c:pt>
                <c:pt idx="2140">
                  <c:v>31.06</c:v>
                </c:pt>
                <c:pt idx="2141">
                  <c:v>30.6</c:v>
                </c:pt>
                <c:pt idx="2142">
                  <c:v>30.35</c:v>
                </c:pt>
                <c:pt idx="2143">
                  <c:v>30.36</c:v>
                </c:pt>
                <c:pt idx="2144">
                  <c:v>30.79</c:v>
                </c:pt>
                <c:pt idx="2145">
                  <c:v>29.62</c:v>
                </c:pt>
                <c:pt idx="2146">
                  <c:v>29.65</c:v>
                </c:pt>
                <c:pt idx="2147">
                  <c:v>29.78</c:v>
                </c:pt>
                <c:pt idx="2148">
                  <c:v>30.37</c:v>
                </c:pt>
                <c:pt idx="2149">
                  <c:v>30.45</c:v>
                </c:pt>
                <c:pt idx="2150">
                  <c:v>30.54</c:v>
                </c:pt>
                <c:pt idx="2151">
                  <c:v>30.7</c:v>
                </c:pt>
                <c:pt idx="2152">
                  <c:v>30.82</c:v>
                </c:pt>
                <c:pt idx="2153">
                  <c:v>31.52</c:v>
                </c:pt>
                <c:pt idx="2154">
                  <c:v>31.99</c:v>
                </c:pt>
                <c:pt idx="2155">
                  <c:v>31.59</c:v>
                </c:pt>
                <c:pt idx="2156">
                  <c:v>32</c:v>
                </c:pt>
                <c:pt idx="2157">
                  <c:v>33.020000000000003</c:v>
                </c:pt>
                <c:pt idx="2158">
                  <c:v>32.92</c:v>
                </c:pt>
                <c:pt idx="2159">
                  <c:v>31.79</c:v>
                </c:pt>
                <c:pt idx="2160">
                  <c:v>30.76</c:v>
                </c:pt>
                <c:pt idx="2161">
                  <c:v>30.46</c:v>
                </c:pt>
                <c:pt idx="2162">
                  <c:v>29.53</c:v>
                </c:pt>
                <c:pt idx="2163">
                  <c:v>29</c:v>
                </c:pt>
                <c:pt idx="2164">
                  <c:v>30.11</c:v>
                </c:pt>
                <c:pt idx="2165">
                  <c:v>30.97</c:v>
                </c:pt>
                <c:pt idx="2166">
                  <c:v>31.03</c:v>
                </c:pt>
                <c:pt idx="2167">
                  <c:v>30.81</c:v>
                </c:pt>
                <c:pt idx="2168">
                  <c:v>30.99</c:v>
                </c:pt>
                <c:pt idx="2169">
                  <c:v>32.090000000000003</c:v>
                </c:pt>
                <c:pt idx="2170">
                  <c:v>32.49</c:v>
                </c:pt>
                <c:pt idx="2171">
                  <c:v>32.869999999999997</c:v>
                </c:pt>
                <c:pt idx="2172">
                  <c:v>32.659999999999997</c:v>
                </c:pt>
                <c:pt idx="2173">
                  <c:v>32.19</c:v>
                </c:pt>
                <c:pt idx="2174">
                  <c:v>32.17</c:v>
                </c:pt>
                <c:pt idx="2175">
                  <c:v>31.85</c:v>
                </c:pt>
                <c:pt idx="2176">
                  <c:v>32.08</c:v>
                </c:pt>
                <c:pt idx="2177">
                  <c:v>32.78</c:v>
                </c:pt>
                <c:pt idx="2178">
                  <c:v>33.200000000000003</c:v>
                </c:pt>
                <c:pt idx="2179">
                  <c:v>33</c:v>
                </c:pt>
                <c:pt idx="2180">
                  <c:v>31.99</c:v>
                </c:pt>
                <c:pt idx="2181">
                  <c:v>33.01</c:v>
                </c:pt>
                <c:pt idx="2182">
                  <c:v>32.89</c:v>
                </c:pt>
                <c:pt idx="2183">
                  <c:v>33.369999999999997</c:v>
                </c:pt>
                <c:pt idx="2184">
                  <c:v>33.54</c:v>
                </c:pt>
                <c:pt idx="2185">
                  <c:v>31.3</c:v>
                </c:pt>
                <c:pt idx="2186">
                  <c:v>30.97</c:v>
                </c:pt>
                <c:pt idx="2187">
                  <c:v>31.13</c:v>
                </c:pt>
                <c:pt idx="2188">
                  <c:v>31.1</c:v>
                </c:pt>
                <c:pt idx="2189">
                  <c:v>31.39</c:v>
                </c:pt>
                <c:pt idx="2190">
                  <c:v>32.549999999999997</c:v>
                </c:pt>
                <c:pt idx="2191">
                  <c:v>32.270000000000003</c:v>
                </c:pt>
                <c:pt idx="2192">
                  <c:v>32.79</c:v>
                </c:pt>
                <c:pt idx="2193">
                  <c:v>32.11</c:v>
                </c:pt>
                <c:pt idx="2194">
                  <c:v>32.1</c:v>
                </c:pt>
                <c:pt idx="2195">
                  <c:v>31.89</c:v>
                </c:pt>
                <c:pt idx="2196">
                  <c:v>32.26</c:v>
                </c:pt>
                <c:pt idx="2197">
                  <c:v>32.42</c:v>
                </c:pt>
                <c:pt idx="2198">
                  <c:v>32.56</c:v>
                </c:pt>
                <c:pt idx="2199">
                  <c:v>32.39</c:v>
                </c:pt>
                <c:pt idx="2200">
                  <c:v>31.45</c:v>
                </c:pt>
                <c:pt idx="2201">
                  <c:v>31.77</c:v>
                </c:pt>
                <c:pt idx="2202">
                  <c:v>31.83</c:v>
                </c:pt>
                <c:pt idx="2203">
                  <c:v>30.75</c:v>
                </c:pt>
                <c:pt idx="2204">
                  <c:v>30.11</c:v>
                </c:pt>
                <c:pt idx="2205">
                  <c:v>30.44</c:v>
                </c:pt>
                <c:pt idx="2206">
                  <c:v>30.07</c:v>
                </c:pt>
                <c:pt idx="2207">
                  <c:v>30.13</c:v>
                </c:pt>
                <c:pt idx="2208">
                  <c:v>30.53</c:v>
                </c:pt>
                <c:pt idx="2209">
                  <c:v>30.99</c:v>
                </c:pt>
                <c:pt idx="2210">
                  <c:v>30.15</c:v>
                </c:pt>
                <c:pt idx="2211">
                  <c:v>30.58</c:v>
                </c:pt>
                <c:pt idx="2212">
                  <c:v>30.28</c:v>
                </c:pt>
                <c:pt idx="2213">
                  <c:v>30.99</c:v>
                </c:pt>
                <c:pt idx="2214">
                  <c:v>31.43</c:v>
                </c:pt>
                <c:pt idx="2215">
                  <c:v>31.57</c:v>
                </c:pt>
                <c:pt idx="2216">
                  <c:v>31.45</c:v>
                </c:pt>
                <c:pt idx="2217">
                  <c:v>31.7</c:v>
                </c:pt>
                <c:pt idx="2218">
                  <c:v>32.18</c:v>
                </c:pt>
                <c:pt idx="2219">
                  <c:v>32.06</c:v>
                </c:pt>
                <c:pt idx="2220">
                  <c:v>32.74</c:v>
                </c:pt>
                <c:pt idx="2221">
                  <c:v>33.01</c:v>
                </c:pt>
                <c:pt idx="2222">
                  <c:v>33.15</c:v>
                </c:pt>
                <c:pt idx="2223">
                  <c:v>33.159999999999997</c:v>
                </c:pt>
                <c:pt idx="2224">
                  <c:v>32.39</c:v>
                </c:pt>
                <c:pt idx="2225">
                  <c:v>32.76</c:v>
                </c:pt>
                <c:pt idx="2226">
                  <c:v>32.75</c:v>
                </c:pt>
                <c:pt idx="2227">
                  <c:v>33.020000000000003</c:v>
                </c:pt>
                <c:pt idx="2228">
                  <c:v>32.72</c:v>
                </c:pt>
                <c:pt idx="2229">
                  <c:v>32.04</c:v>
                </c:pt>
                <c:pt idx="2230">
                  <c:v>32.51</c:v>
                </c:pt>
                <c:pt idx="2231">
                  <c:v>32.5</c:v>
                </c:pt>
                <c:pt idx="2232">
                  <c:v>33</c:v>
                </c:pt>
                <c:pt idx="2233">
                  <c:v>33.020000000000003</c:v>
                </c:pt>
                <c:pt idx="2234">
                  <c:v>32.92</c:v>
                </c:pt>
                <c:pt idx="2235">
                  <c:v>33.54</c:v>
                </c:pt>
                <c:pt idx="2236">
                  <c:v>34.25</c:v>
                </c:pt>
                <c:pt idx="2237">
                  <c:v>35</c:v>
                </c:pt>
                <c:pt idx="2238">
                  <c:v>34.380000000000003</c:v>
                </c:pt>
                <c:pt idx="2239">
                  <c:v>35.049999999999997</c:v>
                </c:pt>
                <c:pt idx="2240">
                  <c:v>35.090000000000003</c:v>
                </c:pt>
                <c:pt idx="2241">
                  <c:v>35.17</c:v>
                </c:pt>
                <c:pt idx="2242">
                  <c:v>34.49</c:v>
                </c:pt>
                <c:pt idx="2243">
                  <c:v>34.869999999999997</c:v>
                </c:pt>
                <c:pt idx="2244">
                  <c:v>34.17</c:v>
                </c:pt>
                <c:pt idx="2245">
                  <c:v>33.74</c:v>
                </c:pt>
                <c:pt idx="2246">
                  <c:v>34.33</c:v>
                </c:pt>
                <c:pt idx="2247">
                  <c:v>35.18</c:v>
                </c:pt>
                <c:pt idx="2248">
                  <c:v>40.11</c:v>
                </c:pt>
                <c:pt idx="2249">
                  <c:v>39.9</c:v>
                </c:pt>
                <c:pt idx="2250">
                  <c:v>40.89</c:v>
                </c:pt>
                <c:pt idx="2251">
                  <c:v>41.87</c:v>
                </c:pt>
                <c:pt idx="2252">
                  <c:v>42.98</c:v>
                </c:pt>
                <c:pt idx="2253">
                  <c:v>43.42</c:v>
                </c:pt>
                <c:pt idx="2254">
                  <c:v>43.21</c:v>
                </c:pt>
                <c:pt idx="2255">
                  <c:v>41.53</c:v>
                </c:pt>
                <c:pt idx="2256">
                  <c:v>40.97</c:v>
                </c:pt>
                <c:pt idx="2257">
                  <c:v>40.909999999999997</c:v>
                </c:pt>
                <c:pt idx="2258">
                  <c:v>39.18</c:v>
                </c:pt>
                <c:pt idx="2259">
                  <c:v>39.56</c:v>
                </c:pt>
                <c:pt idx="2260">
                  <c:v>40.25</c:v>
                </c:pt>
                <c:pt idx="2261">
                  <c:v>39.94</c:v>
                </c:pt>
                <c:pt idx="2262">
                  <c:v>40.630000000000003</c:v>
                </c:pt>
                <c:pt idx="2263">
                  <c:v>40.83</c:v>
                </c:pt>
                <c:pt idx="2264">
                  <c:v>40.47</c:v>
                </c:pt>
                <c:pt idx="2265">
                  <c:v>40.68</c:v>
                </c:pt>
                <c:pt idx="2266">
                  <c:v>41.05</c:v>
                </c:pt>
                <c:pt idx="2267">
                  <c:v>42.32</c:v>
                </c:pt>
                <c:pt idx="2268">
                  <c:v>41.75</c:v>
                </c:pt>
                <c:pt idx="2269">
                  <c:v>41.3</c:v>
                </c:pt>
                <c:pt idx="2270">
                  <c:v>41.2</c:v>
                </c:pt>
                <c:pt idx="2271">
                  <c:v>40.08</c:v>
                </c:pt>
                <c:pt idx="2272">
                  <c:v>40.31</c:v>
                </c:pt>
                <c:pt idx="2273">
                  <c:v>40.35</c:v>
                </c:pt>
                <c:pt idx="2274">
                  <c:v>40.11</c:v>
                </c:pt>
                <c:pt idx="2275">
                  <c:v>40.19</c:v>
                </c:pt>
                <c:pt idx="2276">
                  <c:v>40.47</c:v>
                </c:pt>
                <c:pt idx="2277">
                  <c:v>41.21</c:v>
                </c:pt>
                <c:pt idx="2278">
                  <c:v>41.07</c:v>
                </c:pt>
                <c:pt idx="2279">
                  <c:v>40.229999999999997</c:v>
                </c:pt>
                <c:pt idx="2280">
                  <c:v>40.19</c:v>
                </c:pt>
                <c:pt idx="2281">
                  <c:v>41.11</c:v>
                </c:pt>
                <c:pt idx="2282">
                  <c:v>42.13</c:v>
                </c:pt>
                <c:pt idx="2283">
                  <c:v>42.5</c:v>
                </c:pt>
                <c:pt idx="2284">
                  <c:v>42.36</c:v>
                </c:pt>
                <c:pt idx="2285">
                  <c:v>42.27</c:v>
                </c:pt>
                <c:pt idx="2286">
                  <c:v>41.54</c:v>
                </c:pt>
                <c:pt idx="2287">
                  <c:v>42.23</c:v>
                </c:pt>
                <c:pt idx="2288">
                  <c:v>40.04</c:v>
                </c:pt>
                <c:pt idx="2289">
                  <c:v>37.65</c:v>
                </c:pt>
                <c:pt idx="2290">
                  <c:v>38.450000000000003</c:v>
                </c:pt>
                <c:pt idx="2291">
                  <c:v>38.49</c:v>
                </c:pt>
                <c:pt idx="2292">
                  <c:v>38.69</c:v>
                </c:pt>
                <c:pt idx="2293">
                  <c:v>37.75</c:v>
                </c:pt>
                <c:pt idx="2294">
                  <c:v>37.97</c:v>
                </c:pt>
                <c:pt idx="2295">
                  <c:v>37.9</c:v>
                </c:pt>
                <c:pt idx="2296">
                  <c:v>37.869999999999997</c:v>
                </c:pt>
                <c:pt idx="2297">
                  <c:v>37.450000000000003</c:v>
                </c:pt>
                <c:pt idx="2298">
                  <c:v>37.99</c:v>
                </c:pt>
                <c:pt idx="2299">
                  <c:v>37.72</c:v>
                </c:pt>
                <c:pt idx="2300">
                  <c:v>36.97</c:v>
                </c:pt>
                <c:pt idx="2301">
                  <c:v>35.58</c:v>
                </c:pt>
                <c:pt idx="2302">
                  <c:v>35.450000000000003</c:v>
                </c:pt>
                <c:pt idx="2303">
                  <c:v>35.46</c:v>
                </c:pt>
                <c:pt idx="2304">
                  <c:v>35.119999999999997</c:v>
                </c:pt>
                <c:pt idx="2305">
                  <c:v>35.28</c:v>
                </c:pt>
                <c:pt idx="2306">
                  <c:v>35.29</c:v>
                </c:pt>
                <c:pt idx="2307">
                  <c:v>35.26</c:v>
                </c:pt>
                <c:pt idx="2308">
                  <c:v>35.909999999999997</c:v>
                </c:pt>
                <c:pt idx="2309">
                  <c:v>33.700000000000003</c:v>
                </c:pt>
                <c:pt idx="2310">
                  <c:v>34.159999999999997</c:v>
                </c:pt>
                <c:pt idx="2311">
                  <c:v>33.520000000000003</c:v>
                </c:pt>
                <c:pt idx="2312">
                  <c:v>33.369999999999997</c:v>
                </c:pt>
                <c:pt idx="2313">
                  <c:v>33.93</c:v>
                </c:pt>
                <c:pt idx="2314">
                  <c:v>34.1</c:v>
                </c:pt>
                <c:pt idx="2315">
                  <c:v>34.53</c:v>
                </c:pt>
                <c:pt idx="2316">
                  <c:v>34.159999999999997</c:v>
                </c:pt>
                <c:pt idx="2317">
                  <c:v>33.799999999999997</c:v>
                </c:pt>
                <c:pt idx="2318">
                  <c:v>33.49</c:v>
                </c:pt>
                <c:pt idx="2319">
                  <c:v>33.57</c:v>
                </c:pt>
                <c:pt idx="2320">
                  <c:v>33.770000000000003</c:v>
                </c:pt>
                <c:pt idx="2321">
                  <c:v>33.840000000000003</c:v>
                </c:pt>
                <c:pt idx="2322">
                  <c:v>33.46</c:v>
                </c:pt>
                <c:pt idx="2323">
                  <c:v>32.35</c:v>
                </c:pt>
                <c:pt idx="2324">
                  <c:v>32.479999999999997</c:v>
                </c:pt>
                <c:pt idx="2325">
                  <c:v>32.18</c:v>
                </c:pt>
                <c:pt idx="2326">
                  <c:v>32.130000000000003</c:v>
                </c:pt>
                <c:pt idx="2327">
                  <c:v>32.04</c:v>
                </c:pt>
                <c:pt idx="2328">
                  <c:v>31.97</c:v>
                </c:pt>
                <c:pt idx="2329">
                  <c:v>32.64</c:v>
                </c:pt>
                <c:pt idx="2330">
                  <c:v>32.75</c:v>
                </c:pt>
                <c:pt idx="2331">
                  <c:v>33.17</c:v>
                </c:pt>
                <c:pt idx="2332">
                  <c:v>33.57</c:v>
                </c:pt>
                <c:pt idx="2333">
                  <c:v>33.799999999999997</c:v>
                </c:pt>
                <c:pt idx="2334">
                  <c:v>34.299999999999997</c:v>
                </c:pt>
                <c:pt idx="2335">
                  <c:v>33.909999999999997</c:v>
                </c:pt>
                <c:pt idx="2336">
                  <c:v>33.46</c:v>
                </c:pt>
                <c:pt idx="2337">
                  <c:v>33.340000000000003</c:v>
                </c:pt>
                <c:pt idx="2338">
                  <c:v>34.06</c:v>
                </c:pt>
                <c:pt idx="2339">
                  <c:v>33.68</c:v>
                </c:pt>
                <c:pt idx="2340">
                  <c:v>33.17</c:v>
                </c:pt>
                <c:pt idx="2341">
                  <c:v>33.24</c:v>
                </c:pt>
                <c:pt idx="2342">
                  <c:v>33.32</c:v>
                </c:pt>
                <c:pt idx="2343">
                  <c:v>33.18</c:v>
                </c:pt>
                <c:pt idx="2344">
                  <c:v>33.68</c:v>
                </c:pt>
                <c:pt idx="2345">
                  <c:v>33.57</c:v>
                </c:pt>
                <c:pt idx="2346">
                  <c:v>33.479999999999997</c:v>
                </c:pt>
                <c:pt idx="2347">
                  <c:v>33.47</c:v>
                </c:pt>
                <c:pt idx="2348">
                  <c:v>33.11</c:v>
                </c:pt>
                <c:pt idx="2349">
                  <c:v>33.200000000000003</c:v>
                </c:pt>
                <c:pt idx="2350">
                  <c:v>34</c:v>
                </c:pt>
                <c:pt idx="2351">
                  <c:v>34.36</c:v>
                </c:pt>
                <c:pt idx="2352">
                  <c:v>34.39</c:v>
                </c:pt>
                <c:pt idx="2353">
                  <c:v>34.229999999999997</c:v>
                </c:pt>
                <c:pt idx="2354">
                  <c:v>34.6</c:v>
                </c:pt>
                <c:pt idx="2355">
                  <c:v>34.6</c:v>
                </c:pt>
                <c:pt idx="2356">
                  <c:v>34.94</c:v>
                </c:pt>
                <c:pt idx="2357">
                  <c:v>34.19</c:v>
                </c:pt>
                <c:pt idx="2358">
                  <c:v>34.06</c:v>
                </c:pt>
                <c:pt idx="2359">
                  <c:v>33.94</c:v>
                </c:pt>
                <c:pt idx="2360">
                  <c:v>33.520000000000003</c:v>
                </c:pt>
                <c:pt idx="2361">
                  <c:v>34.06</c:v>
                </c:pt>
                <c:pt idx="2362">
                  <c:v>34.51</c:v>
                </c:pt>
                <c:pt idx="2363">
                  <c:v>33.880000000000003</c:v>
                </c:pt>
                <c:pt idx="2364">
                  <c:v>33.33</c:v>
                </c:pt>
                <c:pt idx="2365">
                  <c:v>33.340000000000003</c:v>
                </c:pt>
                <c:pt idx="2366">
                  <c:v>34.01</c:v>
                </c:pt>
                <c:pt idx="2367">
                  <c:v>34.29</c:v>
                </c:pt>
                <c:pt idx="2368">
                  <c:v>34.15</c:v>
                </c:pt>
                <c:pt idx="2369">
                  <c:v>33.85</c:v>
                </c:pt>
                <c:pt idx="2370">
                  <c:v>33.53</c:v>
                </c:pt>
                <c:pt idx="2371">
                  <c:v>32.94</c:v>
                </c:pt>
                <c:pt idx="2372">
                  <c:v>33.4</c:v>
                </c:pt>
                <c:pt idx="2373">
                  <c:v>37.729999999999997</c:v>
                </c:pt>
                <c:pt idx="2374">
                  <c:v>36.58</c:v>
                </c:pt>
                <c:pt idx="2375">
                  <c:v>36.58</c:v>
                </c:pt>
                <c:pt idx="2376">
                  <c:v>36.86</c:v>
                </c:pt>
                <c:pt idx="2377">
                  <c:v>36.729999999999997</c:v>
                </c:pt>
                <c:pt idx="2378">
                  <c:v>36.229999999999997</c:v>
                </c:pt>
                <c:pt idx="2379">
                  <c:v>35.76</c:v>
                </c:pt>
                <c:pt idx="2380">
                  <c:v>34.619999999999997</c:v>
                </c:pt>
                <c:pt idx="2381">
                  <c:v>34.630000000000003</c:v>
                </c:pt>
                <c:pt idx="2382">
                  <c:v>34.119999999999997</c:v>
                </c:pt>
                <c:pt idx="2383">
                  <c:v>34.6</c:v>
                </c:pt>
                <c:pt idx="2384">
                  <c:v>34.44</c:v>
                </c:pt>
                <c:pt idx="2385">
                  <c:v>34.65</c:v>
                </c:pt>
                <c:pt idx="2386">
                  <c:v>34.94</c:v>
                </c:pt>
                <c:pt idx="2387">
                  <c:v>35.799999999999997</c:v>
                </c:pt>
                <c:pt idx="2388">
                  <c:v>35.68</c:v>
                </c:pt>
                <c:pt idx="2389">
                  <c:v>36.090000000000003</c:v>
                </c:pt>
                <c:pt idx="2390">
                  <c:v>36.200000000000003</c:v>
                </c:pt>
                <c:pt idx="2391">
                  <c:v>36.9</c:v>
                </c:pt>
                <c:pt idx="2392">
                  <c:v>36.950000000000003</c:v>
                </c:pt>
                <c:pt idx="2393">
                  <c:v>36.450000000000003</c:v>
                </c:pt>
                <c:pt idx="2394">
                  <c:v>36.299999999999997</c:v>
                </c:pt>
                <c:pt idx="2395">
                  <c:v>36.4</c:v>
                </c:pt>
                <c:pt idx="2396">
                  <c:v>36.32</c:v>
                </c:pt>
                <c:pt idx="2397">
                  <c:v>36.799999999999997</c:v>
                </c:pt>
                <c:pt idx="2398">
                  <c:v>36.9</c:v>
                </c:pt>
                <c:pt idx="2399">
                  <c:v>36.81</c:v>
                </c:pt>
                <c:pt idx="2400">
                  <c:v>37.450000000000003</c:v>
                </c:pt>
                <c:pt idx="2401">
                  <c:v>36.630000000000003</c:v>
                </c:pt>
                <c:pt idx="2402">
                  <c:v>37.44</c:v>
                </c:pt>
                <c:pt idx="2403">
                  <c:v>38.520000000000003</c:v>
                </c:pt>
                <c:pt idx="2404">
                  <c:v>37.92</c:v>
                </c:pt>
                <c:pt idx="2405">
                  <c:v>38.5</c:v>
                </c:pt>
                <c:pt idx="2406">
                  <c:v>38.42</c:v>
                </c:pt>
                <c:pt idx="2407">
                  <c:v>37.200000000000003</c:v>
                </c:pt>
                <c:pt idx="2408">
                  <c:v>37.270000000000003</c:v>
                </c:pt>
                <c:pt idx="2409">
                  <c:v>37.14</c:v>
                </c:pt>
                <c:pt idx="2410">
                  <c:v>36.270000000000003</c:v>
                </c:pt>
                <c:pt idx="2411">
                  <c:v>36.630000000000003</c:v>
                </c:pt>
                <c:pt idx="2412">
                  <c:v>36.799999999999997</c:v>
                </c:pt>
                <c:pt idx="2413">
                  <c:v>36.33</c:v>
                </c:pt>
                <c:pt idx="2414">
                  <c:v>36.75</c:v>
                </c:pt>
                <c:pt idx="2415">
                  <c:v>35.950000000000003</c:v>
                </c:pt>
                <c:pt idx="2416">
                  <c:v>35.68</c:v>
                </c:pt>
                <c:pt idx="2417">
                  <c:v>35.450000000000003</c:v>
                </c:pt>
                <c:pt idx="2418">
                  <c:v>34.82</c:v>
                </c:pt>
                <c:pt idx="2419">
                  <c:v>34.71</c:v>
                </c:pt>
                <c:pt idx="2420">
                  <c:v>34.880000000000003</c:v>
                </c:pt>
                <c:pt idx="2421">
                  <c:v>34.06</c:v>
                </c:pt>
                <c:pt idx="2422">
                  <c:v>34.590000000000003</c:v>
                </c:pt>
                <c:pt idx="2423">
                  <c:v>34.520000000000003</c:v>
                </c:pt>
                <c:pt idx="2424">
                  <c:v>34.71</c:v>
                </c:pt>
                <c:pt idx="2425">
                  <c:v>35.18</c:v>
                </c:pt>
                <c:pt idx="2426">
                  <c:v>34.28</c:v>
                </c:pt>
                <c:pt idx="2427">
                  <c:v>34.380000000000003</c:v>
                </c:pt>
                <c:pt idx="2428">
                  <c:v>34.5</c:v>
                </c:pt>
                <c:pt idx="2429">
                  <c:v>34.33</c:v>
                </c:pt>
                <c:pt idx="2430">
                  <c:v>34.950000000000003</c:v>
                </c:pt>
                <c:pt idx="2431">
                  <c:v>35</c:v>
                </c:pt>
                <c:pt idx="2432">
                  <c:v>35.49</c:v>
                </c:pt>
                <c:pt idx="2433">
                  <c:v>34.869999999999997</c:v>
                </c:pt>
                <c:pt idx="2434">
                  <c:v>35.869999999999997</c:v>
                </c:pt>
                <c:pt idx="2435">
                  <c:v>34.65</c:v>
                </c:pt>
                <c:pt idx="2436">
                  <c:v>33.22</c:v>
                </c:pt>
                <c:pt idx="2437">
                  <c:v>32.549999999999997</c:v>
                </c:pt>
                <c:pt idx="2438">
                  <c:v>32.46</c:v>
                </c:pt>
                <c:pt idx="2439">
                  <c:v>33.46</c:v>
                </c:pt>
                <c:pt idx="2440">
                  <c:v>33.6</c:v>
                </c:pt>
                <c:pt idx="2441">
                  <c:v>34.28</c:v>
                </c:pt>
                <c:pt idx="2442">
                  <c:v>34.6</c:v>
                </c:pt>
                <c:pt idx="2443">
                  <c:v>34.76</c:v>
                </c:pt>
                <c:pt idx="2444">
                  <c:v>35.07</c:v>
                </c:pt>
                <c:pt idx="2445">
                  <c:v>34.49</c:v>
                </c:pt>
                <c:pt idx="2446">
                  <c:v>35.15</c:v>
                </c:pt>
                <c:pt idx="2447">
                  <c:v>35.07</c:v>
                </c:pt>
                <c:pt idx="2448">
                  <c:v>34.28</c:v>
                </c:pt>
                <c:pt idx="2449">
                  <c:v>33.9</c:v>
                </c:pt>
                <c:pt idx="2450">
                  <c:v>33.479999999999997</c:v>
                </c:pt>
                <c:pt idx="2451">
                  <c:v>32.159999999999997</c:v>
                </c:pt>
                <c:pt idx="2452">
                  <c:v>32.25</c:v>
                </c:pt>
                <c:pt idx="2453">
                  <c:v>31.41</c:v>
                </c:pt>
                <c:pt idx="2454">
                  <c:v>30.87</c:v>
                </c:pt>
                <c:pt idx="2455">
                  <c:v>30.99</c:v>
                </c:pt>
                <c:pt idx="2456">
                  <c:v>31.62</c:v>
                </c:pt>
                <c:pt idx="2457">
                  <c:v>31.11</c:v>
                </c:pt>
                <c:pt idx="2458">
                  <c:v>31.61</c:v>
                </c:pt>
                <c:pt idx="2459">
                  <c:v>31.58</c:v>
                </c:pt>
                <c:pt idx="2460">
                  <c:v>31.94</c:v>
                </c:pt>
                <c:pt idx="2461">
                  <c:v>31.32</c:v>
                </c:pt>
                <c:pt idx="2462">
                  <c:v>31.65</c:v>
                </c:pt>
                <c:pt idx="2463">
                  <c:v>31.91</c:v>
                </c:pt>
                <c:pt idx="2464">
                  <c:v>32.32</c:v>
                </c:pt>
                <c:pt idx="2465">
                  <c:v>33.159999999999997</c:v>
                </c:pt>
                <c:pt idx="2466">
                  <c:v>33.090000000000003</c:v>
                </c:pt>
                <c:pt idx="2467">
                  <c:v>32.36</c:v>
                </c:pt>
                <c:pt idx="2468">
                  <c:v>32.31</c:v>
                </c:pt>
                <c:pt idx="2469">
                  <c:v>32.229999999999997</c:v>
                </c:pt>
                <c:pt idx="2470">
                  <c:v>32.299999999999997</c:v>
                </c:pt>
                <c:pt idx="2471">
                  <c:v>32.270000000000003</c:v>
                </c:pt>
                <c:pt idx="2472">
                  <c:v>31.73</c:v>
                </c:pt>
                <c:pt idx="2473">
                  <c:v>31.48</c:v>
                </c:pt>
                <c:pt idx="2474">
                  <c:v>32.119999999999997</c:v>
                </c:pt>
                <c:pt idx="2475">
                  <c:v>32.79</c:v>
                </c:pt>
                <c:pt idx="2476">
                  <c:v>33.6</c:v>
                </c:pt>
                <c:pt idx="2477">
                  <c:v>33.82</c:v>
                </c:pt>
                <c:pt idx="2478">
                  <c:v>34.42</c:v>
                </c:pt>
                <c:pt idx="2479">
                  <c:v>33.979999999999997</c:v>
                </c:pt>
                <c:pt idx="2480">
                  <c:v>34.33</c:v>
                </c:pt>
                <c:pt idx="2481">
                  <c:v>34.15</c:v>
                </c:pt>
                <c:pt idx="2482">
                  <c:v>33.44</c:v>
                </c:pt>
                <c:pt idx="2483">
                  <c:v>33.590000000000003</c:v>
                </c:pt>
                <c:pt idx="2484">
                  <c:v>34.36</c:v>
                </c:pt>
                <c:pt idx="2485">
                  <c:v>34.47</c:v>
                </c:pt>
                <c:pt idx="2486">
                  <c:v>35.020000000000003</c:v>
                </c:pt>
                <c:pt idx="2487">
                  <c:v>35.090000000000003</c:v>
                </c:pt>
                <c:pt idx="2488">
                  <c:v>35.54</c:v>
                </c:pt>
                <c:pt idx="2489">
                  <c:v>34.75</c:v>
                </c:pt>
                <c:pt idx="2490">
                  <c:v>35.21</c:v>
                </c:pt>
                <c:pt idx="2491">
                  <c:v>34.619999999999997</c:v>
                </c:pt>
                <c:pt idx="2492">
                  <c:v>34.729999999999997</c:v>
                </c:pt>
                <c:pt idx="2493">
                  <c:v>35.47</c:v>
                </c:pt>
                <c:pt idx="2494">
                  <c:v>34.04</c:v>
                </c:pt>
                <c:pt idx="2495">
                  <c:v>33.93</c:v>
                </c:pt>
                <c:pt idx="2496">
                  <c:v>35.299999999999997</c:v>
                </c:pt>
                <c:pt idx="2497">
                  <c:v>35.78</c:v>
                </c:pt>
                <c:pt idx="2498">
                  <c:v>36.450000000000003</c:v>
                </c:pt>
                <c:pt idx="2499">
                  <c:v>37.18</c:v>
                </c:pt>
                <c:pt idx="2500">
                  <c:v>36.700000000000003</c:v>
                </c:pt>
                <c:pt idx="2501">
                  <c:v>35.33</c:v>
                </c:pt>
                <c:pt idx="2502">
                  <c:v>36.14</c:v>
                </c:pt>
                <c:pt idx="2503">
                  <c:v>35.659999999999997</c:v>
                </c:pt>
                <c:pt idx="2504">
                  <c:v>36.32</c:v>
                </c:pt>
                <c:pt idx="2505">
                  <c:v>35.96</c:v>
                </c:pt>
                <c:pt idx="2506">
                  <c:v>35.43</c:v>
                </c:pt>
                <c:pt idx="2507">
                  <c:v>36.130000000000003</c:v>
                </c:pt>
                <c:pt idx="2508">
                  <c:v>36.58</c:v>
                </c:pt>
                <c:pt idx="2509">
                  <c:v>38.18</c:v>
                </c:pt>
                <c:pt idx="2510">
                  <c:v>37.68</c:v>
                </c:pt>
                <c:pt idx="2511">
                  <c:v>37.869999999999997</c:v>
                </c:pt>
                <c:pt idx="2512">
                  <c:v>37.85</c:v>
                </c:pt>
                <c:pt idx="2513">
                  <c:v>37.9</c:v>
                </c:pt>
                <c:pt idx="2514">
                  <c:v>37.74</c:v>
                </c:pt>
                <c:pt idx="2515">
                  <c:v>37.25</c:v>
                </c:pt>
                <c:pt idx="2516">
                  <c:v>37.29</c:v>
                </c:pt>
                <c:pt idx="2517">
                  <c:v>36.659999999999997</c:v>
                </c:pt>
                <c:pt idx="2518">
                  <c:v>36.659999999999997</c:v>
                </c:pt>
                <c:pt idx="2519">
                  <c:v>36.770000000000003</c:v>
                </c:pt>
                <c:pt idx="2520">
                  <c:v>37.08</c:v>
                </c:pt>
                <c:pt idx="2521">
                  <c:v>38.29</c:v>
                </c:pt>
                <c:pt idx="2522">
                  <c:v>38.26</c:v>
                </c:pt>
                <c:pt idx="2523">
                  <c:v>38.090000000000003</c:v>
                </c:pt>
                <c:pt idx="2524">
                  <c:v>38.020000000000003</c:v>
                </c:pt>
                <c:pt idx="2525">
                  <c:v>38.31</c:v>
                </c:pt>
                <c:pt idx="2526">
                  <c:v>37.049999999999997</c:v>
                </c:pt>
                <c:pt idx="2527">
                  <c:v>37.08</c:v>
                </c:pt>
                <c:pt idx="2528">
                  <c:v>38.840000000000003</c:v>
                </c:pt>
                <c:pt idx="2529">
                  <c:v>39.020000000000003</c:v>
                </c:pt>
                <c:pt idx="2530">
                  <c:v>39.14</c:v>
                </c:pt>
                <c:pt idx="2531">
                  <c:v>38</c:v>
                </c:pt>
                <c:pt idx="2532">
                  <c:v>37.619999999999997</c:v>
                </c:pt>
                <c:pt idx="2533">
                  <c:v>38.119999999999997</c:v>
                </c:pt>
                <c:pt idx="2534">
                  <c:v>37.81</c:v>
                </c:pt>
                <c:pt idx="2535">
                  <c:v>37.61</c:v>
                </c:pt>
                <c:pt idx="2536">
                  <c:v>36.4</c:v>
                </c:pt>
                <c:pt idx="2537">
                  <c:v>36.450000000000003</c:v>
                </c:pt>
                <c:pt idx="2538">
                  <c:v>36.15</c:v>
                </c:pt>
                <c:pt idx="2539">
                  <c:v>37.19</c:v>
                </c:pt>
                <c:pt idx="2540">
                  <c:v>36.950000000000003</c:v>
                </c:pt>
                <c:pt idx="2541">
                  <c:v>36.74</c:v>
                </c:pt>
                <c:pt idx="2542">
                  <c:v>37.630000000000003</c:v>
                </c:pt>
                <c:pt idx="2543">
                  <c:v>37.799999999999997</c:v>
                </c:pt>
                <c:pt idx="2544">
                  <c:v>37.79</c:v>
                </c:pt>
                <c:pt idx="2545">
                  <c:v>36.659999999999997</c:v>
                </c:pt>
                <c:pt idx="2546">
                  <c:v>37.03</c:v>
                </c:pt>
                <c:pt idx="2547">
                  <c:v>37.14</c:v>
                </c:pt>
                <c:pt idx="2548">
                  <c:v>36.35</c:v>
                </c:pt>
                <c:pt idx="2549">
                  <c:v>37.659999999999997</c:v>
                </c:pt>
                <c:pt idx="2550">
                  <c:v>37.97</c:v>
                </c:pt>
                <c:pt idx="2551">
                  <c:v>37.74</c:v>
                </c:pt>
                <c:pt idx="2552">
                  <c:v>36.92</c:v>
                </c:pt>
                <c:pt idx="2553">
                  <c:v>36.19</c:v>
                </c:pt>
                <c:pt idx="2554">
                  <c:v>36.450000000000003</c:v>
                </c:pt>
                <c:pt idx="2555">
                  <c:v>36.18</c:v>
                </c:pt>
                <c:pt idx="2556">
                  <c:v>35.090000000000003</c:v>
                </c:pt>
                <c:pt idx="2557">
                  <c:v>35.200000000000003</c:v>
                </c:pt>
                <c:pt idx="2558">
                  <c:v>34.96</c:v>
                </c:pt>
                <c:pt idx="2559">
                  <c:v>35.700000000000003</c:v>
                </c:pt>
                <c:pt idx="2560">
                  <c:v>34.49</c:v>
                </c:pt>
                <c:pt idx="2561">
                  <c:v>34.64</c:v>
                </c:pt>
                <c:pt idx="2562">
                  <c:v>35.299999999999997</c:v>
                </c:pt>
                <c:pt idx="2563">
                  <c:v>34.520000000000003</c:v>
                </c:pt>
                <c:pt idx="2564">
                  <c:v>34.96</c:v>
                </c:pt>
                <c:pt idx="2565">
                  <c:v>34.96</c:v>
                </c:pt>
                <c:pt idx="2566">
                  <c:v>34.229999999999997</c:v>
                </c:pt>
                <c:pt idx="2567">
                  <c:v>34.020000000000003</c:v>
                </c:pt>
                <c:pt idx="2568">
                  <c:v>34.17</c:v>
                </c:pt>
                <c:pt idx="2569">
                  <c:v>34.78</c:v>
                </c:pt>
                <c:pt idx="2570">
                  <c:v>34.96</c:v>
                </c:pt>
                <c:pt idx="2571">
                  <c:v>34.96</c:v>
                </c:pt>
                <c:pt idx="2572">
                  <c:v>34.909999999999997</c:v>
                </c:pt>
                <c:pt idx="2573">
                  <c:v>35.03</c:v>
                </c:pt>
                <c:pt idx="2574">
                  <c:v>33.909999999999997</c:v>
                </c:pt>
                <c:pt idx="2575">
                  <c:v>34</c:v>
                </c:pt>
                <c:pt idx="2576">
                  <c:v>32.799999999999997</c:v>
                </c:pt>
                <c:pt idx="2577">
                  <c:v>31.82</c:v>
                </c:pt>
                <c:pt idx="2578">
                  <c:v>32.58</c:v>
                </c:pt>
                <c:pt idx="2579">
                  <c:v>33.04</c:v>
                </c:pt>
                <c:pt idx="2580">
                  <c:v>32.47</c:v>
                </c:pt>
                <c:pt idx="2581">
                  <c:v>33.26</c:v>
                </c:pt>
                <c:pt idx="2582">
                  <c:v>33.26</c:v>
                </c:pt>
                <c:pt idx="2583">
                  <c:v>33.46</c:v>
                </c:pt>
                <c:pt idx="2584">
                  <c:v>32.79</c:v>
                </c:pt>
                <c:pt idx="2585">
                  <c:v>32.9</c:v>
                </c:pt>
                <c:pt idx="2586">
                  <c:v>33.200000000000003</c:v>
                </c:pt>
                <c:pt idx="2587">
                  <c:v>31.87</c:v>
                </c:pt>
                <c:pt idx="2588">
                  <c:v>31.08</c:v>
                </c:pt>
                <c:pt idx="2589">
                  <c:v>30.49</c:v>
                </c:pt>
                <c:pt idx="2590">
                  <c:v>30.38</c:v>
                </c:pt>
                <c:pt idx="2591">
                  <c:v>29.64</c:v>
                </c:pt>
                <c:pt idx="2592">
                  <c:v>29.46</c:v>
                </c:pt>
                <c:pt idx="2593">
                  <c:v>29.84</c:v>
                </c:pt>
                <c:pt idx="2594">
                  <c:v>29.01</c:v>
                </c:pt>
                <c:pt idx="2595">
                  <c:v>28.51</c:v>
                </c:pt>
                <c:pt idx="2596">
                  <c:v>28.46</c:v>
                </c:pt>
                <c:pt idx="2597">
                  <c:v>29.3</c:v>
                </c:pt>
                <c:pt idx="2598">
                  <c:v>29.17</c:v>
                </c:pt>
                <c:pt idx="2599">
                  <c:v>29.37</c:v>
                </c:pt>
                <c:pt idx="2600">
                  <c:v>28.41</c:v>
                </c:pt>
                <c:pt idx="2601">
                  <c:v>28.63</c:v>
                </c:pt>
                <c:pt idx="2602">
                  <c:v>28.61</c:v>
                </c:pt>
                <c:pt idx="2603">
                  <c:v>28.11</c:v>
                </c:pt>
                <c:pt idx="2604">
                  <c:v>28.48</c:v>
                </c:pt>
                <c:pt idx="2605">
                  <c:v>28.34</c:v>
                </c:pt>
                <c:pt idx="2606">
                  <c:v>28.25</c:v>
                </c:pt>
                <c:pt idx="2607">
                  <c:v>27.49</c:v>
                </c:pt>
                <c:pt idx="2608">
                  <c:v>27.55</c:v>
                </c:pt>
                <c:pt idx="2609">
                  <c:v>27.42</c:v>
                </c:pt>
                <c:pt idx="2610">
                  <c:v>27.15</c:v>
                </c:pt>
                <c:pt idx="2611">
                  <c:v>25.7</c:v>
                </c:pt>
                <c:pt idx="2612">
                  <c:v>26.02</c:v>
                </c:pt>
                <c:pt idx="2613">
                  <c:v>26.8</c:v>
                </c:pt>
                <c:pt idx="2614">
                  <c:v>27.91</c:v>
                </c:pt>
                <c:pt idx="2615">
                  <c:v>29.15</c:v>
                </c:pt>
                <c:pt idx="2616">
                  <c:v>30.42</c:v>
                </c:pt>
                <c:pt idx="2617">
                  <c:v>30.8</c:v>
                </c:pt>
                <c:pt idx="2618">
                  <c:v>30.49</c:v>
                </c:pt>
                <c:pt idx="2619">
                  <c:v>29.7</c:v>
                </c:pt>
                <c:pt idx="2620">
                  <c:v>30</c:v>
                </c:pt>
                <c:pt idx="2621">
                  <c:v>28.21</c:v>
                </c:pt>
                <c:pt idx="2622">
                  <c:v>28.19</c:v>
                </c:pt>
                <c:pt idx="2623">
                  <c:v>29.26</c:v>
                </c:pt>
                <c:pt idx="2624">
                  <c:v>28.13</c:v>
                </c:pt>
                <c:pt idx="2625">
                  <c:v>29.39</c:v>
                </c:pt>
                <c:pt idx="2626">
                  <c:v>28.11</c:v>
                </c:pt>
                <c:pt idx="2627">
                  <c:v>29.19</c:v>
                </c:pt>
                <c:pt idx="2628">
                  <c:v>30.25</c:v>
                </c:pt>
                <c:pt idx="2629">
                  <c:v>30.66</c:v>
                </c:pt>
                <c:pt idx="2630">
                  <c:v>30.34</c:v>
                </c:pt>
                <c:pt idx="2631">
                  <c:v>30.26</c:v>
                </c:pt>
                <c:pt idx="2632">
                  <c:v>30.11</c:v>
                </c:pt>
                <c:pt idx="2633">
                  <c:v>30.08</c:v>
                </c:pt>
                <c:pt idx="2634">
                  <c:v>32.6</c:v>
                </c:pt>
                <c:pt idx="2635">
                  <c:v>33.22</c:v>
                </c:pt>
                <c:pt idx="2636">
                  <c:v>33.94</c:v>
                </c:pt>
                <c:pt idx="2637">
                  <c:v>34.299999999999997</c:v>
                </c:pt>
                <c:pt idx="2638">
                  <c:v>36.4</c:v>
                </c:pt>
                <c:pt idx="2639">
                  <c:v>35.35</c:v>
                </c:pt>
                <c:pt idx="2640">
                  <c:v>35.479999999999997</c:v>
                </c:pt>
                <c:pt idx="2641">
                  <c:v>34.909999999999997</c:v>
                </c:pt>
                <c:pt idx="2642">
                  <c:v>34.11</c:v>
                </c:pt>
                <c:pt idx="2643">
                  <c:v>33.97</c:v>
                </c:pt>
                <c:pt idx="2644">
                  <c:v>32.54</c:v>
                </c:pt>
                <c:pt idx="2645">
                  <c:v>31.67</c:v>
                </c:pt>
                <c:pt idx="2646">
                  <c:v>32.07</c:v>
                </c:pt>
                <c:pt idx="2647">
                  <c:v>32.380000000000003</c:v>
                </c:pt>
                <c:pt idx="2648">
                  <c:v>32.47</c:v>
                </c:pt>
                <c:pt idx="2649">
                  <c:v>32.1</c:v>
                </c:pt>
                <c:pt idx="2650">
                  <c:v>31.65</c:v>
                </c:pt>
                <c:pt idx="2651">
                  <c:v>32.4</c:v>
                </c:pt>
                <c:pt idx="2652">
                  <c:v>32.32</c:v>
                </c:pt>
                <c:pt idx="2653">
                  <c:v>32.99</c:v>
                </c:pt>
                <c:pt idx="2654">
                  <c:v>32.51</c:v>
                </c:pt>
                <c:pt idx="2655">
                  <c:v>31.87</c:v>
                </c:pt>
                <c:pt idx="2656">
                  <c:v>31.19</c:v>
                </c:pt>
                <c:pt idx="2657">
                  <c:v>31.55</c:v>
                </c:pt>
                <c:pt idx="2658">
                  <c:v>32.479999999999997</c:v>
                </c:pt>
                <c:pt idx="2659">
                  <c:v>30.66</c:v>
                </c:pt>
                <c:pt idx="2660">
                  <c:v>30.56</c:v>
                </c:pt>
                <c:pt idx="2661">
                  <c:v>30.11</c:v>
                </c:pt>
                <c:pt idx="2662">
                  <c:v>30.28</c:v>
                </c:pt>
                <c:pt idx="2663">
                  <c:v>29.43</c:v>
                </c:pt>
                <c:pt idx="2664">
                  <c:v>28.55</c:v>
                </c:pt>
                <c:pt idx="2665">
                  <c:v>28.03</c:v>
                </c:pt>
                <c:pt idx="2666">
                  <c:v>27.95</c:v>
                </c:pt>
                <c:pt idx="2667">
                  <c:v>27.77</c:v>
                </c:pt>
                <c:pt idx="2668">
                  <c:v>27.02</c:v>
                </c:pt>
                <c:pt idx="2669">
                  <c:v>26.97</c:v>
                </c:pt>
                <c:pt idx="2670">
                  <c:v>27.1</c:v>
                </c:pt>
                <c:pt idx="2671">
                  <c:v>27.08</c:v>
                </c:pt>
                <c:pt idx="2672">
                  <c:v>26.76</c:v>
                </c:pt>
                <c:pt idx="2673">
                  <c:v>25.67</c:v>
                </c:pt>
                <c:pt idx="2674">
                  <c:v>26.4</c:v>
                </c:pt>
                <c:pt idx="2675">
                  <c:v>26.18</c:v>
                </c:pt>
                <c:pt idx="2676">
                  <c:v>26.58</c:v>
                </c:pt>
                <c:pt idx="2677">
                  <c:v>26.42</c:v>
                </c:pt>
                <c:pt idx="2678">
                  <c:v>26.15</c:v>
                </c:pt>
                <c:pt idx="2679">
                  <c:v>25.26</c:v>
                </c:pt>
                <c:pt idx="2680">
                  <c:v>27.35</c:v>
                </c:pt>
                <c:pt idx="2681">
                  <c:v>27.92</c:v>
                </c:pt>
                <c:pt idx="2682">
                  <c:v>28.77</c:v>
                </c:pt>
                <c:pt idx="2683">
                  <c:v>28.5</c:v>
                </c:pt>
                <c:pt idx="2684">
                  <c:v>28.38</c:v>
                </c:pt>
                <c:pt idx="2685">
                  <c:v>28.8</c:v>
                </c:pt>
                <c:pt idx="2686">
                  <c:v>27.29</c:v>
                </c:pt>
                <c:pt idx="2687">
                  <c:v>26.77</c:v>
                </c:pt>
                <c:pt idx="2688">
                  <c:v>27.84</c:v>
                </c:pt>
                <c:pt idx="2689">
                  <c:v>27.07</c:v>
                </c:pt>
                <c:pt idx="2690">
                  <c:v>26.95</c:v>
                </c:pt>
                <c:pt idx="2691">
                  <c:v>27.34</c:v>
                </c:pt>
                <c:pt idx="2692">
                  <c:v>27.07</c:v>
                </c:pt>
                <c:pt idx="2693">
                  <c:v>27.57</c:v>
                </c:pt>
                <c:pt idx="2694">
                  <c:v>28.1</c:v>
                </c:pt>
                <c:pt idx="2695">
                  <c:v>24.17</c:v>
                </c:pt>
                <c:pt idx="2696">
                  <c:v>24.39</c:v>
                </c:pt>
                <c:pt idx="2697">
                  <c:v>25</c:v>
                </c:pt>
                <c:pt idx="2698">
                  <c:v>25.08</c:v>
                </c:pt>
                <c:pt idx="2699">
                  <c:v>24.73</c:v>
                </c:pt>
                <c:pt idx="2700">
                  <c:v>24.24</c:v>
                </c:pt>
                <c:pt idx="2701">
                  <c:v>24.4</c:v>
                </c:pt>
                <c:pt idx="2702">
                  <c:v>23.84</c:v>
                </c:pt>
                <c:pt idx="2703">
                  <c:v>23.57</c:v>
                </c:pt>
                <c:pt idx="2704">
                  <c:v>23.47</c:v>
                </c:pt>
                <c:pt idx="2705">
                  <c:v>22.25</c:v>
                </c:pt>
                <c:pt idx="2706">
                  <c:v>22.04</c:v>
                </c:pt>
                <c:pt idx="2707">
                  <c:v>22.24</c:v>
                </c:pt>
                <c:pt idx="2708">
                  <c:v>22.88</c:v>
                </c:pt>
                <c:pt idx="2709">
                  <c:v>22.52</c:v>
                </c:pt>
                <c:pt idx="2710">
                  <c:v>22.42</c:v>
                </c:pt>
                <c:pt idx="2711">
                  <c:v>21.28</c:v>
                </c:pt>
                <c:pt idx="2712">
                  <c:v>20.88</c:v>
                </c:pt>
                <c:pt idx="2713">
                  <c:v>21.51</c:v>
                </c:pt>
                <c:pt idx="2714">
                  <c:v>20.83</c:v>
                </c:pt>
                <c:pt idx="2715">
                  <c:v>20.85</c:v>
                </c:pt>
                <c:pt idx="2716">
                  <c:v>21.67</c:v>
                </c:pt>
                <c:pt idx="2717">
                  <c:v>21.92</c:v>
                </c:pt>
                <c:pt idx="2718">
                  <c:v>22.2</c:v>
                </c:pt>
                <c:pt idx="2719">
                  <c:v>22.07</c:v>
                </c:pt>
                <c:pt idx="2720">
                  <c:v>21.68</c:v>
                </c:pt>
                <c:pt idx="2721">
                  <c:v>21.5</c:v>
                </c:pt>
                <c:pt idx="2722">
                  <c:v>22.04</c:v>
                </c:pt>
                <c:pt idx="2723">
                  <c:v>22.17</c:v>
                </c:pt>
                <c:pt idx="2724">
                  <c:v>21.77</c:v>
                </c:pt>
                <c:pt idx="2725">
                  <c:v>21.67</c:v>
                </c:pt>
                <c:pt idx="2726">
                  <c:v>21.88</c:v>
                </c:pt>
                <c:pt idx="2727">
                  <c:v>22.45</c:v>
                </c:pt>
                <c:pt idx="2728">
                  <c:v>23.25</c:v>
                </c:pt>
                <c:pt idx="2729">
                  <c:v>23</c:v>
                </c:pt>
                <c:pt idx="2730">
                  <c:v>23.05</c:v>
                </c:pt>
                <c:pt idx="2731">
                  <c:v>23.28</c:v>
                </c:pt>
                <c:pt idx="2732">
                  <c:v>23.2</c:v>
                </c:pt>
                <c:pt idx="2733">
                  <c:v>23.76</c:v>
                </c:pt>
                <c:pt idx="2734">
                  <c:v>23.93</c:v>
                </c:pt>
                <c:pt idx="2735">
                  <c:v>23.44</c:v>
                </c:pt>
                <c:pt idx="2736">
                  <c:v>23.46</c:v>
                </c:pt>
                <c:pt idx="2737">
                  <c:v>23.25</c:v>
                </c:pt>
                <c:pt idx="2738">
                  <c:v>23.05</c:v>
                </c:pt>
                <c:pt idx="2739">
                  <c:v>22.48</c:v>
                </c:pt>
                <c:pt idx="2740">
                  <c:v>22.75</c:v>
                </c:pt>
                <c:pt idx="2741">
                  <c:v>23.35</c:v>
                </c:pt>
                <c:pt idx="2742">
                  <c:v>23.49</c:v>
                </c:pt>
                <c:pt idx="2743">
                  <c:v>23.05</c:v>
                </c:pt>
                <c:pt idx="2744">
                  <c:v>23.09</c:v>
                </c:pt>
                <c:pt idx="2745">
                  <c:v>23.52</c:v>
                </c:pt>
                <c:pt idx="2746">
                  <c:v>24.08</c:v>
                </c:pt>
                <c:pt idx="2747">
                  <c:v>23.55</c:v>
                </c:pt>
                <c:pt idx="2748">
                  <c:v>23.59</c:v>
                </c:pt>
                <c:pt idx="2749">
                  <c:v>23.69</c:v>
                </c:pt>
                <c:pt idx="2750">
                  <c:v>23.83</c:v>
                </c:pt>
                <c:pt idx="2751">
                  <c:v>24.06</c:v>
                </c:pt>
                <c:pt idx="2752">
                  <c:v>24.05</c:v>
                </c:pt>
                <c:pt idx="2753">
                  <c:v>24.19</c:v>
                </c:pt>
                <c:pt idx="2754">
                  <c:v>24.4</c:v>
                </c:pt>
                <c:pt idx="2755">
                  <c:v>24.87</c:v>
                </c:pt>
                <c:pt idx="2756">
                  <c:v>24.06</c:v>
                </c:pt>
                <c:pt idx="2757">
                  <c:v>24.29</c:v>
                </c:pt>
                <c:pt idx="2758">
                  <c:v>23.83</c:v>
                </c:pt>
                <c:pt idx="2759">
                  <c:v>23.62</c:v>
                </c:pt>
                <c:pt idx="2760">
                  <c:v>23.45</c:v>
                </c:pt>
                <c:pt idx="2761">
                  <c:v>22.7</c:v>
                </c:pt>
                <c:pt idx="2762">
                  <c:v>22.51</c:v>
                </c:pt>
                <c:pt idx="2763">
                  <c:v>22.47</c:v>
                </c:pt>
                <c:pt idx="2764">
                  <c:v>22.49</c:v>
                </c:pt>
                <c:pt idx="2765">
                  <c:v>22.15</c:v>
                </c:pt>
                <c:pt idx="2766">
                  <c:v>22.39</c:v>
                </c:pt>
                <c:pt idx="2767">
                  <c:v>21.84</c:v>
                </c:pt>
                <c:pt idx="2768">
                  <c:v>21.3</c:v>
                </c:pt>
                <c:pt idx="2769">
                  <c:v>21.06</c:v>
                </c:pt>
                <c:pt idx="2770">
                  <c:v>20.94</c:v>
                </c:pt>
                <c:pt idx="2771">
                  <c:v>20.36</c:v>
                </c:pt>
                <c:pt idx="2772">
                  <c:v>20.350000000000001</c:v>
                </c:pt>
                <c:pt idx="2773">
                  <c:v>21.12</c:v>
                </c:pt>
                <c:pt idx="2774">
                  <c:v>21.49</c:v>
                </c:pt>
                <c:pt idx="2775">
                  <c:v>21.39</c:v>
                </c:pt>
                <c:pt idx="2776">
                  <c:v>20.58</c:v>
                </c:pt>
                <c:pt idx="2777">
                  <c:v>20.78</c:v>
                </c:pt>
                <c:pt idx="2778">
                  <c:v>21.39</c:v>
                </c:pt>
                <c:pt idx="2779">
                  <c:v>21.42</c:v>
                </c:pt>
                <c:pt idx="2780">
                  <c:v>21.57</c:v>
                </c:pt>
                <c:pt idx="2781">
                  <c:v>21.25</c:v>
                </c:pt>
                <c:pt idx="2782">
                  <c:v>21.75</c:v>
                </c:pt>
                <c:pt idx="2783">
                  <c:v>22.1</c:v>
                </c:pt>
                <c:pt idx="2784">
                  <c:v>21.5</c:v>
                </c:pt>
                <c:pt idx="2785">
                  <c:v>21.54</c:v>
                </c:pt>
                <c:pt idx="2786">
                  <c:v>21.02</c:v>
                </c:pt>
                <c:pt idx="2787">
                  <c:v>20.89</c:v>
                </c:pt>
                <c:pt idx="2788">
                  <c:v>19.739999999999998</c:v>
                </c:pt>
                <c:pt idx="2789">
                  <c:v>19.34</c:v>
                </c:pt>
                <c:pt idx="2790">
                  <c:v>19.64</c:v>
                </c:pt>
                <c:pt idx="2791">
                  <c:v>19</c:v>
                </c:pt>
                <c:pt idx="2792">
                  <c:v>20.18</c:v>
                </c:pt>
                <c:pt idx="2793">
                  <c:v>20.82</c:v>
                </c:pt>
                <c:pt idx="2794">
                  <c:v>21.65</c:v>
                </c:pt>
                <c:pt idx="2795">
                  <c:v>21.26</c:v>
                </c:pt>
                <c:pt idx="2796">
                  <c:v>20.309999999999999</c:v>
                </c:pt>
                <c:pt idx="2797">
                  <c:v>20.62</c:v>
                </c:pt>
                <c:pt idx="2798">
                  <c:v>21.17</c:v>
                </c:pt>
                <c:pt idx="2799">
                  <c:v>21.49</c:v>
                </c:pt>
                <c:pt idx="2800">
                  <c:v>22.02</c:v>
                </c:pt>
                <c:pt idx="2801">
                  <c:v>21.72</c:v>
                </c:pt>
                <c:pt idx="2802">
                  <c:v>21.97</c:v>
                </c:pt>
                <c:pt idx="2803">
                  <c:v>21.85</c:v>
                </c:pt>
                <c:pt idx="2804">
                  <c:v>21.86</c:v>
                </c:pt>
                <c:pt idx="2805">
                  <c:v>21.54</c:v>
                </c:pt>
                <c:pt idx="2806">
                  <c:v>21.51</c:v>
                </c:pt>
                <c:pt idx="2807">
                  <c:v>20.58</c:v>
                </c:pt>
                <c:pt idx="2808">
                  <c:v>20.260000000000002</c:v>
                </c:pt>
                <c:pt idx="2809">
                  <c:v>20.2</c:v>
                </c:pt>
                <c:pt idx="2810">
                  <c:v>20.89</c:v>
                </c:pt>
                <c:pt idx="2811">
                  <c:v>21.41</c:v>
                </c:pt>
                <c:pt idx="2812">
                  <c:v>21.18</c:v>
                </c:pt>
                <c:pt idx="2813">
                  <c:v>21.12</c:v>
                </c:pt>
                <c:pt idx="2814">
                  <c:v>21.1</c:v>
                </c:pt>
                <c:pt idx="2815">
                  <c:v>20.72</c:v>
                </c:pt>
                <c:pt idx="2816">
                  <c:v>21.15</c:v>
                </c:pt>
                <c:pt idx="2817">
                  <c:v>21.45</c:v>
                </c:pt>
                <c:pt idx="2818">
                  <c:v>21.58</c:v>
                </c:pt>
                <c:pt idx="2819">
                  <c:v>21.38</c:v>
                </c:pt>
                <c:pt idx="2820">
                  <c:v>19.399999999999999</c:v>
                </c:pt>
                <c:pt idx="2821">
                  <c:v>19.47</c:v>
                </c:pt>
                <c:pt idx="2822">
                  <c:v>19.89</c:v>
                </c:pt>
                <c:pt idx="2823">
                  <c:v>19.62</c:v>
                </c:pt>
                <c:pt idx="2824">
                  <c:v>18.95</c:v>
                </c:pt>
                <c:pt idx="2825">
                  <c:v>18.2</c:v>
                </c:pt>
                <c:pt idx="2826">
                  <c:v>17.690000000000001</c:v>
                </c:pt>
                <c:pt idx="2827">
                  <c:v>18.09</c:v>
                </c:pt>
                <c:pt idx="2828">
                  <c:v>17.54</c:v>
                </c:pt>
                <c:pt idx="2829">
                  <c:v>18.260000000000002</c:v>
                </c:pt>
                <c:pt idx="2830">
                  <c:v>18.309999999999999</c:v>
                </c:pt>
                <c:pt idx="2831">
                  <c:v>18.91</c:v>
                </c:pt>
                <c:pt idx="2832">
                  <c:v>18.29</c:v>
                </c:pt>
                <c:pt idx="2833">
                  <c:v>18.62</c:v>
                </c:pt>
                <c:pt idx="2834">
                  <c:v>18.79</c:v>
                </c:pt>
                <c:pt idx="2835">
                  <c:v>18</c:v>
                </c:pt>
                <c:pt idx="2836">
                  <c:v>17.91</c:v>
                </c:pt>
                <c:pt idx="2837">
                  <c:v>17.32</c:v>
                </c:pt>
                <c:pt idx="2838">
                  <c:v>17.41</c:v>
                </c:pt>
                <c:pt idx="2839">
                  <c:v>17.3</c:v>
                </c:pt>
                <c:pt idx="2840">
                  <c:v>17.22</c:v>
                </c:pt>
                <c:pt idx="2841">
                  <c:v>17.5</c:v>
                </c:pt>
                <c:pt idx="2842">
                  <c:v>17.77</c:v>
                </c:pt>
                <c:pt idx="2843">
                  <c:v>17.440000000000001</c:v>
                </c:pt>
                <c:pt idx="2844">
                  <c:v>17.420000000000002</c:v>
                </c:pt>
                <c:pt idx="2845">
                  <c:v>16.78</c:v>
                </c:pt>
                <c:pt idx="2846">
                  <c:v>17.09</c:v>
                </c:pt>
                <c:pt idx="2847">
                  <c:v>16.690000000000001</c:v>
                </c:pt>
                <c:pt idx="2848">
                  <c:v>16.170000000000002</c:v>
                </c:pt>
                <c:pt idx="2849">
                  <c:v>16.2</c:v>
                </c:pt>
                <c:pt idx="2850">
                  <c:v>16.03</c:v>
                </c:pt>
                <c:pt idx="2851">
                  <c:v>16.03</c:v>
                </c:pt>
                <c:pt idx="2852">
                  <c:v>15.91</c:v>
                </c:pt>
                <c:pt idx="2853">
                  <c:v>16.41</c:v>
                </c:pt>
                <c:pt idx="2854">
                  <c:v>15.99</c:v>
                </c:pt>
                <c:pt idx="2855">
                  <c:v>16.010000000000002</c:v>
                </c:pt>
                <c:pt idx="2856">
                  <c:v>15.65</c:v>
                </c:pt>
                <c:pt idx="2857">
                  <c:v>14.94</c:v>
                </c:pt>
                <c:pt idx="2858">
                  <c:v>14.89</c:v>
                </c:pt>
                <c:pt idx="2859">
                  <c:v>14.77</c:v>
                </c:pt>
                <c:pt idx="2860">
                  <c:v>14.93</c:v>
                </c:pt>
                <c:pt idx="2861">
                  <c:v>14.45</c:v>
                </c:pt>
                <c:pt idx="2862">
                  <c:v>14.5</c:v>
                </c:pt>
                <c:pt idx="2863">
                  <c:v>14.44</c:v>
                </c:pt>
                <c:pt idx="2864">
                  <c:v>14.73</c:v>
                </c:pt>
                <c:pt idx="2865">
                  <c:v>14.91</c:v>
                </c:pt>
                <c:pt idx="2866">
                  <c:v>15.39</c:v>
                </c:pt>
                <c:pt idx="2867">
                  <c:v>15.73</c:v>
                </c:pt>
                <c:pt idx="2868">
                  <c:v>15.56</c:v>
                </c:pt>
                <c:pt idx="2869">
                  <c:v>15.4</c:v>
                </c:pt>
                <c:pt idx="2870">
                  <c:v>15.78</c:v>
                </c:pt>
                <c:pt idx="2871">
                  <c:v>16.28</c:v>
                </c:pt>
                <c:pt idx="2872">
                  <c:v>16.399999999999999</c:v>
                </c:pt>
                <c:pt idx="2873">
                  <c:v>16.600000000000001</c:v>
                </c:pt>
                <c:pt idx="2874">
                  <c:v>16.059999999999999</c:v>
                </c:pt>
                <c:pt idx="2875">
                  <c:v>15.62</c:v>
                </c:pt>
                <c:pt idx="2876">
                  <c:v>15.52</c:v>
                </c:pt>
                <c:pt idx="2877">
                  <c:v>14.95</c:v>
                </c:pt>
                <c:pt idx="2878">
                  <c:v>15.31</c:v>
                </c:pt>
                <c:pt idx="2879">
                  <c:v>15.93</c:v>
                </c:pt>
                <c:pt idx="2880">
                  <c:v>16.18</c:v>
                </c:pt>
                <c:pt idx="2881">
                  <c:v>16.100000000000001</c:v>
                </c:pt>
                <c:pt idx="2882">
                  <c:v>16.09</c:v>
                </c:pt>
                <c:pt idx="2883">
                  <c:v>16.28</c:v>
                </c:pt>
                <c:pt idx="2884">
                  <c:v>17.649999999999999</c:v>
                </c:pt>
                <c:pt idx="2885">
                  <c:v>17.55</c:v>
                </c:pt>
                <c:pt idx="2886">
                  <c:v>17.64</c:v>
                </c:pt>
                <c:pt idx="2887">
                  <c:v>17.350000000000001</c:v>
                </c:pt>
                <c:pt idx="2888">
                  <c:v>17.170000000000002</c:v>
                </c:pt>
                <c:pt idx="2889">
                  <c:v>16.82</c:v>
                </c:pt>
                <c:pt idx="2890">
                  <c:v>16.350000000000001</c:v>
                </c:pt>
                <c:pt idx="2891">
                  <c:v>16.11</c:v>
                </c:pt>
                <c:pt idx="2892">
                  <c:v>16.45</c:v>
                </c:pt>
                <c:pt idx="2893">
                  <c:v>15.68</c:v>
                </c:pt>
                <c:pt idx="2894">
                  <c:v>15.68</c:v>
                </c:pt>
                <c:pt idx="2895">
                  <c:v>15.76</c:v>
                </c:pt>
                <c:pt idx="2896">
                  <c:v>16.07</c:v>
                </c:pt>
                <c:pt idx="2897">
                  <c:v>15.81</c:v>
                </c:pt>
                <c:pt idx="2898">
                  <c:v>16.149999999999999</c:v>
                </c:pt>
                <c:pt idx="2899">
                  <c:v>15.71</c:v>
                </c:pt>
                <c:pt idx="2900">
                  <c:v>15.33</c:v>
                </c:pt>
                <c:pt idx="2901">
                  <c:v>14.36</c:v>
                </c:pt>
                <c:pt idx="2902">
                  <c:v>14.85</c:v>
                </c:pt>
                <c:pt idx="2903">
                  <c:v>14.8</c:v>
                </c:pt>
                <c:pt idx="2904">
                  <c:v>13.95</c:v>
                </c:pt>
                <c:pt idx="2905">
                  <c:v>13.75</c:v>
                </c:pt>
                <c:pt idx="2906">
                  <c:v>13.98</c:v>
                </c:pt>
                <c:pt idx="2907">
                  <c:v>14.69</c:v>
                </c:pt>
                <c:pt idx="2908">
                  <c:v>14.8</c:v>
                </c:pt>
                <c:pt idx="2909">
                  <c:v>14.27</c:v>
                </c:pt>
                <c:pt idx="2910">
                  <c:v>14.33</c:v>
                </c:pt>
                <c:pt idx="2911">
                  <c:v>14.92</c:v>
                </c:pt>
                <c:pt idx="2912">
                  <c:v>15.07</c:v>
                </c:pt>
                <c:pt idx="2913">
                  <c:v>14.95</c:v>
                </c:pt>
                <c:pt idx="2914">
                  <c:v>14.98</c:v>
                </c:pt>
                <c:pt idx="2915">
                  <c:v>14.24</c:v>
                </c:pt>
                <c:pt idx="2916">
                  <c:v>13.45</c:v>
                </c:pt>
                <c:pt idx="2917">
                  <c:v>13.09</c:v>
                </c:pt>
                <c:pt idx="2918">
                  <c:v>13.29</c:v>
                </c:pt>
                <c:pt idx="2919">
                  <c:v>12.98</c:v>
                </c:pt>
                <c:pt idx="2920">
                  <c:v>13.88</c:v>
                </c:pt>
                <c:pt idx="2921">
                  <c:v>13.76</c:v>
                </c:pt>
                <c:pt idx="2922">
                  <c:v>13.55</c:v>
                </c:pt>
                <c:pt idx="2923">
                  <c:v>13.61</c:v>
                </c:pt>
                <c:pt idx="2924">
                  <c:v>13.09</c:v>
                </c:pt>
                <c:pt idx="2925">
                  <c:v>12.52</c:v>
                </c:pt>
                <c:pt idx="2926">
                  <c:v>12.54</c:v>
                </c:pt>
                <c:pt idx="2927">
                  <c:v>12.38</c:v>
                </c:pt>
                <c:pt idx="2928">
                  <c:v>12.57</c:v>
                </c:pt>
                <c:pt idx="2929">
                  <c:v>12.52</c:v>
                </c:pt>
                <c:pt idx="2930">
                  <c:v>12.57</c:v>
                </c:pt>
                <c:pt idx="2931">
                  <c:v>12.27</c:v>
                </c:pt>
                <c:pt idx="2932">
                  <c:v>12.39</c:v>
                </c:pt>
                <c:pt idx="2933">
                  <c:v>12.51</c:v>
                </c:pt>
                <c:pt idx="2934">
                  <c:v>12.65</c:v>
                </c:pt>
                <c:pt idx="2935">
                  <c:v>12.48</c:v>
                </c:pt>
                <c:pt idx="2936">
                  <c:v>12.73</c:v>
                </c:pt>
                <c:pt idx="2937">
                  <c:v>12.8</c:v>
                </c:pt>
                <c:pt idx="2938">
                  <c:v>12.83</c:v>
                </c:pt>
                <c:pt idx="2939">
                  <c:v>12.7</c:v>
                </c:pt>
                <c:pt idx="2940">
                  <c:v>12.55</c:v>
                </c:pt>
                <c:pt idx="2941">
                  <c:v>12.34</c:v>
                </c:pt>
                <c:pt idx="2942">
                  <c:v>12.4</c:v>
                </c:pt>
                <c:pt idx="2943">
                  <c:v>12.18</c:v>
                </c:pt>
                <c:pt idx="2944">
                  <c:v>12.22</c:v>
                </c:pt>
                <c:pt idx="2945">
                  <c:v>12.14</c:v>
                </c:pt>
                <c:pt idx="2946">
                  <c:v>11.44</c:v>
                </c:pt>
                <c:pt idx="2947">
                  <c:v>11.9</c:v>
                </c:pt>
                <c:pt idx="2948">
                  <c:v>12</c:v>
                </c:pt>
                <c:pt idx="2949">
                  <c:v>12.02</c:v>
                </c:pt>
                <c:pt idx="2950">
                  <c:v>12.17</c:v>
                </c:pt>
                <c:pt idx="2951">
                  <c:v>11.87</c:v>
                </c:pt>
                <c:pt idx="2952">
                  <c:v>11.4</c:v>
                </c:pt>
                <c:pt idx="2953">
                  <c:v>12.01</c:v>
                </c:pt>
                <c:pt idx="2954">
                  <c:v>12.19</c:v>
                </c:pt>
                <c:pt idx="2955">
                  <c:v>12.2</c:v>
                </c:pt>
                <c:pt idx="2956">
                  <c:v>12.38</c:v>
                </c:pt>
                <c:pt idx="2957">
                  <c:v>11.81</c:v>
                </c:pt>
                <c:pt idx="2958">
                  <c:v>11.68</c:v>
                </c:pt>
                <c:pt idx="2959">
                  <c:v>11.98</c:v>
                </c:pt>
                <c:pt idx="2960">
                  <c:v>11.43</c:v>
                </c:pt>
                <c:pt idx="2961">
                  <c:v>11.1</c:v>
                </c:pt>
                <c:pt idx="2962">
                  <c:v>10.98</c:v>
                </c:pt>
                <c:pt idx="2963">
                  <c:v>11.19</c:v>
                </c:pt>
                <c:pt idx="2964">
                  <c:v>10.35</c:v>
                </c:pt>
                <c:pt idx="2965">
                  <c:v>10.119999999999999</c:v>
                </c:pt>
                <c:pt idx="2966">
                  <c:v>9.6</c:v>
                </c:pt>
                <c:pt idx="2967">
                  <c:v>9.48</c:v>
                </c:pt>
                <c:pt idx="2968">
                  <c:v>9.6</c:v>
                </c:pt>
                <c:pt idx="2969">
                  <c:v>9.81</c:v>
                </c:pt>
                <c:pt idx="2970">
                  <c:v>9.7200000000000006</c:v>
                </c:pt>
                <c:pt idx="2971">
                  <c:v>9.9499999999999993</c:v>
                </c:pt>
                <c:pt idx="2972">
                  <c:v>9.94</c:v>
                </c:pt>
                <c:pt idx="2973">
                  <c:v>9.9600000000000009</c:v>
                </c:pt>
                <c:pt idx="2974">
                  <c:v>10.43</c:v>
                </c:pt>
                <c:pt idx="2975">
                  <c:v>10.039999999999999</c:v>
                </c:pt>
                <c:pt idx="2976">
                  <c:v>9.85</c:v>
                </c:pt>
                <c:pt idx="2977">
                  <c:v>10</c:v>
                </c:pt>
                <c:pt idx="2978">
                  <c:v>9.84</c:v>
                </c:pt>
                <c:pt idx="2979">
                  <c:v>9.91</c:v>
                </c:pt>
                <c:pt idx="2980">
                  <c:v>9.86</c:v>
                </c:pt>
                <c:pt idx="2981">
                  <c:v>9.69</c:v>
                </c:pt>
                <c:pt idx="2982">
                  <c:v>9.74</c:v>
                </c:pt>
                <c:pt idx="2983">
                  <c:v>9.4499999999999993</c:v>
                </c:pt>
                <c:pt idx="2984">
                  <c:v>9.02</c:v>
                </c:pt>
                <c:pt idx="2985">
                  <c:v>9.09</c:v>
                </c:pt>
                <c:pt idx="2986">
                  <c:v>9.15</c:v>
                </c:pt>
                <c:pt idx="2987">
                  <c:v>8.9600000000000009</c:v>
                </c:pt>
                <c:pt idx="2988">
                  <c:v>8.77</c:v>
                </c:pt>
                <c:pt idx="2989">
                  <c:v>8.9700000000000006</c:v>
                </c:pt>
                <c:pt idx="2990">
                  <c:v>8.9</c:v>
                </c:pt>
                <c:pt idx="2991">
                  <c:v>8.8800000000000008</c:v>
                </c:pt>
                <c:pt idx="2992">
                  <c:v>8.98</c:v>
                </c:pt>
                <c:pt idx="2993">
                  <c:v>9.1</c:v>
                </c:pt>
                <c:pt idx="2994">
                  <c:v>9.0500000000000007</c:v>
                </c:pt>
                <c:pt idx="2995">
                  <c:v>9.41</c:v>
                </c:pt>
                <c:pt idx="2996">
                  <c:v>9.31</c:v>
                </c:pt>
                <c:pt idx="2997">
                  <c:v>9.06</c:v>
                </c:pt>
                <c:pt idx="2998">
                  <c:v>9.39</c:v>
                </c:pt>
                <c:pt idx="2999">
                  <c:v>9.5399999999999991</c:v>
                </c:pt>
                <c:pt idx="3000">
                  <c:v>9.24</c:v>
                </c:pt>
                <c:pt idx="3001">
                  <c:v>8.9600000000000009</c:v>
                </c:pt>
                <c:pt idx="3002">
                  <c:v>9.19</c:v>
                </c:pt>
                <c:pt idx="3003">
                  <c:v>9.3800000000000008</c:v>
                </c:pt>
                <c:pt idx="3004">
                  <c:v>9.7899999999999991</c:v>
                </c:pt>
                <c:pt idx="3005">
                  <c:v>9.85</c:v>
                </c:pt>
                <c:pt idx="3006">
                  <c:v>9.84</c:v>
                </c:pt>
                <c:pt idx="3007">
                  <c:v>10</c:v>
                </c:pt>
                <c:pt idx="3008">
                  <c:v>9.7200000000000006</c:v>
                </c:pt>
                <c:pt idx="3009">
                  <c:v>9.3800000000000008</c:v>
                </c:pt>
                <c:pt idx="3010">
                  <c:v>9.57</c:v>
                </c:pt>
                <c:pt idx="3011">
                  <c:v>9.4700000000000006</c:v>
                </c:pt>
                <c:pt idx="3012">
                  <c:v>9.0500000000000007</c:v>
                </c:pt>
                <c:pt idx="3013">
                  <c:v>8.8000000000000007</c:v>
                </c:pt>
                <c:pt idx="3014">
                  <c:v>8.18</c:v>
                </c:pt>
                <c:pt idx="3015">
                  <c:v>8.24</c:v>
                </c:pt>
                <c:pt idx="3016">
                  <c:v>8.2899999999999991</c:v>
                </c:pt>
                <c:pt idx="3017">
                  <c:v>8.48</c:v>
                </c:pt>
                <c:pt idx="3018">
                  <c:v>8.69</c:v>
                </c:pt>
                <c:pt idx="3019">
                  <c:v>8.86</c:v>
                </c:pt>
                <c:pt idx="3020">
                  <c:v>8.5399999999999991</c:v>
                </c:pt>
                <c:pt idx="3021">
                  <c:v>8.35</c:v>
                </c:pt>
                <c:pt idx="3022">
                  <c:v>8.4</c:v>
                </c:pt>
                <c:pt idx="3023">
                  <c:v>8.76</c:v>
                </c:pt>
                <c:pt idx="3024">
                  <c:v>8.65</c:v>
                </c:pt>
                <c:pt idx="3025">
                  <c:v>8.6999999999999993</c:v>
                </c:pt>
                <c:pt idx="3026">
                  <c:v>8.84</c:v>
                </c:pt>
                <c:pt idx="3027">
                  <c:v>8.23</c:v>
                </c:pt>
                <c:pt idx="3028">
                  <c:v>8.14</c:v>
                </c:pt>
                <c:pt idx="3029">
                  <c:v>7.87</c:v>
                </c:pt>
                <c:pt idx="3030">
                  <c:v>8.3699999999999992</c:v>
                </c:pt>
                <c:pt idx="3031">
                  <c:v>8.27</c:v>
                </c:pt>
                <c:pt idx="3032">
                  <c:v>8.3699999999999992</c:v>
                </c:pt>
                <c:pt idx="3033">
                  <c:v>8.68</c:v>
                </c:pt>
                <c:pt idx="3034">
                  <c:v>9.02</c:v>
                </c:pt>
                <c:pt idx="3035">
                  <c:v>9.14</c:v>
                </c:pt>
                <c:pt idx="3036">
                  <c:v>9.19</c:v>
                </c:pt>
                <c:pt idx="3037">
                  <c:v>9.06</c:v>
                </c:pt>
                <c:pt idx="3038">
                  <c:v>9.19</c:v>
                </c:pt>
                <c:pt idx="3039">
                  <c:v>9.1999999999999993</c:v>
                </c:pt>
                <c:pt idx="3040">
                  <c:v>9.15</c:v>
                </c:pt>
                <c:pt idx="3041">
                  <c:v>9</c:v>
                </c:pt>
                <c:pt idx="3042">
                  <c:v>8.3800000000000008</c:v>
                </c:pt>
                <c:pt idx="3043">
                  <c:v>8.8800000000000008</c:v>
                </c:pt>
                <c:pt idx="3044">
                  <c:v>8.73</c:v>
                </c:pt>
                <c:pt idx="3045">
                  <c:v>8.35</c:v>
                </c:pt>
                <c:pt idx="3046">
                  <c:v>7.72</c:v>
                </c:pt>
                <c:pt idx="3047">
                  <c:v>7.74</c:v>
                </c:pt>
                <c:pt idx="3048">
                  <c:v>7.46</c:v>
                </c:pt>
                <c:pt idx="3049">
                  <c:v>7.84</c:v>
                </c:pt>
                <c:pt idx="3050">
                  <c:v>7.8</c:v>
                </c:pt>
                <c:pt idx="3051">
                  <c:v>8.69</c:v>
                </c:pt>
                <c:pt idx="3052">
                  <c:v>8.52</c:v>
                </c:pt>
                <c:pt idx="3053">
                  <c:v>8.39</c:v>
                </c:pt>
                <c:pt idx="3054">
                  <c:v>7.57</c:v>
                </c:pt>
                <c:pt idx="3055">
                  <c:v>7.46</c:v>
                </c:pt>
                <c:pt idx="3056">
                  <c:v>7.49</c:v>
                </c:pt>
                <c:pt idx="3057">
                  <c:v>7.15</c:v>
                </c:pt>
                <c:pt idx="3058">
                  <c:v>7.33</c:v>
                </c:pt>
                <c:pt idx="3059">
                  <c:v>7.46</c:v>
                </c:pt>
                <c:pt idx="3060">
                  <c:v>7.53</c:v>
                </c:pt>
                <c:pt idx="3061">
                  <c:v>7.53</c:v>
                </c:pt>
                <c:pt idx="3062">
                  <c:v>7.43</c:v>
                </c:pt>
                <c:pt idx="3063">
                  <c:v>7.48</c:v>
                </c:pt>
                <c:pt idx="3064">
                  <c:v>7.51</c:v>
                </c:pt>
                <c:pt idx="3065">
                  <c:v>7.34</c:v>
                </c:pt>
                <c:pt idx="3066">
                  <c:v>7.34</c:v>
                </c:pt>
                <c:pt idx="3067">
                  <c:v>7.21</c:v>
                </c:pt>
                <c:pt idx="3068">
                  <c:v>7.13</c:v>
                </c:pt>
                <c:pt idx="3069">
                  <c:v>6.68</c:v>
                </c:pt>
                <c:pt idx="3070">
                  <c:v>6.14</c:v>
                </c:pt>
                <c:pt idx="3071">
                  <c:v>4.99</c:v>
                </c:pt>
                <c:pt idx="3072">
                  <c:v>4.75</c:v>
                </c:pt>
                <c:pt idx="3073">
                  <c:v>4.54</c:v>
                </c:pt>
                <c:pt idx="3074">
                  <c:v>4.67</c:v>
                </c:pt>
                <c:pt idx="3075">
                  <c:v>4.7</c:v>
                </c:pt>
                <c:pt idx="3076">
                  <c:v>4.74</c:v>
                </c:pt>
                <c:pt idx="3077">
                  <c:v>4.8499999999999996</c:v>
                </c:pt>
                <c:pt idx="3078">
                  <c:v>4.78</c:v>
                </c:pt>
                <c:pt idx="3079">
                  <c:v>5.29</c:v>
                </c:pt>
                <c:pt idx="3080">
                  <c:v>5.3</c:v>
                </c:pt>
                <c:pt idx="3081">
                  <c:v>4.95</c:v>
                </c:pt>
                <c:pt idx="3082">
                  <c:v>4.5</c:v>
                </c:pt>
                <c:pt idx="3083">
                  <c:v>4.54</c:v>
                </c:pt>
                <c:pt idx="3084">
                  <c:v>4.88</c:v>
                </c:pt>
                <c:pt idx="3085">
                  <c:v>4.75</c:v>
                </c:pt>
                <c:pt idx="3086">
                  <c:v>5</c:v>
                </c:pt>
                <c:pt idx="3087">
                  <c:v>5.01</c:v>
                </c:pt>
                <c:pt idx="3088">
                  <c:v>5.09</c:v>
                </c:pt>
                <c:pt idx="3089">
                  <c:v>5.23</c:v>
                </c:pt>
                <c:pt idx="3090">
                  <c:v>5.18</c:v>
                </c:pt>
                <c:pt idx="3091">
                  <c:v>5.36</c:v>
                </c:pt>
                <c:pt idx="3092">
                  <c:v>5.23</c:v>
                </c:pt>
                <c:pt idx="3093">
                  <c:v>5.07</c:v>
                </c:pt>
                <c:pt idx="3094">
                  <c:v>4.97</c:v>
                </c:pt>
                <c:pt idx="3095">
                  <c:v>4.59</c:v>
                </c:pt>
                <c:pt idx="3096">
                  <c:v>4.8899999999999997</c:v>
                </c:pt>
                <c:pt idx="3097">
                  <c:v>4.8600000000000003</c:v>
                </c:pt>
                <c:pt idx="3098">
                  <c:v>5.14</c:v>
                </c:pt>
                <c:pt idx="3099">
                  <c:v>5.12</c:v>
                </c:pt>
                <c:pt idx="3100">
                  <c:v>4.57</c:v>
                </c:pt>
                <c:pt idx="3101">
                  <c:v>5.35</c:v>
                </c:pt>
                <c:pt idx="3102">
                  <c:v>5.66</c:v>
                </c:pt>
                <c:pt idx="3103">
                  <c:v>6.01</c:v>
                </c:pt>
                <c:pt idx="3104">
                  <c:v>6.4</c:v>
                </c:pt>
                <c:pt idx="3105">
                  <c:v>6.45</c:v>
                </c:pt>
                <c:pt idx="3106">
                  <c:v>6.55</c:v>
                </c:pt>
                <c:pt idx="3107">
                  <c:v>6.74</c:v>
                </c:pt>
                <c:pt idx="3108">
                  <c:v>6.05</c:v>
                </c:pt>
                <c:pt idx="3109">
                  <c:v>6.11</c:v>
                </c:pt>
                <c:pt idx="3110">
                  <c:v>5.86</c:v>
                </c:pt>
                <c:pt idx="3111">
                  <c:v>5.59</c:v>
                </c:pt>
                <c:pt idx="3112">
                  <c:v>5.99</c:v>
                </c:pt>
                <c:pt idx="3113">
                  <c:v>5.98</c:v>
                </c:pt>
                <c:pt idx="3114">
                  <c:v>5.98</c:v>
                </c:pt>
                <c:pt idx="3115">
                  <c:v>5.72</c:v>
                </c:pt>
                <c:pt idx="3116">
                  <c:v>5.75</c:v>
                </c:pt>
                <c:pt idx="3117">
                  <c:v>5.45</c:v>
                </c:pt>
                <c:pt idx="3118">
                  <c:v>5.79</c:v>
                </c:pt>
                <c:pt idx="3119">
                  <c:v>6.08</c:v>
                </c:pt>
                <c:pt idx="3120">
                  <c:v>6.59</c:v>
                </c:pt>
                <c:pt idx="3121">
                  <c:v>6.7</c:v>
                </c:pt>
                <c:pt idx="3122">
                  <c:v>6.59</c:v>
                </c:pt>
                <c:pt idx="3123">
                  <c:v>6.35</c:v>
                </c:pt>
                <c:pt idx="3124">
                  <c:v>6.08</c:v>
                </c:pt>
                <c:pt idx="3125">
                  <c:v>6.79</c:v>
                </c:pt>
                <c:pt idx="3126">
                  <c:v>6.33</c:v>
                </c:pt>
                <c:pt idx="3127">
                  <c:v>6.66</c:v>
                </c:pt>
                <c:pt idx="3128">
                  <c:v>6.68</c:v>
                </c:pt>
                <c:pt idx="3129">
                  <c:v>6.79</c:v>
                </c:pt>
                <c:pt idx="3130">
                  <c:v>7.13</c:v>
                </c:pt>
                <c:pt idx="3131">
                  <c:v>6.88</c:v>
                </c:pt>
                <c:pt idx="3132">
                  <c:v>6.53</c:v>
                </c:pt>
                <c:pt idx="3133">
                  <c:v>6.47</c:v>
                </c:pt>
                <c:pt idx="3134">
                  <c:v>6.46</c:v>
                </c:pt>
                <c:pt idx="3135">
                  <c:v>6.09</c:v>
                </c:pt>
                <c:pt idx="3136">
                  <c:v>6.35</c:v>
                </c:pt>
                <c:pt idx="3137">
                  <c:v>6.45</c:v>
                </c:pt>
                <c:pt idx="3138">
                  <c:v>6.81</c:v>
                </c:pt>
                <c:pt idx="3139">
                  <c:v>6.39</c:v>
                </c:pt>
                <c:pt idx="3140">
                  <c:v>5.94</c:v>
                </c:pt>
                <c:pt idx="3141">
                  <c:v>6.82</c:v>
                </c:pt>
                <c:pt idx="3142">
                  <c:v>7.38</c:v>
                </c:pt>
                <c:pt idx="3143">
                  <c:v>7.09</c:v>
                </c:pt>
                <c:pt idx="3144">
                  <c:v>7.09</c:v>
                </c:pt>
                <c:pt idx="3145">
                  <c:v>6.86</c:v>
                </c:pt>
                <c:pt idx="3146">
                  <c:v>7.54</c:v>
                </c:pt>
                <c:pt idx="3147">
                  <c:v>7.74</c:v>
                </c:pt>
                <c:pt idx="3148">
                  <c:v>7.82</c:v>
                </c:pt>
                <c:pt idx="3149">
                  <c:v>8.01</c:v>
                </c:pt>
                <c:pt idx="3150">
                  <c:v>8.32</c:v>
                </c:pt>
                <c:pt idx="3151">
                  <c:v>8.39</c:v>
                </c:pt>
                <c:pt idx="3152">
                  <c:v>7.98</c:v>
                </c:pt>
                <c:pt idx="3153">
                  <c:v>7.99</c:v>
                </c:pt>
                <c:pt idx="3154">
                  <c:v>7.91</c:v>
                </c:pt>
                <c:pt idx="3155">
                  <c:v>7.93</c:v>
                </c:pt>
                <c:pt idx="3156">
                  <c:v>7.92</c:v>
                </c:pt>
                <c:pt idx="3157">
                  <c:v>7.93</c:v>
                </c:pt>
                <c:pt idx="3158">
                  <c:v>7.99</c:v>
                </c:pt>
                <c:pt idx="3159">
                  <c:v>8.01</c:v>
                </c:pt>
                <c:pt idx="3160">
                  <c:v>8</c:v>
                </c:pt>
                <c:pt idx="3161">
                  <c:v>7.84</c:v>
                </c:pt>
                <c:pt idx="3162">
                  <c:v>8.01</c:v>
                </c:pt>
                <c:pt idx="3163">
                  <c:v>8.2100000000000009</c:v>
                </c:pt>
                <c:pt idx="3164">
                  <c:v>8.2899999999999991</c:v>
                </c:pt>
                <c:pt idx="3165">
                  <c:v>8.27</c:v>
                </c:pt>
                <c:pt idx="3166">
                  <c:v>8.51</c:v>
                </c:pt>
                <c:pt idx="3167">
                  <c:v>8.5500000000000007</c:v>
                </c:pt>
                <c:pt idx="3168">
                  <c:v>8.14</c:v>
                </c:pt>
                <c:pt idx="3169">
                  <c:v>8.36</c:v>
                </c:pt>
                <c:pt idx="3170">
                  <c:v>8.59</c:v>
                </c:pt>
                <c:pt idx="3171">
                  <c:v>9</c:v>
                </c:pt>
                <c:pt idx="3172">
                  <c:v>9.02</c:v>
                </c:pt>
                <c:pt idx="3173">
                  <c:v>8.89</c:v>
                </c:pt>
                <c:pt idx="3174">
                  <c:v>8.77</c:v>
                </c:pt>
                <c:pt idx="3175">
                  <c:v>7.99</c:v>
                </c:pt>
                <c:pt idx="3176">
                  <c:v>7.73</c:v>
                </c:pt>
                <c:pt idx="3177">
                  <c:v>8.19</c:v>
                </c:pt>
                <c:pt idx="3178">
                  <c:v>8.16</c:v>
                </c:pt>
                <c:pt idx="3179">
                  <c:v>7.37</c:v>
                </c:pt>
                <c:pt idx="3180">
                  <c:v>7.3</c:v>
                </c:pt>
                <c:pt idx="3181">
                  <c:v>7.39</c:v>
                </c:pt>
                <c:pt idx="3182">
                  <c:v>7.5</c:v>
                </c:pt>
                <c:pt idx="3183">
                  <c:v>7.82</c:v>
                </c:pt>
                <c:pt idx="3184">
                  <c:v>7.38</c:v>
                </c:pt>
                <c:pt idx="3185">
                  <c:v>7.11</c:v>
                </c:pt>
                <c:pt idx="3186">
                  <c:v>7.25</c:v>
                </c:pt>
                <c:pt idx="3187">
                  <c:v>7.18</c:v>
                </c:pt>
                <c:pt idx="3188">
                  <c:v>7.3</c:v>
                </c:pt>
                <c:pt idx="3189">
                  <c:v>7.09</c:v>
                </c:pt>
                <c:pt idx="3190">
                  <c:v>7.07</c:v>
                </c:pt>
                <c:pt idx="3191">
                  <c:v>7.38</c:v>
                </c:pt>
                <c:pt idx="3192">
                  <c:v>7.53</c:v>
                </c:pt>
                <c:pt idx="3193">
                  <c:v>7.95</c:v>
                </c:pt>
                <c:pt idx="3194">
                  <c:v>7.7</c:v>
                </c:pt>
                <c:pt idx="3195">
                  <c:v>7.7</c:v>
                </c:pt>
                <c:pt idx="3196">
                  <c:v>7.86</c:v>
                </c:pt>
                <c:pt idx="3197">
                  <c:v>7.72</c:v>
                </c:pt>
                <c:pt idx="3198">
                  <c:v>9.2200000000000006</c:v>
                </c:pt>
                <c:pt idx="3199">
                  <c:v>9.23</c:v>
                </c:pt>
                <c:pt idx="3200">
                  <c:v>9.42</c:v>
                </c:pt>
                <c:pt idx="3201">
                  <c:v>9.09</c:v>
                </c:pt>
                <c:pt idx="3202">
                  <c:v>8.83</c:v>
                </c:pt>
                <c:pt idx="3203">
                  <c:v>8.91</c:v>
                </c:pt>
                <c:pt idx="3204">
                  <c:v>9.02</c:v>
                </c:pt>
                <c:pt idx="3205">
                  <c:v>9.34</c:v>
                </c:pt>
                <c:pt idx="3206">
                  <c:v>9.23</c:v>
                </c:pt>
                <c:pt idx="3207">
                  <c:v>8.93</c:v>
                </c:pt>
                <c:pt idx="3208">
                  <c:v>8.85</c:v>
                </c:pt>
                <c:pt idx="3209">
                  <c:v>8.91</c:v>
                </c:pt>
                <c:pt idx="3210">
                  <c:v>9.2200000000000006</c:v>
                </c:pt>
                <c:pt idx="3211">
                  <c:v>9.3000000000000007</c:v>
                </c:pt>
                <c:pt idx="3212">
                  <c:v>9.1</c:v>
                </c:pt>
                <c:pt idx="3213">
                  <c:v>9.5500000000000007</c:v>
                </c:pt>
                <c:pt idx="3214">
                  <c:v>9.6</c:v>
                </c:pt>
                <c:pt idx="3215">
                  <c:v>9.36</c:v>
                </c:pt>
                <c:pt idx="3216">
                  <c:v>9.61</c:v>
                </c:pt>
                <c:pt idx="3217">
                  <c:v>9.61</c:v>
                </c:pt>
                <c:pt idx="3218">
                  <c:v>9.68</c:v>
                </c:pt>
                <c:pt idx="3219">
                  <c:v>10.25</c:v>
                </c:pt>
                <c:pt idx="3220">
                  <c:v>9.4700000000000006</c:v>
                </c:pt>
                <c:pt idx="3221">
                  <c:v>8.9700000000000006</c:v>
                </c:pt>
                <c:pt idx="3222">
                  <c:v>9.1300000000000008</c:v>
                </c:pt>
                <c:pt idx="3223">
                  <c:v>9.1</c:v>
                </c:pt>
                <c:pt idx="3224">
                  <c:v>8.9</c:v>
                </c:pt>
                <c:pt idx="3225">
                  <c:v>8.31</c:v>
                </c:pt>
                <c:pt idx="3226">
                  <c:v>7.23</c:v>
                </c:pt>
                <c:pt idx="3227">
                  <c:v>7.28</c:v>
                </c:pt>
                <c:pt idx="3228">
                  <c:v>7.47</c:v>
                </c:pt>
                <c:pt idx="3229">
                  <c:v>7.5</c:v>
                </c:pt>
                <c:pt idx="3230">
                  <c:v>7.23</c:v>
                </c:pt>
                <c:pt idx="3231">
                  <c:v>7.22</c:v>
                </c:pt>
                <c:pt idx="3232">
                  <c:v>7.64</c:v>
                </c:pt>
                <c:pt idx="3233">
                  <c:v>7.22</c:v>
                </c:pt>
                <c:pt idx="3234">
                  <c:v>7.84</c:v>
                </c:pt>
                <c:pt idx="3235">
                  <c:v>8.2799999999999994</c:v>
                </c:pt>
                <c:pt idx="3236">
                  <c:v>8.4</c:v>
                </c:pt>
                <c:pt idx="3237">
                  <c:v>8.16</c:v>
                </c:pt>
                <c:pt idx="3238">
                  <c:v>8.27</c:v>
                </c:pt>
                <c:pt idx="3239">
                  <c:v>8.32</c:v>
                </c:pt>
                <c:pt idx="3240">
                  <c:v>7.68</c:v>
                </c:pt>
                <c:pt idx="3241">
                  <c:v>7.95</c:v>
                </c:pt>
                <c:pt idx="3242">
                  <c:v>7.89</c:v>
                </c:pt>
                <c:pt idx="3243">
                  <c:v>7.88</c:v>
                </c:pt>
                <c:pt idx="3244">
                  <c:v>8.34</c:v>
                </c:pt>
                <c:pt idx="3245">
                  <c:v>8.6199999999999992</c:v>
                </c:pt>
                <c:pt idx="3246">
                  <c:v>8.6</c:v>
                </c:pt>
                <c:pt idx="3247">
                  <c:v>9.09</c:v>
                </c:pt>
                <c:pt idx="3248">
                  <c:v>9.35</c:v>
                </c:pt>
                <c:pt idx="3249">
                  <c:v>9.34</c:v>
                </c:pt>
                <c:pt idx="3250">
                  <c:v>9.1</c:v>
                </c:pt>
                <c:pt idx="3251">
                  <c:v>9.2200000000000006</c:v>
                </c:pt>
                <c:pt idx="3252">
                  <c:v>9.2100000000000009</c:v>
                </c:pt>
                <c:pt idx="3253">
                  <c:v>9.6</c:v>
                </c:pt>
                <c:pt idx="3254">
                  <c:v>10.06</c:v>
                </c:pt>
                <c:pt idx="3255">
                  <c:v>8.94</c:v>
                </c:pt>
                <c:pt idx="3256">
                  <c:v>9.73</c:v>
                </c:pt>
                <c:pt idx="3257">
                  <c:v>9.51</c:v>
                </c:pt>
                <c:pt idx="3258">
                  <c:v>10.08</c:v>
                </c:pt>
                <c:pt idx="3259">
                  <c:v>10.24</c:v>
                </c:pt>
                <c:pt idx="3260">
                  <c:v>10.119999999999999</c:v>
                </c:pt>
                <c:pt idx="3261">
                  <c:v>9.77</c:v>
                </c:pt>
                <c:pt idx="3262">
                  <c:v>9.86</c:v>
                </c:pt>
                <c:pt idx="3263">
                  <c:v>9.4499999999999993</c:v>
                </c:pt>
                <c:pt idx="3264">
                  <c:v>9.56</c:v>
                </c:pt>
                <c:pt idx="3265">
                  <c:v>9.31</c:v>
                </c:pt>
                <c:pt idx="3266">
                  <c:v>8.8699999999999992</c:v>
                </c:pt>
                <c:pt idx="3267">
                  <c:v>9.15</c:v>
                </c:pt>
                <c:pt idx="3268">
                  <c:v>8.89</c:v>
                </c:pt>
                <c:pt idx="3269">
                  <c:v>8.76</c:v>
                </c:pt>
                <c:pt idx="3270">
                  <c:v>8.34</c:v>
                </c:pt>
                <c:pt idx="3271">
                  <c:v>8.4600000000000009</c:v>
                </c:pt>
                <c:pt idx="3272">
                  <c:v>8.11</c:v>
                </c:pt>
                <c:pt idx="3273">
                  <c:v>8.85</c:v>
                </c:pt>
                <c:pt idx="3274">
                  <c:v>9.19</c:v>
                </c:pt>
                <c:pt idx="3275">
                  <c:v>8.93</c:v>
                </c:pt>
                <c:pt idx="3276">
                  <c:v>8.6</c:v>
                </c:pt>
                <c:pt idx="3277">
                  <c:v>8.7899999999999991</c:v>
                </c:pt>
                <c:pt idx="3278">
                  <c:v>9.57</c:v>
                </c:pt>
                <c:pt idx="3279">
                  <c:v>9.2100000000000009</c:v>
                </c:pt>
                <c:pt idx="3280">
                  <c:v>8.91</c:v>
                </c:pt>
                <c:pt idx="3281">
                  <c:v>8.84</c:v>
                </c:pt>
                <c:pt idx="3282">
                  <c:v>9.51</c:v>
                </c:pt>
                <c:pt idx="3283">
                  <c:v>8.5299999999999994</c:v>
                </c:pt>
                <c:pt idx="3284">
                  <c:v>8.48</c:v>
                </c:pt>
                <c:pt idx="3285">
                  <c:v>7.91</c:v>
                </c:pt>
                <c:pt idx="3286">
                  <c:v>7.78</c:v>
                </c:pt>
                <c:pt idx="3287">
                  <c:v>8.35</c:v>
                </c:pt>
                <c:pt idx="3288">
                  <c:v>8.1</c:v>
                </c:pt>
                <c:pt idx="3289">
                  <c:v>8.6999999999999993</c:v>
                </c:pt>
                <c:pt idx="3290">
                  <c:v>9.0299999999999994</c:v>
                </c:pt>
                <c:pt idx="3291">
                  <c:v>7.86</c:v>
                </c:pt>
                <c:pt idx="3292">
                  <c:v>7.47</c:v>
                </c:pt>
                <c:pt idx="3293">
                  <c:v>7.45</c:v>
                </c:pt>
                <c:pt idx="3294">
                  <c:v>8.14</c:v>
                </c:pt>
                <c:pt idx="3295">
                  <c:v>7.74</c:v>
                </c:pt>
                <c:pt idx="3296">
                  <c:v>7.41</c:v>
                </c:pt>
                <c:pt idx="3297">
                  <c:v>7.61</c:v>
                </c:pt>
                <c:pt idx="3298">
                  <c:v>6.99</c:v>
                </c:pt>
                <c:pt idx="3299">
                  <c:v>6.85</c:v>
                </c:pt>
                <c:pt idx="3300">
                  <c:v>6.86</c:v>
                </c:pt>
                <c:pt idx="3301">
                  <c:v>6.56</c:v>
                </c:pt>
                <c:pt idx="3302">
                  <c:v>6.72</c:v>
                </c:pt>
                <c:pt idx="3303">
                  <c:v>6.49</c:v>
                </c:pt>
                <c:pt idx="3304">
                  <c:v>5.99</c:v>
                </c:pt>
                <c:pt idx="3305">
                  <c:v>5.48</c:v>
                </c:pt>
                <c:pt idx="3306">
                  <c:v>5.6</c:v>
                </c:pt>
                <c:pt idx="3307">
                  <c:v>5.44</c:v>
                </c:pt>
                <c:pt idx="3308">
                  <c:v>5.55</c:v>
                </c:pt>
                <c:pt idx="3309">
                  <c:v>5.65</c:v>
                </c:pt>
                <c:pt idx="3310">
                  <c:v>6.03</c:v>
                </c:pt>
                <c:pt idx="3311">
                  <c:v>6.12</c:v>
                </c:pt>
                <c:pt idx="3312">
                  <c:v>5.97</c:v>
                </c:pt>
                <c:pt idx="3313">
                  <c:v>5.79</c:v>
                </c:pt>
                <c:pt idx="3314">
                  <c:v>5.89</c:v>
                </c:pt>
                <c:pt idx="3315">
                  <c:v>5.68</c:v>
                </c:pt>
                <c:pt idx="3316">
                  <c:v>5.64</c:v>
                </c:pt>
                <c:pt idx="3317">
                  <c:v>5.68</c:v>
                </c:pt>
                <c:pt idx="3318">
                  <c:v>6.25</c:v>
                </c:pt>
                <c:pt idx="3319">
                  <c:v>6.03</c:v>
                </c:pt>
                <c:pt idx="3320">
                  <c:v>6.04</c:v>
                </c:pt>
                <c:pt idx="3321">
                  <c:v>6.25</c:v>
                </c:pt>
                <c:pt idx="3322">
                  <c:v>5.47</c:v>
                </c:pt>
                <c:pt idx="3323">
                  <c:v>5.08</c:v>
                </c:pt>
                <c:pt idx="3324">
                  <c:v>5.24</c:v>
                </c:pt>
                <c:pt idx="3325">
                  <c:v>5.18</c:v>
                </c:pt>
                <c:pt idx="3326">
                  <c:v>5.34</c:v>
                </c:pt>
                <c:pt idx="3327">
                  <c:v>4.95</c:v>
                </c:pt>
                <c:pt idx="3328">
                  <c:v>4.62</c:v>
                </c:pt>
                <c:pt idx="3329">
                  <c:v>4.55</c:v>
                </c:pt>
                <c:pt idx="3330">
                  <c:v>4.41</c:v>
                </c:pt>
                <c:pt idx="3331">
                  <c:v>4.55</c:v>
                </c:pt>
                <c:pt idx="3332">
                  <c:v>4.05</c:v>
                </c:pt>
                <c:pt idx="3333">
                  <c:v>4.6399999999999997</c:v>
                </c:pt>
                <c:pt idx="3334">
                  <c:v>4.62</c:v>
                </c:pt>
                <c:pt idx="3335">
                  <c:v>4.34</c:v>
                </c:pt>
                <c:pt idx="3336">
                  <c:v>4.99</c:v>
                </c:pt>
                <c:pt idx="3337">
                  <c:v>5.03</c:v>
                </c:pt>
                <c:pt idx="3338">
                  <c:v>5.05</c:v>
                </c:pt>
                <c:pt idx="3339">
                  <c:v>5.44</c:v>
                </c:pt>
                <c:pt idx="3340">
                  <c:v>5.87</c:v>
                </c:pt>
                <c:pt idx="3341">
                  <c:v>5.38</c:v>
                </c:pt>
                <c:pt idx="3342">
                  <c:v>5.55</c:v>
                </c:pt>
                <c:pt idx="3343">
                  <c:v>5.32</c:v>
                </c:pt>
                <c:pt idx="3344">
                  <c:v>5.85</c:v>
                </c:pt>
                <c:pt idx="3345">
                  <c:v>5.93</c:v>
                </c:pt>
                <c:pt idx="3346">
                  <c:v>5.66</c:v>
                </c:pt>
                <c:pt idx="3347">
                  <c:v>6.07</c:v>
                </c:pt>
                <c:pt idx="3348">
                  <c:v>6.5</c:v>
                </c:pt>
                <c:pt idx="3349">
                  <c:v>6.71</c:v>
                </c:pt>
                <c:pt idx="3350">
                  <c:v>7.05</c:v>
                </c:pt>
                <c:pt idx="3351">
                  <c:v>6.63</c:v>
                </c:pt>
                <c:pt idx="3352">
                  <c:v>6.7</c:v>
                </c:pt>
                <c:pt idx="3353">
                  <c:v>6.51</c:v>
                </c:pt>
                <c:pt idx="3354">
                  <c:v>7.23</c:v>
                </c:pt>
                <c:pt idx="3355">
                  <c:v>7.03</c:v>
                </c:pt>
                <c:pt idx="3356">
                  <c:v>7.39</c:v>
                </c:pt>
                <c:pt idx="3357">
                  <c:v>7.13</c:v>
                </c:pt>
                <c:pt idx="3358">
                  <c:v>7.49</c:v>
                </c:pt>
                <c:pt idx="3359">
                  <c:v>7.82</c:v>
                </c:pt>
                <c:pt idx="3360">
                  <c:v>7.71</c:v>
                </c:pt>
                <c:pt idx="3361">
                  <c:v>8.14</c:v>
                </c:pt>
                <c:pt idx="3362">
                  <c:v>8.27</c:v>
                </c:pt>
                <c:pt idx="3363">
                  <c:v>8.65</c:v>
                </c:pt>
                <c:pt idx="3364">
                  <c:v>8.69</c:v>
                </c:pt>
                <c:pt idx="3365">
                  <c:v>8.94</c:v>
                </c:pt>
                <c:pt idx="3366">
                  <c:v>9.23</c:v>
                </c:pt>
                <c:pt idx="3367">
                  <c:v>9.15</c:v>
                </c:pt>
                <c:pt idx="3368">
                  <c:v>8.81</c:v>
                </c:pt>
                <c:pt idx="3369">
                  <c:v>8.9</c:v>
                </c:pt>
                <c:pt idx="3370">
                  <c:v>9.01</c:v>
                </c:pt>
                <c:pt idx="3371">
                  <c:v>8.74</c:v>
                </c:pt>
                <c:pt idx="3372">
                  <c:v>8.44</c:v>
                </c:pt>
                <c:pt idx="3373">
                  <c:v>8.48</c:v>
                </c:pt>
                <c:pt idx="3374">
                  <c:v>8.7799999999999994</c:v>
                </c:pt>
                <c:pt idx="3375">
                  <c:v>8.9700000000000006</c:v>
                </c:pt>
                <c:pt idx="3376">
                  <c:v>8.7200000000000006</c:v>
                </c:pt>
                <c:pt idx="3377">
                  <c:v>8.52</c:v>
                </c:pt>
                <c:pt idx="3378">
                  <c:v>9.24</c:v>
                </c:pt>
                <c:pt idx="3379">
                  <c:v>9.01</c:v>
                </c:pt>
                <c:pt idx="3380">
                  <c:v>9.1199999999999992</c:v>
                </c:pt>
                <c:pt idx="3381">
                  <c:v>9.31</c:v>
                </c:pt>
                <c:pt idx="3382">
                  <c:v>8.52</c:v>
                </c:pt>
                <c:pt idx="3383">
                  <c:v>8.91</c:v>
                </c:pt>
                <c:pt idx="3384">
                  <c:v>9.2799999999999994</c:v>
                </c:pt>
                <c:pt idx="3385">
                  <c:v>8.94</c:v>
                </c:pt>
                <c:pt idx="3386">
                  <c:v>9.6</c:v>
                </c:pt>
                <c:pt idx="3387">
                  <c:v>9.9</c:v>
                </c:pt>
                <c:pt idx="3388">
                  <c:v>10.02</c:v>
                </c:pt>
                <c:pt idx="3389">
                  <c:v>9.99</c:v>
                </c:pt>
                <c:pt idx="3390">
                  <c:v>9.69</c:v>
                </c:pt>
                <c:pt idx="3391">
                  <c:v>9.36</c:v>
                </c:pt>
                <c:pt idx="3392">
                  <c:v>9.57</c:v>
                </c:pt>
                <c:pt idx="3393">
                  <c:v>9.89</c:v>
                </c:pt>
                <c:pt idx="3394">
                  <c:v>8.65</c:v>
                </c:pt>
                <c:pt idx="3395">
                  <c:v>8.9</c:v>
                </c:pt>
                <c:pt idx="3396">
                  <c:v>9.24</c:v>
                </c:pt>
                <c:pt idx="3397">
                  <c:v>7.78</c:v>
                </c:pt>
                <c:pt idx="3398">
                  <c:v>7.66</c:v>
                </c:pt>
                <c:pt idx="3399">
                  <c:v>8.01</c:v>
                </c:pt>
                <c:pt idx="3400">
                  <c:v>8.23</c:v>
                </c:pt>
                <c:pt idx="3401">
                  <c:v>8.57</c:v>
                </c:pt>
                <c:pt idx="3402">
                  <c:v>9.06</c:v>
                </c:pt>
                <c:pt idx="3403">
                  <c:v>8.93</c:v>
                </c:pt>
                <c:pt idx="3404">
                  <c:v>9.27</c:v>
                </c:pt>
                <c:pt idx="3405">
                  <c:v>9.7100000000000009</c:v>
                </c:pt>
                <c:pt idx="3406">
                  <c:v>9.84</c:v>
                </c:pt>
                <c:pt idx="3407">
                  <c:v>10</c:v>
                </c:pt>
                <c:pt idx="3408">
                  <c:v>9.89</c:v>
                </c:pt>
                <c:pt idx="3409">
                  <c:v>9.73</c:v>
                </c:pt>
                <c:pt idx="3410">
                  <c:v>9.06</c:v>
                </c:pt>
                <c:pt idx="3411">
                  <c:v>8.84</c:v>
                </c:pt>
                <c:pt idx="3412">
                  <c:v>9.4</c:v>
                </c:pt>
                <c:pt idx="3413">
                  <c:v>10.46</c:v>
                </c:pt>
                <c:pt idx="3414">
                  <c:v>10.77</c:v>
                </c:pt>
                <c:pt idx="3415">
                  <c:v>10.220000000000001</c:v>
                </c:pt>
                <c:pt idx="3416">
                  <c:v>11.06</c:v>
                </c:pt>
                <c:pt idx="3417">
                  <c:v>10.75</c:v>
                </c:pt>
                <c:pt idx="3418">
                  <c:v>9.68</c:v>
                </c:pt>
                <c:pt idx="3419">
                  <c:v>9.93</c:v>
                </c:pt>
                <c:pt idx="3420">
                  <c:v>9.69</c:v>
                </c:pt>
                <c:pt idx="3421">
                  <c:v>9.0299999999999994</c:v>
                </c:pt>
                <c:pt idx="3422">
                  <c:v>8.5500000000000007</c:v>
                </c:pt>
                <c:pt idx="3423">
                  <c:v>8.9</c:v>
                </c:pt>
                <c:pt idx="3424">
                  <c:v>9.11</c:v>
                </c:pt>
                <c:pt idx="3425">
                  <c:v>9.43</c:v>
                </c:pt>
                <c:pt idx="3426">
                  <c:v>9.8699999999999992</c:v>
                </c:pt>
                <c:pt idx="3427">
                  <c:v>9.99</c:v>
                </c:pt>
                <c:pt idx="3428">
                  <c:v>10.06</c:v>
                </c:pt>
                <c:pt idx="3429">
                  <c:v>10.41</c:v>
                </c:pt>
                <c:pt idx="3430">
                  <c:v>11.46</c:v>
                </c:pt>
                <c:pt idx="3431">
                  <c:v>11.15</c:v>
                </c:pt>
                <c:pt idx="3432">
                  <c:v>10.09</c:v>
                </c:pt>
                <c:pt idx="3433">
                  <c:v>9.75</c:v>
                </c:pt>
                <c:pt idx="3434">
                  <c:v>9.1300000000000008</c:v>
                </c:pt>
                <c:pt idx="3435">
                  <c:v>9.34</c:v>
                </c:pt>
                <c:pt idx="3436">
                  <c:v>9.01</c:v>
                </c:pt>
                <c:pt idx="3437">
                  <c:v>8.98</c:v>
                </c:pt>
                <c:pt idx="3438">
                  <c:v>9.93</c:v>
                </c:pt>
                <c:pt idx="3439">
                  <c:v>9.98</c:v>
                </c:pt>
                <c:pt idx="3440">
                  <c:v>9.31</c:v>
                </c:pt>
                <c:pt idx="3441">
                  <c:v>8.65</c:v>
                </c:pt>
                <c:pt idx="3442">
                  <c:v>8.81</c:v>
                </c:pt>
                <c:pt idx="3443">
                  <c:v>8.48</c:v>
                </c:pt>
                <c:pt idx="3444">
                  <c:v>7.93</c:v>
                </c:pt>
                <c:pt idx="3445">
                  <c:v>8.01</c:v>
                </c:pt>
                <c:pt idx="3446">
                  <c:v>7.82</c:v>
                </c:pt>
                <c:pt idx="3447">
                  <c:v>7.41</c:v>
                </c:pt>
                <c:pt idx="3448">
                  <c:v>7.62</c:v>
                </c:pt>
                <c:pt idx="3449">
                  <c:v>6.22</c:v>
                </c:pt>
                <c:pt idx="3450">
                  <c:v>5.69</c:v>
                </c:pt>
                <c:pt idx="3451">
                  <c:v>7</c:v>
                </c:pt>
                <c:pt idx="3452">
                  <c:v>7.88</c:v>
                </c:pt>
                <c:pt idx="3453">
                  <c:v>7.5</c:v>
                </c:pt>
                <c:pt idx="3454">
                  <c:v>7.47</c:v>
                </c:pt>
                <c:pt idx="3455">
                  <c:v>7.78</c:v>
                </c:pt>
                <c:pt idx="3456">
                  <c:v>7.09</c:v>
                </c:pt>
                <c:pt idx="3457">
                  <c:v>7.22</c:v>
                </c:pt>
                <c:pt idx="3458">
                  <c:v>7.44</c:v>
                </c:pt>
                <c:pt idx="3459">
                  <c:v>6.84</c:v>
                </c:pt>
                <c:pt idx="3460">
                  <c:v>6.97</c:v>
                </c:pt>
                <c:pt idx="3461">
                  <c:v>7.47</c:v>
                </c:pt>
                <c:pt idx="3462">
                  <c:v>6.78</c:v>
                </c:pt>
                <c:pt idx="3463">
                  <c:v>7.5</c:v>
                </c:pt>
                <c:pt idx="3464">
                  <c:v>7.66</c:v>
                </c:pt>
                <c:pt idx="3465">
                  <c:v>8.0299999999999994</c:v>
                </c:pt>
                <c:pt idx="3466">
                  <c:v>8.19</c:v>
                </c:pt>
                <c:pt idx="3467">
                  <c:v>8.5</c:v>
                </c:pt>
                <c:pt idx="3468">
                  <c:v>8.84</c:v>
                </c:pt>
                <c:pt idx="3469">
                  <c:v>10.47</c:v>
                </c:pt>
                <c:pt idx="3470">
                  <c:v>11.19</c:v>
                </c:pt>
                <c:pt idx="3471">
                  <c:v>11.09</c:v>
                </c:pt>
                <c:pt idx="3472">
                  <c:v>10.84</c:v>
                </c:pt>
                <c:pt idx="3473">
                  <c:v>12.22</c:v>
                </c:pt>
                <c:pt idx="3474">
                  <c:v>11.91</c:v>
                </c:pt>
                <c:pt idx="3475">
                  <c:v>11.72</c:v>
                </c:pt>
                <c:pt idx="3476">
                  <c:v>12.88</c:v>
                </c:pt>
                <c:pt idx="3477">
                  <c:v>12.72</c:v>
                </c:pt>
                <c:pt idx="3478">
                  <c:v>12</c:v>
                </c:pt>
                <c:pt idx="3479">
                  <c:v>13.06</c:v>
                </c:pt>
                <c:pt idx="3480">
                  <c:v>13.28</c:v>
                </c:pt>
                <c:pt idx="3481">
                  <c:v>14.09</c:v>
                </c:pt>
                <c:pt idx="3482">
                  <c:v>15.66</c:v>
                </c:pt>
                <c:pt idx="3483">
                  <c:v>14.25</c:v>
                </c:pt>
                <c:pt idx="3484">
                  <c:v>13.56</c:v>
                </c:pt>
                <c:pt idx="3485">
                  <c:v>14.25</c:v>
                </c:pt>
                <c:pt idx="3486">
                  <c:v>13.97</c:v>
                </c:pt>
                <c:pt idx="3487">
                  <c:v>15.09</c:v>
                </c:pt>
                <c:pt idx="3488">
                  <c:v>16.72</c:v>
                </c:pt>
                <c:pt idx="3489">
                  <c:v>18.190000000000001</c:v>
                </c:pt>
                <c:pt idx="3490">
                  <c:v>17.53</c:v>
                </c:pt>
                <c:pt idx="3491">
                  <c:v>16.5</c:v>
                </c:pt>
                <c:pt idx="3492">
                  <c:v>18.03</c:v>
                </c:pt>
                <c:pt idx="3493">
                  <c:v>18.66</c:v>
                </c:pt>
                <c:pt idx="3494">
                  <c:v>19.84</c:v>
                </c:pt>
                <c:pt idx="3495">
                  <c:v>19.940000000000001</c:v>
                </c:pt>
                <c:pt idx="3496">
                  <c:v>18.84</c:v>
                </c:pt>
                <c:pt idx="3497">
                  <c:v>19.59</c:v>
                </c:pt>
                <c:pt idx="3498">
                  <c:v>21.44</c:v>
                </c:pt>
                <c:pt idx="3499">
                  <c:v>19.48</c:v>
                </c:pt>
                <c:pt idx="3500">
                  <c:v>17.34</c:v>
                </c:pt>
                <c:pt idx="3501">
                  <c:v>16.91</c:v>
                </c:pt>
                <c:pt idx="3502">
                  <c:v>17.22</c:v>
                </c:pt>
                <c:pt idx="3503">
                  <c:v>15.12</c:v>
                </c:pt>
                <c:pt idx="3504">
                  <c:v>13.69</c:v>
                </c:pt>
                <c:pt idx="3505">
                  <c:v>13.28</c:v>
                </c:pt>
                <c:pt idx="3506">
                  <c:v>12.94</c:v>
                </c:pt>
                <c:pt idx="3507">
                  <c:v>15.25</c:v>
                </c:pt>
                <c:pt idx="3508">
                  <c:v>15.06</c:v>
                </c:pt>
                <c:pt idx="3509">
                  <c:v>13.59</c:v>
                </c:pt>
                <c:pt idx="3510">
                  <c:v>14.25</c:v>
                </c:pt>
                <c:pt idx="3511">
                  <c:v>14.78</c:v>
                </c:pt>
                <c:pt idx="3512">
                  <c:v>15.47</c:v>
                </c:pt>
                <c:pt idx="3513">
                  <c:v>14.09</c:v>
                </c:pt>
                <c:pt idx="3514">
                  <c:v>15.03</c:v>
                </c:pt>
                <c:pt idx="3515">
                  <c:v>15.5</c:v>
                </c:pt>
                <c:pt idx="3516">
                  <c:v>14.88</c:v>
                </c:pt>
                <c:pt idx="3517">
                  <c:v>15.59</c:v>
                </c:pt>
                <c:pt idx="3518">
                  <c:v>14.78</c:v>
                </c:pt>
                <c:pt idx="3519">
                  <c:v>12.81</c:v>
                </c:pt>
                <c:pt idx="3520">
                  <c:v>13.97</c:v>
                </c:pt>
                <c:pt idx="3521">
                  <c:v>14</c:v>
                </c:pt>
                <c:pt idx="3522">
                  <c:v>16</c:v>
                </c:pt>
                <c:pt idx="3523">
                  <c:v>16.5</c:v>
                </c:pt>
                <c:pt idx="3524">
                  <c:v>16</c:v>
                </c:pt>
                <c:pt idx="3525">
                  <c:v>17.440000000000001</c:v>
                </c:pt>
                <c:pt idx="3526">
                  <c:v>17.91</c:v>
                </c:pt>
                <c:pt idx="3527">
                  <c:v>16.940000000000001</c:v>
                </c:pt>
                <c:pt idx="3528">
                  <c:v>17.47</c:v>
                </c:pt>
                <c:pt idx="3529">
                  <c:v>17.47</c:v>
                </c:pt>
                <c:pt idx="3530">
                  <c:v>18.75</c:v>
                </c:pt>
                <c:pt idx="3531">
                  <c:v>21.94</c:v>
                </c:pt>
                <c:pt idx="3532">
                  <c:v>18.97</c:v>
                </c:pt>
                <c:pt idx="3533">
                  <c:v>19.47</c:v>
                </c:pt>
                <c:pt idx="3534">
                  <c:v>19.809999999999999</c:v>
                </c:pt>
                <c:pt idx="3535">
                  <c:v>19.53</c:v>
                </c:pt>
                <c:pt idx="3536">
                  <c:v>18.48</c:v>
                </c:pt>
                <c:pt idx="3537">
                  <c:v>20.059999999999999</c:v>
                </c:pt>
                <c:pt idx="3538">
                  <c:v>20.440000000000001</c:v>
                </c:pt>
                <c:pt idx="3539">
                  <c:v>19.09</c:v>
                </c:pt>
                <c:pt idx="3540">
                  <c:v>20.84</c:v>
                </c:pt>
                <c:pt idx="3541">
                  <c:v>24.44</c:v>
                </c:pt>
                <c:pt idx="3542">
                  <c:v>25.62</c:v>
                </c:pt>
                <c:pt idx="3543">
                  <c:v>26.47</c:v>
                </c:pt>
                <c:pt idx="3544">
                  <c:v>28.56</c:v>
                </c:pt>
                <c:pt idx="3545">
                  <c:v>29.72</c:v>
                </c:pt>
                <c:pt idx="3546">
                  <c:v>27.66</c:v>
                </c:pt>
                <c:pt idx="3547">
                  <c:v>28.22</c:v>
                </c:pt>
                <c:pt idx="3548">
                  <c:v>29.41</c:v>
                </c:pt>
                <c:pt idx="3549">
                  <c:v>32.5</c:v>
                </c:pt>
                <c:pt idx="3550">
                  <c:v>34.25</c:v>
                </c:pt>
                <c:pt idx="3551">
                  <c:v>32.81</c:v>
                </c:pt>
                <c:pt idx="3552">
                  <c:v>34.380000000000003</c:v>
                </c:pt>
                <c:pt idx="3553">
                  <c:v>33.72</c:v>
                </c:pt>
                <c:pt idx="3554">
                  <c:v>32.18</c:v>
                </c:pt>
                <c:pt idx="3555">
                  <c:v>29.31</c:v>
                </c:pt>
                <c:pt idx="3556">
                  <c:v>26.31</c:v>
                </c:pt>
                <c:pt idx="3557">
                  <c:v>27.62</c:v>
                </c:pt>
                <c:pt idx="3558">
                  <c:v>28</c:v>
                </c:pt>
                <c:pt idx="3559">
                  <c:v>27.78</c:v>
                </c:pt>
                <c:pt idx="3560">
                  <c:v>29.31</c:v>
                </c:pt>
                <c:pt idx="3561">
                  <c:v>29.81</c:v>
                </c:pt>
                <c:pt idx="3562">
                  <c:v>29.5</c:v>
                </c:pt>
                <c:pt idx="3563">
                  <c:v>29.78</c:v>
                </c:pt>
                <c:pt idx="3564">
                  <c:v>26.38</c:v>
                </c:pt>
                <c:pt idx="3565">
                  <c:v>24.47</c:v>
                </c:pt>
                <c:pt idx="3566">
                  <c:v>27.62</c:v>
                </c:pt>
                <c:pt idx="3567">
                  <c:v>30</c:v>
                </c:pt>
                <c:pt idx="3568">
                  <c:v>28.31</c:v>
                </c:pt>
                <c:pt idx="3569">
                  <c:v>32.69</c:v>
                </c:pt>
                <c:pt idx="3570">
                  <c:v>41.34</c:v>
                </c:pt>
                <c:pt idx="3571">
                  <c:v>42.88</c:v>
                </c:pt>
                <c:pt idx="3572">
                  <c:v>40.619999999999997</c:v>
                </c:pt>
                <c:pt idx="3573">
                  <c:v>42.34</c:v>
                </c:pt>
                <c:pt idx="3574">
                  <c:v>43.97</c:v>
                </c:pt>
                <c:pt idx="3575">
                  <c:v>42</c:v>
                </c:pt>
                <c:pt idx="3576">
                  <c:v>43.03</c:v>
                </c:pt>
                <c:pt idx="3577">
                  <c:v>45.5</c:v>
                </c:pt>
                <c:pt idx="3578">
                  <c:v>47.84</c:v>
                </c:pt>
                <c:pt idx="3579">
                  <c:v>45.19</c:v>
                </c:pt>
                <c:pt idx="3580">
                  <c:v>51.22</c:v>
                </c:pt>
                <c:pt idx="3581">
                  <c:v>52.75</c:v>
                </c:pt>
                <c:pt idx="3582">
                  <c:v>55.72</c:v>
                </c:pt>
                <c:pt idx="3583">
                  <c:v>54.06</c:v>
                </c:pt>
                <c:pt idx="3584">
                  <c:v>54.84</c:v>
                </c:pt>
                <c:pt idx="3585">
                  <c:v>54.03</c:v>
                </c:pt>
                <c:pt idx="3586">
                  <c:v>52.53</c:v>
                </c:pt>
                <c:pt idx="3587">
                  <c:v>52.94</c:v>
                </c:pt>
                <c:pt idx="3588">
                  <c:v>53.47</c:v>
                </c:pt>
                <c:pt idx="3589">
                  <c:v>53.19</c:v>
                </c:pt>
                <c:pt idx="3590">
                  <c:v>53.5</c:v>
                </c:pt>
                <c:pt idx="3591">
                  <c:v>53.16</c:v>
                </c:pt>
                <c:pt idx="3592">
                  <c:v>52.06</c:v>
                </c:pt>
                <c:pt idx="3593">
                  <c:v>53.47</c:v>
                </c:pt>
                <c:pt idx="3594">
                  <c:v>56.03</c:v>
                </c:pt>
                <c:pt idx="3595">
                  <c:v>58.56</c:v>
                </c:pt>
                <c:pt idx="3596">
                  <c:v>56.97</c:v>
                </c:pt>
                <c:pt idx="3597">
                  <c:v>60.75</c:v>
                </c:pt>
                <c:pt idx="3598">
                  <c:v>61.62</c:v>
                </c:pt>
                <c:pt idx="3599">
                  <c:v>60.5</c:v>
                </c:pt>
                <c:pt idx="3600">
                  <c:v>61.03</c:v>
                </c:pt>
                <c:pt idx="3601">
                  <c:v>67.12</c:v>
                </c:pt>
                <c:pt idx="3602">
                  <c:v>69.91</c:v>
                </c:pt>
                <c:pt idx="3603">
                  <c:v>66.91</c:v>
                </c:pt>
                <c:pt idx="3604">
                  <c:v>63.75</c:v>
                </c:pt>
                <c:pt idx="3605">
                  <c:v>65.22</c:v>
                </c:pt>
                <c:pt idx="3606">
                  <c:v>62.59</c:v>
                </c:pt>
                <c:pt idx="3607">
                  <c:v>65.56</c:v>
                </c:pt>
                <c:pt idx="3608">
                  <c:v>67</c:v>
                </c:pt>
                <c:pt idx="3609">
                  <c:v>66.16</c:v>
                </c:pt>
                <c:pt idx="3610">
                  <c:v>66.19</c:v>
                </c:pt>
                <c:pt idx="3611">
                  <c:v>64.31</c:v>
                </c:pt>
                <c:pt idx="3612">
                  <c:v>64.66</c:v>
                </c:pt>
                <c:pt idx="3613">
                  <c:v>66.34</c:v>
                </c:pt>
                <c:pt idx="3614">
                  <c:v>67.06</c:v>
                </c:pt>
                <c:pt idx="3615">
                  <c:v>68.25</c:v>
                </c:pt>
                <c:pt idx="3616">
                  <c:v>66.97</c:v>
                </c:pt>
                <c:pt idx="3617">
                  <c:v>65.59</c:v>
                </c:pt>
                <c:pt idx="3618">
                  <c:v>63.56</c:v>
                </c:pt>
                <c:pt idx="3619">
                  <c:v>63.72</c:v>
                </c:pt>
                <c:pt idx="3620">
                  <c:v>64.34</c:v>
                </c:pt>
                <c:pt idx="3621">
                  <c:v>63.38</c:v>
                </c:pt>
                <c:pt idx="3622">
                  <c:v>67.03</c:v>
                </c:pt>
                <c:pt idx="3623">
                  <c:v>67.97</c:v>
                </c:pt>
                <c:pt idx="3624">
                  <c:v>69</c:v>
                </c:pt>
                <c:pt idx="3625">
                  <c:v>66.28</c:v>
                </c:pt>
                <c:pt idx="3626">
                  <c:v>69.16</c:v>
                </c:pt>
                <c:pt idx="3627">
                  <c:v>69.91</c:v>
                </c:pt>
                <c:pt idx="3628">
                  <c:v>67</c:v>
                </c:pt>
                <c:pt idx="3629">
                  <c:v>64.97</c:v>
                </c:pt>
                <c:pt idx="3630">
                  <c:v>65.81</c:v>
                </c:pt>
                <c:pt idx="3631">
                  <c:v>64</c:v>
                </c:pt>
                <c:pt idx="3632">
                  <c:v>61.28</c:v>
                </c:pt>
                <c:pt idx="3633">
                  <c:v>62.47</c:v>
                </c:pt>
                <c:pt idx="3634">
                  <c:v>52.75</c:v>
                </c:pt>
                <c:pt idx="3635">
                  <c:v>55</c:v>
                </c:pt>
                <c:pt idx="3636">
                  <c:v>58.25</c:v>
                </c:pt>
                <c:pt idx="3637">
                  <c:v>61.19</c:v>
                </c:pt>
                <c:pt idx="3638">
                  <c:v>60.41</c:v>
                </c:pt>
                <c:pt idx="3639">
                  <c:v>63.94</c:v>
                </c:pt>
                <c:pt idx="3640">
                  <c:v>61.94</c:v>
                </c:pt>
                <c:pt idx="3641">
                  <c:v>59.66</c:v>
                </c:pt>
                <c:pt idx="3642">
                  <c:v>61.78</c:v>
                </c:pt>
                <c:pt idx="3643">
                  <c:v>62.97</c:v>
                </c:pt>
                <c:pt idx="3644">
                  <c:v>59.66</c:v>
                </c:pt>
                <c:pt idx="3645">
                  <c:v>62.66</c:v>
                </c:pt>
                <c:pt idx="3646">
                  <c:v>65.84</c:v>
                </c:pt>
                <c:pt idx="3647">
                  <c:v>71.41</c:v>
                </c:pt>
                <c:pt idx="3648">
                  <c:v>74</c:v>
                </c:pt>
                <c:pt idx="3649">
                  <c:v>69.53</c:v>
                </c:pt>
                <c:pt idx="3650">
                  <c:v>70.47</c:v>
                </c:pt>
                <c:pt idx="3651">
                  <c:v>69.84</c:v>
                </c:pt>
                <c:pt idx="3652">
                  <c:v>69.75</c:v>
                </c:pt>
                <c:pt idx="3653">
                  <c:v>69.75</c:v>
                </c:pt>
                <c:pt idx="3654">
                  <c:v>68.72</c:v>
                </c:pt>
                <c:pt idx="3655">
                  <c:v>71.59</c:v>
                </c:pt>
                <c:pt idx="3656">
                  <c:v>72</c:v>
                </c:pt>
                <c:pt idx="3657">
                  <c:v>72.25</c:v>
                </c:pt>
                <c:pt idx="3658">
                  <c:v>67.53</c:v>
                </c:pt>
                <c:pt idx="3659">
                  <c:v>68.66</c:v>
                </c:pt>
                <c:pt idx="3660">
                  <c:v>67.25</c:v>
                </c:pt>
                <c:pt idx="3661">
                  <c:v>60.03</c:v>
                </c:pt>
                <c:pt idx="3662">
                  <c:v>56.53</c:v>
                </c:pt>
                <c:pt idx="3663">
                  <c:v>58.5</c:v>
                </c:pt>
                <c:pt idx="3664">
                  <c:v>56.03</c:v>
                </c:pt>
                <c:pt idx="3665">
                  <c:v>57.5</c:v>
                </c:pt>
                <c:pt idx="3666">
                  <c:v>61.38</c:v>
                </c:pt>
                <c:pt idx="3667">
                  <c:v>59.16</c:v>
                </c:pt>
                <c:pt idx="3668">
                  <c:v>63.12</c:v>
                </c:pt>
                <c:pt idx="3669">
                  <c:v>60.16</c:v>
                </c:pt>
                <c:pt idx="3670">
                  <c:v>66</c:v>
                </c:pt>
                <c:pt idx="3671">
                  <c:v>68.91</c:v>
                </c:pt>
                <c:pt idx="3672">
                  <c:v>67.81</c:v>
                </c:pt>
                <c:pt idx="3673">
                  <c:v>65</c:v>
                </c:pt>
                <c:pt idx="3674">
                  <c:v>62.84</c:v>
                </c:pt>
                <c:pt idx="3675">
                  <c:v>62.66</c:v>
                </c:pt>
                <c:pt idx="3676">
                  <c:v>59.45</c:v>
                </c:pt>
                <c:pt idx="3677">
                  <c:v>58.72</c:v>
                </c:pt>
                <c:pt idx="3678">
                  <c:v>60.38</c:v>
                </c:pt>
                <c:pt idx="3679">
                  <c:v>62.84</c:v>
                </c:pt>
                <c:pt idx="3680">
                  <c:v>62.09</c:v>
                </c:pt>
                <c:pt idx="3681">
                  <c:v>61.03</c:v>
                </c:pt>
                <c:pt idx="3682">
                  <c:v>61.28</c:v>
                </c:pt>
                <c:pt idx="3683">
                  <c:v>65.44</c:v>
                </c:pt>
                <c:pt idx="3684">
                  <c:v>65.12</c:v>
                </c:pt>
                <c:pt idx="3685">
                  <c:v>62.16</c:v>
                </c:pt>
                <c:pt idx="3686">
                  <c:v>59.56</c:v>
                </c:pt>
                <c:pt idx="3687">
                  <c:v>62.25</c:v>
                </c:pt>
                <c:pt idx="3688">
                  <c:v>56.94</c:v>
                </c:pt>
                <c:pt idx="3689">
                  <c:v>61.56</c:v>
                </c:pt>
                <c:pt idx="3690">
                  <c:v>62.94</c:v>
                </c:pt>
                <c:pt idx="3691">
                  <c:v>63.34</c:v>
                </c:pt>
                <c:pt idx="3692">
                  <c:v>57.19</c:v>
                </c:pt>
                <c:pt idx="3693">
                  <c:v>58</c:v>
                </c:pt>
                <c:pt idx="3694">
                  <c:v>68.06</c:v>
                </c:pt>
                <c:pt idx="3695">
                  <c:v>68.09</c:v>
                </c:pt>
                <c:pt idx="3696">
                  <c:v>66.75</c:v>
                </c:pt>
                <c:pt idx="3697">
                  <c:v>70.97</c:v>
                </c:pt>
                <c:pt idx="3698">
                  <c:v>75.56</c:v>
                </c:pt>
                <c:pt idx="3699">
                  <c:v>77</c:v>
                </c:pt>
                <c:pt idx="3700">
                  <c:v>82.78</c:v>
                </c:pt>
                <c:pt idx="3701">
                  <c:v>83.69</c:v>
                </c:pt>
                <c:pt idx="3702">
                  <c:v>80.06</c:v>
                </c:pt>
                <c:pt idx="3703">
                  <c:v>85.69</c:v>
                </c:pt>
                <c:pt idx="3704">
                  <c:v>84.75</c:v>
                </c:pt>
                <c:pt idx="3705">
                  <c:v>88.53</c:v>
                </c:pt>
                <c:pt idx="3706">
                  <c:v>97.5</c:v>
                </c:pt>
                <c:pt idx="3707">
                  <c:v>100.38</c:v>
                </c:pt>
                <c:pt idx="3708">
                  <c:v>97</c:v>
                </c:pt>
                <c:pt idx="3709">
                  <c:v>95.5</c:v>
                </c:pt>
                <c:pt idx="3710">
                  <c:v>98.59</c:v>
                </c:pt>
                <c:pt idx="3711">
                  <c:v>95.88</c:v>
                </c:pt>
                <c:pt idx="3712">
                  <c:v>86.01</c:v>
                </c:pt>
                <c:pt idx="3713">
                  <c:v>85.56</c:v>
                </c:pt>
                <c:pt idx="3714">
                  <c:v>85.09</c:v>
                </c:pt>
                <c:pt idx="3715">
                  <c:v>79.25</c:v>
                </c:pt>
                <c:pt idx="3716">
                  <c:v>84.38</c:v>
                </c:pt>
                <c:pt idx="3717">
                  <c:v>87.91</c:v>
                </c:pt>
                <c:pt idx="3718">
                  <c:v>89.03</c:v>
                </c:pt>
                <c:pt idx="3719">
                  <c:v>91.62</c:v>
                </c:pt>
                <c:pt idx="3720">
                  <c:v>88.5</c:v>
                </c:pt>
                <c:pt idx="3721">
                  <c:v>85.69</c:v>
                </c:pt>
                <c:pt idx="3722">
                  <c:v>85.78</c:v>
                </c:pt>
                <c:pt idx="3723">
                  <c:v>79</c:v>
                </c:pt>
                <c:pt idx="3724">
                  <c:v>77.47</c:v>
                </c:pt>
                <c:pt idx="3725">
                  <c:v>79.25</c:v>
                </c:pt>
                <c:pt idx="3726">
                  <c:v>79.84</c:v>
                </c:pt>
                <c:pt idx="3727">
                  <c:v>80.97</c:v>
                </c:pt>
                <c:pt idx="3728">
                  <c:v>82.59</c:v>
                </c:pt>
                <c:pt idx="3729">
                  <c:v>84.03</c:v>
                </c:pt>
                <c:pt idx="3730">
                  <c:v>83.1</c:v>
                </c:pt>
                <c:pt idx="3731">
                  <c:v>76.91</c:v>
                </c:pt>
                <c:pt idx="3732">
                  <c:v>78.06</c:v>
                </c:pt>
                <c:pt idx="3733">
                  <c:v>81.59</c:v>
                </c:pt>
                <c:pt idx="3734">
                  <c:v>80.78</c:v>
                </c:pt>
                <c:pt idx="3735">
                  <c:v>85</c:v>
                </c:pt>
                <c:pt idx="3736">
                  <c:v>82.88</c:v>
                </c:pt>
                <c:pt idx="3737">
                  <c:v>85.67</c:v>
                </c:pt>
                <c:pt idx="3738">
                  <c:v>91.25</c:v>
                </c:pt>
                <c:pt idx="3739">
                  <c:v>90.58</c:v>
                </c:pt>
                <c:pt idx="3740">
                  <c:v>93.28</c:v>
                </c:pt>
                <c:pt idx="3741">
                  <c:v>88.5</c:v>
                </c:pt>
                <c:pt idx="3742">
                  <c:v>88.38</c:v>
                </c:pt>
                <c:pt idx="3743">
                  <c:v>90.06</c:v>
                </c:pt>
                <c:pt idx="3744">
                  <c:v>82</c:v>
                </c:pt>
                <c:pt idx="3745">
                  <c:v>79.34</c:v>
                </c:pt>
                <c:pt idx="3746">
                  <c:v>80.52</c:v>
                </c:pt>
                <c:pt idx="3747">
                  <c:v>78.38</c:v>
                </c:pt>
                <c:pt idx="3748">
                  <c:v>84.34</c:v>
                </c:pt>
                <c:pt idx="3749">
                  <c:v>82.14</c:v>
                </c:pt>
                <c:pt idx="3750">
                  <c:v>86.39</c:v>
                </c:pt>
                <c:pt idx="3751">
                  <c:v>81.08</c:v>
                </c:pt>
                <c:pt idx="3752">
                  <c:v>87.98</c:v>
                </c:pt>
                <c:pt idx="3753">
                  <c:v>87.98</c:v>
                </c:pt>
                <c:pt idx="3754">
                  <c:v>91</c:v>
                </c:pt>
                <c:pt idx="3755">
                  <c:v>85.3</c:v>
                </c:pt>
                <c:pt idx="3756">
                  <c:v>88.25</c:v>
                </c:pt>
                <c:pt idx="3757">
                  <c:v>86.72</c:v>
                </c:pt>
                <c:pt idx="3758">
                  <c:v>89.39</c:v>
                </c:pt>
                <c:pt idx="3759">
                  <c:v>99.34</c:v>
                </c:pt>
                <c:pt idx="3760">
                  <c:v>109.02</c:v>
                </c:pt>
                <c:pt idx="3761">
                  <c:v>101.81</c:v>
                </c:pt>
                <c:pt idx="3762">
                  <c:v>92.05</c:v>
                </c:pt>
                <c:pt idx="3763">
                  <c:v>102.62</c:v>
                </c:pt>
                <c:pt idx="3764">
                  <c:v>110.75</c:v>
                </c:pt>
                <c:pt idx="3765">
                  <c:v>118.75</c:v>
                </c:pt>
                <c:pt idx="3766">
                  <c:v>108.17</c:v>
                </c:pt>
                <c:pt idx="3767">
                  <c:v>104.02</c:v>
                </c:pt>
                <c:pt idx="3768">
                  <c:v>100.92</c:v>
                </c:pt>
                <c:pt idx="3769">
                  <c:v>97.56</c:v>
                </c:pt>
                <c:pt idx="3770">
                  <c:v>103.75</c:v>
                </c:pt>
                <c:pt idx="3771">
                  <c:v>100.66</c:v>
                </c:pt>
                <c:pt idx="3772">
                  <c:v>104.83</c:v>
                </c:pt>
                <c:pt idx="3773">
                  <c:v>101.39</c:v>
                </c:pt>
                <c:pt idx="3774">
                  <c:v>92.38</c:v>
                </c:pt>
                <c:pt idx="3775">
                  <c:v>87.5</c:v>
                </c:pt>
                <c:pt idx="3776">
                  <c:v>85.25</c:v>
                </c:pt>
                <c:pt idx="3777">
                  <c:v>81.88</c:v>
                </c:pt>
                <c:pt idx="3778">
                  <c:v>83.28</c:v>
                </c:pt>
                <c:pt idx="3779">
                  <c:v>87.77</c:v>
                </c:pt>
                <c:pt idx="3780">
                  <c:v>88.38</c:v>
                </c:pt>
                <c:pt idx="3781">
                  <c:v>85</c:v>
                </c:pt>
                <c:pt idx="3782">
                  <c:v>79.91</c:v>
                </c:pt>
                <c:pt idx="3783">
                  <c:v>87</c:v>
                </c:pt>
                <c:pt idx="3784">
                  <c:v>70.2</c:v>
                </c:pt>
                <c:pt idx="3785">
                  <c:v>63.25</c:v>
                </c:pt>
                <c:pt idx="3786">
                  <c:v>61.45</c:v>
                </c:pt>
                <c:pt idx="3787">
                  <c:v>57.22</c:v>
                </c:pt>
                <c:pt idx="3788">
                  <c:v>53.19</c:v>
                </c:pt>
                <c:pt idx="3789">
                  <c:v>56.53</c:v>
                </c:pt>
                <c:pt idx="3790">
                  <c:v>56.72</c:v>
                </c:pt>
                <c:pt idx="3791">
                  <c:v>57.75</c:v>
                </c:pt>
                <c:pt idx="3792">
                  <c:v>55.3</c:v>
                </c:pt>
                <c:pt idx="3793">
                  <c:v>56.7</c:v>
                </c:pt>
                <c:pt idx="3794">
                  <c:v>54.69</c:v>
                </c:pt>
                <c:pt idx="3795">
                  <c:v>53.47</c:v>
                </c:pt>
                <c:pt idx="3796">
                  <c:v>51.55</c:v>
                </c:pt>
                <c:pt idx="3797">
                  <c:v>53.14</c:v>
                </c:pt>
                <c:pt idx="3798">
                  <c:v>51.25</c:v>
                </c:pt>
                <c:pt idx="3799">
                  <c:v>49.23</c:v>
                </c:pt>
                <c:pt idx="3800">
                  <c:v>48.28</c:v>
                </c:pt>
                <c:pt idx="3801">
                  <c:v>49.42</c:v>
                </c:pt>
                <c:pt idx="3802">
                  <c:v>48.64</c:v>
                </c:pt>
                <c:pt idx="3803">
                  <c:v>49.3</c:v>
                </c:pt>
                <c:pt idx="3804">
                  <c:v>45.86</c:v>
                </c:pt>
                <c:pt idx="3805">
                  <c:v>45.53</c:v>
                </c:pt>
                <c:pt idx="3806">
                  <c:v>45.16</c:v>
                </c:pt>
                <c:pt idx="3807">
                  <c:v>44.5</c:v>
                </c:pt>
                <c:pt idx="3808">
                  <c:v>45.17</c:v>
                </c:pt>
                <c:pt idx="3809">
                  <c:v>44.77</c:v>
                </c:pt>
                <c:pt idx="3810">
                  <c:v>43.75</c:v>
                </c:pt>
                <c:pt idx="3811">
                  <c:v>43.55</c:v>
                </c:pt>
                <c:pt idx="3812">
                  <c:v>44.8</c:v>
                </c:pt>
                <c:pt idx="3813">
                  <c:v>44.69</c:v>
                </c:pt>
                <c:pt idx="3814">
                  <c:v>44.53</c:v>
                </c:pt>
                <c:pt idx="3815">
                  <c:v>45.48</c:v>
                </c:pt>
                <c:pt idx="3816">
                  <c:v>45.04</c:v>
                </c:pt>
                <c:pt idx="3817">
                  <c:v>43.72</c:v>
                </c:pt>
                <c:pt idx="3818">
                  <c:v>42.59</c:v>
                </c:pt>
                <c:pt idx="3819">
                  <c:v>42.39</c:v>
                </c:pt>
                <c:pt idx="3820">
                  <c:v>43.34</c:v>
                </c:pt>
                <c:pt idx="3821">
                  <c:v>41.89</c:v>
                </c:pt>
                <c:pt idx="3822">
                  <c:v>43.47</c:v>
                </c:pt>
                <c:pt idx="3823">
                  <c:v>45.34</c:v>
                </c:pt>
                <c:pt idx="3824">
                  <c:v>48.03</c:v>
                </c:pt>
                <c:pt idx="3825">
                  <c:v>47.56</c:v>
                </c:pt>
                <c:pt idx="3826">
                  <c:v>43.94</c:v>
                </c:pt>
                <c:pt idx="3827">
                  <c:v>43.33</c:v>
                </c:pt>
                <c:pt idx="3828">
                  <c:v>42.8</c:v>
                </c:pt>
                <c:pt idx="3829">
                  <c:v>43.86</c:v>
                </c:pt>
                <c:pt idx="3830">
                  <c:v>44.88</c:v>
                </c:pt>
                <c:pt idx="3831">
                  <c:v>44.83</c:v>
                </c:pt>
                <c:pt idx="3832">
                  <c:v>46.17</c:v>
                </c:pt>
                <c:pt idx="3833">
                  <c:v>45.34</c:v>
                </c:pt>
                <c:pt idx="3834">
                  <c:v>45.83</c:v>
                </c:pt>
                <c:pt idx="3835">
                  <c:v>43.44</c:v>
                </c:pt>
                <c:pt idx="3836">
                  <c:v>44.88</c:v>
                </c:pt>
                <c:pt idx="3837">
                  <c:v>42.39</c:v>
                </c:pt>
                <c:pt idx="3838">
                  <c:v>42.09</c:v>
                </c:pt>
                <c:pt idx="3839">
                  <c:v>40.78</c:v>
                </c:pt>
                <c:pt idx="3840">
                  <c:v>40.86</c:v>
                </c:pt>
                <c:pt idx="3841">
                  <c:v>40.590000000000003</c:v>
                </c:pt>
                <c:pt idx="3842">
                  <c:v>41.3</c:v>
                </c:pt>
                <c:pt idx="3843">
                  <c:v>40.19</c:v>
                </c:pt>
                <c:pt idx="3844">
                  <c:v>42.62</c:v>
                </c:pt>
                <c:pt idx="3845">
                  <c:v>40.67</c:v>
                </c:pt>
                <c:pt idx="3846">
                  <c:v>38.36</c:v>
                </c:pt>
                <c:pt idx="3847">
                  <c:v>38.75</c:v>
                </c:pt>
                <c:pt idx="3848">
                  <c:v>38.75</c:v>
                </c:pt>
                <c:pt idx="3849">
                  <c:v>35.39</c:v>
                </c:pt>
                <c:pt idx="3850">
                  <c:v>35.83</c:v>
                </c:pt>
                <c:pt idx="3851">
                  <c:v>36.880000000000003</c:v>
                </c:pt>
                <c:pt idx="3852">
                  <c:v>35.950000000000003</c:v>
                </c:pt>
                <c:pt idx="3853">
                  <c:v>37.25</c:v>
                </c:pt>
                <c:pt idx="3854">
                  <c:v>38.17</c:v>
                </c:pt>
                <c:pt idx="3855">
                  <c:v>39.64</c:v>
                </c:pt>
                <c:pt idx="3856">
                  <c:v>38.229999999999997</c:v>
                </c:pt>
                <c:pt idx="3857">
                  <c:v>38.03</c:v>
                </c:pt>
                <c:pt idx="3858">
                  <c:v>36.25</c:v>
                </c:pt>
                <c:pt idx="3859">
                  <c:v>34.799999999999997</c:v>
                </c:pt>
                <c:pt idx="3860">
                  <c:v>36.270000000000003</c:v>
                </c:pt>
                <c:pt idx="3861">
                  <c:v>34.72</c:v>
                </c:pt>
                <c:pt idx="3862">
                  <c:v>33.619999999999997</c:v>
                </c:pt>
                <c:pt idx="3863">
                  <c:v>33.200000000000003</c:v>
                </c:pt>
                <c:pt idx="3864">
                  <c:v>32.090000000000003</c:v>
                </c:pt>
                <c:pt idx="3865">
                  <c:v>32.020000000000003</c:v>
                </c:pt>
                <c:pt idx="3866">
                  <c:v>31.88</c:v>
                </c:pt>
                <c:pt idx="3867">
                  <c:v>30.3</c:v>
                </c:pt>
                <c:pt idx="3868">
                  <c:v>31.73</c:v>
                </c:pt>
                <c:pt idx="3869">
                  <c:v>32.090000000000003</c:v>
                </c:pt>
                <c:pt idx="3870">
                  <c:v>30.25</c:v>
                </c:pt>
                <c:pt idx="3871">
                  <c:v>31.34</c:v>
                </c:pt>
                <c:pt idx="3872">
                  <c:v>33.08</c:v>
                </c:pt>
                <c:pt idx="3873">
                  <c:v>34.11</c:v>
                </c:pt>
                <c:pt idx="3874">
                  <c:v>34.25</c:v>
                </c:pt>
                <c:pt idx="3875">
                  <c:v>35.75</c:v>
                </c:pt>
                <c:pt idx="3876">
                  <c:v>32.83</c:v>
                </c:pt>
                <c:pt idx="3877">
                  <c:v>33.58</c:v>
                </c:pt>
                <c:pt idx="3878">
                  <c:v>36.44</c:v>
                </c:pt>
                <c:pt idx="3879">
                  <c:v>36.28</c:v>
                </c:pt>
                <c:pt idx="3880">
                  <c:v>37.97</c:v>
                </c:pt>
                <c:pt idx="3881">
                  <c:v>35.53</c:v>
                </c:pt>
                <c:pt idx="3882">
                  <c:v>37.380000000000003</c:v>
                </c:pt>
                <c:pt idx="3883">
                  <c:v>37.56</c:v>
                </c:pt>
                <c:pt idx="3884">
                  <c:v>38.61</c:v>
                </c:pt>
                <c:pt idx="3885">
                  <c:v>39.86</c:v>
                </c:pt>
                <c:pt idx="3886">
                  <c:v>39.229999999999997</c:v>
                </c:pt>
                <c:pt idx="3887">
                  <c:v>37.56</c:v>
                </c:pt>
                <c:pt idx="3888">
                  <c:v>40</c:v>
                </c:pt>
                <c:pt idx="3889">
                  <c:v>41.11</c:v>
                </c:pt>
                <c:pt idx="3890">
                  <c:v>41.77</c:v>
                </c:pt>
                <c:pt idx="3891">
                  <c:v>43.78</c:v>
                </c:pt>
                <c:pt idx="3892">
                  <c:v>44.53</c:v>
                </c:pt>
                <c:pt idx="3893">
                  <c:v>44.31</c:v>
                </c:pt>
                <c:pt idx="3894">
                  <c:v>43.06</c:v>
                </c:pt>
                <c:pt idx="3895">
                  <c:v>40</c:v>
                </c:pt>
                <c:pt idx="3896">
                  <c:v>39.119999999999997</c:v>
                </c:pt>
                <c:pt idx="3897">
                  <c:v>36.72</c:v>
                </c:pt>
                <c:pt idx="3898">
                  <c:v>37.75</c:v>
                </c:pt>
                <c:pt idx="3899">
                  <c:v>38.880000000000003</c:v>
                </c:pt>
                <c:pt idx="3900">
                  <c:v>38.119999999999997</c:v>
                </c:pt>
                <c:pt idx="3901">
                  <c:v>39.72</c:v>
                </c:pt>
                <c:pt idx="3902">
                  <c:v>36.11</c:v>
                </c:pt>
                <c:pt idx="3903">
                  <c:v>35.56</c:v>
                </c:pt>
                <c:pt idx="3904">
                  <c:v>35.409999999999997</c:v>
                </c:pt>
                <c:pt idx="3905">
                  <c:v>31.31</c:v>
                </c:pt>
                <c:pt idx="3906">
                  <c:v>29.81</c:v>
                </c:pt>
                <c:pt idx="3907">
                  <c:v>33.81</c:v>
                </c:pt>
                <c:pt idx="3908">
                  <c:v>36.19</c:v>
                </c:pt>
                <c:pt idx="3909">
                  <c:v>36.590000000000003</c:v>
                </c:pt>
                <c:pt idx="3910">
                  <c:v>35.83</c:v>
                </c:pt>
                <c:pt idx="3911">
                  <c:v>37.97</c:v>
                </c:pt>
                <c:pt idx="3912">
                  <c:v>36.86</c:v>
                </c:pt>
                <c:pt idx="3913">
                  <c:v>33.840000000000003</c:v>
                </c:pt>
                <c:pt idx="3914">
                  <c:v>35.619999999999997</c:v>
                </c:pt>
                <c:pt idx="3915">
                  <c:v>34.549999999999997</c:v>
                </c:pt>
                <c:pt idx="3916">
                  <c:v>37</c:v>
                </c:pt>
                <c:pt idx="3917">
                  <c:v>33.340000000000003</c:v>
                </c:pt>
                <c:pt idx="3918">
                  <c:v>35.22</c:v>
                </c:pt>
                <c:pt idx="3919">
                  <c:v>31.73</c:v>
                </c:pt>
                <c:pt idx="3920">
                  <c:v>34.47</c:v>
                </c:pt>
                <c:pt idx="3921">
                  <c:v>37.83</c:v>
                </c:pt>
                <c:pt idx="3922">
                  <c:v>37.880000000000003</c:v>
                </c:pt>
                <c:pt idx="3923">
                  <c:v>39.56</c:v>
                </c:pt>
                <c:pt idx="3924">
                  <c:v>39.200000000000003</c:v>
                </c:pt>
                <c:pt idx="3925">
                  <c:v>40.450000000000003</c:v>
                </c:pt>
                <c:pt idx="3926">
                  <c:v>39.340000000000003</c:v>
                </c:pt>
                <c:pt idx="3927">
                  <c:v>40.090000000000003</c:v>
                </c:pt>
                <c:pt idx="3928">
                  <c:v>42.48</c:v>
                </c:pt>
                <c:pt idx="3929">
                  <c:v>43.5</c:v>
                </c:pt>
                <c:pt idx="3930">
                  <c:v>38.92</c:v>
                </c:pt>
                <c:pt idx="3931">
                  <c:v>36.86</c:v>
                </c:pt>
                <c:pt idx="3932">
                  <c:v>37.97</c:v>
                </c:pt>
                <c:pt idx="3933">
                  <c:v>40.33</c:v>
                </c:pt>
                <c:pt idx="3934">
                  <c:v>39.81</c:v>
                </c:pt>
                <c:pt idx="3935">
                  <c:v>40.64</c:v>
                </c:pt>
                <c:pt idx="3936">
                  <c:v>43.67</c:v>
                </c:pt>
                <c:pt idx="3937">
                  <c:v>43.75</c:v>
                </c:pt>
                <c:pt idx="3938">
                  <c:v>43.38</c:v>
                </c:pt>
                <c:pt idx="3939">
                  <c:v>46.12</c:v>
                </c:pt>
                <c:pt idx="3940">
                  <c:v>48.06</c:v>
                </c:pt>
                <c:pt idx="3941">
                  <c:v>46.92</c:v>
                </c:pt>
                <c:pt idx="3942">
                  <c:v>46</c:v>
                </c:pt>
                <c:pt idx="3943">
                  <c:v>43.72</c:v>
                </c:pt>
                <c:pt idx="3944">
                  <c:v>42.75</c:v>
                </c:pt>
                <c:pt idx="3945">
                  <c:v>40.92</c:v>
                </c:pt>
                <c:pt idx="3946">
                  <c:v>47.3</c:v>
                </c:pt>
                <c:pt idx="3947">
                  <c:v>48.66</c:v>
                </c:pt>
                <c:pt idx="3948">
                  <c:v>47.75</c:v>
                </c:pt>
                <c:pt idx="3949">
                  <c:v>50.75</c:v>
                </c:pt>
                <c:pt idx="3950">
                  <c:v>50.73</c:v>
                </c:pt>
                <c:pt idx="3951">
                  <c:v>51.75</c:v>
                </c:pt>
                <c:pt idx="3952">
                  <c:v>51.67</c:v>
                </c:pt>
                <c:pt idx="3953">
                  <c:v>52.11</c:v>
                </c:pt>
                <c:pt idx="3954">
                  <c:v>53.72</c:v>
                </c:pt>
                <c:pt idx="3955">
                  <c:v>54.78</c:v>
                </c:pt>
                <c:pt idx="3956">
                  <c:v>44.94</c:v>
                </c:pt>
                <c:pt idx="3957">
                  <c:v>42.09</c:v>
                </c:pt>
                <c:pt idx="3958">
                  <c:v>43.08</c:v>
                </c:pt>
                <c:pt idx="3959">
                  <c:v>44</c:v>
                </c:pt>
                <c:pt idx="3960">
                  <c:v>42.84</c:v>
                </c:pt>
                <c:pt idx="3961">
                  <c:v>44.75</c:v>
                </c:pt>
                <c:pt idx="3962">
                  <c:v>40.119999999999997</c:v>
                </c:pt>
                <c:pt idx="3963">
                  <c:v>38.880000000000003</c:v>
                </c:pt>
                <c:pt idx="3964">
                  <c:v>41.25</c:v>
                </c:pt>
                <c:pt idx="3965">
                  <c:v>42.5</c:v>
                </c:pt>
                <c:pt idx="3966">
                  <c:v>43.83</c:v>
                </c:pt>
                <c:pt idx="3967">
                  <c:v>43.03</c:v>
                </c:pt>
                <c:pt idx="3968">
                  <c:v>43.72</c:v>
                </c:pt>
                <c:pt idx="3969">
                  <c:v>44.86</c:v>
                </c:pt>
                <c:pt idx="3970">
                  <c:v>44</c:v>
                </c:pt>
                <c:pt idx="3971">
                  <c:v>44.75</c:v>
                </c:pt>
                <c:pt idx="3972">
                  <c:v>43.41</c:v>
                </c:pt>
                <c:pt idx="3973">
                  <c:v>41.83</c:v>
                </c:pt>
                <c:pt idx="3974">
                  <c:v>42.61</c:v>
                </c:pt>
                <c:pt idx="3975">
                  <c:v>39.950000000000003</c:v>
                </c:pt>
                <c:pt idx="3976">
                  <c:v>37.880000000000003</c:v>
                </c:pt>
                <c:pt idx="3977">
                  <c:v>38.36</c:v>
                </c:pt>
                <c:pt idx="3978">
                  <c:v>38.299999999999997</c:v>
                </c:pt>
                <c:pt idx="3979">
                  <c:v>40.03</c:v>
                </c:pt>
                <c:pt idx="3980">
                  <c:v>38.380000000000003</c:v>
                </c:pt>
                <c:pt idx="3981">
                  <c:v>38.840000000000003</c:v>
                </c:pt>
                <c:pt idx="3982">
                  <c:v>37.549999999999997</c:v>
                </c:pt>
                <c:pt idx="3983">
                  <c:v>38.22</c:v>
                </c:pt>
                <c:pt idx="3984">
                  <c:v>36.44</c:v>
                </c:pt>
                <c:pt idx="3985">
                  <c:v>33.83</c:v>
                </c:pt>
                <c:pt idx="3986">
                  <c:v>32.22</c:v>
                </c:pt>
                <c:pt idx="3987">
                  <c:v>32.409999999999997</c:v>
                </c:pt>
                <c:pt idx="3988">
                  <c:v>33.340000000000003</c:v>
                </c:pt>
                <c:pt idx="3989">
                  <c:v>37.75</c:v>
                </c:pt>
                <c:pt idx="3990">
                  <c:v>39.619999999999997</c:v>
                </c:pt>
                <c:pt idx="3991">
                  <c:v>35.590000000000003</c:v>
                </c:pt>
                <c:pt idx="3992">
                  <c:v>35.19</c:v>
                </c:pt>
                <c:pt idx="3993">
                  <c:v>39.659999999999997</c:v>
                </c:pt>
                <c:pt idx="3994">
                  <c:v>43.19</c:v>
                </c:pt>
                <c:pt idx="3995">
                  <c:v>42.12</c:v>
                </c:pt>
                <c:pt idx="3996">
                  <c:v>44.76</c:v>
                </c:pt>
                <c:pt idx="3997">
                  <c:v>40.369999999999997</c:v>
                </c:pt>
                <c:pt idx="3998">
                  <c:v>41.95</c:v>
                </c:pt>
                <c:pt idx="3999">
                  <c:v>44.28</c:v>
                </c:pt>
                <c:pt idx="4000">
                  <c:v>45.97</c:v>
                </c:pt>
                <c:pt idx="4001">
                  <c:v>41.98</c:v>
                </c:pt>
                <c:pt idx="4002">
                  <c:v>43.91</c:v>
                </c:pt>
                <c:pt idx="4003">
                  <c:v>39</c:v>
                </c:pt>
                <c:pt idx="4004">
                  <c:v>35.75</c:v>
                </c:pt>
                <c:pt idx="4005">
                  <c:v>33.119999999999997</c:v>
                </c:pt>
                <c:pt idx="4006">
                  <c:v>35.9</c:v>
                </c:pt>
                <c:pt idx="4007">
                  <c:v>40.380000000000003</c:v>
                </c:pt>
                <c:pt idx="4008">
                  <c:v>39.619999999999997</c:v>
                </c:pt>
                <c:pt idx="4009">
                  <c:v>42.99</c:v>
                </c:pt>
                <c:pt idx="4010">
                  <c:v>46</c:v>
                </c:pt>
                <c:pt idx="4011">
                  <c:v>50.25</c:v>
                </c:pt>
                <c:pt idx="4012">
                  <c:v>51.92</c:v>
                </c:pt>
                <c:pt idx="4013">
                  <c:v>42.95</c:v>
                </c:pt>
                <c:pt idx="4014">
                  <c:v>40</c:v>
                </c:pt>
                <c:pt idx="4015">
                  <c:v>36.380000000000003</c:v>
                </c:pt>
                <c:pt idx="4016">
                  <c:v>32.229999999999997</c:v>
                </c:pt>
                <c:pt idx="4017">
                  <c:v>31</c:v>
                </c:pt>
                <c:pt idx="4018">
                  <c:v>29.62</c:v>
                </c:pt>
                <c:pt idx="4019">
                  <c:v>30.58</c:v>
                </c:pt>
                <c:pt idx="4020">
                  <c:v>33.75</c:v>
                </c:pt>
                <c:pt idx="4021">
                  <c:v>34.44</c:v>
                </c:pt>
                <c:pt idx="4022">
                  <c:v>30.89</c:v>
                </c:pt>
                <c:pt idx="4023">
                  <c:v>31.25</c:v>
                </c:pt>
                <c:pt idx="4024">
                  <c:v>30.62</c:v>
                </c:pt>
                <c:pt idx="4025">
                  <c:v>30.94</c:v>
                </c:pt>
                <c:pt idx="4026">
                  <c:v>26.54</c:v>
                </c:pt>
                <c:pt idx="4027">
                  <c:v>25.69</c:v>
                </c:pt>
                <c:pt idx="4028">
                  <c:v>25.64</c:v>
                </c:pt>
                <c:pt idx="4029">
                  <c:v>24.75</c:v>
                </c:pt>
                <c:pt idx="4030">
                  <c:v>23.91</c:v>
                </c:pt>
                <c:pt idx="4031">
                  <c:v>24.46</c:v>
                </c:pt>
                <c:pt idx="4032">
                  <c:v>24.09</c:v>
                </c:pt>
                <c:pt idx="4033">
                  <c:v>24.73</c:v>
                </c:pt>
                <c:pt idx="4034">
                  <c:v>24.81</c:v>
                </c:pt>
                <c:pt idx="4035">
                  <c:v>23.82</c:v>
                </c:pt>
                <c:pt idx="4036">
                  <c:v>23.72</c:v>
                </c:pt>
                <c:pt idx="4037">
                  <c:v>22.97</c:v>
                </c:pt>
                <c:pt idx="4038">
                  <c:v>24.63</c:v>
                </c:pt>
                <c:pt idx="4039">
                  <c:v>25.78</c:v>
                </c:pt>
                <c:pt idx="4040">
                  <c:v>24</c:v>
                </c:pt>
                <c:pt idx="4041">
                  <c:v>27.12</c:v>
                </c:pt>
                <c:pt idx="4042">
                  <c:v>26.23</c:v>
                </c:pt>
                <c:pt idx="4043">
                  <c:v>26.28</c:v>
                </c:pt>
                <c:pt idx="4044">
                  <c:v>27.68</c:v>
                </c:pt>
                <c:pt idx="4045">
                  <c:v>23.88</c:v>
                </c:pt>
                <c:pt idx="4046">
                  <c:v>23.23</c:v>
                </c:pt>
                <c:pt idx="4047">
                  <c:v>23.77</c:v>
                </c:pt>
                <c:pt idx="4048">
                  <c:v>22.09</c:v>
                </c:pt>
                <c:pt idx="4049">
                  <c:v>21.66</c:v>
                </c:pt>
                <c:pt idx="4050">
                  <c:v>21</c:v>
                </c:pt>
                <c:pt idx="4051">
                  <c:v>21.66</c:v>
                </c:pt>
                <c:pt idx="4052">
                  <c:v>20.62</c:v>
                </c:pt>
                <c:pt idx="4053">
                  <c:v>22.07</c:v>
                </c:pt>
                <c:pt idx="4054">
                  <c:v>20.59</c:v>
                </c:pt>
                <c:pt idx="4055">
                  <c:v>19.2</c:v>
                </c:pt>
                <c:pt idx="4056">
                  <c:v>18.96</c:v>
                </c:pt>
                <c:pt idx="4057">
                  <c:v>18.920000000000002</c:v>
                </c:pt>
                <c:pt idx="4058">
                  <c:v>17.77</c:v>
                </c:pt>
                <c:pt idx="4059">
                  <c:v>18.18</c:v>
                </c:pt>
                <c:pt idx="4060">
                  <c:v>16.36</c:v>
                </c:pt>
                <c:pt idx="4061">
                  <c:v>16.399999999999999</c:v>
                </c:pt>
                <c:pt idx="4062">
                  <c:v>15.84</c:v>
                </c:pt>
                <c:pt idx="4063">
                  <c:v>15.47</c:v>
                </c:pt>
                <c:pt idx="4064">
                  <c:v>15.99</c:v>
                </c:pt>
                <c:pt idx="4065">
                  <c:v>15.27</c:v>
                </c:pt>
                <c:pt idx="4066">
                  <c:v>15.27</c:v>
                </c:pt>
                <c:pt idx="4067">
                  <c:v>14.97</c:v>
                </c:pt>
                <c:pt idx="4068">
                  <c:v>14.44</c:v>
                </c:pt>
                <c:pt idx="4069">
                  <c:v>14.69</c:v>
                </c:pt>
                <c:pt idx="4070">
                  <c:v>14.45</c:v>
                </c:pt>
                <c:pt idx="4071">
                  <c:v>14.92</c:v>
                </c:pt>
                <c:pt idx="4072">
                  <c:v>13.98</c:v>
                </c:pt>
                <c:pt idx="4073">
                  <c:v>13.74</c:v>
                </c:pt>
                <c:pt idx="4074">
                  <c:v>14.3</c:v>
                </c:pt>
                <c:pt idx="4075">
                  <c:v>13.2</c:v>
                </c:pt>
                <c:pt idx="4076">
                  <c:v>13.1</c:v>
                </c:pt>
                <c:pt idx="4077">
                  <c:v>14.3</c:v>
                </c:pt>
                <c:pt idx="4078">
                  <c:v>15.6</c:v>
                </c:pt>
                <c:pt idx="4079">
                  <c:v>15.73</c:v>
                </c:pt>
                <c:pt idx="4080">
                  <c:v>15.88</c:v>
                </c:pt>
                <c:pt idx="4081">
                  <c:v>14.12</c:v>
                </c:pt>
                <c:pt idx="4082">
                  <c:v>16.190000000000001</c:v>
                </c:pt>
                <c:pt idx="4083">
                  <c:v>16.440000000000001</c:v>
                </c:pt>
                <c:pt idx="4084">
                  <c:v>15.99</c:v>
                </c:pt>
                <c:pt idx="4085">
                  <c:v>15.12</c:v>
                </c:pt>
                <c:pt idx="4086">
                  <c:v>14.41</c:v>
                </c:pt>
                <c:pt idx="4087">
                  <c:v>14.73</c:v>
                </c:pt>
                <c:pt idx="4088">
                  <c:v>12.87</c:v>
                </c:pt>
                <c:pt idx="4089">
                  <c:v>12.04</c:v>
                </c:pt>
                <c:pt idx="4090">
                  <c:v>11.3</c:v>
                </c:pt>
                <c:pt idx="4091">
                  <c:v>11.26</c:v>
                </c:pt>
                <c:pt idx="4092">
                  <c:v>11.67</c:v>
                </c:pt>
                <c:pt idx="4093">
                  <c:v>10.55</c:v>
                </c:pt>
                <c:pt idx="4094">
                  <c:v>10.48</c:v>
                </c:pt>
                <c:pt idx="4095">
                  <c:v>9.98</c:v>
                </c:pt>
                <c:pt idx="4096">
                  <c:v>9.98</c:v>
                </c:pt>
                <c:pt idx="4097">
                  <c:v>10</c:v>
                </c:pt>
                <c:pt idx="4098">
                  <c:v>10.58</c:v>
                </c:pt>
                <c:pt idx="4099">
                  <c:v>9.42</c:v>
                </c:pt>
                <c:pt idx="4100">
                  <c:v>9.4</c:v>
                </c:pt>
                <c:pt idx="4101">
                  <c:v>9.7200000000000006</c:v>
                </c:pt>
                <c:pt idx="4102">
                  <c:v>9.0299999999999994</c:v>
                </c:pt>
                <c:pt idx="4103">
                  <c:v>8.6199999999999992</c:v>
                </c:pt>
                <c:pt idx="4104">
                  <c:v>10.38</c:v>
                </c:pt>
                <c:pt idx="4105">
                  <c:v>11.38</c:v>
                </c:pt>
                <c:pt idx="4106">
                  <c:v>12.11</c:v>
                </c:pt>
                <c:pt idx="4107">
                  <c:v>12.19</c:v>
                </c:pt>
                <c:pt idx="4108">
                  <c:v>12.21</c:v>
                </c:pt>
                <c:pt idx="4109">
                  <c:v>11.92</c:v>
                </c:pt>
                <c:pt idx="4110">
                  <c:v>12.19</c:v>
                </c:pt>
                <c:pt idx="4111">
                  <c:v>11.91</c:v>
                </c:pt>
                <c:pt idx="4112">
                  <c:v>12.16</c:v>
                </c:pt>
                <c:pt idx="4113">
                  <c:v>11.5</c:v>
                </c:pt>
                <c:pt idx="4114">
                  <c:v>11.47</c:v>
                </c:pt>
                <c:pt idx="4115">
                  <c:v>11.59</c:v>
                </c:pt>
                <c:pt idx="4116">
                  <c:v>11.92</c:v>
                </c:pt>
                <c:pt idx="4117">
                  <c:v>11.42</c:v>
                </c:pt>
                <c:pt idx="4118">
                  <c:v>11.75</c:v>
                </c:pt>
                <c:pt idx="4119">
                  <c:v>11.45</c:v>
                </c:pt>
                <c:pt idx="4120">
                  <c:v>10.92</c:v>
                </c:pt>
                <c:pt idx="4121">
                  <c:v>10.48</c:v>
                </c:pt>
                <c:pt idx="4122">
                  <c:v>10.64</c:v>
                </c:pt>
                <c:pt idx="4123">
                  <c:v>10.8</c:v>
                </c:pt>
                <c:pt idx="4124">
                  <c:v>11.37</c:v>
                </c:pt>
                <c:pt idx="4125">
                  <c:v>11.42</c:v>
                </c:pt>
                <c:pt idx="4126">
                  <c:v>10.85</c:v>
                </c:pt>
                <c:pt idx="4127">
                  <c:v>11.45</c:v>
                </c:pt>
                <c:pt idx="4128">
                  <c:v>11.82</c:v>
                </c:pt>
                <c:pt idx="4129">
                  <c:v>11.38</c:v>
                </c:pt>
                <c:pt idx="4130">
                  <c:v>11.84</c:v>
                </c:pt>
                <c:pt idx="4131">
                  <c:v>12.11</c:v>
                </c:pt>
                <c:pt idx="4132">
                  <c:v>11.81</c:v>
                </c:pt>
                <c:pt idx="4133">
                  <c:v>12.27</c:v>
                </c:pt>
                <c:pt idx="4134">
                  <c:v>11.61</c:v>
                </c:pt>
                <c:pt idx="4135">
                  <c:v>11.67</c:v>
                </c:pt>
                <c:pt idx="4136">
                  <c:v>11.36</c:v>
                </c:pt>
                <c:pt idx="4137">
                  <c:v>11.66</c:v>
                </c:pt>
                <c:pt idx="4138">
                  <c:v>11.77</c:v>
                </c:pt>
                <c:pt idx="4139">
                  <c:v>11.41</c:v>
                </c:pt>
                <c:pt idx="4140">
                  <c:v>11.5</c:v>
                </c:pt>
                <c:pt idx="4141">
                  <c:v>11.64</c:v>
                </c:pt>
                <c:pt idx="4142">
                  <c:v>11.94</c:v>
                </c:pt>
                <c:pt idx="4143">
                  <c:v>12.45</c:v>
                </c:pt>
                <c:pt idx="4144">
                  <c:v>10.8</c:v>
                </c:pt>
                <c:pt idx="4145">
                  <c:v>10.62</c:v>
                </c:pt>
                <c:pt idx="4146">
                  <c:v>9.84</c:v>
                </c:pt>
                <c:pt idx="4147">
                  <c:v>9.65</c:v>
                </c:pt>
                <c:pt idx="4148">
                  <c:v>9.2899999999999991</c:v>
                </c:pt>
                <c:pt idx="4149">
                  <c:v>9.52</c:v>
                </c:pt>
                <c:pt idx="4150">
                  <c:v>9.3000000000000007</c:v>
                </c:pt>
                <c:pt idx="4151">
                  <c:v>9.25</c:v>
                </c:pt>
                <c:pt idx="4152">
                  <c:v>8.7200000000000006</c:v>
                </c:pt>
                <c:pt idx="4153">
                  <c:v>8.08</c:v>
                </c:pt>
                <c:pt idx="4154">
                  <c:v>7.98</c:v>
                </c:pt>
                <c:pt idx="4155">
                  <c:v>8.16</c:v>
                </c:pt>
                <c:pt idx="4156">
                  <c:v>7.62</c:v>
                </c:pt>
                <c:pt idx="4157">
                  <c:v>7.2</c:v>
                </c:pt>
                <c:pt idx="4158">
                  <c:v>7.11</c:v>
                </c:pt>
                <c:pt idx="4159">
                  <c:v>7.2</c:v>
                </c:pt>
                <c:pt idx="4160">
                  <c:v>7.15</c:v>
                </c:pt>
                <c:pt idx="4161">
                  <c:v>7.37</c:v>
                </c:pt>
                <c:pt idx="4162">
                  <c:v>6.84</c:v>
                </c:pt>
                <c:pt idx="4163">
                  <c:v>6.56</c:v>
                </c:pt>
                <c:pt idx="4164">
                  <c:v>6.41</c:v>
                </c:pt>
                <c:pt idx="4165">
                  <c:v>6.38</c:v>
                </c:pt>
                <c:pt idx="4166">
                  <c:v>6.55</c:v>
                </c:pt>
                <c:pt idx="4167">
                  <c:v>6.52</c:v>
                </c:pt>
                <c:pt idx="4168">
                  <c:v>6.84</c:v>
                </c:pt>
                <c:pt idx="4169">
                  <c:v>6.88</c:v>
                </c:pt>
                <c:pt idx="4170">
                  <c:v>7.2</c:v>
                </c:pt>
                <c:pt idx="4171">
                  <c:v>6.77</c:v>
                </c:pt>
                <c:pt idx="4172">
                  <c:v>7.15</c:v>
                </c:pt>
                <c:pt idx="4173">
                  <c:v>7.31</c:v>
                </c:pt>
                <c:pt idx="4174">
                  <c:v>7.3</c:v>
                </c:pt>
                <c:pt idx="4175">
                  <c:v>7.38</c:v>
                </c:pt>
                <c:pt idx="4176">
                  <c:v>7.29</c:v>
                </c:pt>
                <c:pt idx="4177">
                  <c:v>7.38</c:v>
                </c:pt>
                <c:pt idx="4178">
                  <c:v>7.52</c:v>
                </c:pt>
                <c:pt idx="4179">
                  <c:v>7.75</c:v>
                </c:pt>
                <c:pt idx="4180">
                  <c:v>7.23</c:v>
                </c:pt>
                <c:pt idx="4181">
                  <c:v>7.14</c:v>
                </c:pt>
                <c:pt idx="4182">
                  <c:v>7.36</c:v>
                </c:pt>
                <c:pt idx="4183">
                  <c:v>7.2</c:v>
                </c:pt>
                <c:pt idx="4184">
                  <c:v>7.19</c:v>
                </c:pt>
                <c:pt idx="4185">
                  <c:v>7.3</c:v>
                </c:pt>
                <c:pt idx="4186">
                  <c:v>7.55</c:v>
                </c:pt>
                <c:pt idx="4187">
                  <c:v>7.41</c:v>
                </c:pt>
                <c:pt idx="4188">
                  <c:v>7.43</c:v>
                </c:pt>
                <c:pt idx="4189">
                  <c:v>7.39</c:v>
                </c:pt>
                <c:pt idx="4190">
                  <c:v>7.41</c:v>
                </c:pt>
                <c:pt idx="4191">
                  <c:v>7.01</c:v>
                </c:pt>
                <c:pt idx="4192">
                  <c:v>7.17</c:v>
                </c:pt>
                <c:pt idx="4193">
                  <c:v>7.01</c:v>
                </c:pt>
                <c:pt idx="4194">
                  <c:v>7.4</c:v>
                </c:pt>
                <c:pt idx="4195">
                  <c:v>7.71</c:v>
                </c:pt>
                <c:pt idx="4196">
                  <c:v>7.86</c:v>
                </c:pt>
                <c:pt idx="4197">
                  <c:v>7.59</c:v>
                </c:pt>
                <c:pt idx="4198">
                  <c:v>8.02</c:v>
                </c:pt>
                <c:pt idx="4199">
                  <c:v>7.39</c:v>
                </c:pt>
                <c:pt idx="4200">
                  <c:v>7.18</c:v>
                </c:pt>
                <c:pt idx="4201">
                  <c:v>7.06</c:v>
                </c:pt>
                <c:pt idx="4202">
                  <c:v>7.16</c:v>
                </c:pt>
                <c:pt idx="4203">
                  <c:v>6.08</c:v>
                </c:pt>
                <c:pt idx="4204">
                  <c:v>5.83</c:v>
                </c:pt>
                <c:pt idx="4205">
                  <c:v>6.19</c:v>
                </c:pt>
                <c:pt idx="4206">
                  <c:v>6.4</c:v>
                </c:pt>
                <c:pt idx="4207">
                  <c:v>6.49</c:v>
                </c:pt>
                <c:pt idx="4208">
                  <c:v>6.11</c:v>
                </c:pt>
                <c:pt idx="4209">
                  <c:v>5.78</c:v>
                </c:pt>
                <c:pt idx="4210">
                  <c:v>5.82</c:v>
                </c:pt>
                <c:pt idx="4211">
                  <c:v>5.66</c:v>
                </c:pt>
                <c:pt idx="4212">
                  <c:v>5.56</c:v>
                </c:pt>
                <c:pt idx="4213">
                  <c:v>5.52</c:v>
                </c:pt>
                <c:pt idx="4214">
                  <c:v>5.43</c:v>
                </c:pt>
                <c:pt idx="4215">
                  <c:v>5.19</c:v>
                </c:pt>
                <c:pt idx="4216">
                  <c:v>5.2</c:v>
                </c:pt>
                <c:pt idx="4217">
                  <c:v>5.24</c:v>
                </c:pt>
                <c:pt idx="4218">
                  <c:v>5.39</c:v>
                </c:pt>
                <c:pt idx="4219">
                  <c:v>5.24</c:v>
                </c:pt>
                <c:pt idx="4220">
                  <c:v>5.31</c:v>
                </c:pt>
                <c:pt idx="4221">
                  <c:v>5.21</c:v>
                </c:pt>
                <c:pt idx="4222">
                  <c:v>5.12</c:v>
                </c:pt>
                <c:pt idx="4223">
                  <c:v>5.27</c:v>
                </c:pt>
                <c:pt idx="4224">
                  <c:v>5.47</c:v>
                </c:pt>
                <c:pt idx="4225">
                  <c:v>5.49</c:v>
                </c:pt>
                <c:pt idx="4226">
                  <c:v>5.04</c:v>
                </c:pt>
                <c:pt idx="4227">
                  <c:v>4.71</c:v>
                </c:pt>
                <c:pt idx="4228">
                  <c:v>4.4800000000000004</c:v>
                </c:pt>
                <c:pt idx="4229">
                  <c:v>4.5599999999999996</c:v>
                </c:pt>
                <c:pt idx="4230">
                  <c:v>4.57</c:v>
                </c:pt>
                <c:pt idx="4231">
                  <c:v>4.57</c:v>
                </c:pt>
                <c:pt idx="4232">
                  <c:v>4.26</c:v>
                </c:pt>
                <c:pt idx="4233">
                  <c:v>3.86</c:v>
                </c:pt>
                <c:pt idx="4234">
                  <c:v>3.85</c:v>
                </c:pt>
                <c:pt idx="4235">
                  <c:v>3.96</c:v>
                </c:pt>
                <c:pt idx="4236">
                  <c:v>4.01</c:v>
                </c:pt>
                <c:pt idx="4237">
                  <c:v>4</c:v>
                </c:pt>
                <c:pt idx="4238">
                  <c:v>3.97</c:v>
                </c:pt>
                <c:pt idx="4239">
                  <c:v>4.0199999999999996</c:v>
                </c:pt>
                <c:pt idx="4240">
                  <c:v>4.05</c:v>
                </c:pt>
                <c:pt idx="4241">
                  <c:v>4.07</c:v>
                </c:pt>
                <c:pt idx="4242">
                  <c:v>4.07</c:v>
                </c:pt>
                <c:pt idx="4243">
                  <c:v>4.04</c:v>
                </c:pt>
                <c:pt idx="4244">
                  <c:v>3.99</c:v>
                </c:pt>
                <c:pt idx="4245">
                  <c:v>4.0199999999999996</c:v>
                </c:pt>
                <c:pt idx="4246">
                  <c:v>3.89</c:v>
                </c:pt>
                <c:pt idx="4247">
                  <c:v>3.98</c:v>
                </c:pt>
                <c:pt idx="4248">
                  <c:v>4.05</c:v>
                </c:pt>
                <c:pt idx="4249">
                  <c:v>4.12</c:v>
                </c:pt>
                <c:pt idx="4250">
                  <c:v>3.96</c:v>
                </c:pt>
                <c:pt idx="4251">
                  <c:v>3.87</c:v>
                </c:pt>
                <c:pt idx="4252">
                  <c:v>3.63</c:v>
                </c:pt>
                <c:pt idx="4253">
                  <c:v>3.75</c:v>
                </c:pt>
                <c:pt idx="4254">
                  <c:v>3.74</c:v>
                </c:pt>
                <c:pt idx="4255">
                  <c:v>3.86</c:v>
                </c:pt>
                <c:pt idx="4256">
                  <c:v>3.89</c:v>
                </c:pt>
                <c:pt idx="4257">
                  <c:v>3.99</c:v>
                </c:pt>
                <c:pt idx="4258">
                  <c:v>4.03</c:v>
                </c:pt>
                <c:pt idx="4259">
                  <c:v>4.08</c:v>
                </c:pt>
                <c:pt idx="4260">
                  <c:v>4.08</c:v>
                </c:pt>
                <c:pt idx="4261">
                  <c:v>4.1900000000000004</c:v>
                </c:pt>
                <c:pt idx="4262">
                  <c:v>4.1100000000000003</c:v>
                </c:pt>
                <c:pt idx="4263">
                  <c:v>3.91</c:v>
                </c:pt>
                <c:pt idx="4264">
                  <c:v>3.87</c:v>
                </c:pt>
                <c:pt idx="4265">
                  <c:v>4.0199999999999996</c:v>
                </c:pt>
                <c:pt idx="4266">
                  <c:v>3.99</c:v>
                </c:pt>
                <c:pt idx="4267">
                  <c:v>4</c:v>
                </c:pt>
                <c:pt idx="4268">
                  <c:v>3.93</c:v>
                </c:pt>
                <c:pt idx="4269">
                  <c:v>4.1399999999999997</c:v>
                </c:pt>
                <c:pt idx="4270">
                  <c:v>4.33</c:v>
                </c:pt>
                <c:pt idx="4271">
                  <c:v>4.4400000000000004</c:v>
                </c:pt>
                <c:pt idx="4272">
                  <c:v>4.3099999999999996</c:v>
                </c:pt>
                <c:pt idx="4273">
                  <c:v>4.13</c:v>
                </c:pt>
                <c:pt idx="4274">
                  <c:v>4.03</c:v>
                </c:pt>
                <c:pt idx="4275">
                  <c:v>4.07</c:v>
                </c:pt>
                <c:pt idx="4276">
                  <c:v>4.03</c:v>
                </c:pt>
                <c:pt idx="4277">
                  <c:v>3.87</c:v>
                </c:pt>
                <c:pt idx="4278">
                  <c:v>3.63</c:v>
                </c:pt>
                <c:pt idx="4279">
                  <c:v>3.72</c:v>
                </c:pt>
                <c:pt idx="4280">
                  <c:v>3.77</c:v>
                </c:pt>
                <c:pt idx="4281">
                  <c:v>3.62</c:v>
                </c:pt>
                <c:pt idx="4282">
                  <c:v>3.72</c:v>
                </c:pt>
                <c:pt idx="4283">
                  <c:v>3.66</c:v>
                </c:pt>
                <c:pt idx="4284">
                  <c:v>3.68</c:v>
                </c:pt>
                <c:pt idx="4285">
                  <c:v>3.71</c:v>
                </c:pt>
                <c:pt idx="4286">
                  <c:v>3.73</c:v>
                </c:pt>
                <c:pt idx="4287">
                  <c:v>3.52</c:v>
                </c:pt>
                <c:pt idx="4288">
                  <c:v>3.36</c:v>
                </c:pt>
                <c:pt idx="4289">
                  <c:v>3.37</c:v>
                </c:pt>
                <c:pt idx="4290">
                  <c:v>3.31</c:v>
                </c:pt>
                <c:pt idx="4291">
                  <c:v>3.38</c:v>
                </c:pt>
                <c:pt idx="4292">
                  <c:v>3.2</c:v>
                </c:pt>
                <c:pt idx="4293">
                  <c:v>3.18</c:v>
                </c:pt>
                <c:pt idx="4294">
                  <c:v>3.18</c:v>
                </c:pt>
                <c:pt idx="4295">
                  <c:v>3.03</c:v>
                </c:pt>
                <c:pt idx="4296">
                  <c:v>3.3</c:v>
                </c:pt>
                <c:pt idx="4297">
                  <c:v>3.35</c:v>
                </c:pt>
                <c:pt idx="4298">
                  <c:v>3.16</c:v>
                </c:pt>
                <c:pt idx="4299">
                  <c:v>3.23</c:v>
                </c:pt>
                <c:pt idx="4300">
                  <c:v>3.25</c:v>
                </c:pt>
                <c:pt idx="4301">
                  <c:v>2.99</c:v>
                </c:pt>
                <c:pt idx="4302">
                  <c:v>2.86</c:v>
                </c:pt>
                <c:pt idx="4303">
                  <c:v>2.72</c:v>
                </c:pt>
                <c:pt idx="4304">
                  <c:v>2.88</c:v>
                </c:pt>
                <c:pt idx="4305">
                  <c:v>3.04</c:v>
                </c:pt>
                <c:pt idx="4306">
                  <c:v>3.09</c:v>
                </c:pt>
                <c:pt idx="4307">
                  <c:v>3.3</c:v>
                </c:pt>
                <c:pt idx="4308">
                  <c:v>3.35</c:v>
                </c:pt>
                <c:pt idx="4309">
                  <c:v>3.19</c:v>
                </c:pt>
                <c:pt idx="4310">
                  <c:v>2.88</c:v>
                </c:pt>
                <c:pt idx="4311">
                  <c:v>2.74</c:v>
                </c:pt>
                <c:pt idx="4312">
                  <c:v>2.61</c:v>
                </c:pt>
                <c:pt idx="4313">
                  <c:v>2.58</c:v>
                </c:pt>
                <c:pt idx="4314">
                  <c:v>2.7</c:v>
                </c:pt>
                <c:pt idx="4315">
                  <c:v>2.38</c:v>
                </c:pt>
                <c:pt idx="4316">
                  <c:v>2.97</c:v>
                </c:pt>
                <c:pt idx="4317">
                  <c:v>3.16</c:v>
                </c:pt>
                <c:pt idx="4318">
                  <c:v>3.31</c:v>
                </c:pt>
                <c:pt idx="4319">
                  <c:v>3.2</c:v>
                </c:pt>
                <c:pt idx="4320">
                  <c:v>3.05</c:v>
                </c:pt>
                <c:pt idx="4321">
                  <c:v>3.03</c:v>
                </c:pt>
                <c:pt idx="4322">
                  <c:v>3.04</c:v>
                </c:pt>
                <c:pt idx="4323">
                  <c:v>3.22</c:v>
                </c:pt>
                <c:pt idx="4324">
                  <c:v>3.19</c:v>
                </c:pt>
                <c:pt idx="4325">
                  <c:v>3.2</c:v>
                </c:pt>
                <c:pt idx="4326">
                  <c:v>3.3</c:v>
                </c:pt>
                <c:pt idx="4327">
                  <c:v>3.47</c:v>
                </c:pt>
                <c:pt idx="4328">
                  <c:v>3.55</c:v>
                </c:pt>
                <c:pt idx="4329">
                  <c:v>3.48</c:v>
                </c:pt>
                <c:pt idx="4330">
                  <c:v>3.64</c:v>
                </c:pt>
                <c:pt idx="4331">
                  <c:v>3.45</c:v>
                </c:pt>
                <c:pt idx="4332">
                  <c:v>3.44</c:v>
                </c:pt>
                <c:pt idx="4333">
                  <c:v>3.2</c:v>
                </c:pt>
                <c:pt idx="4334">
                  <c:v>3.13</c:v>
                </c:pt>
                <c:pt idx="4335">
                  <c:v>3.17</c:v>
                </c:pt>
                <c:pt idx="4336">
                  <c:v>3.14</c:v>
                </c:pt>
                <c:pt idx="4337">
                  <c:v>3.13</c:v>
                </c:pt>
                <c:pt idx="4338">
                  <c:v>3.22</c:v>
                </c:pt>
                <c:pt idx="4339">
                  <c:v>3.17</c:v>
                </c:pt>
                <c:pt idx="4340">
                  <c:v>3.35</c:v>
                </c:pt>
                <c:pt idx="4341">
                  <c:v>3.21</c:v>
                </c:pt>
                <c:pt idx="4342">
                  <c:v>3.11</c:v>
                </c:pt>
                <c:pt idx="4343">
                  <c:v>3.05</c:v>
                </c:pt>
                <c:pt idx="4344">
                  <c:v>3.2</c:v>
                </c:pt>
                <c:pt idx="4345">
                  <c:v>3.01</c:v>
                </c:pt>
                <c:pt idx="4346">
                  <c:v>3.37</c:v>
                </c:pt>
                <c:pt idx="4347">
                  <c:v>3.46</c:v>
                </c:pt>
                <c:pt idx="4348">
                  <c:v>3.33</c:v>
                </c:pt>
                <c:pt idx="4349">
                  <c:v>3.15</c:v>
                </c:pt>
                <c:pt idx="4350">
                  <c:v>2.95</c:v>
                </c:pt>
                <c:pt idx="4351">
                  <c:v>2.84</c:v>
                </c:pt>
                <c:pt idx="4352">
                  <c:v>2.61</c:v>
                </c:pt>
                <c:pt idx="4353">
                  <c:v>2.54</c:v>
                </c:pt>
                <c:pt idx="4354">
                  <c:v>2.4900000000000002</c:v>
                </c:pt>
                <c:pt idx="4355">
                  <c:v>2.48</c:v>
                </c:pt>
                <c:pt idx="4356">
                  <c:v>2.34</c:v>
                </c:pt>
                <c:pt idx="4357">
                  <c:v>2.33</c:v>
                </c:pt>
                <c:pt idx="4358">
                  <c:v>2.33</c:v>
                </c:pt>
                <c:pt idx="4359">
                  <c:v>2.36</c:v>
                </c:pt>
                <c:pt idx="4360">
                  <c:v>2.3199999999999998</c:v>
                </c:pt>
                <c:pt idx="4361">
                  <c:v>2.3199999999999998</c:v>
                </c:pt>
                <c:pt idx="4362">
                  <c:v>2.39</c:v>
                </c:pt>
                <c:pt idx="4363">
                  <c:v>2.2999999999999998</c:v>
                </c:pt>
                <c:pt idx="4364">
                  <c:v>2.1800000000000002</c:v>
                </c:pt>
                <c:pt idx="4365">
                  <c:v>2.02</c:v>
                </c:pt>
                <c:pt idx="4366">
                  <c:v>2.0699999999999998</c:v>
                </c:pt>
                <c:pt idx="4367">
                  <c:v>2.1</c:v>
                </c:pt>
                <c:pt idx="4368">
                  <c:v>2.12</c:v>
                </c:pt>
                <c:pt idx="4369">
                  <c:v>2.2200000000000002</c:v>
                </c:pt>
                <c:pt idx="4370">
                  <c:v>2.25</c:v>
                </c:pt>
                <c:pt idx="4371">
                  <c:v>2.2400000000000002</c:v>
                </c:pt>
                <c:pt idx="4372">
                  <c:v>2.29</c:v>
                </c:pt>
                <c:pt idx="4373">
                  <c:v>2.27</c:v>
                </c:pt>
                <c:pt idx="4374">
                  <c:v>2.2200000000000002</c:v>
                </c:pt>
                <c:pt idx="4375">
                  <c:v>2.2999999999999998</c:v>
                </c:pt>
                <c:pt idx="4376">
                  <c:v>2.35</c:v>
                </c:pt>
                <c:pt idx="4377">
                  <c:v>2.2799999999999998</c:v>
                </c:pt>
                <c:pt idx="4378">
                  <c:v>2.0099999999999998</c:v>
                </c:pt>
                <c:pt idx="4379">
                  <c:v>1.98</c:v>
                </c:pt>
                <c:pt idx="4380">
                  <c:v>1.99</c:v>
                </c:pt>
                <c:pt idx="4381">
                  <c:v>1.98</c:v>
                </c:pt>
                <c:pt idx="4382">
                  <c:v>2.0499999999999998</c:v>
                </c:pt>
                <c:pt idx="4383">
                  <c:v>2.1</c:v>
                </c:pt>
                <c:pt idx="4384">
                  <c:v>2.0699999999999998</c:v>
                </c:pt>
                <c:pt idx="4385">
                  <c:v>1.95</c:v>
                </c:pt>
                <c:pt idx="4386">
                  <c:v>1.95</c:v>
                </c:pt>
                <c:pt idx="4387">
                  <c:v>2.0499999999999998</c:v>
                </c:pt>
                <c:pt idx="4388">
                  <c:v>2.1</c:v>
                </c:pt>
                <c:pt idx="4389">
                  <c:v>2.02</c:v>
                </c:pt>
                <c:pt idx="4390">
                  <c:v>1.83</c:v>
                </c:pt>
                <c:pt idx="4391">
                  <c:v>1.79</c:v>
                </c:pt>
                <c:pt idx="4392">
                  <c:v>1.83</c:v>
                </c:pt>
                <c:pt idx="4393">
                  <c:v>1.66</c:v>
                </c:pt>
                <c:pt idx="4394">
                  <c:v>1.57</c:v>
                </c:pt>
                <c:pt idx="4395">
                  <c:v>1.4</c:v>
                </c:pt>
                <c:pt idx="4396">
                  <c:v>1.41</c:v>
                </c:pt>
                <c:pt idx="4397">
                  <c:v>1.42</c:v>
                </c:pt>
                <c:pt idx="4398">
                  <c:v>1.47</c:v>
                </c:pt>
                <c:pt idx="4399">
                  <c:v>1.44</c:v>
                </c:pt>
                <c:pt idx="4400">
                  <c:v>1.51</c:v>
                </c:pt>
                <c:pt idx="4401">
                  <c:v>1.55</c:v>
                </c:pt>
                <c:pt idx="4402">
                  <c:v>1.55</c:v>
                </c:pt>
                <c:pt idx="4403">
                  <c:v>1.54</c:v>
                </c:pt>
                <c:pt idx="4404">
                  <c:v>1.64</c:v>
                </c:pt>
                <c:pt idx="4405">
                  <c:v>1.45</c:v>
                </c:pt>
                <c:pt idx="4406">
                  <c:v>1.42</c:v>
                </c:pt>
                <c:pt idx="4407">
                  <c:v>1.46</c:v>
                </c:pt>
                <c:pt idx="4408">
                  <c:v>1.45</c:v>
                </c:pt>
                <c:pt idx="4409">
                  <c:v>1.34</c:v>
                </c:pt>
                <c:pt idx="4410">
                  <c:v>1.33</c:v>
                </c:pt>
                <c:pt idx="4411">
                  <c:v>1.29</c:v>
                </c:pt>
                <c:pt idx="4412">
                  <c:v>1.35</c:v>
                </c:pt>
                <c:pt idx="4413">
                  <c:v>1.36</c:v>
                </c:pt>
                <c:pt idx="4414">
                  <c:v>1.33</c:v>
                </c:pt>
                <c:pt idx="4415">
                  <c:v>1.35</c:v>
                </c:pt>
                <c:pt idx="4416">
                  <c:v>1.31</c:v>
                </c:pt>
                <c:pt idx="4417">
                  <c:v>1.35</c:v>
                </c:pt>
                <c:pt idx="4418">
                  <c:v>1.38</c:v>
                </c:pt>
                <c:pt idx="4419">
                  <c:v>1.34</c:v>
                </c:pt>
                <c:pt idx="4420">
                  <c:v>1.33</c:v>
                </c:pt>
                <c:pt idx="4421">
                  <c:v>1.33</c:v>
                </c:pt>
                <c:pt idx="4422">
                  <c:v>1.32</c:v>
                </c:pt>
                <c:pt idx="4423">
                  <c:v>1.31</c:v>
                </c:pt>
                <c:pt idx="4424">
                  <c:v>1.3</c:v>
                </c:pt>
                <c:pt idx="4425">
                  <c:v>1.38</c:v>
                </c:pt>
                <c:pt idx="4426">
                  <c:v>1.35</c:v>
                </c:pt>
                <c:pt idx="4427">
                  <c:v>1.34</c:v>
                </c:pt>
                <c:pt idx="4428">
                  <c:v>1.33</c:v>
                </c:pt>
                <c:pt idx="4429">
                  <c:v>1.3</c:v>
                </c:pt>
                <c:pt idx="4430">
                  <c:v>1.26</c:v>
                </c:pt>
                <c:pt idx="4431">
                  <c:v>1.27</c:v>
                </c:pt>
                <c:pt idx="4432">
                  <c:v>1.36</c:v>
                </c:pt>
                <c:pt idx="4433">
                  <c:v>1.41</c:v>
                </c:pt>
                <c:pt idx="4434">
                  <c:v>1.42</c:v>
                </c:pt>
                <c:pt idx="4435">
                  <c:v>1.4</c:v>
                </c:pt>
                <c:pt idx="4436">
                  <c:v>1.37</c:v>
                </c:pt>
                <c:pt idx="4437">
                  <c:v>1.5</c:v>
                </c:pt>
                <c:pt idx="4438">
                  <c:v>1.46</c:v>
                </c:pt>
                <c:pt idx="4439">
                  <c:v>1.42</c:v>
                </c:pt>
                <c:pt idx="4440">
                  <c:v>1.42</c:v>
                </c:pt>
                <c:pt idx="4441">
                  <c:v>1.32</c:v>
                </c:pt>
                <c:pt idx="4442">
                  <c:v>1.31</c:v>
                </c:pt>
                <c:pt idx="4443">
                  <c:v>1.26</c:v>
                </c:pt>
                <c:pt idx="4444">
                  <c:v>1.27</c:v>
                </c:pt>
                <c:pt idx="4445">
                  <c:v>1.3</c:v>
                </c:pt>
                <c:pt idx="4446">
                  <c:v>1.1399999999999999</c:v>
                </c:pt>
                <c:pt idx="4447">
                  <c:v>1.18</c:v>
                </c:pt>
                <c:pt idx="4448">
                  <c:v>1.29</c:v>
                </c:pt>
                <c:pt idx="4449">
                  <c:v>1.35</c:v>
                </c:pt>
                <c:pt idx="4450">
                  <c:v>1.3</c:v>
                </c:pt>
                <c:pt idx="4451">
                  <c:v>1.3</c:v>
                </c:pt>
                <c:pt idx="4452">
                  <c:v>1.37</c:v>
                </c:pt>
                <c:pt idx="4453">
                  <c:v>1.43</c:v>
                </c:pt>
                <c:pt idx="4454">
                  <c:v>1.36</c:v>
                </c:pt>
                <c:pt idx="4455">
                  <c:v>1.43</c:v>
                </c:pt>
                <c:pt idx="4456">
                  <c:v>1.39</c:v>
                </c:pt>
                <c:pt idx="4457">
                  <c:v>1.4</c:v>
                </c:pt>
                <c:pt idx="4458">
                  <c:v>1.32</c:v>
                </c:pt>
                <c:pt idx="4459">
                  <c:v>1.22</c:v>
                </c:pt>
                <c:pt idx="4460">
                  <c:v>1.25</c:v>
                </c:pt>
                <c:pt idx="4461">
                  <c:v>1.23</c:v>
                </c:pt>
                <c:pt idx="4462">
                  <c:v>1.17</c:v>
                </c:pt>
                <c:pt idx="4463">
                  <c:v>1.19</c:v>
                </c:pt>
                <c:pt idx="4464">
                  <c:v>1.23</c:v>
                </c:pt>
                <c:pt idx="4465">
                  <c:v>1.17</c:v>
                </c:pt>
                <c:pt idx="4466">
                  <c:v>1.2</c:v>
                </c:pt>
                <c:pt idx="4467">
                  <c:v>1.2</c:v>
                </c:pt>
                <c:pt idx="4468">
                  <c:v>1.21</c:v>
                </c:pt>
                <c:pt idx="4469">
                  <c:v>1.03</c:v>
                </c:pt>
                <c:pt idx="4470">
                  <c:v>0.94</c:v>
                </c:pt>
                <c:pt idx="4471">
                  <c:v>0.96</c:v>
                </c:pt>
                <c:pt idx="4472">
                  <c:v>1.05</c:v>
                </c:pt>
                <c:pt idx="4473">
                  <c:v>0.95</c:v>
                </c:pt>
                <c:pt idx="4474">
                  <c:v>1.07</c:v>
                </c:pt>
                <c:pt idx="4475">
                  <c:v>1.08</c:v>
                </c:pt>
                <c:pt idx="4476">
                  <c:v>1.1100000000000001</c:v>
                </c:pt>
                <c:pt idx="4477">
                  <c:v>1.1399999999999999</c:v>
                </c:pt>
                <c:pt idx="4478">
                  <c:v>1.0900000000000001</c:v>
                </c:pt>
                <c:pt idx="4479">
                  <c:v>1.1200000000000001</c:v>
                </c:pt>
                <c:pt idx="4480">
                  <c:v>1.2</c:v>
                </c:pt>
                <c:pt idx="4481">
                  <c:v>1.25</c:v>
                </c:pt>
                <c:pt idx="4482">
                  <c:v>1.26</c:v>
                </c:pt>
                <c:pt idx="4483">
                  <c:v>1.27</c:v>
                </c:pt>
                <c:pt idx="4484">
                  <c:v>1.3</c:v>
                </c:pt>
                <c:pt idx="4485">
                  <c:v>1.35</c:v>
                </c:pt>
                <c:pt idx="4486">
                  <c:v>1.27</c:v>
                </c:pt>
                <c:pt idx="4487">
                  <c:v>1.3</c:v>
                </c:pt>
                <c:pt idx="4488">
                  <c:v>1.33</c:v>
                </c:pt>
                <c:pt idx="4489">
                  <c:v>1.38</c:v>
                </c:pt>
                <c:pt idx="4490">
                  <c:v>1.42</c:v>
                </c:pt>
                <c:pt idx="4491">
                  <c:v>1.43</c:v>
                </c:pt>
                <c:pt idx="4492">
                  <c:v>1.49</c:v>
                </c:pt>
                <c:pt idx="4493">
                  <c:v>1.48</c:v>
                </c:pt>
                <c:pt idx="4494">
                  <c:v>1.31</c:v>
                </c:pt>
                <c:pt idx="4495">
                  <c:v>1.21</c:v>
                </c:pt>
                <c:pt idx="4496">
                  <c:v>1.26</c:v>
                </c:pt>
                <c:pt idx="4497">
                  <c:v>1.34</c:v>
                </c:pt>
                <c:pt idx="4498">
                  <c:v>1.41</c:v>
                </c:pt>
                <c:pt idx="4499">
                  <c:v>1.44</c:v>
                </c:pt>
                <c:pt idx="4500">
                  <c:v>1.45</c:v>
                </c:pt>
                <c:pt idx="4501">
                  <c:v>1.41</c:v>
                </c:pt>
                <c:pt idx="4502">
                  <c:v>1.42</c:v>
                </c:pt>
                <c:pt idx="4503">
                  <c:v>1.4</c:v>
                </c:pt>
                <c:pt idx="4504">
                  <c:v>1.36</c:v>
                </c:pt>
                <c:pt idx="4505">
                  <c:v>1.52</c:v>
                </c:pt>
                <c:pt idx="4506">
                  <c:v>1.38</c:v>
                </c:pt>
                <c:pt idx="4507">
                  <c:v>1.47</c:v>
                </c:pt>
                <c:pt idx="4508">
                  <c:v>1.33</c:v>
                </c:pt>
                <c:pt idx="4509">
                  <c:v>1.33</c:v>
                </c:pt>
                <c:pt idx="4510">
                  <c:v>1.23</c:v>
                </c:pt>
                <c:pt idx="4511">
                  <c:v>1.1100000000000001</c:v>
                </c:pt>
                <c:pt idx="4512">
                  <c:v>1.0900000000000001</c:v>
                </c:pt>
                <c:pt idx="4513">
                  <c:v>1.06</c:v>
                </c:pt>
                <c:pt idx="4514">
                  <c:v>0.87</c:v>
                </c:pt>
                <c:pt idx="4515">
                  <c:v>0.91</c:v>
                </c:pt>
                <c:pt idx="4516">
                  <c:v>0.8</c:v>
                </c:pt>
                <c:pt idx="4517">
                  <c:v>0.81</c:v>
                </c:pt>
                <c:pt idx="4518">
                  <c:v>0.79</c:v>
                </c:pt>
                <c:pt idx="4519">
                  <c:v>0.84</c:v>
                </c:pt>
                <c:pt idx="4520">
                  <c:v>0.83</c:v>
                </c:pt>
                <c:pt idx="4521">
                  <c:v>0.77</c:v>
                </c:pt>
                <c:pt idx="4522">
                  <c:v>0.73</c:v>
                </c:pt>
                <c:pt idx="4523">
                  <c:v>0.71</c:v>
                </c:pt>
                <c:pt idx="4524">
                  <c:v>0.75</c:v>
                </c:pt>
                <c:pt idx="4525">
                  <c:v>0.76</c:v>
                </c:pt>
                <c:pt idx="4526">
                  <c:v>0.74</c:v>
                </c:pt>
                <c:pt idx="4527">
                  <c:v>0.76</c:v>
                </c:pt>
                <c:pt idx="4528">
                  <c:v>0.75</c:v>
                </c:pt>
                <c:pt idx="4529">
                  <c:v>0.71</c:v>
                </c:pt>
                <c:pt idx="4530">
                  <c:v>0.75</c:v>
                </c:pt>
                <c:pt idx="4531">
                  <c:v>0.77</c:v>
                </c:pt>
                <c:pt idx="4532">
                  <c:v>0.76</c:v>
                </c:pt>
                <c:pt idx="4533">
                  <c:v>0.78</c:v>
                </c:pt>
                <c:pt idx="4534">
                  <c:v>0.83</c:v>
                </c:pt>
                <c:pt idx="4535">
                  <c:v>0.83</c:v>
                </c:pt>
                <c:pt idx="4536">
                  <c:v>0.81</c:v>
                </c:pt>
                <c:pt idx="4537">
                  <c:v>0.84</c:v>
                </c:pt>
                <c:pt idx="4538">
                  <c:v>0.89</c:v>
                </c:pt>
                <c:pt idx="4539">
                  <c:v>0.85</c:v>
                </c:pt>
                <c:pt idx="4540">
                  <c:v>0.89</c:v>
                </c:pt>
                <c:pt idx="4541">
                  <c:v>0.82</c:v>
                </c:pt>
                <c:pt idx="4542">
                  <c:v>0.83</c:v>
                </c:pt>
                <c:pt idx="4543">
                  <c:v>0.79</c:v>
                </c:pt>
                <c:pt idx="4544">
                  <c:v>0.8</c:v>
                </c:pt>
                <c:pt idx="4545">
                  <c:v>0.77</c:v>
                </c:pt>
                <c:pt idx="4546">
                  <c:v>0.79</c:v>
                </c:pt>
                <c:pt idx="4547">
                  <c:v>0.8</c:v>
                </c:pt>
                <c:pt idx="4548">
                  <c:v>0.73</c:v>
                </c:pt>
                <c:pt idx="4549">
                  <c:v>0.72</c:v>
                </c:pt>
                <c:pt idx="4550">
                  <c:v>0.74</c:v>
                </c:pt>
                <c:pt idx="4551">
                  <c:v>0.74</c:v>
                </c:pt>
                <c:pt idx="4552">
                  <c:v>0.76</c:v>
                </c:pt>
                <c:pt idx="4553">
                  <c:v>0.77</c:v>
                </c:pt>
                <c:pt idx="4554">
                  <c:v>0.76</c:v>
                </c:pt>
                <c:pt idx="4555">
                  <c:v>0.79</c:v>
                </c:pt>
                <c:pt idx="4556">
                  <c:v>0.82</c:v>
                </c:pt>
                <c:pt idx="4557">
                  <c:v>0.84</c:v>
                </c:pt>
                <c:pt idx="4558">
                  <c:v>0.81</c:v>
                </c:pt>
                <c:pt idx="4559">
                  <c:v>0.76</c:v>
                </c:pt>
                <c:pt idx="4560">
                  <c:v>0.75</c:v>
                </c:pt>
                <c:pt idx="4561">
                  <c:v>0.76</c:v>
                </c:pt>
                <c:pt idx="4562">
                  <c:v>0.79</c:v>
                </c:pt>
                <c:pt idx="4563">
                  <c:v>0.81</c:v>
                </c:pt>
                <c:pt idx="4564">
                  <c:v>0.82</c:v>
                </c:pt>
                <c:pt idx="4565">
                  <c:v>0.84</c:v>
                </c:pt>
                <c:pt idx="4566">
                  <c:v>0.85</c:v>
                </c:pt>
                <c:pt idx="4567">
                  <c:v>0.86</c:v>
                </c:pt>
                <c:pt idx="4568">
                  <c:v>0.85</c:v>
                </c:pt>
                <c:pt idx="4569">
                  <c:v>0.87</c:v>
                </c:pt>
                <c:pt idx="4570">
                  <c:v>0.88</c:v>
                </c:pt>
                <c:pt idx="4571">
                  <c:v>0.89</c:v>
                </c:pt>
                <c:pt idx="4572">
                  <c:v>0.91</c:v>
                </c:pt>
                <c:pt idx="4573">
                  <c:v>0.92</c:v>
                </c:pt>
                <c:pt idx="4574">
                  <c:v>0.92</c:v>
                </c:pt>
                <c:pt idx="4575">
                  <c:v>0.88</c:v>
                </c:pt>
                <c:pt idx="4576">
                  <c:v>0.9</c:v>
                </c:pt>
                <c:pt idx="4577">
                  <c:v>0.9</c:v>
                </c:pt>
                <c:pt idx="4578">
                  <c:v>0.86</c:v>
                </c:pt>
                <c:pt idx="4579">
                  <c:v>0.85</c:v>
                </c:pt>
                <c:pt idx="4580">
                  <c:v>0.94</c:v>
                </c:pt>
                <c:pt idx="4581">
                  <c:v>0.87</c:v>
                </c:pt>
                <c:pt idx="4582">
                  <c:v>0.93</c:v>
                </c:pt>
                <c:pt idx="4583">
                  <c:v>0.92</c:v>
                </c:pt>
                <c:pt idx="4584">
                  <c:v>0.94</c:v>
                </c:pt>
                <c:pt idx="4585">
                  <c:v>0.91</c:v>
                </c:pt>
                <c:pt idx="4586">
                  <c:v>0.82</c:v>
                </c:pt>
                <c:pt idx="4587">
                  <c:v>0.89</c:v>
                </c:pt>
                <c:pt idx="4588">
                  <c:v>0.91</c:v>
                </c:pt>
                <c:pt idx="4589">
                  <c:v>0.91</c:v>
                </c:pt>
                <c:pt idx="4590">
                  <c:v>0.91</c:v>
                </c:pt>
                <c:pt idx="4591">
                  <c:v>0.95</c:v>
                </c:pt>
                <c:pt idx="4592">
                  <c:v>0.99</c:v>
                </c:pt>
                <c:pt idx="4593">
                  <c:v>1</c:v>
                </c:pt>
                <c:pt idx="4594">
                  <c:v>0.9</c:v>
                </c:pt>
                <c:pt idx="4595">
                  <c:v>0.86</c:v>
                </c:pt>
                <c:pt idx="4596">
                  <c:v>0.9</c:v>
                </c:pt>
                <c:pt idx="4597">
                  <c:v>0.86</c:v>
                </c:pt>
                <c:pt idx="4598">
                  <c:v>0.86</c:v>
                </c:pt>
                <c:pt idx="4599">
                  <c:v>0.81</c:v>
                </c:pt>
                <c:pt idx="4600">
                  <c:v>0.79</c:v>
                </c:pt>
                <c:pt idx="4601">
                  <c:v>0.77</c:v>
                </c:pt>
                <c:pt idx="4602">
                  <c:v>0.78</c:v>
                </c:pt>
                <c:pt idx="4603">
                  <c:v>0.77</c:v>
                </c:pt>
                <c:pt idx="4604">
                  <c:v>0.77</c:v>
                </c:pt>
                <c:pt idx="4605">
                  <c:v>0.79</c:v>
                </c:pt>
                <c:pt idx="4606">
                  <c:v>0.79</c:v>
                </c:pt>
                <c:pt idx="4607">
                  <c:v>0.82</c:v>
                </c:pt>
                <c:pt idx="4608">
                  <c:v>0.82</c:v>
                </c:pt>
                <c:pt idx="4609">
                  <c:v>0.88</c:v>
                </c:pt>
                <c:pt idx="4610">
                  <c:v>0.84</c:v>
                </c:pt>
                <c:pt idx="4611">
                  <c:v>0.82</c:v>
                </c:pt>
                <c:pt idx="4612">
                  <c:v>0.82</c:v>
                </c:pt>
                <c:pt idx="4613">
                  <c:v>0.83</c:v>
                </c:pt>
                <c:pt idx="4614">
                  <c:v>0.78</c:v>
                </c:pt>
                <c:pt idx="4615">
                  <c:v>0.8</c:v>
                </c:pt>
                <c:pt idx="4616">
                  <c:v>0.82</c:v>
                </c:pt>
                <c:pt idx="4617">
                  <c:v>0.81</c:v>
                </c:pt>
                <c:pt idx="4618">
                  <c:v>0.83</c:v>
                </c:pt>
                <c:pt idx="4619">
                  <c:v>0.85</c:v>
                </c:pt>
                <c:pt idx="4620">
                  <c:v>0.83</c:v>
                </c:pt>
                <c:pt idx="4621">
                  <c:v>0.72</c:v>
                </c:pt>
                <c:pt idx="4622">
                  <c:v>0.74</c:v>
                </c:pt>
                <c:pt idx="4623">
                  <c:v>0.77</c:v>
                </c:pt>
                <c:pt idx="4624">
                  <c:v>0.75</c:v>
                </c:pt>
                <c:pt idx="4625">
                  <c:v>0.76</c:v>
                </c:pt>
                <c:pt idx="4626">
                  <c:v>0.79</c:v>
                </c:pt>
                <c:pt idx="4627">
                  <c:v>0.79</c:v>
                </c:pt>
                <c:pt idx="4628">
                  <c:v>0.79</c:v>
                </c:pt>
                <c:pt idx="4629">
                  <c:v>0.75</c:v>
                </c:pt>
                <c:pt idx="4630">
                  <c:v>0.71</c:v>
                </c:pt>
                <c:pt idx="4631">
                  <c:v>0.67</c:v>
                </c:pt>
                <c:pt idx="4632">
                  <c:v>0.69</c:v>
                </c:pt>
                <c:pt idx="4633">
                  <c:v>0.68</c:v>
                </c:pt>
                <c:pt idx="4634">
                  <c:v>0.66</c:v>
                </c:pt>
                <c:pt idx="4635">
                  <c:v>0.68</c:v>
                </c:pt>
                <c:pt idx="4636">
                  <c:v>0.75</c:v>
                </c:pt>
                <c:pt idx="4637">
                  <c:v>0.79</c:v>
                </c:pt>
                <c:pt idx="4638">
                  <c:v>0.8</c:v>
                </c:pt>
                <c:pt idx="4639">
                  <c:v>0.8</c:v>
                </c:pt>
                <c:pt idx="4640">
                  <c:v>0.75</c:v>
                </c:pt>
                <c:pt idx="4641">
                  <c:v>0.74</c:v>
                </c:pt>
                <c:pt idx="4642">
                  <c:v>0.73</c:v>
                </c:pt>
                <c:pt idx="4643">
                  <c:v>0.72</c:v>
                </c:pt>
                <c:pt idx="4644">
                  <c:v>0.68</c:v>
                </c:pt>
                <c:pt idx="4645">
                  <c:v>0.77</c:v>
                </c:pt>
                <c:pt idx="4646">
                  <c:v>0.83</c:v>
                </c:pt>
                <c:pt idx="4647">
                  <c:v>0.83</c:v>
                </c:pt>
                <c:pt idx="4648">
                  <c:v>0.88</c:v>
                </c:pt>
                <c:pt idx="4649">
                  <c:v>0.89</c:v>
                </c:pt>
                <c:pt idx="4650">
                  <c:v>0.91</c:v>
                </c:pt>
                <c:pt idx="4651">
                  <c:v>0.88</c:v>
                </c:pt>
                <c:pt idx="4652">
                  <c:v>0.76</c:v>
                </c:pt>
                <c:pt idx="4653">
                  <c:v>0.88</c:v>
                </c:pt>
                <c:pt idx="4654">
                  <c:v>0.91</c:v>
                </c:pt>
                <c:pt idx="4655">
                  <c:v>0.91</c:v>
                </c:pt>
                <c:pt idx="4656">
                  <c:v>0.93</c:v>
                </c:pt>
                <c:pt idx="4657">
                  <c:v>0.91</c:v>
                </c:pt>
                <c:pt idx="4658">
                  <c:v>0.86</c:v>
                </c:pt>
                <c:pt idx="4659">
                  <c:v>0.85</c:v>
                </c:pt>
                <c:pt idx="4660">
                  <c:v>0.96</c:v>
                </c:pt>
                <c:pt idx="4661">
                  <c:v>1.03</c:v>
                </c:pt>
                <c:pt idx="4662">
                  <c:v>1.06</c:v>
                </c:pt>
                <c:pt idx="4663">
                  <c:v>1.08</c:v>
                </c:pt>
                <c:pt idx="4664">
                  <c:v>1.06</c:v>
                </c:pt>
                <c:pt idx="4665">
                  <c:v>1.1000000000000001</c:v>
                </c:pt>
                <c:pt idx="4666">
                  <c:v>1.1200000000000001</c:v>
                </c:pt>
                <c:pt idx="4667">
                  <c:v>1.1599999999999999</c:v>
                </c:pt>
                <c:pt idx="4668">
                  <c:v>1.1299999999999999</c:v>
                </c:pt>
                <c:pt idx="4669">
                  <c:v>1.1299999999999999</c:v>
                </c:pt>
                <c:pt idx="4670">
                  <c:v>1.1399999999999999</c:v>
                </c:pt>
                <c:pt idx="4671">
                  <c:v>1.17</c:v>
                </c:pt>
                <c:pt idx="4672">
                  <c:v>1.18</c:v>
                </c:pt>
                <c:pt idx="4673">
                  <c:v>1.1499999999999999</c:v>
                </c:pt>
                <c:pt idx="4674">
                  <c:v>1.21</c:v>
                </c:pt>
                <c:pt idx="4675">
                  <c:v>1.23</c:v>
                </c:pt>
                <c:pt idx="4676">
                  <c:v>1.23</c:v>
                </c:pt>
                <c:pt idx="4677">
                  <c:v>1.1499999999999999</c:v>
                </c:pt>
                <c:pt idx="4678">
                  <c:v>1.17</c:v>
                </c:pt>
                <c:pt idx="4679">
                  <c:v>1.21</c:v>
                </c:pt>
                <c:pt idx="4680">
                  <c:v>1.25</c:v>
                </c:pt>
                <c:pt idx="4681">
                  <c:v>1.26</c:v>
                </c:pt>
                <c:pt idx="4682">
                  <c:v>1.26</c:v>
                </c:pt>
                <c:pt idx="4683">
                  <c:v>1.23</c:v>
                </c:pt>
                <c:pt idx="4684">
                  <c:v>1.26</c:v>
                </c:pt>
                <c:pt idx="4685">
                  <c:v>1.3</c:v>
                </c:pt>
                <c:pt idx="4686">
                  <c:v>1.28</c:v>
                </c:pt>
                <c:pt idx="4687">
                  <c:v>1.26</c:v>
                </c:pt>
                <c:pt idx="4688">
                  <c:v>1.27</c:v>
                </c:pt>
                <c:pt idx="4689">
                  <c:v>1.26</c:v>
                </c:pt>
                <c:pt idx="4690">
                  <c:v>1.33</c:v>
                </c:pt>
                <c:pt idx="4691">
                  <c:v>1.37</c:v>
                </c:pt>
                <c:pt idx="4692">
                  <c:v>1.32</c:v>
                </c:pt>
                <c:pt idx="4693">
                  <c:v>1.24</c:v>
                </c:pt>
                <c:pt idx="4694">
                  <c:v>1.29</c:v>
                </c:pt>
                <c:pt idx="4695">
                  <c:v>1.32</c:v>
                </c:pt>
                <c:pt idx="4696">
                  <c:v>1.3</c:v>
                </c:pt>
                <c:pt idx="4697">
                  <c:v>1.21</c:v>
                </c:pt>
                <c:pt idx="4698">
                  <c:v>1.17</c:v>
                </c:pt>
                <c:pt idx="4699">
                  <c:v>1.18</c:v>
                </c:pt>
                <c:pt idx="4700">
                  <c:v>1.2</c:v>
                </c:pt>
                <c:pt idx="4701">
                  <c:v>1.22</c:v>
                </c:pt>
                <c:pt idx="4702">
                  <c:v>1.1200000000000001</c:v>
                </c:pt>
                <c:pt idx="4703">
                  <c:v>1.2</c:v>
                </c:pt>
                <c:pt idx="4704">
                  <c:v>1.34</c:v>
                </c:pt>
                <c:pt idx="4705">
                  <c:v>1.38</c:v>
                </c:pt>
              </c:numCache>
            </c:numRef>
          </c:val>
          <c:smooth val="0"/>
          <c:extLst>
            <c:ext xmlns:c16="http://schemas.microsoft.com/office/drawing/2014/chart" uri="{C3380CC4-5D6E-409C-BE32-E72D297353CC}">
              <c16:uniqueId val="{00000000-356E-4C75-A085-881BF945B16A}"/>
            </c:ext>
          </c:extLst>
        </c:ser>
        <c:dLbls>
          <c:showLegendKey val="0"/>
          <c:showVal val="0"/>
          <c:showCatName val="0"/>
          <c:showSerName val="0"/>
          <c:showPercent val="0"/>
          <c:showBubbleSize val="0"/>
        </c:dLbls>
        <c:smooth val="0"/>
        <c:axId val="902520128"/>
        <c:axId val="902515088"/>
      </c:lineChart>
      <c:dateAx>
        <c:axId val="902520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515088"/>
        <c:crosses val="autoZero"/>
        <c:auto val="1"/>
        <c:lblOffset val="100"/>
        <c:baseTimeUnit val="days"/>
      </c:dateAx>
      <c:valAx>
        <c:axId val="9025150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520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Standard Normal Curve</a:t>
            </a:r>
          </a:p>
        </c:rich>
      </c:tx>
      <c:overlay val="0"/>
    </c:title>
    <c:autoTitleDeleted val="0"/>
    <c:plotArea>
      <c:layout/>
      <c:areaChart>
        <c:grouping val="standard"/>
        <c:varyColors val="0"/>
        <c:ser>
          <c:idx val="1"/>
          <c:order val="0"/>
          <c:tx>
            <c:strRef>
              <c:f>'Example of Inferential Stats'!$C$102</c:f>
              <c:strCache>
                <c:ptCount val="1"/>
                <c:pt idx="0">
                  <c:v>P(Exactly x)</c:v>
                </c:pt>
              </c:strCache>
            </c:strRef>
          </c:tx>
          <c:cat>
            <c:numRef>
              <c:f>'Example of Inferential Stats'!$B$103:$B$602</c:f>
              <c:numCache>
                <c:formatCode>0.00</c:formatCode>
                <c:ptCount val="500"/>
                <c:pt idx="0">
                  <c:v>8</c:v>
                </c:pt>
                <c:pt idx="1">
                  <c:v>8.01</c:v>
                </c:pt>
                <c:pt idx="2">
                  <c:v>8.02</c:v>
                </c:pt>
                <c:pt idx="3">
                  <c:v>8.0299999999999994</c:v>
                </c:pt>
                <c:pt idx="4">
                  <c:v>8.0399999999999991</c:v>
                </c:pt>
                <c:pt idx="5">
                  <c:v>8.0499999999999989</c:v>
                </c:pt>
                <c:pt idx="6">
                  <c:v>8.0599999999999987</c:v>
                </c:pt>
                <c:pt idx="7">
                  <c:v>8.0699999999999985</c:v>
                </c:pt>
                <c:pt idx="8">
                  <c:v>8.0799999999999983</c:v>
                </c:pt>
                <c:pt idx="9">
                  <c:v>8.0899999999999981</c:v>
                </c:pt>
                <c:pt idx="10">
                  <c:v>8.0999999999999979</c:v>
                </c:pt>
                <c:pt idx="11">
                  <c:v>8.1099999999999977</c:v>
                </c:pt>
                <c:pt idx="12">
                  <c:v>8.1199999999999974</c:v>
                </c:pt>
                <c:pt idx="13">
                  <c:v>8.1299999999999972</c:v>
                </c:pt>
                <c:pt idx="14">
                  <c:v>8.139999999999997</c:v>
                </c:pt>
                <c:pt idx="15">
                  <c:v>8.1499999999999968</c:v>
                </c:pt>
                <c:pt idx="16">
                  <c:v>8.1599999999999966</c:v>
                </c:pt>
                <c:pt idx="17">
                  <c:v>8.1699999999999964</c:v>
                </c:pt>
                <c:pt idx="18">
                  <c:v>8.1799999999999962</c:v>
                </c:pt>
                <c:pt idx="19">
                  <c:v>8.1899999999999959</c:v>
                </c:pt>
                <c:pt idx="20">
                  <c:v>8.1999999999999957</c:v>
                </c:pt>
                <c:pt idx="21">
                  <c:v>8.2099999999999955</c:v>
                </c:pt>
                <c:pt idx="22">
                  <c:v>8.2199999999999953</c:v>
                </c:pt>
                <c:pt idx="23">
                  <c:v>8.2299999999999951</c:v>
                </c:pt>
                <c:pt idx="24">
                  <c:v>8.2399999999999949</c:v>
                </c:pt>
                <c:pt idx="25">
                  <c:v>8.2499999999999947</c:v>
                </c:pt>
                <c:pt idx="26">
                  <c:v>8.2599999999999945</c:v>
                </c:pt>
                <c:pt idx="27">
                  <c:v>8.2699999999999942</c:v>
                </c:pt>
                <c:pt idx="28">
                  <c:v>8.279999999999994</c:v>
                </c:pt>
                <c:pt idx="29">
                  <c:v>8.2899999999999938</c:v>
                </c:pt>
                <c:pt idx="30">
                  <c:v>8.2999999999999936</c:v>
                </c:pt>
                <c:pt idx="31">
                  <c:v>8.3099999999999934</c:v>
                </c:pt>
                <c:pt idx="32">
                  <c:v>8.3199999999999932</c:v>
                </c:pt>
                <c:pt idx="33">
                  <c:v>8.329999999999993</c:v>
                </c:pt>
                <c:pt idx="34">
                  <c:v>8.3399999999999928</c:v>
                </c:pt>
                <c:pt idx="35">
                  <c:v>8.3499999999999925</c:v>
                </c:pt>
                <c:pt idx="36">
                  <c:v>8.3599999999999923</c:v>
                </c:pt>
                <c:pt idx="37">
                  <c:v>8.3699999999999921</c:v>
                </c:pt>
                <c:pt idx="38">
                  <c:v>8.3799999999999919</c:v>
                </c:pt>
                <c:pt idx="39">
                  <c:v>8.3899999999999917</c:v>
                </c:pt>
                <c:pt idx="40">
                  <c:v>8.3999999999999915</c:v>
                </c:pt>
                <c:pt idx="41">
                  <c:v>8.4099999999999913</c:v>
                </c:pt>
                <c:pt idx="42">
                  <c:v>8.419999999999991</c:v>
                </c:pt>
                <c:pt idx="43">
                  <c:v>8.4299999999999908</c:v>
                </c:pt>
                <c:pt idx="44">
                  <c:v>8.4399999999999906</c:v>
                </c:pt>
                <c:pt idx="45">
                  <c:v>8.4499999999999904</c:v>
                </c:pt>
                <c:pt idx="46">
                  <c:v>8.4599999999999902</c:v>
                </c:pt>
                <c:pt idx="47">
                  <c:v>8.46999999999999</c:v>
                </c:pt>
                <c:pt idx="48">
                  <c:v>8.4799999999999898</c:v>
                </c:pt>
                <c:pt idx="49">
                  <c:v>8.4899999999999896</c:v>
                </c:pt>
                <c:pt idx="50">
                  <c:v>8.4999999999999893</c:v>
                </c:pt>
                <c:pt idx="51">
                  <c:v>8.5099999999999891</c:v>
                </c:pt>
                <c:pt idx="52">
                  <c:v>8.5199999999999889</c:v>
                </c:pt>
                <c:pt idx="53">
                  <c:v>8.5299999999999887</c:v>
                </c:pt>
                <c:pt idx="54">
                  <c:v>8.5399999999999885</c:v>
                </c:pt>
                <c:pt idx="55">
                  <c:v>8.5499999999999883</c:v>
                </c:pt>
                <c:pt idx="56">
                  <c:v>8.5599999999999881</c:v>
                </c:pt>
                <c:pt idx="57">
                  <c:v>8.5699999999999878</c:v>
                </c:pt>
                <c:pt idx="58">
                  <c:v>8.5799999999999876</c:v>
                </c:pt>
                <c:pt idx="59">
                  <c:v>8.5899999999999874</c:v>
                </c:pt>
                <c:pt idx="60">
                  <c:v>8.5999999999999872</c:v>
                </c:pt>
                <c:pt idx="61">
                  <c:v>8.609999999999987</c:v>
                </c:pt>
                <c:pt idx="62">
                  <c:v>8.6199999999999868</c:v>
                </c:pt>
                <c:pt idx="63">
                  <c:v>8.6299999999999866</c:v>
                </c:pt>
                <c:pt idx="64">
                  <c:v>8.6399999999999864</c:v>
                </c:pt>
                <c:pt idx="65">
                  <c:v>8.6499999999999861</c:v>
                </c:pt>
                <c:pt idx="66">
                  <c:v>8.6599999999999859</c:v>
                </c:pt>
                <c:pt idx="67">
                  <c:v>8.6699999999999857</c:v>
                </c:pt>
                <c:pt idx="68">
                  <c:v>8.6799999999999855</c:v>
                </c:pt>
                <c:pt idx="69">
                  <c:v>8.6899999999999853</c:v>
                </c:pt>
                <c:pt idx="70">
                  <c:v>8.6999999999999851</c:v>
                </c:pt>
                <c:pt idx="71">
                  <c:v>8.7099999999999849</c:v>
                </c:pt>
                <c:pt idx="72">
                  <c:v>8.7199999999999847</c:v>
                </c:pt>
                <c:pt idx="73">
                  <c:v>8.7299999999999844</c:v>
                </c:pt>
                <c:pt idx="74">
                  <c:v>8.7399999999999842</c:v>
                </c:pt>
                <c:pt idx="75">
                  <c:v>8.749999999999984</c:v>
                </c:pt>
                <c:pt idx="76">
                  <c:v>8.7599999999999838</c:v>
                </c:pt>
                <c:pt idx="77">
                  <c:v>8.7699999999999836</c:v>
                </c:pt>
                <c:pt idx="78">
                  <c:v>8.7799999999999834</c:v>
                </c:pt>
                <c:pt idx="79">
                  <c:v>8.7899999999999832</c:v>
                </c:pt>
                <c:pt idx="80">
                  <c:v>8.7999999999999829</c:v>
                </c:pt>
                <c:pt idx="81">
                  <c:v>8.8099999999999827</c:v>
                </c:pt>
                <c:pt idx="82">
                  <c:v>8.8199999999999825</c:v>
                </c:pt>
                <c:pt idx="83">
                  <c:v>8.8299999999999823</c:v>
                </c:pt>
                <c:pt idx="84">
                  <c:v>8.8399999999999821</c:v>
                </c:pt>
                <c:pt idx="85">
                  <c:v>8.8499999999999819</c:v>
                </c:pt>
                <c:pt idx="86">
                  <c:v>8.8599999999999817</c:v>
                </c:pt>
                <c:pt idx="87">
                  <c:v>8.8699999999999815</c:v>
                </c:pt>
                <c:pt idx="88">
                  <c:v>8.8799999999999812</c:v>
                </c:pt>
                <c:pt idx="89">
                  <c:v>8.889999999999981</c:v>
                </c:pt>
                <c:pt idx="90">
                  <c:v>8.8999999999999808</c:v>
                </c:pt>
                <c:pt idx="91">
                  <c:v>8.9099999999999806</c:v>
                </c:pt>
                <c:pt idx="92">
                  <c:v>8.9199999999999804</c:v>
                </c:pt>
                <c:pt idx="93">
                  <c:v>8.9299999999999802</c:v>
                </c:pt>
                <c:pt idx="94">
                  <c:v>8.93999999999998</c:v>
                </c:pt>
                <c:pt idx="95">
                  <c:v>8.9499999999999797</c:v>
                </c:pt>
                <c:pt idx="96">
                  <c:v>8.9599999999999795</c:v>
                </c:pt>
                <c:pt idx="97">
                  <c:v>8.9699999999999793</c:v>
                </c:pt>
                <c:pt idx="98">
                  <c:v>8.9799999999999791</c:v>
                </c:pt>
                <c:pt idx="99">
                  <c:v>8.9899999999999789</c:v>
                </c:pt>
                <c:pt idx="100">
                  <c:v>8.9999999999999787</c:v>
                </c:pt>
                <c:pt idx="101">
                  <c:v>9.0099999999999785</c:v>
                </c:pt>
                <c:pt idx="102">
                  <c:v>9.0199999999999783</c:v>
                </c:pt>
                <c:pt idx="103">
                  <c:v>9.029999999999978</c:v>
                </c:pt>
                <c:pt idx="104">
                  <c:v>9.0399999999999778</c:v>
                </c:pt>
                <c:pt idx="105">
                  <c:v>9.0499999999999776</c:v>
                </c:pt>
                <c:pt idx="106">
                  <c:v>9.0599999999999774</c:v>
                </c:pt>
                <c:pt idx="107">
                  <c:v>9.0699999999999772</c:v>
                </c:pt>
                <c:pt idx="108">
                  <c:v>9.079999999999977</c:v>
                </c:pt>
                <c:pt idx="109">
                  <c:v>9.0899999999999768</c:v>
                </c:pt>
                <c:pt idx="110">
                  <c:v>9.0999999999999766</c:v>
                </c:pt>
                <c:pt idx="111">
                  <c:v>9.1099999999999763</c:v>
                </c:pt>
                <c:pt idx="112">
                  <c:v>9.1199999999999761</c:v>
                </c:pt>
                <c:pt idx="113">
                  <c:v>9.1299999999999759</c:v>
                </c:pt>
                <c:pt idx="114">
                  <c:v>9.1399999999999757</c:v>
                </c:pt>
                <c:pt idx="115">
                  <c:v>9.1499999999999755</c:v>
                </c:pt>
                <c:pt idx="116">
                  <c:v>9.1599999999999753</c:v>
                </c:pt>
                <c:pt idx="117">
                  <c:v>9.1699999999999751</c:v>
                </c:pt>
                <c:pt idx="118">
                  <c:v>9.1799999999999748</c:v>
                </c:pt>
                <c:pt idx="119">
                  <c:v>9.1899999999999746</c:v>
                </c:pt>
                <c:pt idx="120">
                  <c:v>9.1999999999999744</c:v>
                </c:pt>
                <c:pt idx="121">
                  <c:v>9.2099999999999742</c:v>
                </c:pt>
                <c:pt idx="122">
                  <c:v>9.219999999999974</c:v>
                </c:pt>
                <c:pt idx="123">
                  <c:v>9.2299999999999738</c:v>
                </c:pt>
                <c:pt idx="124">
                  <c:v>9.2399999999999736</c:v>
                </c:pt>
                <c:pt idx="125">
                  <c:v>9.2499999999999734</c:v>
                </c:pt>
                <c:pt idx="126">
                  <c:v>9.2599999999999731</c:v>
                </c:pt>
                <c:pt idx="127">
                  <c:v>9.2699999999999729</c:v>
                </c:pt>
                <c:pt idx="128">
                  <c:v>9.2799999999999727</c:v>
                </c:pt>
                <c:pt idx="129">
                  <c:v>9.2899999999999725</c:v>
                </c:pt>
                <c:pt idx="130">
                  <c:v>9.2999999999999723</c:v>
                </c:pt>
                <c:pt idx="131">
                  <c:v>9.3099999999999721</c:v>
                </c:pt>
                <c:pt idx="132">
                  <c:v>9.3199999999999719</c:v>
                </c:pt>
                <c:pt idx="133">
                  <c:v>9.3299999999999716</c:v>
                </c:pt>
                <c:pt idx="134">
                  <c:v>9.3399999999999714</c:v>
                </c:pt>
                <c:pt idx="135">
                  <c:v>9.3499999999999712</c:v>
                </c:pt>
                <c:pt idx="136">
                  <c:v>9.359999999999971</c:v>
                </c:pt>
                <c:pt idx="137">
                  <c:v>9.3699999999999708</c:v>
                </c:pt>
                <c:pt idx="138">
                  <c:v>9.3799999999999706</c:v>
                </c:pt>
                <c:pt idx="139">
                  <c:v>9.3899999999999704</c:v>
                </c:pt>
                <c:pt idx="140">
                  <c:v>9.3999999999999702</c:v>
                </c:pt>
                <c:pt idx="141">
                  <c:v>9.4099999999999699</c:v>
                </c:pt>
                <c:pt idx="142">
                  <c:v>9.4199999999999697</c:v>
                </c:pt>
                <c:pt idx="143">
                  <c:v>9.4299999999999695</c:v>
                </c:pt>
                <c:pt idx="144">
                  <c:v>9.4399999999999693</c:v>
                </c:pt>
                <c:pt idx="145">
                  <c:v>9.4499999999999691</c:v>
                </c:pt>
                <c:pt idx="146">
                  <c:v>9.4599999999999689</c:v>
                </c:pt>
                <c:pt idx="147">
                  <c:v>9.4699999999999687</c:v>
                </c:pt>
                <c:pt idx="148">
                  <c:v>9.4799999999999685</c:v>
                </c:pt>
                <c:pt idx="149">
                  <c:v>9.4899999999999682</c:v>
                </c:pt>
                <c:pt idx="150">
                  <c:v>9.499999999999968</c:v>
                </c:pt>
                <c:pt idx="151">
                  <c:v>9.5099999999999678</c:v>
                </c:pt>
                <c:pt idx="152">
                  <c:v>9.5199999999999676</c:v>
                </c:pt>
                <c:pt idx="153">
                  <c:v>9.5299999999999674</c:v>
                </c:pt>
                <c:pt idx="154">
                  <c:v>9.5399999999999672</c:v>
                </c:pt>
                <c:pt idx="155">
                  <c:v>9.549999999999967</c:v>
                </c:pt>
                <c:pt idx="156">
                  <c:v>9.5599999999999667</c:v>
                </c:pt>
                <c:pt idx="157">
                  <c:v>9.5699999999999665</c:v>
                </c:pt>
                <c:pt idx="158">
                  <c:v>9.5799999999999663</c:v>
                </c:pt>
                <c:pt idx="159">
                  <c:v>9.5899999999999661</c:v>
                </c:pt>
                <c:pt idx="160">
                  <c:v>9.5999999999999659</c:v>
                </c:pt>
                <c:pt idx="161">
                  <c:v>9.6099999999999657</c:v>
                </c:pt>
                <c:pt idx="162">
                  <c:v>9.6199999999999655</c:v>
                </c:pt>
                <c:pt idx="163">
                  <c:v>9.6299999999999653</c:v>
                </c:pt>
                <c:pt idx="164">
                  <c:v>9.639999999999965</c:v>
                </c:pt>
                <c:pt idx="165">
                  <c:v>9.6499999999999648</c:v>
                </c:pt>
                <c:pt idx="166">
                  <c:v>9.6599999999999646</c:v>
                </c:pt>
                <c:pt idx="167">
                  <c:v>9.6699999999999644</c:v>
                </c:pt>
                <c:pt idx="168">
                  <c:v>9.6799999999999642</c:v>
                </c:pt>
                <c:pt idx="169">
                  <c:v>9.689999999999964</c:v>
                </c:pt>
                <c:pt idx="170">
                  <c:v>9.6999999999999638</c:v>
                </c:pt>
                <c:pt idx="171">
                  <c:v>9.7099999999999635</c:v>
                </c:pt>
                <c:pt idx="172">
                  <c:v>9.7199999999999633</c:v>
                </c:pt>
                <c:pt idx="173">
                  <c:v>9.7299999999999631</c:v>
                </c:pt>
                <c:pt idx="174">
                  <c:v>9.7399999999999629</c:v>
                </c:pt>
                <c:pt idx="175">
                  <c:v>9.7499999999999627</c:v>
                </c:pt>
                <c:pt idx="176">
                  <c:v>9.7599999999999625</c:v>
                </c:pt>
                <c:pt idx="177">
                  <c:v>9.7699999999999623</c:v>
                </c:pt>
                <c:pt idx="178">
                  <c:v>9.7799999999999621</c:v>
                </c:pt>
                <c:pt idx="179">
                  <c:v>9.7899999999999618</c:v>
                </c:pt>
                <c:pt idx="180">
                  <c:v>9.7999999999999616</c:v>
                </c:pt>
                <c:pt idx="181">
                  <c:v>9.8099999999999614</c:v>
                </c:pt>
                <c:pt idx="182">
                  <c:v>9.8199999999999612</c:v>
                </c:pt>
                <c:pt idx="183">
                  <c:v>9.829999999999961</c:v>
                </c:pt>
                <c:pt idx="184">
                  <c:v>9.8399999999999608</c:v>
                </c:pt>
                <c:pt idx="185">
                  <c:v>9.8499999999999606</c:v>
                </c:pt>
                <c:pt idx="186">
                  <c:v>9.8599999999999604</c:v>
                </c:pt>
                <c:pt idx="187">
                  <c:v>9.8699999999999601</c:v>
                </c:pt>
                <c:pt idx="188">
                  <c:v>9.8799999999999599</c:v>
                </c:pt>
                <c:pt idx="189">
                  <c:v>9.8899999999999597</c:v>
                </c:pt>
                <c:pt idx="190">
                  <c:v>9.8999999999999595</c:v>
                </c:pt>
                <c:pt idx="191">
                  <c:v>9.9099999999999593</c:v>
                </c:pt>
                <c:pt idx="192">
                  <c:v>9.9199999999999591</c:v>
                </c:pt>
                <c:pt idx="193">
                  <c:v>9.9299999999999589</c:v>
                </c:pt>
                <c:pt idx="194">
                  <c:v>9.9399999999999586</c:v>
                </c:pt>
                <c:pt idx="195">
                  <c:v>9.9499999999999584</c:v>
                </c:pt>
                <c:pt idx="196">
                  <c:v>9.9599999999999582</c:v>
                </c:pt>
                <c:pt idx="197">
                  <c:v>9.969999999999958</c:v>
                </c:pt>
                <c:pt idx="198">
                  <c:v>9.9799999999999578</c:v>
                </c:pt>
                <c:pt idx="199">
                  <c:v>9.9899999999999576</c:v>
                </c:pt>
                <c:pt idx="200">
                  <c:v>9.9999999999999574</c:v>
                </c:pt>
                <c:pt idx="201">
                  <c:v>10.009999999999957</c:v>
                </c:pt>
                <c:pt idx="202">
                  <c:v>10.019999999999957</c:v>
                </c:pt>
                <c:pt idx="203">
                  <c:v>10.029999999999957</c:v>
                </c:pt>
                <c:pt idx="204">
                  <c:v>10.039999999999957</c:v>
                </c:pt>
                <c:pt idx="205">
                  <c:v>10.049999999999956</c:v>
                </c:pt>
                <c:pt idx="206">
                  <c:v>10.059999999999956</c:v>
                </c:pt>
                <c:pt idx="207">
                  <c:v>10.069999999999956</c:v>
                </c:pt>
                <c:pt idx="208">
                  <c:v>10.079999999999956</c:v>
                </c:pt>
                <c:pt idx="209">
                  <c:v>10.089999999999955</c:v>
                </c:pt>
                <c:pt idx="210">
                  <c:v>10.099999999999955</c:v>
                </c:pt>
                <c:pt idx="211">
                  <c:v>10.109999999999955</c:v>
                </c:pt>
                <c:pt idx="212">
                  <c:v>10.119999999999955</c:v>
                </c:pt>
                <c:pt idx="213">
                  <c:v>10.129999999999955</c:v>
                </c:pt>
                <c:pt idx="214">
                  <c:v>10.139999999999954</c:v>
                </c:pt>
                <c:pt idx="215">
                  <c:v>10.149999999999954</c:v>
                </c:pt>
                <c:pt idx="216">
                  <c:v>10.159999999999954</c:v>
                </c:pt>
                <c:pt idx="217">
                  <c:v>10.169999999999954</c:v>
                </c:pt>
                <c:pt idx="218">
                  <c:v>10.179999999999954</c:v>
                </c:pt>
                <c:pt idx="219">
                  <c:v>10.189999999999953</c:v>
                </c:pt>
                <c:pt idx="220">
                  <c:v>10.199999999999953</c:v>
                </c:pt>
                <c:pt idx="221">
                  <c:v>10.209999999999953</c:v>
                </c:pt>
                <c:pt idx="222">
                  <c:v>10.219999999999953</c:v>
                </c:pt>
                <c:pt idx="223">
                  <c:v>10.229999999999952</c:v>
                </c:pt>
                <c:pt idx="224">
                  <c:v>10.239999999999952</c:v>
                </c:pt>
                <c:pt idx="225">
                  <c:v>10.249999999999952</c:v>
                </c:pt>
                <c:pt idx="226">
                  <c:v>10.259999999999952</c:v>
                </c:pt>
                <c:pt idx="227">
                  <c:v>10.269999999999952</c:v>
                </c:pt>
                <c:pt idx="228">
                  <c:v>10.279999999999951</c:v>
                </c:pt>
                <c:pt idx="229">
                  <c:v>10.289999999999951</c:v>
                </c:pt>
                <c:pt idx="230">
                  <c:v>10.299999999999951</c:v>
                </c:pt>
                <c:pt idx="231">
                  <c:v>10.309999999999951</c:v>
                </c:pt>
                <c:pt idx="232">
                  <c:v>10.319999999999951</c:v>
                </c:pt>
                <c:pt idx="233">
                  <c:v>10.32999999999995</c:v>
                </c:pt>
                <c:pt idx="234">
                  <c:v>10.33999999999995</c:v>
                </c:pt>
                <c:pt idx="235">
                  <c:v>10.34999999999995</c:v>
                </c:pt>
                <c:pt idx="236">
                  <c:v>10.35999999999995</c:v>
                </c:pt>
                <c:pt idx="237">
                  <c:v>10.369999999999949</c:v>
                </c:pt>
                <c:pt idx="238">
                  <c:v>10.379999999999949</c:v>
                </c:pt>
                <c:pt idx="239">
                  <c:v>10.389999999999949</c:v>
                </c:pt>
                <c:pt idx="240">
                  <c:v>10.399999999999949</c:v>
                </c:pt>
                <c:pt idx="241">
                  <c:v>10.409999999999949</c:v>
                </c:pt>
                <c:pt idx="242">
                  <c:v>10.419999999999948</c:v>
                </c:pt>
                <c:pt idx="243">
                  <c:v>10.429999999999948</c:v>
                </c:pt>
                <c:pt idx="244">
                  <c:v>10.439999999999948</c:v>
                </c:pt>
                <c:pt idx="245">
                  <c:v>10.449999999999948</c:v>
                </c:pt>
                <c:pt idx="246">
                  <c:v>10.459999999999948</c:v>
                </c:pt>
                <c:pt idx="247">
                  <c:v>10.469999999999947</c:v>
                </c:pt>
                <c:pt idx="248">
                  <c:v>10.479999999999947</c:v>
                </c:pt>
                <c:pt idx="249">
                  <c:v>10.489999999999947</c:v>
                </c:pt>
                <c:pt idx="250">
                  <c:v>10.499999999999947</c:v>
                </c:pt>
                <c:pt idx="251">
                  <c:v>10.509999999999946</c:v>
                </c:pt>
                <c:pt idx="252">
                  <c:v>10.519999999999946</c:v>
                </c:pt>
                <c:pt idx="253">
                  <c:v>10.529999999999946</c:v>
                </c:pt>
                <c:pt idx="254">
                  <c:v>10.539999999999946</c:v>
                </c:pt>
                <c:pt idx="255">
                  <c:v>10.549999999999946</c:v>
                </c:pt>
                <c:pt idx="256">
                  <c:v>10.559999999999945</c:v>
                </c:pt>
                <c:pt idx="257">
                  <c:v>10.569999999999945</c:v>
                </c:pt>
                <c:pt idx="258">
                  <c:v>10.579999999999945</c:v>
                </c:pt>
                <c:pt idx="259">
                  <c:v>10.589999999999945</c:v>
                </c:pt>
                <c:pt idx="260">
                  <c:v>10.599999999999945</c:v>
                </c:pt>
                <c:pt idx="261">
                  <c:v>10.609999999999944</c:v>
                </c:pt>
                <c:pt idx="262">
                  <c:v>10.619999999999944</c:v>
                </c:pt>
                <c:pt idx="263">
                  <c:v>10.629999999999944</c:v>
                </c:pt>
                <c:pt idx="264">
                  <c:v>10.639999999999944</c:v>
                </c:pt>
                <c:pt idx="265">
                  <c:v>10.649999999999944</c:v>
                </c:pt>
                <c:pt idx="266">
                  <c:v>10.659999999999943</c:v>
                </c:pt>
                <c:pt idx="267">
                  <c:v>10.669999999999943</c:v>
                </c:pt>
                <c:pt idx="268">
                  <c:v>10.679999999999943</c:v>
                </c:pt>
                <c:pt idx="269">
                  <c:v>10.689999999999943</c:v>
                </c:pt>
                <c:pt idx="270">
                  <c:v>10.699999999999942</c:v>
                </c:pt>
                <c:pt idx="271">
                  <c:v>10.709999999999942</c:v>
                </c:pt>
                <c:pt idx="272">
                  <c:v>10.719999999999942</c:v>
                </c:pt>
                <c:pt idx="273">
                  <c:v>10.729999999999942</c:v>
                </c:pt>
                <c:pt idx="274">
                  <c:v>10.739999999999942</c:v>
                </c:pt>
                <c:pt idx="275">
                  <c:v>10.749999999999941</c:v>
                </c:pt>
                <c:pt idx="276">
                  <c:v>10.759999999999941</c:v>
                </c:pt>
                <c:pt idx="277">
                  <c:v>10.769999999999941</c:v>
                </c:pt>
                <c:pt idx="278">
                  <c:v>10.779999999999941</c:v>
                </c:pt>
                <c:pt idx="279">
                  <c:v>10.789999999999941</c:v>
                </c:pt>
                <c:pt idx="280">
                  <c:v>10.79999999999994</c:v>
                </c:pt>
                <c:pt idx="281">
                  <c:v>10.80999999999994</c:v>
                </c:pt>
                <c:pt idx="282">
                  <c:v>10.81999999999994</c:v>
                </c:pt>
                <c:pt idx="283">
                  <c:v>10.82999999999994</c:v>
                </c:pt>
                <c:pt idx="284">
                  <c:v>10.839999999999939</c:v>
                </c:pt>
                <c:pt idx="285">
                  <c:v>10.849999999999939</c:v>
                </c:pt>
                <c:pt idx="286">
                  <c:v>10.859999999999939</c:v>
                </c:pt>
                <c:pt idx="287">
                  <c:v>10.869999999999939</c:v>
                </c:pt>
                <c:pt idx="288">
                  <c:v>10.879999999999939</c:v>
                </c:pt>
                <c:pt idx="289">
                  <c:v>10.889999999999938</c:v>
                </c:pt>
                <c:pt idx="290">
                  <c:v>10.899999999999938</c:v>
                </c:pt>
                <c:pt idx="291">
                  <c:v>10.909999999999938</c:v>
                </c:pt>
                <c:pt idx="292">
                  <c:v>10.919999999999938</c:v>
                </c:pt>
                <c:pt idx="293">
                  <c:v>10.929999999999938</c:v>
                </c:pt>
                <c:pt idx="294">
                  <c:v>10.939999999999937</c:v>
                </c:pt>
                <c:pt idx="295">
                  <c:v>10.949999999999937</c:v>
                </c:pt>
                <c:pt idx="296">
                  <c:v>10.959999999999937</c:v>
                </c:pt>
                <c:pt idx="297">
                  <c:v>10.969999999999937</c:v>
                </c:pt>
                <c:pt idx="298">
                  <c:v>10.979999999999936</c:v>
                </c:pt>
                <c:pt idx="299">
                  <c:v>10.989999999999936</c:v>
                </c:pt>
                <c:pt idx="300">
                  <c:v>10.999999999999936</c:v>
                </c:pt>
                <c:pt idx="301">
                  <c:v>11.009999999999936</c:v>
                </c:pt>
                <c:pt idx="302">
                  <c:v>11.019999999999936</c:v>
                </c:pt>
                <c:pt idx="303">
                  <c:v>11.029999999999935</c:v>
                </c:pt>
                <c:pt idx="304">
                  <c:v>11.039999999999935</c:v>
                </c:pt>
                <c:pt idx="305">
                  <c:v>11.049999999999935</c:v>
                </c:pt>
                <c:pt idx="306">
                  <c:v>11.059999999999935</c:v>
                </c:pt>
                <c:pt idx="307">
                  <c:v>11.069999999999935</c:v>
                </c:pt>
                <c:pt idx="308">
                  <c:v>11.079999999999934</c:v>
                </c:pt>
                <c:pt idx="309">
                  <c:v>11.089999999999934</c:v>
                </c:pt>
                <c:pt idx="310">
                  <c:v>11.099999999999934</c:v>
                </c:pt>
                <c:pt idx="311">
                  <c:v>11.109999999999934</c:v>
                </c:pt>
                <c:pt idx="312">
                  <c:v>11.119999999999933</c:v>
                </c:pt>
                <c:pt idx="313">
                  <c:v>11.129999999999933</c:v>
                </c:pt>
                <c:pt idx="314">
                  <c:v>11.139999999999933</c:v>
                </c:pt>
                <c:pt idx="315">
                  <c:v>11.149999999999933</c:v>
                </c:pt>
                <c:pt idx="316">
                  <c:v>11.159999999999933</c:v>
                </c:pt>
                <c:pt idx="317">
                  <c:v>11.169999999999932</c:v>
                </c:pt>
                <c:pt idx="318">
                  <c:v>11.179999999999932</c:v>
                </c:pt>
                <c:pt idx="319">
                  <c:v>11.189999999999932</c:v>
                </c:pt>
                <c:pt idx="320">
                  <c:v>11.199999999999932</c:v>
                </c:pt>
                <c:pt idx="321">
                  <c:v>11.209999999999932</c:v>
                </c:pt>
                <c:pt idx="322">
                  <c:v>11.219999999999931</c:v>
                </c:pt>
                <c:pt idx="323">
                  <c:v>11.229999999999931</c:v>
                </c:pt>
                <c:pt idx="324">
                  <c:v>11.239999999999931</c:v>
                </c:pt>
                <c:pt idx="325">
                  <c:v>11.249999999999931</c:v>
                </c:pt>
                <c:pt idx="326">
                  <c:v>11.259999999999931</c:v>
                </c:pt>
                <c:pt idx="327">
                  <c:v>11.26999999999993</c:v>
                </c:pt>
                <c:pt idx="328">
                  <c:v>11.27999999999993</c:v>
                </c:pt>
                <c:pt idx="329">
                  <c:v>11.28999999999993</c:v>
                </c:pt>
                <c:pt idx="330">
                  <c:v>11.29999999999993</c:v>
                </c:pt>
                <c:pt idx="331">
                  <c:v>11.309999999999929</c:v>
                </c:pt>
                <c:pt idx="332">
                  <c:v>11.319999999999929</c:v>
                </c:pt>
                <c:pt idx="333">
                  <c:v>11.329999999999929</c:v>
                </c:pt>
                <c:pt idx="334">
                  <c:v>11.339999999999929</c:v>
                </c:pt>
                <c:pt idx="335">
                  <c:v>11.349999999999929</c:v>
                </c:pt>
                <c:pt idx="336">
                  <c:v>11.359999999999928</c:v>
                </c:pt>
                <c:pt idx="337">
                  <c:v>11.369999999999928</c:v>
                </c:pt>
                <c:pt idx="338">
                  <c:v>11.379999999999928</c:v>
                </c:pt>
                <c:pt idx="339">
                  <c:v>11.389999999999928</c:v>
                </c:pt>
                <c:pt idx="340">
                  <c:v>11.399999999999928</c:v>
                </c:pt>
                <c:pt idx="341">
                  <c:v>11.409999999999927</c:v>
                </c:pt>
                <c:pt idx="342">
                  <c:v>11.419999999999927</c:v>
                </c:pt>
                <c:pt idx="343">
                  <c:v>11.429999999999927</c:v>
                </c:pt>
                <c:pt idx="344">
                  <c:v>11.439999999999927</c:v>
                </c:pt>
                <c:pt idx="345">
                  <c:v>11.449999999999926</c:v>
                </c:pt>
                <c:pt idx="346">
                  <c:v>11.459999999999926</c:v>
                </c:pt>
                <c:pt idx="347">
                  <c:v>11.469999999999926</c:v>
                </c:pt>
                <c:pt idx="348">
                  <c:v>11.479999999999926</c:v>
                </c:pt>
                <c:pt idx="349">
                  <c:v>11.489999999999926</c:v>
                </c:pt>
                <c:pt idx="350">
                  <c:v>11.499999999999925</c:v>
                </c:pt>
                <c:pt idx="351">
                  <c:v>11.509999999999925</c:v>
                </c:pt>
                <c:pt idx="352">
                  <c:v>11.519999999999925</c:v>
                </c:pt>
                <c:pt idx="353">
                  <c:v>11.529999999999925</c:v>
                </c:pt>
                <c:pt idx="354">
                  <c:v>11.539999999999925</c:v>
                </c:pt>
                <c:pt idx="355">
                  <c:v>11.549999999999924</c:v>
                </c:pt>
                <c:pt idx="356">
                  <c:v>11.559999999999924</c:v>
                </c:pt>
                <c:pt idx="357">
                  <c:v>11.569999999999924</c:v>
                </c:pt>
                <c:pt idx="358">
                  <c:v>11.579999999999924</c:v>
                </c:pt>
                <c:pt idx="359">
                  <c:v>11.589999999999923</c:v>
                </c:pt>
                <c:pt idx="360">
                  <c:v>11.599999999999923</c:v>
                </c:pt>
                <c:pt idx="361">
                  <c:v>11.609999999999923</c:v>
                </c:pt>
                <c:pt idx="362">
                  <c:v>11.619999999999923</c:v>
                </c:pt>
                <c:pt idx="363">
                  <c:v>11.629999999999923</c:v>
                </c:pt>
                <c:pt idx="364">
                  <c:v>11.639999999999922</c:v>
                </c:pt>
                <c:pt idx="365">
                  <c:v>11.649999999999922</c:v>
                </c:pt>
                <c:pt idx="366">
                  <c:v>11.659999999999922</c:v>
                </c:pt>
                <c:pt idx="367">
                  <c:v>11.669999999999922</c:v>
                </c:pt>
                <c:pt idx="368">
                  <c:v>11.679999999999922</c:v>
                </c:pt>
                <c:pt idx="369">
                  <c:v>11.689999999999921</c:v>
                </c:pt>
                <c:pt idx="370">
                  <c:v>11.699999999999921</c:v>
                </c:pt>
                <c:pt idx="371">
                  <c:v>11.709999999999921</c:v>
                </c:pt>
                <c:pt idx="372">
                  <c:v>11.719999999999921</c:v>
                </c:pt>
                <c:pt idx="373">
                  <c:v>11.72999999999992</c:v>
                </c:pt>
                <c:pt idx="374">
                  <c:v>11.73999999999992</c:v>
                </c:pt>
                <c:pt idx="375">
                  <c:v>11.74999999999992</c:v>
                </c:pt>
                <c:pt idx="376">
                  <c:v>11.75999999999992</c:v>
                </c:pt>
                <c:pt idx="377">
                  <c:v>11.76999999999992</c:v>
                </c:pt>
                <c:pt idx="378">
                  <c:v>11.779999999999919</c:v>
                </c:pt>
                <c:pt idx="379">
                  <c:v>11.789999999999919</c:v>
                </c:pt>
                <c:pt idx="380">
                  <c:v>11.799999999999919</c:v>
                </c:pt>
                <c:pt idx="381">
                  <c:v>11.809999999999919</c:v>
                </c:pt>
                <c:pt idx="382">
                  <c:v>11.819999999999919</c:v>
                </c:pt>
                <c:pt idx="383">
                  <c:v>11.829999999999918</c:v>
                </c:pt>
                <c:pt idx="384">
                  <c:v>11.839999999999918</c:v>
                </c:pt>
                <c:pt idx="385">
                  <c:v>11.849999999999918</c:v>
                </c:pt>
                <c:pt idx="386">
                  <c:v>11.859999999999918</c:v>
                </c:pt>
                <c:pt idx="387">
                  <c:v>11.869999999999918</c:v>
                </c:pt>
                <c:pt idx="388">
                  <c:v>11.879999999999917</c:v>
                </c:pt>
                <c:pt idx="389">
                  <c:v>11.889999999999917</c:v>
                </c:pt>
                <c:pt idx="390">
                  <c:v>11.899999999999917</c:v>
                </c:pt>
                <c:pt idx="391">
                  <c:v>11.909999999999917</c:v>
                </c:pt>
                <c:pt idx="392">
                  <c:v>11.919999999999916</c:v>
                </c:pt>
                <c:pt idx="393">
                  <c:v>11.929999999999916</c:v>
                </c:pt>
                <c:pt idx="394">
                  <c:v>11.939999999999916</c:v>
                </c:pt>
                <c:pt idx="395">
                  <c:v>11.949999999999916</c:v>
                </c:pt>
                <c:pt idx="396">
                  <c:v>11.959999999999916</c:v>
                </c:pt>
                <c:pt idx="397">
                  <c:v>11.969999999999915</c:v>
                </c:pt>
                <c:pt idx="398">
                  <c:v>11.979999999999915</c:v>
                </c:pt>
                <c:pt idx="399">
                  <c:v>11.989999999999915</c:v>
                </c:pt>
                <c:pt idx="400">
                  <c:v>11.999999999999915</c:v>
                </c:pt>
                <c:pt idx="401">
                  <c:v>12.009999999999915</c:v>
                </c:pt>
                <c:pt idx="402">
                  <c:v>12.019999999999914</c:v>
                </c:pt>
                <c:pt idx="403">
                  <c:v>12.029999999999914</c:v>
                </c:pt>
                <c:pt idx="404">
                  <c:v>12.039999999999914</c:v>
                </c:pt>
                <c:pt idx="405">
                  <c:v>12.049999999999914</c:v>
                </c:pt>
                <c:pt idx="406">
                  <c:v>12.059999999999913</c:v>
                </c:pt>
                <c:pt idx="407">
                  <c:v>12.069999999999913</c:v>
                </c:pt>
                <c:pt idx="408">
                  <c:v>12.079999999999913</c:v>
                </c:pt>
                <c:pt idx="409">
                  <c:v>12.089999999999913</c:v>
                </c:pt>
                <c:pt idx="410">
                  <c:v>12.099999999999913</c:v>
                </c:pt>
                <c:pt idx="411">
                  <c:v>12.109999999999912</c:v>
                </c:pt>
                <c:pt idx="412">
                  <c:v>12.119999999999912</c:v>
                </c:pt>
                <c:pt idx="413">
                  <c:v>12.129999999999912</c:v>
                </c:pt>
                <c:pt idx="414">
                  <c:v>12.139999999999912</c:v>
                </c:pt>
                <c:pt idx="415">
                  <c:v>12.149999999999912</c:v>
                </c:pt>
                <c:pt idx="416">
                  <c:v>12.159999999999911</c:v>
                </c:pt>
                <c:pt idx="417">
                  <c:v>12.169999999999911</c:v>
                </c:pt>
                <c:pt idx="418">
                  <c:v>12.179999999999911</c:v>
                </c:pt>
                <c:pt idx="419">
                  <c:v>12.189999999999911</c:v>
                </c:pt>
                <c:pt idx="420">
                  <c:v>12.19999999999991</c:v>
                </c:pt>
                <c:pt idx="421">
                  <c:v>12.20999999999991</c:v>
                </c:pt>
                <c:pt idx="422">
                  <c:v>12.21999999999991</c:v>
                </c:pt>
                <c:pt idx="423">
                  <c:v>12.22999999999991</c:v>
                </c:pt>
                <c:pt idx="424">
                  <c:v>12.23999999999991</c:v>
                </c:pt>
                <c:pt idx="425">
                  <c:v>12.249999999999909</c:v>
                </c:pt>
                <c:pt idx="426">
                  <c:v>12.259999999999909</c:v>
                </c:pt>
                <c:pt idx="427">
                  <c:v>12.269999999999909</c:v>
                </c:pt>
                <c:pt idx="428">
                  <c:v>12.279999999999909</c:v>
                </c:pt>
                <c:pt idx="429">
                  <c:v>12.289999999999909</c:v>
                </c:pt>
                <c:pt idx="430">
                  <c:v>12.299999999999908</c:v>
                </c:pt>
                <c:pt idx="431">
                  <c:v>12.309999999999908</c:v>
                </c:pt>
                <c:pt idx="432">
                  <c:v>12.319999999999908</c:v>
                </c:pt>
                <c:pt idx="433">
                  <c:v>12.329999999999908</c:v>
                </c:pt>
                <c:pt idx="434">
                  <c:v>12.339999999999907</c:v>
                </c:pt>
                <c:pt idx="435">
                  <c:v>12.349999999999907</c:v>
                </c:pt>
                <c:pt idx="436">
                  <c:v>12.359999999999907</c:v>
                </c:pt>
                <c:pt idx="437">
                  <c:v>12.369999999999907</c:v>
                </c:pt>
                <c:pt idx="438">
                  <c:v>12.379999999999907</c:v>
                </c:pt>
                <c:pt idx="439">
                  <c:v>12.389999999999906</c:v>
                </c:pt>
                <c:pt idx="440">
                  <c:v>12.399999999999906</c:v>
                </c:pt>
                <c:pt idx="441">
                  <c:v>12.409999999999906</c:v>
                </c:pt>
                <c:pt idx="442">
                  <c:v>12.419999999999906</c:v>
                </c:pt>
                <c:pt idx="443">
                  <c:v>12.429999999999906</c:v>
                </c:pt>
                <c:pt idx="444">
                  <c:v>12.439999999999905</c:v>
                </c:pt>
                <c:pt idx="445">
                  <c:v>12.449999999999905</c:v>
                </c:pt>
                <c:pt idx="446">
                  <c:v>12.459999999999905</c:v>
                </c:pt>
                <c:pt idx="447">
                  <c:v>12.469999999999905</c:v>
                </c:pt>
                <c:pt idx="448">
                  <c:v>12.479999999999905</c:v>
                </c:pt>
                <c:pt idx="449">
                  <c:v>12.489999999999904</c:v>
                </c:pt>
                <c:pt idx="450">
                  <c:v>12.499999999999904</c:v>
                </c:pt>
                <c:pt idx="451">
                  <c:v>12.509999999999904</c:v>
                </c:pt>
                <c:pt idx="452">
                  <c:v>12.519999999999904</c:v>
                </c:pt>
                <c:pt idx="453">
                  <c:v>12.529999999999903</c:v>
                </c:pt>
                <c:pt idx="454">
                  <c:v>12.539999999999903</c:v>
                </c:pt>
                <c:pt idx="455">
                  <c:v>12.549999999999903</c:v>
                </c:pt>
                <c:pt idx="456">
                  <c:v>12.559999999999903</c:v>
                </c:pt>
                <c:pt idx="457">
                  <c:v>12.569999999999903</c:v>
                </c:pt>
                <c:pt idx="458">
                  <c:v>12.579999999999902</c:v>
                </c:pt>
                <c:pt idx="459">
                  <c:v>12.589999999999902</c:v>
                </c:pt>
                <c:pt idx="460">
                  <c:v>12.599999999999902</c:v>
                </c:pt>
                <c:pt idx="461">
                  <c:v>12.609999999999902</c:v>
                </c:pt>
                <c:pt idx="462">
                  <c:v>12.619999999999902</c:v>
                </c:pt>
                <c:pt idx="463">
                  <c:v>12.629999999999901</c:v>
                </c:pt>
                <c:pt idx="464">
                  <c:v>12.639999999999901</c:v>
                </c:pt>
                <c:pt idx="465">
                  <c:v>12.649999999999901</c:v>
                </c:pt>
                <c:pt idx="466">
                  <c:v>12.659999999999901</c:v>
                </c:pt>
                <c:pt idx="467">
                  <c:v>12.6699999999999</c:v>
                </c:pt>
                <c:pt idx="468">
                  <c:v>12.6799999999999</c:v>
                </c:pt>
                <c:pt idx="469">
                  <c:v>12.6899999999999</c:v>
                </c:pt>
                <c:pt idx="470">
                  <c:v>12.6999999999999</c:v>
                </c:pt>
                <c:pt idx="471">
                  <c:v>12.7099999999999</c:v>
                </c:pt>
                <c:pt idx="472">
                  <c:v>12.719999999999899</c:v>
                </c:pt>
                <c:pt idx="473">
                  <c:v>12.729999999999899</c:v>
                </c:pt>
                <c:pt idx="474">
                  <c:v>12.739999999999899</c:v>
                </c:pt>
                <c:pt idx="475">
                  <c:v>12.749999999999899</c:v>
                </c:pt>
                <c:pt idx="476">
                  <c:v>12.759999999999899</c:v>
                </c:pt>
                <c:pt idx="477">
                  <c:v>12.769999999999898</c:v>
                </c:pt>
                <c:pt idx="478">
                  <c:v>12.779999999999898</c:v>
                </c:pt>
                <c:pt idx="479">
                  <c:v>12.789999999999898</c:v>
                </c:pt>
                <c:pt idx="480">
                  <c:v>12.799999999999898</c:v>
                </c:pt>
                <c:pt idx="481">
                  <c:v>12.809999999999897</c:v>
                </c:pt>
                <c:pt idx="482">
                  <c:v>12.819999999999897</c:v>
                </c:pt>
                <c:pt idx="483">
                  <c:v>12.829999999999897</c:v>
                </c:pt>
                <c:pt idx="484">
                  <c:v>12.839999999999897</c:v>
                </c:pt>
                <c:pt idx="485">
                  <c:v>12.849999999999897</c:v>
                </c:pt>
                <c:pt idx="486">
                  <c:v>12.859999999999896</c:v>
                </c:pt>
                <c:pt idx="487">
                  <c:v>12.869999999999896</c:v>
                </c:pt>
                <c:pt idx="488">
                  <c:v>12.879999999999896</c:v>
                </c:pt>
                <c:pt idx="489">
                  <c:v>12.889999999999896</c:v>
                </c:pt>
                <c:pt idx="490">
                  <c:v>12.899999999999896</c:v>
                </c:pt>
                <c:pt idx="491">
                  <c:v>12.909999999999895</c:v>
                </c:pt>
                <c:pt idx="492">
                  <c:v>12.919999999999895</c:v>
                </c:pt>
                <c:pt idx="493">
                  <c:v>12.929999999999895</c:v>
                </c:pt>
                <c:pt idx="494">
                  <c:v>12.939999999999895</c:v>
                </c:pt>
                <c:pt idx="495">
                  <c:v>12.949999999999894</c:v>
                </c:pt>
                <c:pt idx="496">
                  <c:v>12.959999999999894</c:v>
                </c:pt>
                <c:pt idx="497">
                  <c:v>12.969999999999894</c:v>
                </c:pt>
                <c:pt idx="498">
                  <c:v>12.979999999999894</c:v>
                </c:pt>
                <c:pt idx="499">
                  <c:v>12.989999999999894</c:v>
                </c:pt>
              </c:numCache>
            </c:numRef>
          </c:cat>
          <c:val>
            <c:numRef>
              <c:f>'Example of Inferential Stats'!$C$103:$C$602</c:f>
              <c:numCache>
                <c:formatCode>0.0000</c:formatCode>
                <c:ptCount val="500"/>
                <c:pt idx="0">
                  <c:v>2.6766045152977074E-4</c:v>
                </c:pt>
                <c:pt idx="1">
                  <c:v>2.8989512084778157E-4</c:v>
                </c:pt>
                <c:pt idx="2">
                  <c:v>3.1385126813106339E-4</c:v>
                </c:pt>
                <c:pt idx="3">
                  <c:v>3.3965119885868533E-4</c:v>
                </c:pt>
                <c:pt idx="4">
                  <c:v>3.6742499600491161E-4</c:v>
                </c:pt>
                <c:pt idx="5">
                  <c:v>3.9731094278554186E-4</c:v>
                </c:pt>
                <c:pt idx="6">
                  <c:v>4.2945596300072948E-4</c:v>
                </c:pt>
                <c:pt idx="7">
                  <c:v>4.640160793138794E-4</c:v>
                </c:pt>
                <c:pt idx="8">
                  <c:v>5.0115688978171489E-4</c:v>
                </c:pt>
                <c:pt idx="9">
                  <c:v>5.4105406292303377E-4</c:v>
                </c:pt>
                <c:pt idx="10">
                  <c:v>5.8389385158291068E-4</c:v>
                </c:pt>
                <c:pt idx="11">
                  <c:v>6.2987362581503248E-4</c:v>
                </c:pt>
                <c:pt idx="12">
                  <c:v>6.7920242496729633E-4</c:v>
                </c:pt>
                <c:pt idx="13">
                  <c:v>7.3210152911465571E-4</c:v>
                </c:pt>
                <c:pt idx="14">
                  <c:v>7.8880504993829564E-4</c:v>
                </c:pt>
                <c:pt idx="15">
                  <c:v>8.4956054110148335E-4</c:v>
                </c:pt>
                <c:pt idx="16">
                  <c:v>9.1462962811969084E-4</c:v>
                </c:pt>
                <c:pt idx="17">
                  <c:v>9.8428865766576087E-4</c:v>
                </c:pt>
                <c:pt idx="18">
                  <c:v>1.0588293661898404E-3</c:v>
                </c:pt>
                <c:pt idx="19">
                  <c:v>1.1385595676684718E-3</c:v>
                </c:pt>
                <c:pt idx="20">
                  <c:v>1.2238038602275069E-3</c:v>
                </c:pt>
                <c:pt idx="21">
                  <c:v>1.3149043513093108E-3</c:v>
                </c:pt>
                <c:pt idx="22">
                  <c:v>1.412221400976026E-3</c:v>
                </c:pt>
                <c:pt idx="23">
                  <c:v>1.5161343828573679E-3</c:v>
                </c:pt>
                <c:pt idx="24">
                  <c:v>1.6270424621635578E-3</c:v>
                </c:pt>
                <c:pt idx="25">
                  <c:v>1.7453653900914553E-3</c:v>
                </c:pt>
                <c:pt idx="26">
                  <c:v>1.8715443138548878E-3</c:v>
                </c:pt>
                <c:pt idx="27">
                  <c:v>2.006042601468395E-3</c:v>
                </c:pt>
                <c:pt idx="28">
                  <c:v>2.1493466803073815E-3</c:v>
                </c:pt>
                <c:pt idx="29">
                  <c:v>2.3019668883568706E-3</c:v>
                </c:pt>
                <c:pt idx="30">
                  <c:v>2.4644383369459301E-3</c:v>
                </c:pt>
                <c:pt idx="31">
                  <c:v>2.6373217836453645E-3</c:v>
                </c:pt>
                <c:pt idx="32">
                  <c:v>2.8212045138826369E-3</c:v>
                </c:pt>
                <c:pt idx="33">
                  <c:v>3.0167012297004727E-3</c:v>
                </c:pt>
                <c:pt idx="34">
                  <c:v>3.2244549439540918E-3</c:v>
                </c:pt>
                <c:pt idx="35">
                  <c:v>3.4451378781071912E-3</c:v>
                </c:pt>
                <c:pt idx="36">
                  <c:v>3.6794523616483724E-3</c:v>
                </c:pt>
                <c:pt idx="37">
                  <c:v>3.9281317310085493E-3</c:v>
                </c:pt>
                <c:pt idx="38">
                  <c:v>4.1919412257156678E-3</c:v>
                </c:pt>
                <c:pt idx="39">
                  <c:v>4.4716788793768385E-3</c:v>
                </c:pt>
                <c:pt idx="40">
                  <c:v>4.7681764029294266E-3</c:v>
                </c:pt>
                <c:pt idx="41">
                  <c:v>5.0823000574527627E-3</c:v>
                </c:pt>
                <c:pt idx="42">
                  <c:v>5.4149515136810971E-3</c:v>
                </c:pt>
                <c:pt idx="43">
                  <c:v>5.7670686952065453E-3</c:v>
                </c:pt>
                <c:pt idx="44">
                  <c:v>6.1396266022091268E-3</c:v>
                </c:pt>
                <c:pt idx="45">
                  <c:v>6.5336381123994548E-3</c:v>
                </c:pt>
                <c:pt idx="46">
                  <c:v>6.950154755709456E-3</c:v>
                </c:pt>
                <c:pt idx="47">
                  <c:v>7.390267459117617E-3</c:v>
                </c:pt>
                <c:pt idx="48">
                  <c:v>7.8551072578490703E-3</c:v>
                </c:pt>
                <c:pt idx="49">
                  <c:v>8.3458459690473989E-3</c:v>
                </c:pt>
                <c:pt idx="50">
                  <c:v>8.8636968238754478E-3</c:v>
                </c:pt>
                <c:pt idx="51">
                  <c:v>9.4099150538673494E-3</c:v>
                </c:pt>
                <c:pt idx="52">
                  <c:v>9.9857984272240952E-3</c:v>
                </c:pt>
                <c:pt idx="53">
                  <c:v>1.0592687730621334E-2</c:v>
                </c:pt>
                <c:pt idx="54">
                  <c:v>1.1231967191981178E-2</c:v>
                </c:pt>
                <c:pt idx="55">
                  <c:v>1.1905064839550903E-2</c:v>
                </c:pt>
                <c:pt idx="56">
                  <c:v>1.2613452792530983E-2</c:v>
                </c:pt>
                <c:pt idx="57">
                  <c:v>1.3358647478404305E-2</c:v>
                </c:pt>
                <c:pt idx="58">
                  <c:v>1.4142209772037907E-2</c:v>
                </c:pt>
                <c:pt idx="59">
                  <c:v>1.4965745051560056E-2</c:v>
                </c:pt>
                <c:pt idx="60">
                  <c:v>1.5830903165958796E-2</c:v>
                </c:pt>
                <c:pt idx="61">
                  <c:v>1.6739378309304848E-2</c:v>
                </c:pt>
                <c:pt idx="62">
                  <c:v>1.7692908796473155E-2</c:v>
                </c:pt>
                <c:pt idx="63">
                  <c:v>1.8693276735223197E-2</c:v>
                </c:pt>
                <c:pt idx="64">
                  <c:v>1.9742307589500806E-2</c:v>
                </c:pt>
                <c:pt idx="65">
                  <c:v>2.0841869628843636E-2</c:v>
                </c:pt>
                <c:pt idx="66">
                  <c:v>2.1993873258809502E-2</c:v>
                </c:pt>
                <c:pt idx="67">
                  <c:v>2.3200270227403372E-2</c:v>
                </c:pt>
                <c:pt idx="68">
                  <c:v>2.4463052702554073E-2</c:v>
                </c:pt>
                <c:pt idx="69">
                  <c:v>2.5784252215788624E-2</c:v>
                </c:pt>
                <c:pt idx="70">
                  <c:v>2.716593846736913E-2</c:v>
                </c:pt>
                <c:pt idx="71">
                  <c:v>2.8610217988297156E-2</c:v>
                </c:pt>
                <c:pt idx="72">
                  <c:v>3.0119232654752533E-2</c:v>
                </c:pt>
                <c:pt idx="73">
                  <c:v>3.1695158050719131E-2</c:v>
                </c:pt>
                <c:pt idx="74">
                  <c:v>3.3340201674759477E-2</c:v>
                </c:pt>
                <c:pt idx="75">
                  <c:v>3.505660098713427E-2</c:v>
                </c:pt>
                <c:pt idx="76">
                  <c:v>3.6846621293721134E-2</c:v>
                </c:pt>
                <c:pt idx="77">
                  <c:v>3.8712553463470793E-2</c:v>
                </c:pt>
                <c:pt idx="78">
                  <c:v>4.0656711476448372E-2</c:v>
                </c:pt>
                <c:pt idx="79">
                  <c:v>4.2681429799842081E-2</c:v>
                </c:pt>
                <c:pt idx="80">
                  <c:v>4.4789060589682121E-2</c:v>
                </c:pt>
                <c:pt idx="81">
                  <c:v>4.6981970716398869E-2</c:v>
                </c:pt>
                <c:pt idx="82">
                  <c:v>4.9262538612760948E-2</c:v>
                </c:pt>
                <c:pt idx="83">
                  <c:v>5.1633150943171099E-2</c:v>
                </c:pt>
                <c:pt idx="84">
                  <c:v>5.4096199093759061E-2</c:v>
                </c:pt>
                <c:pt idx="85">
                  <c:v>5.6654075483197612E-2</c:v>
                </c:pt>
                <c:pt idx="86">
                  <c:v>5.9309169694677581E-2</c:v>
                </c:pt>
                <c:pt idx="87">
                  <c:v>6.2063864430011308E-2</c:v>
                </c:pt>
                <c:pt idx="88">
                  <c:v>6.4920531287389477E-2</c:v>
                </c:pt>
                <c:pt idx="89">
                  <c:v>6.7881526364892669E-2</c:v>
                </c:pt>
                <c:pt idx="90">
                  <c:v>7.0949185692456895E-2</c:v>
                </c:pt>
                <c:pt idx="91">
                  <c:v>7.412582049560669E-2</c:v>
                </c:pt>
                <c:pt idx="92">
                  <c:v>7.741371229490468E-2</c:v>
                </c:pt>
                <c:pt idx="93">
                  <c:v>8.081510784571376E-2</c:v>
                </c:pt>
                <c:pt idx="94">
                  <c:v>8.4332213923533475E-2</c:v>
                </c:pt>
                <c:pt idx="95">
                  <c:v>8.7967191960846916E-2</c:v>
                </c:pt>
                <c:pt idx="96">
                  <c:v>9.172215254210199E-2</c:v>
                </c:pt>
                <c:pt idx="97">
                  <c:v>9.5599149764145921E-2</c:v>
                </c:pt>
                <c:pt idx="98">
                  <c:v>9.9600175470133057E-2</c:v>
                </c:pt>
                <c:pt idx="99">
                  <c:v>0.10372715336563228</c:v>
                </c:pt>
                <c:pt idx="100">
                  <c:v>0.10798193302636691</c:v>
                </c:pt>
                <c:pt idx="101">
                  <c:v>0.11236628380772651</c:v>
                </c:pt>
                <c:pt idx="102">
                  <c:v>0.11688188866689296</c:v>
                </c:pt>
                <c:pt idx="103">
                  <c:v>0.12153033790911921</c:v>
                </c:pt>
                <c:pt idx="104">
                  <c:v>0.12631312287038651</c:v>
                </c:pt>
                <c:pt idx="105">
                  <c:v>0.13123162954934203</c:v>
                </c:pt>
                <c:pt idx="106">
                  <c:v>0.13628713220207755</c:v>
                </c:pt>
                <c:pt idx="107">
                  <c:v>0.14148078691395477</c:v>
                </c:pt>
                <c:pt idx="108">
                  <c:v>0.14681362516330135</c:v>
                </c:pt>
                <c:pt idx="109">
                  <c:v>0.15228654739240177</c:v>
                </c:pt>
                <c:pt idx="110">
                  <c:v>0.157900316601775</c:v>
                </c:pt>
                <c:pt idx="111">
                  <c:v>0.16365555198427184</c:v>
                </c:pt>
                <c:pt idx="112">
                  <c:v>0.16955272261603022</c:v>
                </c:pt>
                <c:pt idx="113">
                  <c:v>0.17559214122179656</c:v>
                </c:pt>
                <c:pt idx="114">
                  <c:v>0.18177395803255053</c:v>
                </c:pt>
                <c:pt idx="115">
                  <c:v>0.18809815475375818</c:v>
                </c:pt>
                <c:pt idx="116">
                  <c:v>0.19456453866291884</c:v>
                </c:pt>
                <c:pt idx="117">
                  <c:v>0.20117273685536449</c:v>
                </c:pt>
                <c:pt idx="118">
                  <c:v>0.20792219065751125</c:v>
                </c:pt>
                <c:pt idx="119">
                  <c:v>0.21481215022694999</c:v>
                </c:pt>
                <c:pt idx="120">
                  <c:v>0.22184166935889293</c:v>
                </c:pt>
                <c:pt idx="121">
                  <c:v>0.22900960051856609</c:v>
                </c:pt>
                <c:pt idx="122">
                  <c:v>0.23631459011914541</c:v>
                </c:pt>
                <c:pt idx="123">
                  <c:v>0.24375507406478383</c:v>
                </c:pt>
                <c:pt idx="124">
                  <c:v>0.2513292735781561</c:v>
                </c:pt>
                <c:pt idx="125">
                  <c:v>0.25903519133176273</c:v>
                </c:pt>
                <c:pt idx="126">
                  <c:v>0.26687060790198341</c:v>
                </c:pt>
                <c:pt idx="127">
                  <c:v>0.27483307856454181</c:v>
                </c:pt>
                <c:pt idx="128">
                  <c:v>0.28291993044965535</c:v>
                </c:pt>
                <c:pt idx="129">
                  <c:v>0.29112826007467246</c:v>
                </c:pt>
                <c:pt idx="130">
                  <c:v>0.2994549312714665</c:v>
                </c:pt>
                <c:pt idx="131">
                  <c:v>0.30789657352524369</c:v>
                </c:pt>
                <c:pt idx="132">
                  <c:v>0.31644958074074186</c:v>
                </c:pt>
                <c:pt idx="133">
                  <c:v>0.3251101104510436</c:v>
                </c:pt>
                <c:pt idx="134">
                  <c:v>0.33387408348340253</c:v>
                </c:pt>
                <c:pt idx="135">
                  <c:v>0.34273718409558906</c:v>
                </c:pt>
                <c:pt idx="136">
                  <c:v>0.35169486059529864</c:v>
                </c:pt>
                <c:pt idx="137">
                  <c:v>0.36074232645413418</c:v>
                </c:pt>
                <c:pt idx="138">
                  <c:v>0.36987456192658363</c:v>
                </c:pt>
                <c:pt idx="139">
                  <c:v>0.37908631618325306</c:v>
                </c:pt>
                <c:pt idx="140">
                  <c:v>0.38837210996639809</c:v>
                </c:pt>
                <c:pt idx="141">
                  <c:v>0.39772623877452357</c:v>
                </c:pt>
                <c:pt idx="142">
                  <c:v>0.40714277658149028</c:v>
                </c:pt>
                <c:pt idx="143">
                  <c:v>0.41661558009418775</c:v>
                </c:pt>
                <c:pt idx="144">
                  <c:v>0.42613829355140648</c:v>
                </c:pt>
                <c:pt idx="145">
                  <c:v>0.43570435406507141</c:v>
                </c:pt>
                <c:pt idx="146">
                  <c:v>0.44530699750349234</c:v>
                </c:pt>
                <c:pt idx="147">
                  <c:v>0.45493926491474157</c:v>
                </c:pt>
                <c:pt idx="148">
                  <c:v>0.46459400948670193</c:v>
                </c:pt>
                <c:pt idx="149">
                  <c:v>0.47426390403872848</c:v>
                </c:pt>
                <c:pt idx="150">
                  <c:v>0.48394144903825581</c:v>
                </c:pt>
                <c:pt idx="151">
                  <c:v>0.49361898113405428</c:v>
                </c:pt>
                <c:pt idx="152">
                  <c:v>0.50328868219620293</c:v>
                </c:pt>
                <c:pt idx="153">
                  <c:v>0.51294258885120925</c:v>
                </c:pt>
                <c:pt idx="154">
                  <c:v>0.52257260249907467</c:v>
                </c:pt>
                <c:pt idx="155">
                  <c:v>0.53217049979747799</c:v>
                </c:pt>
                <c:pt idx="156">
                  <c:v>0.54172794359664433</c:v>
                </c:pt>
                <c:pt idx="157">
                  <c:v>0.55123649430688171</c:v>
                </c:pt>
                <c:pt idx="158">
                  <c:v>0.56068762167920938</c:v>
                </c:pt>
                <c:pt idx="159">
                  <c:v>0.57007271697798279</c:v>
                </c:pt>
                <c:pt idx="160">
                  <c:v>0.57938310552293393</c:v>
                </c:pt>
                <c:pt idx="161">
                  <c:v>0.58861005957661872</c:v>
                </c:pt>
                <c:pt idx="162">
                  <c:v>0.5977448115518742</c:v>
                </c:pt>
                <c:pt idx="163">
                  <c:v>0.60677856751256898</c:v>
                </c:pt>
                <c:pt idx="164">
                  <c:v>0.61570252093967492</c:v>
                </c:pt>
                <c:pt idx="165">
                  <c:v>0.62450786673349179</c:v>
                </c:pt>
                <c:pt idx="166">
                  <c:v>0.63318581542175512</c:v>
                </c:pt>
                <c:pt idx="167">
                  <c:v>0.64172760754231495</c:v>
                </c:pt>
                <c:pt idx="168">
                  <c:v>0.65012452816813449</c:v>
                </c:pt>
                <c:pt idx="169">
                  <c:v>0.65836792154150015</c:v>
                </c:pt>
                <c:pt idx="170">
                  <c:v>0.66644920578357036</c:v>
                </c:pt>
                <c:pt idx="171">
                  <c:v>0.67435988764473265</c:v>
                </c:pt>
                <c:pt idx="172">
                  <c:v>0.68209157726067715</c:v>
                </c:pt>
                <c:pt idx="173">
                  <c:v>0.68963600287863924</c:v>
                </c:pt>
                <c:pt idx="174">
                  <c:v>0.69698502551792219</c:v>
                </c:pt>
                <c:pt idx="175">
                  <c:v>0.70413065352857274</c:v>
                </c:pt>
                <c:pt idx="176">
                  <c:v>0.71106505701196854</c:v>
                </c:pt>
                <c:pt idx="177">
                  <c:v>0.7177805820670643</c:v>
                </c:pt>
                <c:pt idx="178">
                  <c:v>0.72426976482616023</c:v>
                </c:pt>
                <c:pt idx="179">
                  <c:v>0.73052534524428447</c:v>
                </c:pt>
                <c:pt idx="180">
                  <c:v>0.73654028060662402</c:v>
                </c:pt>
                <c:pt idx="181">
                  <c:v>0.74230775871891019</c:v>
                </c:pt>
                <c:pt idx="182">
                  <c:v>0.74782121074623586</c:v>
                </c:pt>
                <c:pt idx="183">
                  <c:v>0.75307432366648797</c:v>
                </c:pt>
                <c:pt idx="184">
                  <c:v>0.75806105230538434</c:v>
                </c:pt>
                <c:pt idx="185">
                  <c:v>0.76277563092103018</c:v>
                </c:pt>
                <c:pt idx="186">
                  <c:v>0.76721258430694006</c:v>
                </c:pt>
                <c:pt idx="187">
                  <c:v>0.77136673838361614</c:v>
                </c:pt>
                <c:pt idx="188">
                  <c:v>0.77523323025001334</c:v>
                </c:pt>
                <c:pt idx="189">
                  <c:v>0.77880751766756706</c:v>
                </c:pt>
                <c:pt idx="190">
                  <c:v>0.7820853879508991</c:v>
                </c:pt>
                <c:pt idx="191">
                  <c:v>0.78506296624084626</c:v>
                </c:pt>
                <c:pt idx="192">
                  <c:v>0.78773672313707144</c:v>
                </c:pt>
                <c:pt idx="193">
                  <c:v>0.7901034816692134</c:v>
                </c:pt>
                <c:pt idx="194">
                  <c:v>0.79216042358730432</c:v>
                </c:pt>
                <c:pt idx="195">
                  <c:v>0.79390509495401695</c:v>
                </c:pt>
                <c:pt idx="196">
                  <c:v>0.79533541102321248</c:v>
                </c:pt>
                <c:pt idx="197">
                  <c:v>0.79644966039120979</c:v>
                </c:pt>
                <c:pt idx="198">
                  <c:v>0.79724650840920741</c:v>
                </c:pt>
                <c:pt idx="199">
                  <c:v>0.79772499984733092</c:v>
                </c:pt>
                <c:pt idx="200">
                  <c:v>0.79788456080286541</c:v>
                </c:pt>
                <c:pt idx="201">
                  <c:v>0.79772499984733358</c:v>
                </c:pt>
                <c:pt idx="202">
                  <c:v>0.79724650840921274</c:v>
                </c:pt>
                <c:pt idx="203">
                  <c:v>0.7964496603912179</c:v>
                </c:pt>
                <c:pt idx="204">
                  <c:v>0.79533541102322336</c:v>
                </c:pt>
                <c:pt idx="205">
                  <c:v>0.7939050949540305</c:v>
                </c:pt>
                <c:pt idx="206">
                  <c:v>0.79216042358732053</c:v>
                </c:pt>
                <c:pt idx="207">
                  <c:v>0.79010348166923228</c:v>
                </c:pt>
                <c:pt idx="208">
                  <c:v>0.78773672313709286</c:v>
                </c:pt>
                <c:pt idx="209">
                  <c:v>0.78506296624087035</c:v>
                </c:pt>
                <c:pt idx="210">
                  <c:v>0.78208538795092586</c:v>
                </c:pt>
                <c:pt idx="211">
                  <c:v>0.77880751766759626</c:v>
                </c:pt>
                <c:pt idx="212">
                  <c:v>0.77523323025004509</c:v>
                </c:pt>
                <c:pt idx="213">
                  <c:v>0.77136673838365033</c:v>
                </c:pt>
                <c:pt idx="214">
                  <c:v>0.7672125843069767</c:v>
                </c:pt>
                <c:pt idx="215">
                  <c:v>0.76277563092106915</c:v>
                </c:pt>
                <c:pt idx="216">
                  <c:v>0.75806105230542564</c:v>
                </c:pt>
                <c:pt idx="217">
                  <c:v>0.7530743236665316</c:v>
                </c:pt>
                <c:pt idx="218">
                  <c:v>0.74782121074628183</c:v>
                </c:pt>
                <c:pt idx="219">
                  <c:v>0.74230775871895838</c:v>
                </c:pt>
                <c:pt idx="220">
                  <c:v>0.73654028060667431</c:v>
                </c:pt>
                <c:pt idx="221">
                  <c:v>0.73052534524433665</c:v>
                </c:pt>
                <c:pt idx="222">
                  <c:v>0.72426976482621463</c:v>
                </c:pt>
                <c:pt idx="223">
                  <c:v>0.71778058206712059</c:v>
                </c:pt>
                <c:pt idx="224">
                  <c:v>0.71106505701202671</c:v>
                </c:pt>
                <c:pt idx="225">
                  <c:v>0.7041306535286328</c:v>
                </c:pt>
                <c:pt idx="226">
                  <c:v>0.69698502551798402</c:v>
                </c:pt>
                <c:pt idx="227">
                  <c:v>0.68963600287870275</c:v>
                </c:pt>
                <c:pt idx="228">
                  <c:v>0.68209157726074221</c:v>
                </c:pt>
                <c:pt idx="229">
                  <c:v>0.67435988764479937</c:v>
                </c:pt>
                <c:pt idx="230">
                  <c:v>0.66644920578363853</c:v>
                </c:pt>
                <c:pt idx="231">
                  <c:v>0.65836792154156976</c:v>
                </c:pt>
                <c:pt idx="232">
                  <c:v>0.65012452816820543</c:v>
                </c:pt>
                <c:pt idx="233">
                  <c:v>0.64172760754238711</c:v>
                </c:pt>
                <c:pt idx="234">
                  <c:v>0.63318581542182861</c:v>
                </c:pt>
                <c:pt idx="235">
                  <c:v>0.6245078667335664</c:v>
                </c:pt>
                <c:pt idx="236">
                  <c:v>0.61570252093975042</c:v>
                </c:pt>
                <c:pt idx="237">
                  <c:v>0.60677856751264569</c:v>
                </c:pt>
                <c:pt idx="238">
                  <c:v>0.59774481155195169</c:v>
                </c:pt>
                <c:pt idx="239">
                  <c:v>0.5886100595766971</c:v>
                </c:pt>
                <c:pt idx="240">
                  <c:v>0.57938310552301286</c:v>
                </c:pt>
                <c:pt idx="241">
                  <c:v>0.5700727169780625</c:v>
                </c:pt>
                <c:pt idx="242">
                  <c:v>0.56068762167928976</c:v>
                </c:pt>
                <c:pt idx="243">
                  <c:v>0.55123649430696242</c:v>
                </c:pt>
                <c:pt idx="244">
                  <c:v>0.5417279435967256</c:v>
                </c:pt>
                <c:pt idx="245">
                  <c:v>0.5321704997975597</c:v>
                </c:pt>
                <c:pt idx="246">
                  <c:v>0.52257260249915671</c:v>
                </c:pt>
                <c:pt idx="247">
                  <c:v>0.51294258885129151</c:v>
                </c:pt>
                <c:pt idx="248">
                  <c:v>0.50328868219628531</c:v>
                </c:pt>
                <c:pt idx="249">
                  <c:v>0.49361898113413677</c:v>
                </c:pt>
                <c:pt idx="250">
                  <c:v>0.4839414490383383</c:v>
                </c:pt>
                <c:pt idx="251">
                  <c:v>0.47426390403881091</c:v>
                </c:pt>
                <c:pt idx="252">
                  <c:v>0.46459400948678431</c:v>
                </c:pt>
                <c:pt idx="253">
                  <c:v>0.45493926491482378</c:v>
                </c:pt>
                <c:pt idx="254">
                  <c:v>0.44530699750357439</c:v>
                </c:pt>
                <c:pt idx="255">
                  <c:v>0.43570435406515318</c:v>
                </c:pt>
                <c:pt idx="256">
                  <c:v>0.42613829355148786</c:v>
                </c:pt>
                <c:pt idx="257">
                  <c:v>0.41661558009426869</c:v>
                </c:pt>
                <c:pt idx="258">
                  <c:v>0.40714277658157089</c:v>
                </c:pt>
                <c:pt idx="259">
                  <c:v>0.39772623877460361</c:v>
                </c:pt>
                <c:pt idx="260">
                  <c:v>0.38837210996647759</c:v>
                </c:pt>
                <c:pt idx="261">
                  <c:v>0.37908631618333194</c:v>
                </c:pt>
                <c:pt idx="262">
                  <c:v>0.36987456192666185</c:v>
                </c:pt>
                <c:pt idx="263">
                  <c:v>0.36074232645421161</c:v>
                </c:pt>
                <c:pt idx="264">
                  <c:v>0.35169486059537541</c:v>
                </c:pt>
                <c:pt idx="265">
                  <c:v>0.34273718409566512</c:v>
                </c:pt>
                <c:pt idx="266">
                  <c:v>0.33387408348347763</c:v>
                </c:pt>
                <c:pt idx="267">
                  <c:v>0.32511011045111787</c:v>
                </c:pt>
                <c:pt idx="268">
                  <c:v>0.31644958074081525</c:v>
                </c:pt>
                <c:pt idx="269">
                  <c:v>0.30789657352531613</c:v>
                </c:pt>
                <c:pt idx="270">
                  <c:v>0.29945493127153799</c:v>
                </c:pt>
                <c:pt idx="271">
                  <c:v>0.29112826007474296</c:v>
                </c:pt>
                <c:pt idx="272">
                  <c:v>0.28291993044972485</c:v>
                </c:pt>
                <c:pt idx="273">
                  <c:v>0.27483307856461026</c:v>
                </c:pt>
                <c:pt idx="274">
                  <c:v>0.26687060790205069</c:v>
                </c:pt>
                <c:pt idx="275">
                  <c:v>0.25903519133182901</c:v>
                </c:pt>
                <c:pt idx="276">
                  <c:v>0.25132927357822121</c:v>
                </c:pt>
                <c:pt idx="277">
                  <c:v>0.24375507406484789</c:v>
                </c:pt>
                <c:pt idx="278">
                  <c:v>0.23631459011920825</c:v>
                </c:pt>
                <c:pt idx="279">
                  <c:v>0.22900960051862779</c:v>
                </c:pt>
                <c:pt idx="280">
                  <c:v>0.22184166935895347</c:v>
                </c:pt>
                <c:pt idx="281">
                  <c:v>0.21481215022700934</c:v>
                </c:pt>
                <c:pt idx="282">
                  <c:v>0.20792219065756939</c:v>
                </c:pt>
                <c:pt idx="283">
                  <c:v>0.20117273685542145</c:v>
                </c:pt>
                <c:pt idx="284">
                  <c:v>0.19456453866297455</c:v>
                </c:pt>
                <c:pt idx="285">
                  <c:v>0.18809815475381275</c:v>
                </c:pt>
                <c:pt idx="286">
                  <c:v>0.18177395803260385</c:v>
                </c:pt>
                <c:pt idx="287">
                  <c:v>0.17559214122184866</c:v>
                </c:pt>
                <c:pt idx="288">
                  <c:v>0.16955272261608109</c:v>
                </c:pt>
                <c:pt idx="289">
                  <c:v>0.16365555198432152</c:v>
                </c:pt>
                <c:pt idx="290">
                  <c:v>0.15790031660182346</c:v>
                </c:pt>
                <c:pt idx="291">
                  <c:v>0.15228654739244901</c:v>
                </c:pt>
                <c:pt idx="292">
                  <c:v>0.14681362516334742</c:v>
                </c:pt>
                <c:pt idx="293">
                  <c:v>0.14148078691399962</c:v>
                </c:pt>
                <c:pt idx="294">
                  <c:v>0.13628713220212127</c:v>
                </c:pt>
                <c:pt idx="295">
                  <c:v>0.13123162954938455</c:v>
                </c:pt>
                <c:pt idx="296">
                  <c:v>0.1263131228704279</c:v>
                </c:pt>
                <c:pt idx="297">
                  <c:v>0.12153033790915942</c:v>
                </c:pt>
                <c:pt idx="298">
                  <c:v>0.11688188866693204</c:v>
                </c:pt>
                <c:pt idx="299">
                  <c:v>0.11236628380776444</c:v>
                </c:pt>
                <c:pt idx="300">
                  <c:v>0.10798193302640373</c:v>
                </c:pt>
                <c:pt idx="301">
                  <c:v>0.10372715336566801</c:v>
                </c:pt>
                <c:pt idx="302">
                  <c:v>9.9600175470167682E-2</c:v>
                </c:pt>
                <c:pt idx="303">
                  <c:v>9.5599149764179506E-2</c:v>
                </c:pt>
                <c:pt idx="304">
                  <c:v>9.1722152542134533E-2</c:v>
                </c:pt>
                <c:pt idx="305">
                  <c:v>8.7967191960878419E-2</c:v>
                </c:pt>
                <c:pt idx="306">
                  <c:v>8.4332213923563951E-2</c:v>
                </c:pt>
                <c:pt idx="307">
                  <c:v>8.0815107845743264E-2</c:v>
                </c:pt>
                <c:pt idx="308">
                  <c:v>7.7413712294933185E-2</c:v>
                </c:pt>
                <c:pt idx="309">
                  <c:v>7.4125820495634237E-2</c:v>
                </c:pt>
                <c:pt idx="310">
                  <c:v>7.0949185692483527E-2</c:v>
                </c:pt>
                <c:pt idx="311">
                  <c:v>6.7881526364918371E-2</c:v>
                </c:pt>
                <c:pt idx="312">
                  <c:v>6.4920531287414263E-2</c:v>
                </c:pt>
                <c:pt idx="313">
                  <c:v>6.2063864430035233E-2</c:v>
                </c:pt>
                <c:pt idx="314">
                  <c:v>5.9309169694700646E-2</c:v>
                </c:pt>
                <c:pt idx="315">
                  <c:v>5.6654075483219858E-2</c:v>
                </c:pt>
                <c:pt idx="316">
                  <c:v>5.4096199093780467E-2</c:v>
                </c:pt>
                <c:pt idx="317">
                  <c:v>5.1633150943191694E-2</c:v>
                </c:pt>
                <c:pt idx="318">
                  <c:v>4.9262538612780765E-2</c:v>
                </c:pt>
                <c:pt idx="319">
                  <c:v>4.6981970716417923E-2</c:v>
                </c:pt>
                <c:pt idx="320">
                  <c:v>4.4789060589700461E-2</c:v>
                </c:pt>
                <c:pt idx="321">
                  <c:v>4.2681429799859706E-2</c:v>
                </c:pt>
                <c:pt idx="322">
                  <c:v>4.0656711476465289E-2</c:v>
                </c:pt>
                <c:pt idx="323">
                  <c:v>3.8712553463487023E-2</c:v>
                </c:pt>
                <c:pt idx="324">
                  <c:v>3.6846621293736725E-2</c:v>
                </c:pt>
                <c:pt idx="325">
                  <c:v>3.5056600987149224E-2</c:v>
                </c:pt>
                <c:pt idx="326">
                  <c:v>3.3340201674773792E-2</c:v>
                </c:pt>
                <c:pt idx="327">
                  <c:v>3.1695158050732856E-2</c:v>
                </c:pt>
                <c:pt idx="328">
                  <c:v>3.0119232654765682E-2</c:v>
                </c:pt>
                <c:pt idx="329">
                  <c:v>2.8610217988309733E-2</c:v>
                </c:pt>
                <c:pt idx="330">
                  <c:v>2.7165938467381169E-2</c:v>
                </c:pt>
                <c:pt idx="331">
                  <c:v>2.5784252215800146E-2</c:v>
                </c:pt>
                <c:pt idx="332">
                  <c:v>2.4463052702565088E-2</c:v>
                </c:pt>
                <c:pt idx="333">
                  <c:v>2.3200270227413892E-2</c:v>
                </c:pt>
                <c:pt idx="334">
                  <c:v>2.1993873258819553E-2</c:v>
                </c:pt>
                <c:pt idx="335">
                  <c:v>2.0841869628853222E-2</c:v>
                </c:pt>
                <c:pt idx="336">
                  <c:v>1.9742307589509969E-2</c:v>
                </c:pt>
                <c:pt idx="337">
                  <c:v>1.869327673523194E-2</c:v>
                </c:pt>
                <c:pt idx="338">
                  <c:v>1.7692908796481485E-2</c:v>
                </c:pt>
                <c:pt idx="339">
                  <c:v>1.6739378309312779E-2</c:v>
                </c:pt>
                <c:pt idx="340">
                  <c:v>1.5830903165966352E-2</c:v>
                </c:pt>
                <c:pt idx="341">
                  <c:v>1.4965745051567253E-2</c:v>
                </c:pt>
                <c:pt idx="342">
                  <c:v>1.4142209772044752E-2</c:v>
                </c:pt>
                <c:pt idx="343">
                  <c:v>1.3358647478410819E-2</c:v>
                </c:pt>
                <c:pt idx="344">
                  <c:v>1.2613452792537177E-2</c:v>
                </c:pt>
                <c:pt idx="345">
                  <c:v>1.1905064839556783E-2</c:v>
                </c:pt>
                <c:pt idx="346">
                  <c:v>1.1231967191986766E-2</c:v>
                </c:pt>
                <c:pt idx="347">
                  <c:v>1.0592687730626641E-2</c:v>
                </c:pt>
                <c:pt idx="348">
                  <c:v>9.9857984272291329E-3</c:v>
                </c:pt>
                <c:pt idx="349">
                  <c:v>9.4099150538721303E-3</c:v>
                </c:pt>
                <c:pt idx="350">
                  <c:v>8.8636968238799824E-3</c:v>
                </c:pt>
                <c:pt idx="351">
                  <c:v>8.3458459690516976E-3</c:v>
                </c:pt>
                <c:pt idx="352">
                  <c:v>7.8551072578531434E-3</c:v>
                </c:pt>
                <c:pt idx="353">
                  <c:v>7.3902674591214699E-3</c:v>
                </c:pt>
                <c:pt idx="354">
                  <c:v>6.9501547557131041E-3</c:v>
                </c:pt>
                <c:pt idx="355">
                  <c:v>6.5336381124029069E-3</c:v>
                </c:pt>
                <c:pt idx="356">
                  <c:v>6.1396266022123933E-3</c:v>
                </c:pt>
                <c:pt idx="357">
                  <c:v>5.767068695209634E-3</c:v>
                </c:pt>
                <c:pt idx="358">
                  <c:v>5.4149515136840158E-3</c:v>
                </c:pt>
                <c:pt idx="359">
                  <c:v>5.0823000574555218E-3</c:v>
                </c:pt>
                <c:pt idx="360">
                  <c:v>4.768176402932027E-3</c:v>
                </c:pt>
                <c:pt idx="361">
                  <c:v>4.4716788793792966E-3</c:v>
                </c:pt>
                <c:pt idx="362">
                  <c:v>4.1919412257179827E-3</c:v>
                </c:pt>
                <c:pt idx="363">
                  <c:v>3.9281317310107334E-3</c:v>
                </c:pt>
                <c:pt idx="364">
                  <c:v>3.6794523616504315E-3</c:v>
                </c:pt>
                <c:pt idx="365">
                  <c:v>3.4451378781091284E-3</c:v>
                </c:pt>
                <c:pt idx="366">
                  <c:v>3.2244549439559189E-3</c:v>
                </c:pt>
                <c:pt idx="367">
                  <c:v>3.0167012297021901E-3</c:v>
                </c:pt>
                <c:pt idx="368">
                  <c:v>2.8212045138842558E-3</c:v>
                </c:pt>
                <c:pt idx="369">
                  <c:v>2.637321783646885E-3</c:v>
                </c:pt>
                <c:pt idx="370">
                  <c:v>2.4644383369473596E-3</c:v>
                </c:pt>
                <c:pt idx="371">
                  <c:v>2.301966888358212E-3</c:v>
                </c:pt>
                <c:pt idx="372">
                  <c:v>2.1493466803086435E-3</c:v>
                </c:pt>
                <c:pt idx="373">
                  <c:v>2.0060426014695799E-3</c:v>
                </c:pt>
                <c:pt idx="374">
                  <c:v>1.8715443138559982E-3</c:v>
                </c:pt>
                <c:pt idx="375">
                  <c:v>1.7453653900924967E-3</c:v>
                </c:pt>
                <c:pt idx="376">
                  <c:v>1.6270424621645345E-3</c:v>
                </c:pt>
                <c:pt idx="377">
                  <c:v>1.5161343828582838E-3</c:v>
                </c:pt>
                <c:pt idx="378">
                  <c:v>1.4122214009768827E-3</c:v>
                </c:pt>
                <c:pt idx="379">
                  <c:v>1.3149043513101131E-3</c:v>
                </c:pt>
                <c:pt idx="380">
                  <c:v>1.2238038602282581E-3</c:v>
                </c:pt>
                <c:pt idx="381">
                  <c:v>1.1385595676691748E-3</c:v>
                </c:pt>
                <c:pt idx="382">
                  <c:v>1.0588293661904977E-3</c:v>
                </c:pt>
                <c:pt idx="383">
                  <c:v>9.842886576663754E-4</c:v>
                </c:pt>
                <c:pt idx="384">
                  <c:v>9.1462962812026525E-4</c:v>
                </c:pt>
                <c:pt idx="385">
                  <c:v>8.4956054110201895E-4</c:v>
                </c:pt>
                <c:pt idx="386">
                  <c:v>7.8880504993879589E-4</c:v>
                </c:pt>
                <c:pt idx="387">
                  <c:v>7.3210152911512257E-4</c:v>
                </c:pt>
                <c:pt idx="388">
                  <c:v>6.7920242496773186E-4</c:v>
                </c:pt>
                <c:pt idx="389">
                  <c:v>6.2987362581543808E-4</c:v>
                </c:pt>
                <c:pt idx="390">
                  <c:v>5.8389385158328928E-4</c:v>
                </c:pt>
                <c:pt idx="391">
                  <c:v>5.4105406292338657E-4</c:v>
                </c:pt>
                <c:pt idx="392">
                  <c:v>5.0115688978204286E-4</c:v>
                </c:pt>
                <c:pt idx="393">
                  <c:v>4.6401607931418476E-4</c:v>
                </c:pt>
                <c:pt idx="394">
                  <c:v>4.2945596300101365E-4</c:v>
                </c:pt>
                <c:pt idx="395">
                  <c:v>3.9731094278580624E-4</c:v>
                </c:pt>
                <c:pt idx="396">
                  <c:v>3.6742499600515702E-4</c:v>
                </c:pt>
                <c:pt idx="397">
                  <c:v>3.3965119885891372E-4</c:v>
                </c:pt>
                <c:pt idx="398">
                  <c:v>3.1385126813127524E-4</c:v>
                </c:pt>
                <c:pt idx="399">
                  <c:v>2.8989512084797852E-4</c:v>
                </c:pt>
                <c:pt idx="400">
                  <c:v>2.6766045152995331E-4</c:v>
                </c:pt>
                <c:pt idx="401">
                  <c:v>2.4703232668221671E-4</c:v>
                </c:pt>
                <c:pt idx="402">
                  <c:v>2.2790279613788713E-4</c:v>
                </c:pt>
                <c:pt idx="403">
                  <c:v>2.1017052086094693E-4</c:v>
                </c:pt>
                <c:pt idx="404">
                  <c:v>1.9374041679757483E-4</c:v>
                </c:pt>
                <c:pt idx="405">
                  <c:v>1.7852331435439206E-4</c:v>
                </c:pt>
                <c:pt idx="406">
                  <c:v>1.6443563307268913E-4</c:v>
                </c:pt>
                <c:pt idx="407">
                  <c:v>1.5139907106043106E-4</c:v>
                </c:pt>
                <c:pt idx="408">
                  <c:v>1.3934030873852965E-4</c:v>
                </c:pt>
                <c:pt idx="409">
                  <c:v>1.2819072645430535E-4</c:v>
                </c:pt>
                <c:pt idx="410">
                  <c:v>1.1788613551316619E-4</c:v>
                </c:pt>
                <c:pt idx="411">
                  <c:v>1.0836652217916037E-4</c:v>
                </c:pt>
                <c:pt idx="412">
                  <c:v>9.9575804196098462E-5</c:v>
                </c:pt>
                <c:pt idx="413">
                  <c:v>9.1461599383271027E-5</c:v>
                </c:pt>
                <c:pt idx="414">
                  <c:v>8.3975005863298042E-5</c:v>
                </c:pt>
                <c:pt idx="415">
                  <c:v>7.707039348423286E-5</c:v>
                </c:pt>
                <c:pt idx="416">
                  <c:v>7.0705206003600458E-5</c:v>
                </c:pt>
                <c:pt idx="417">
                  <c:v>6.4839773608477537E-5</c:v>
                </c:pt>
                <c:pt idx="418">
                  <c:v>5.9437135352930646E-5</c:v>
                </c:pt>
                <c:pt idx="419">
                  <c:v>5.4462871102027792E-5</c:v>
                </c:pt>
                <c:pt idx="420">
                  <c:v>4.9884942580146407E-5</c:v>
                </c:pt>
                <c:pt idx="421">
                  <c:v>4.5673543130330107E-5</c:v>
                </c:pt>
                <c:pt idx="422">
                  <c:v>4.1800955800934303E-5</c:v>
                </c:pt>
                <c:pt idx="423">
                  <c:v>3.8241419385666245E-5</c:v>
                </c:pt>
                <c:pt idx="424">
                  <c:v>3.4971002053306656E-5</c:v>
                </c:pt>
                <c:pt idx="425">
                  <c:v>3.1967482213837018E-5</c:v>
                </c:pt>
                <c:pt idx="426">
                  <c:v>2.9210236278329801E-5</c:v>
                </c:pt>
                <c:pt idx="427">
                  <c:v>2.6680132980733716E-5</c:v>
                </c:pt>
                <c:pt idx="428">
                  <c:v>2.4359433940557653E-5</c:v>
                </c:pt>
                <c:pt idx="429">
                  <c:v>2.2231700156374218E-5</c:v>
                </c:pt>
                <c:pt idx="430">
                  <c:v>2.0281704130990596E-5</c:v>
                </c:pt>
                <c:pt idx="431">
                  <c:v>1.8495347340026941E-5</c:v>
                </c:pt>
                <c:pt idx="432">
                  <c:v>1.685958276647195E-5</c:v>
                </c:pt>
                <c:pt idx="433">
                  <c:v>1.5362342234514148E-5</c:v>
                </c:pt>
                <c:pt idx="434">
                  <c:v>1.3992468286552889E-5</c:v>
                </c:pt>
                <c:pt idx="435">
                  <c:v>1.2739650357745315E-5</c:v>
                </c:pt>
                <c:pt idx="436">
                  <c:v>1.1594365012724728E-5</c:v>
                </c:pt>
                <c:pt idx="437">
                  <c:v>1.0547820019211919E-5</c:v>
                </c:pt>
                <c:pt idx="438">
                  <c:v>9.5919020431135629E-6</c:v>
                </c:pt>
                <c:pt idx="439">
                  <c:v>8.7191277593510796E-6</c:v>
                </c:pt>
                <c:pt idx="440">
                  <c:v>7.922598182071286E-6</c:v>
                </c:pt>
                <c:pt idx="441">
                  <c:v>7.1959560270490272E-6</c:v>
                </c:pt>
                <c:pt idx="442">
                  <c:v>6.5333459279925033E-6</c:v>
                </c:pt>
                <c:pt idx="443">
                  <c:v>5.9293773370959906E-6</c:v>
                </c:pt>
                <c:pt idx="444">
                  <c:v>5.3790899485480153E-6</c:v>
                </c:pt>
                <c:pt idx="445">
                  <c:v>4.8779214917912538E-6</c:v>
                </c:pt>
                <c:pt idx="446">
                  <c:v>4.4216777491409743E-6</c:v>
                </c:pt>
                <c:pt idx="447">
                  <c:v>4.0065046599007574E-6</c:v>
                </c:pt>
                <c:pt idx="448">
                  <c:v>3.6288623803675035E-6</c:v>
                </c:pt>
                <c:pt idx="449">
                  <c:v>3.2855011760932822E-6</c:v>
                </c:pt>
                <c:pt idx="450">
                  <c:v>2.9734390294714477E-6</c:v>
                </c:pt>
                <c:pt idx="451">
                  <c:v>2.6899408521414789E-6</c:v>
                </c:pt>
                <c:pt idx="452">
                  <c:v>2.4324991978649997E-6</c:v>
                </c:pt>
                <c:pt idx="453">
                  <c:v>2.1988163774185546E-6</c:v>
                </c:pt>
                <c:pt idx="454">
                  <c:v>1.986787882681779E-6</c:v>
                </c:pt>
                <c:pt idx="455">
                  <c:v>1.7944870324784397E-6</c:v>
                </c:pt>
                <c:pt idx="456">
                  <c:v>1.6201507578578836E-6</c:v>
                </c:pt>
                <c:pt idx="457">
                  <c:v>1.4621664493921603E-6</c:v>
                </c:pt>
                <c:pt idx="458">
                  <c:v>1.3190597937163742E-6</c:v>
                </c:pt>
                <c:pt idx="459">
                  <c:v>1.1894835309627571E-6</c:v>
                </c:pt>
                <c:pt idx="460">
                  <c:v>1.0722070689406179E-6</c:v>
                </c:pt>
                <c:pt idx="461">
                  <c:v>9.6610689390092655E-7</c:v>
                </c:pt>
                <c:pt idx="462">
                  <c:v>8.701577215039215E-7</c:v>
                </c:pt>
                <c:pt idx="463">
                  <c:v>7.8342433518777594E-7</c:v>
                </c:pt>
                <c:pt idx="464">
                  <c:v>7.0505406252354529E-7</c:v>
                </c:pt>
                <c:pt idx="465">
                  <c:v>6.3426984334386106E-7</c:v>
                </c:pt>
                <c:pt idx="466">
                  <c:v>5.7036384645739907E-7</c:v>
                </c:pt>
                <c:pt idx="467">
                  <c:v>5.1269159461546322E-7</c:v>
                </c:pt>
                <c:pt idx="468">
                  <c:v>4.6066656008833471E-7</c:v>
                </c:pt>
                <c:pt idx="469">
                  <c:v>4.1375519574437563E-7</c:v>
                </c:pt>
                <c:pt idx="470">
                  <c:v>3.7147236891146043E-7</c:v>
                </c:pt>
                <c:pt idx="471">
                  <c:v>3.3337716754481956E-7</c:v>
                </c:pt>
                <c:pt idx="472">
                  <c:v>2.9906905033464666E-7</c:v>
                </c:pt>
                <c:pt idx="473">
                  <c:v>2.6818431436738989E-7</c:v>
                </c:pt>
                <c:pt idx="474">
                  <c:v>2.4039285581283106E-7</c:v>
                </c:pt>
                <c:pt idx="475">
                  <c:v>2.1539520085110544E-7</c:v>
                </c:pt>
                <c:pt idx="476">
                  <c:v>1.9291978568568323E-7</c:v>
                </c:pt>
                <c:pt idx="477">
                  <c:v>1.7272046601581461E-7</c:v>
                </c:pt>
                <c:pt idx="478">
                  <c:v>1.5457423777063331E-7</c:v>
                </c:pt>
                <c:pt idx="479">
                  <c:v>1.3827915224240565E-7</c:v>
                </c:pt>
                <c:pt idx="480">
                  <c:v>1.236524100034586E-7</c:v>
                </c:pt>
                <c:pt idx="481">
                  <c:v>1.1052861915512173E-7</c:v>
                </c:pt>
                <c:pt idx="482">
                  <c:v>9.875820454232317E-8</c:v>
                </c:pt>
                <c:pt idx="483">
                  <c:v>8.8205955578848947E-8</c:v>
                </c:pt>
                <c:pt idx="484">
                  <c:v>7.8749701270089321E-8</c:v>
                </c:pt>
                <c:pt idx="485">
                  <c:v>7.0279101896491571E-8</c:v>
                </c:pt>
                <c:pt idx="486">
                  <c:v>6.2694547635913748E-8</c:v>
                </c:pt>
                <c:pt idx="487">
                  <c:v>5.5906155160376038E-8</c:v>
                </c:pt>
                <c:pt idx="488">
                  <c:v>4.9832853945961641E-8</c:v>
                </c:pt>
                <c:pt idx="489">
                  <c:v>4.4401554687211501E-8</c:v>
                </c:pt>
                <c:pt idx="490">
                  <c:v>3.9546392812537254E-8</c:v>
                </c:pt>
                <c:pt idx="491">
                  <c:v>3.5208040658014593E-8</c:v>
                </c:pt>
                <c:pt idx="492">
                  <c:v>3.1333082376303439E-8</c:v>
                </c:pt>
                <c:pt idx="493">
                  <c:v>2.7873446138129144E-8</c:v>
                </c:pt>
                <c:pt idx="494">
                  <c:v>2.4785888628330898E-8</c:v>
                </c:pt>
                <c:pt idx="495">
                  <c:v>2.2031527249392092E-8</c:v>
                </c:pt>
                <c:pt idx="496">
                  <c:v>1.9575415824906837E-8</c:v>
                </c:pt>
                <c:pt idx="497">
                  <c:v>1.7386159945782274E-8</c:v>
                </c:pt>
                <c:pt idx="498">
                  <c:v>1.5435568425160579E-8</c:v>
                </c:pt>
                <c:pt idx="499">
                  <c:v>1.3698337625988989E-8</c:v>
                </c:pt>
              </c:numCache>
            </c:numRef>
          </c:val>
          <c:extLst>
            <c:ext xmlns:c16="http://schemas.microsoft.com/office/drawing/2014/chart" uri="{C3380CC4-5D6E-409C-BE32-E72D297353CC}">
              <c16:uniqueId val="{00000000-112E-418C-B351-970796C7EEE3}"/>
            </c:ext>
          </c:extLst>
        </c:ser>
        <c:ser>
          <c:idx val="0"/>
          <c:order val="1"/>
          <c:tx>
            <c:strRef>
              <c:f>'Example of Inferential Stats'!$D$102</c:f>
              <c:strCache>
                <c:ptCount val="1"/>
                <c:pt idx="0">
                  <c:v>P(9.917)</c:v>
                </c:pt>
              </c:strCache>
            </c:strRef>
          </c:tx>
          <c:spPr>
            <a:ln w="25400">
              <a:noFill/>
            </a:ln>
          </c:spPr>
          <c:cat>
            <c:numRef>
              <c:f>'Example of Inferential Stats'!$B$103:$B$602</c:f>
              <c:numCache>
                <c:formatCode>0.00</c:formatCode>
                <c:ptCount val="500"/>
                <c:pt idx="0">
                  <c:v>8</c:v>
                </c:pt>
                <c:pt idx="1">
                  <c:v>8.01</c:v>
                </c:pt>
                <c:pt idx="2">
                  <c:v>8.02</c:v>
                </c:pt>
                <c:pt idx="3">
                  <c:v>8.0299999999999994</c:v>
                </c:pt>
                <c:pt idx="4">
                  <c:v>8.0399999999999991</c:v>
                </c:pt>
                <c:pt idx="5">
                  <c:v>8.0499999999999989</c:v>
                </c:pt>
                <c:pt idx="6">
                  <c:v>8.0599999999999987</c:v>
                </c:pt>
                <c:pt idx="7">
                  <c:v>8.0699999999999985</c:v>
                </c:pt>
                <c:pt idx="8">
                  <c:v>8.0799999999999983</c:v>
                </c:pt>
                <c:pt idx="9">
                  <c:v>8.0899999999999981</c:v>
                </c:pt>
                <c:pt idx="10">
                  <c:v>8.0999999999999979</c:v>
                </c:pt>
                <c:pt idx="11">
                  <c:v>8.1099999999999977</c:v>
                </c:pt>
                <c:pt idx="12">
                  <c:v>8.1199999999999974</c:v>
                </c:pt>
                <c:pt idx="13">
                  <c:v>8.1299999999999972</c:v>
                </c:pt>
                <c:pt idx="14">
                  <c:v>8.139999999999997</c:v>
                </c:pt>
                <c:pt idx="15">
                  <c:v>8.1499999999999968</c:v>
                </c:pt>
                <c:pt idx="16">
                  <c:v>8.1599999999999966</c:v>
                </c:pt>
                <c:pt idx="17">
                  <c:v>8.1699999999999964</c:v>
                </c:pt>
                <c:pt idx="18">
                  <c:v>8.1799999999999962</c:v>
                </c:pt>
                <c:pt idx="19">
                  <c:v>8.1899999999999959</c:v>
                </c:pt>
                <c:pt idx="20">
                  <c:v>8.1999999999999957</c:v>
                </c:pt>
                <c:pt idx="21">
                  <c:v>8.2099999999999955</c:v>
                </c:pt>
                <c:pt idx="22">
                  <c:v>8.2199999999999953</c:v>
                </c:pt>
                <c:pt idx="23">
                  <c:v>8.2299999999999951</c:v>
                </c:pt>
                <c:pt idx="24">
                  <c:v>8.2399999999999949</c:v>
                </c:pt>
                <c:pt idx="25">
                  <c:v>8.2499999999999947</c:v>
                </c:pt>
                <c:pt idx="26">
                  <c:v>8.2599999999999945</c:v>
                </c:pt>
                <c:pt idx="27">
                  <c:v>8.2699999999999942</c:v>
                </c:pt>
                <c:pt idx="28">
                  <c:v>8.279999999999994</c:v>
                </c:pt>
                <c:pt idx="29">
                  <c:v>8.2899999999999938</c:v>
                </c:pt>
                <c:pt idx="30">
                  <c:v>8.2999999999999936</c:v>
                </c:pt>
                <c:pt idx="31">
                  <c:v>8.3099999999999934</c:v>
                </c:pt>
                <c:pt idx="32">
                  <c:v>8.3199999999999932</c:v>
                </c:pt>
                <c:pt idx="33">
                  <c:v>8.329999999999993</c:v>
                </c:pt>
                <c:pt idx="34">
                  <c:v>8.3399999999999928</c:v>
                </c:pt>
                <c:pt idx="35">
                  <c:v>8.3499999999999925</c:v>
                </c:pt>
                <c:pt idx="36">
                  <c:v>8.3599999999999923</c:v>
                </c:pt>
                <c:pt idx="37">
                  <c:v>8.3699999999999921</c:v>
                </c:pt>
                <c:pt idx="38">
                  <c:v>8.3799999999999919</c:v>
                </c:pt>
                <c:pt idx="39">
                  <c:v>8.3899999999999917</c:v>
                </c:pt>
                <c:pt idx="40">
                  <c:v>8.3999999999999915</c:v>
                </c:pt>
                <c:pt idx="41">
                  <c:v>8.4099999999999913</c:v>
                </c:pt>
                <c:pt idx="42">
                  <c:v>8.419999999999991</c:v>
                </c:pt>
                <c:pt idx="43">
                  <c:v>8.4299999999999908</c:v>
                </c:pt>
                <c:pt idx="44">
                  <c:v>8.4399999999999906</c:v>
                </c:pt>
                <c:pt idx="45">
                  <c:v>8.4499999999999904</c:v>
                </c:pt>
                <c:pt idx="46">
                  <c:v>8.4599999999999902</c:v>
                </c:pt>
                <c:pt idx="47">
                  <c:v>8.46999999999999</c:v>
                </c:pt>
                <c:pt idx="48">
                  <c:v>8.4799999999999898</c:v>
                </c:pt>
                <c:pt idx="49">
                  <c:v>8.4899999999999896</c:v>
                </c:pt>
                <c:pt idx="50">
                  <c:v>8.4999999999999893</c:v>
                </c:pt>
                <c:pt idx="51">
                  <c:v>8.5099999999999891</c:v>
                </c:pt>
                <c:pt idx="52">
                  <c:v>8.5199999999999889</c:v>
                </c:pt>
                <c:pt idx="53">
                  <c:v>8.5299999999999887</c:v>
                </c:pt>
                <c:pt idx="54">
                  <c:v>8.5399999999999885</c:v>
                </c:pt>
                <c:pt idx="55">
                  <c:v>8.5499999999999883</c:v>
                </c:pt>
                <c:pt idx="56">
                  <c:v>8.5599999999999881</c:v>
                </c:pt>
                <c:pt idx="57">
                  <c:v>8.5699999999999878</c:v>
                </c:pt>
                <c:pt idx="58">
                  <c:v>8.5799999999999876</c:v>
                </c:pt>
                <c:pt idx="59">
                  <c:v>8.5899999999999874</c:v>
                </c:pt>
                <c:pt idx="60">
                  <c:v>8.5999999999999872</c:v>
                </c:pt>
                <c:pt idx="61">
                  <c:v>8.609999999999987</c:v>
                </c:pt>
                <c:pt idx="62">
                  <c:v>8.6199999999999868</c:v>
                </c:pt>
                <c:pt idx="63">
                  <c:v>8.6299999999999866</c:v>
                </c:pt>
                <c:pt idx="64">
                  <c:v>8.6399999999999864</c:v>
                </c:pt>
                <c:pt idx="65">
                  <c:v>8.6499999999999861</c:v>
                </c:pt>
                <c:pt idx="66">
                  <c:v>8.6599999999999859</c:v>
                </c:pt>
                <c:pt idx="67">
                  <c:v>8.6699999999999857</c:v>
                </c:pt>
                <c:pt idx="68">
                  <c:v>8.6799999999999855</c:v>
                </c:pt>
                <c:pt idx="69">
                  <c:v>8.6899999999999853</c:v>
                </c:pt>
                <c:pt idx="70">
                  <c:v>8.6999999999999851</c:v>
                </c:pt>
                <c:pt idx="71">
                  <c:v>8.7099999999999849</c:v>
                </c:pt>
                <c:pt idx="72">
                  <c:v>8.7199999999999847</c:v>
                </c:pt>
                <c:pt idx="73">
                  <c:v>8.7299999999999844</c:v>
                </c:pt>
                <c:pt idx="74">
                  <c:v>8.7399999999999842</c:v>
                </c:pt>
                <c:pt idx="75">
                  <c:v>8.749999999999984</c:v>
                </c:pt>
                <c:pt idx="76">
                  <c:v>8.7599999999999838</c:v>
                </c:pt>
                <c:pt idx="77">
                  <c:v>8.7699999999999836</c:v>
                </c:pt>
                <c:pt idx="78">
                  <c:v>8.7799999999999834</c:v>
                </c:pt>
                <c:pt idx="79">
                  <c:v>8.7899999999999832</c:v>
                </c:pt>
                <c:pt idx="80">
                  <c:v>8.7999999999999829</c:v>
                </c:pt>
                <c:pt idx="81">
                  <c:v>8.8099999999999827</c:v>
                </c:pt>
                <c:pt idx="82">
                  <c:v>8.8199999999999825</c:v>
                </c:pt>
                <c:pt idx="83">
                  <c:v>8.8299999999999823</c:v>
                </c:pt>
                <c:pt idx="84">
                  <c:v>8.8399999999999821</c:v>
                </c:pt>
                <c:pt idx="85">
                  <c:v>8.8499999999999819</c:v>
                </c:pt>
                <c:pt idx="86">
                  <c:v>8.8599999999999817</c:v>
                </c:pt>
                <c:pt idx="87">
                  <c:v>8.8699999999999815</c:v>
                </c:pt>
                <c:pt idx="88">
                  <c:v>8.8799999999999812</c:v>
                </c:pt>
                <c:pt idx="89">
                  <c:v>8.889999999999981</c:v>
                </c:pt>
                <c:pt idx="90">
                  <c:v>8.8999999999999808</c:v>
                </c:pt>
                <c:pt idx="91">
                  <c:v>8.9099999999999806</c:v>
                </c:pt>
                <c:pt idx="92">
                  <c:v>8.9199999999999804</c:v>
                </c:pt>
                <c:pt idx="93">
                  <c:v>8.9299999999999802</c:v>
                </c:pt>
                <c:pt idx="94">
                  <c:v>8.93999999999998</c:v>
                </c:pt>
                <c:pt idx="95">
                  <c:v>8.9499999999999797</c:v>
                </c:pt>
                <c:pt idx="96">
                  <c:v>8.9599999999999795</c:v>
                </c:pt>
                <c:pt idx="97">
                  <c:v>8.9699999999999793</c:v>
                </c:pt>
                <c:pt idx="98">
                  <c:v>8.9799999999999791</c:v>
                </c:pt>
                <c:pt idx="99">
                  <c:v>8.9899999999999789</c:v>
                </c:pt>
                <c:pt idx="100">
                  <c:v>8.9999999999999787</c:v>
                </c:pt>
                <c:pt idx="101">
                  <c:v>9.0099999999999785</c:v>
                </c:pt>
                <c:pt idx="102">
                  <c:v>9.0199999999999783</c:v>
                </c:pt>
                <c:pt idx="103">
                  <c:v>9.029999999999978</c:v>
                </c:pt>
                <c:pt idx="104">
                  <c:v>9.0399999999999778</c:v>
                </c:pt>
                <c:pt idx="105">
                  <c:v>9.0499999999999776</c:v>
                </c:pt>
                <c:pt idx="106">
                  <c:v>9.0599999999999774</c:v>
                </c:pt>
                <c:pt idx="107">
                  <c:v>9.0699999999999772</c:v>
                </c:pt>
                <c:pt idx="108">
                  <c:v>9.079999999999977</c:v>
                </c:pt>
                <c:pt idx="109">
                  <c:v>9.0899999999999768</c:v>
                </c:pt>
                <c:pt idx="110">
                  <c:v>9.0999999999999766</c:v>
                </c:pt>
                <c:pt idx="111">
                  <c:v>9.1099999999999763</c:v>
                </c:pt>
                <c:pt idx="112">
                  <c:v>9.1199999999999761</c:v>
                </c:pt>
                <c:pt idx="113">
                  <c:v>9.1299999999999759</c:v>
                </c:pt>
                <c:pt idx="114">
                  <c:v>9.1399999999999757</c:v>
                </c:pt>
                <c:pt idx="115">
                  <c:v>9.1499999999999755</c:v>
                </c:pt>
                <c:pt idx="116">
                  <c:v>9.1599999999999753</c:v>
                </c:pt>
                <c:pt idx="117">
                  <c:v>9.1699999999999751</c:v>
                </c:pt>
                <c:pt idx="118">
                  <c:v>9.1799999999999748</c:v>
                </c:pt>
                <c:pt idx="119">
                  <c:v>9.1899999999999746</c:v>
                </c:pt>
                <c:pt idx="120">
                  <c:v>9.1999999999999744</c:v>
                </c:pt>
                <c:pt idx="121">
                  <c:v>9.2099999999999742</c:v>
                </c:pt>
                <c:pt idx="122">
                  <c:v>9.219999999999974</c:v>
                </c:pt>
                <c:pt idx="123">
                  <c:v>9.2299999999999738</c:v>
                </c:pt>
                <c:pt idx="124">
                  <c:v>9.2399999999999736</c:v>
                </c:pt>
                <c:pt idx="125">
                  <c:v>9.2499999999999734</c:v>
                </c:pt>
                <c:pt idx="126">
                  <c:v>9.2599999999999731</c:v>
                </c:pt>
                <c:pt idx="127">
                  <c:v>9.2699999999999729</c:v>
                </c:pt>
                <c:pt idx="128">
                  <c:v>9.2799999999999727</c:v>
                </c:pt>
                <c:pt idx="129">
                  <c:v>9.2899999999999725</c:v>
                </c:pt>
                <c:pt idx="130">
                  <c:v>9.2999999999999723</c:v>
                </c:pt>
                <c:pt idx="131">
                  <c:v>9.3099999999999721</c:v>
                </c:pt>
                <c:pt idx="132">
                  <c:v>9.3199999999999719</c:v>
                </c:pt>
                <c:pt idx="133">
                  <c:v>9.3299999999999716</c:v>
                </c:pt>
                <c:pt idx="134">
                  <c:v>9.3399999999999714</c:v>
                </c:pt>
                <c:pt idx="135">
                  <c:v>9.3499999999999712</c:v>
                </c:pt>
                <c:pt idx="136">
                  <c:v>9.359999999999971</c:v>
                </c:pt>
                <c:pt idx="137">
                  <c:v>9.3699999999999708</c:v>
                </c:pt>
                <c:pt idx="138">
                  <c:v>9.3799999999999706</c:v>
                </c:pt>
                <c:pt idx="139">
                  <c:v>9.3899999999999704</c:v>
                </c:pt>
                <c:pt idx="140">
                  <c:v>9.3999999999999702</c:v>
                </c:pt>
                <c:pt idx="141">
                  <c:v>9.4099999999999699</c:v>
                </c:pt>
                <c:pt idx="142">
                  <c:v>9.4199999999999697</c:v>
                </c:pt>
                <c:pt idx="143">
                  <c:v>9.4299999999999695</c:v>
                </c:pt>
                <c:pt idx="144">
                  <c:v>9.4399999999999693</c:v>
                </c:pt>
                <c:pt idx="145">
                  <c:v>9.4499999999999691</c:v>
                </c:pt>
                <c:pt idx="146">
                  <c:v>9.4599999999999689</c:v>
                </c:pt>
                <c:pt idx="147">
                  <c:v>9.4699999999999687</c:v>
                </c:pt>
                <c:pt idx="148">
                  <c:v>9.4799999999999685</c:v>
                </c:pt>
                <c:pt idx="149">
                  <c:v>9.4899999999999682</c:v>
                </c:pt>
                <c:pt idx="150">
                  <c:v>9.499999999999968</c:v>
                </c:pt>
                <c:pt idx="151">
                  <c:v>9.5099999999999678</c:v>
                </c:pt>
                <c:pt idx="152">
                  <c:v>9.5199999999999676</c:v>
                </c:pt>
                <c:pt idx="153">
                  <c:v>9.5299999999999674</c:v>
                </c:pt>
                <c:pt idx="154">
                  <c:v>9.5399999999999672</c:v>
                </c:pt>
                <c:pt idx="155">
                  <c:v>9.549999999999967</c:v>
                </c:pt>
                <c:pt idx="156">
                  <c:v>9.5599999999999667</c:v>
                </c:pt>
                <c:pt idx="157">
                  <c:v>9.5699999999999665</c:v>
                </c:pt>
                <c:pt idx="158">
                  <c:v>9.5799999999999663</c:v>
                </c:pt>
                <c:pt idx="159">
                  <c:v>9.5899999999999661</c:v>
                </c:pt>
                <c:pt idx="160">
                  <c:v>9.5999999999999659</c:v>
                </c:pt>
                <c:pt idx="161">
                  <c:v>9.6099999999999657</c:v>
                </c:pt>
                <c:pt idx="162">
                  <c:v>9.6199999999999655</c:v>
                </c:pt>
                <c:pt idx="163">
                  <c:v>9.6299999999999653</c:v>
                </c:pt>
                <c:pt idx="164">
                  <c:v>9.639999999999965</c:v>
                </c:pt>
                <c:pt idx="165">
                  <c:v>9.6499999999999648</c:v>
                </c:pt>
                <c:pt idx="166">
                  <c:v>9.6599999999999646</c:v>
                </c:pt>
                <c:pt idx="167">
                  <c:v>9.6699999999999644</c:v>
                </c:pt>
                <c:pt idx="168">
                  <c:v>9.6799999999999642</c:v>
                </c:pt>
                <c:pt idx="169">
                  <c:v>9.689999999999964</c:v>
                </c:pt>
                <c:pt idx="170">
                  <c:v>9.6999999999999638</c:v>
                </c:pt>
                <c:pt idx="171">
                  <c:v>9.7099999999999635</c:v>
                </c:pt>
                <c:pt idx="172">
                  <c:v>9.7199999999999633</c:v>
                </c:pt>
                <c:pt idx="173">
                  <c:v>9.7299999999999631</c:v>
                </c:pt>
                <c:pt idx="174">
                  <c:v>9.7399999999999629</c:v>
                </c:pt>
                <c:pt idx="175">
                  <c:v>9.7499999999999627</c:v>
                </c:pt>
                <c:pt idx="176">
                  <c:v>9.7599999999999625</c:v>
                </c:pt>
                <c:pt idx="177">
                  <c:v>9.7699999999999623</c:v>
                </c:pt>
                <c:pt idx="178">
                  <c:v>9.7799999999999621</c:v>
                </c:pt>
                <c:pt idx="179">
                  <c:v>9.7899999999999618</c:v>
                </c:pt>
                <c:pt idx="180">
                  <c:v>9.7999999999999616</c:v>
                </c:pt>
                <c:pt idx="181">
                  <c:v>9.8099999999999614</c:v>
                </c:pt>
                <c:pt idx="182">
                  <c:v>9.8199999999999612</c:v>
                </c:pt>
                <c:pt idx="183">
                  <c:v>9.829999999999961</c:v>
                </c:pt>
                <c:pt idx="184">
                  <c:v>9.8399999999999608</c:v>
                </c:pt>
                <c:pt idx="185">
                  <c:v>9.8499999999999606</c:v>
                </c:pt>
                <c:pt idx="186">
                  <c:v>9.8599999999999604</c:v>
                </c:pt>
                <c:pt idx="187">
                  <c:v>9.8699999999999601</c:v>
                </c:pt>
                <c:pt idx="188">
                  <c:v>9.8799999999999599</c:v>
                </c:pt>
                <c:pt idx="189">
                  <c:v>9.8899999999999597</c:v>
                </c:pt>
                <c:pt idx="190">
                  <c:v>9.8999999999999595</c:v>
                </c:pt>
                <c:pt idx="191">
                  <c:v>9.9099999999999593</c:v>
                </c:pt>
                <c:pt idx="192">
                  <c:v>9.9199999999999591</c:v>
                </c:pt>
                <c:pt idx="193">
                  <c:v>9.9299999999999589</c:v>
                </c:pt>
                <c:pt idx="194">
                  <c:v>9.9399999999999586</c:v>
                </c:pt>
                <c:pt idx="195">
                  <c:v>9.9499999999999584</c:v>
                </c:pt>
                <c:pt idx="196">
                  <c:v>9.9599999999999582</c:v>
                </c:pt>
                <c:pt idx="197">
                  <c:v>9.969999999999958</c:v>
                </c:pt>
                <c:pt idx="198">
                  <c:v>9.9799999999999578</c:v>
                </c:pt>
                <c:pt idx="199">
                  <c:v>9.9899999999999576</c:v>
                </c:pt>
                <c:pt idx="200">
                  <c:v>9.9999999999999574</c:v>
                </c:pt>
                <c:pt idx="201">
                  <c:v>10.009999999999957</c:v>
                </c:pt>
                <c:pt idx="202">
                  <c:v>10.019999999999957</c:v>
                </c:pt>
                <c:pt idx="203">
                  <c:v>10.029999999999957</c:v>
                </c:pt>
                <c:pt idx="204">
                  <c:v>10.039999999999957</c:v>
                </c:pt>
                <c:pt idx="205">
                  <c:v>10.049999999999956</c:v>
                </c:pt>
                <c:pt idx="206">
                  <c:v>10.059999999999956</c:v>
                </c:pt>
                <c:pt idx="207">
                  <c:v>10.069999999999956</c:v>
                </c:pt>
                <c:pt idx="208">
                  <c:v>10.079999999999956</c:v>
                </c:pt>
                <c:pt idx="209">
                  <c:v>10.089999999999955</c:v>
                </c:pt>
                <c:pt idx="210">
                  <c:v>10.099999999999955</c:v>
                </c:pt>
                <c:pt idx="211">
                  <c:v>10.109999999999955</c:v>
                </c:pt>
                <c:pt idx="212">
                  <c:v>10.119999999999955</c:v>
                </c:pt>
                <c:pt idx="213">
                  <c:v>10.129999999999955</c:v>
                </c:pt>
                <c:pt idx="214">
                  <c:v>10.139999999999954</c:v>
                </c:pt>
                <c:pt idx="215">
                  <c:v>10.149999999999954</c:v>
                </c:pt>
                <c:pt idx="216">
                  <c:v>10.159999999999954</c:v>
                </c:pt>
                <c:pt idx="217">
                  <c:v>10.169999999999954</c:v>
                </c:pt>
                <c:pt idx="218">
                  <c:v>10.179999999999954</c:v>
                </c:pt>
                <c:pt idx="219">
                  <c:v>10.189999999999953</c:v>
                </c:pt>
                <c:pt idx="220">
                  <c:v>10.199999999999953</c:v>
                </c:pt>
                <c:pt idx="221">
                  <c:v>10.209999999999953</c:v>
                </c:pt>
                <c:pt idx="222">
                  <c:v>10.219999999999953</c:v>
                </c:pt>
                <c:pt idx="223">
                  <c:v>10.229999999999952</c:v>
                </c:pt>
                <c:pt idx="224">
                  <c:v>10.239999999999952</c:v>
                </c:pt>
                <c:pt idx="225">
                  <c:v>10.249999999999952</c:v>
                </c:pt>
                <c:pt idx="226">
                  <c:v>10.259999999999952</c:v>
                </c:pt>
                <c:pt idx="227">
                  <c:v>10.269999999999952</c:v>
                </c:pt>
                <c:pt idx="228">
                  <c:v>10.279999999999951</c:v>
                </c:pt>
                <c:pt idx="229">
                  <c:v>10.289999999999951</c:v>
                </c:pt>
                <c:pt idx="230">
                  <c:v>10.299999999999951</c:v>
                </c:pt>
                <c:pt idx="231">
                  <c:v>10.309999999999951</c:v>
                </c:pt>
                <c:pt idx="232">
                  <c:v>10.319999999999951</c:v>
                </c:pt>
                <c:pt idx="233">
                  <c:v>10.32999999999995</c:v>
                </c:pt>
                <c:pt idx="234">
                  <c:v>10.33999999999995</c:v>
                </c:pt>
                <c:pt idx="235">
                  <c:v>10.34999999999995</c:v>
                </c:pt>
                <c:pt idx="236">
                  <c:v>10.35999999999995</c:v>
                </c:pt>
                <c:pt idx="237">
                  <c:v>10.369999999999949</c:v>
                </c:pt>
                <c:pt idx="238">
                  <c:v>10.379999999999949</c:v>
                </c:pt>
                <c:pt idx="239">
                  <c:v>10.389999999999949</c:v>
                </c:pt>
                <c:pt idx="240">
                  <c:v>10.399999999999949</c:v>
                </c:pt>
                <c:pt idx="241">
                  <c:v>10.409999999999949</c:v>
                </c:pt>
                <c:pt idx="242">
                  <c:v>10.419999999999948</c:v>
                </c:pt>
                <c:pt idx="243">
                  <c:v>10.429999999999948</c:v>
                </c:pt>
                <c:pt idx="244">
                  <c:v>10.439999999999948</c:v>
                </c:pt>
                <c:pt idx="245">
                  <c:v>10.449999999999948</c:v>
                </c:pt>
                <c:pt idx="246">
                  <c:v>10.459999999999948</c:v>
                </c:pt>
                <c:pt idx="247">
                  <c:v>10.469999999999947</c:v>
                </c:pt>
                <c:pt idx="248">
                  <c:v>10.479999999999947</c:v>
                </c:pt>
                <c:pt idx="249">
                  <c:v>10.489999999999947</c:v>
                </c:pt>
                <c:pt idx="250">
                  <c:v>10.499999999999947</c:v>
                </c:pt>
                <c:pt idx="251">
                  <c:v>10.509999999999946</c:v>
                </c:pt>
                <c:pt idx="252">
                  <c:v>10.519999999999946</c:v>
                </c:pt>
                <c:pt idx="253">
                  <c:v>10.529999999999946</c:v>
                </c:pt>
                <c:pt idx="254">
                  <c:v>10.539999999999946</c:v>
                </c:pt>
                <c:pt idx="255">
                  <c:v>10.549999999999946</c:v>
                </c:pt>
                <c:pt idx="256">
                  <c:v>10.559999999999945</c:v>
                </c:pt>
                <c:pt idx="257">
                  <c:v>10.569999999999945</c:v>
                </c:pt>
                <c:pt idx="258">
                  <c:v>10.579999999999945</c:v>
                </c:pt>
                <c:pt idx="259">
                  <c:v>10.589999999999945</c:v>
                </c:pt>
                <c:pt idx="260">
                  <c:v>10.599999999999945</c:v>
                </c:pt>
                <c:pt idx="261">
                  <c:v>10.609999999999944</c:v>
                </c:pt>
                <c:pt idx="262">
                  <c:v>10.619999999999944</c:v>
                </c:pt>
                <c:pt idx="263">
                  <c:v>10.629999999999944</c:v>
                </c:pt>
                <c:pt idx="264">
                  <c:v>10.639999999999944</c:v>
                </c:pt>
                <c:pt idx="265">
                  <c:v>10.649999999999944</c:v>
                </c:pt>
                <c:pt idx="266">
                  <c:v>10.659999999999943</c:v>
                </c:pt>
                <c:pt idx="267">
                  <c:v>10.669999999999943</c:v>
                </c:pt>
                <c:pt idx="268">
                  <c:v>10.679999999999943</c:v>
                </c:pt>
                <c:pt idx="269">
                  <c:v>10.689999999999943</c:v>
                </c:pt>
                <c:pt idx="270">
                  <c:v>10.699999999999942</c:v>
                </c:pt>
                <c:pt idx="271">
                  <c:v>10.709999999999942</c:v>
                </c:pt>
                <c:pt idx="272">
                  <c:v>10.719999999999942</c:v>
                </c:pt>
                <c:pt idx="273">
                  <c:v>10.729999999999942</c:v>
                </c:pt>
                <c:pt idx="274">
                  <c:v>10.739999999999942</c:v>
                </c:pt>
                <c:pt idx="275">
                  <c:v>10.749999999999941</c:v>
                </c:pt>
                <c:pt idx="276">
                  <c:v>10.759999999999941</c:v>
                </c:pt>
                <c:pt idx="277">
                  <c:v>10.769999999999941</c:v>
                </c:pt>
                <c:pt idx="278">
                  <c:v>10.779999999999941</c:v>
                </c:pt>
                <c:pt idx="279">
                  <c:v>10.789999999999941</c:v>
                </c:pt>
                <c:pt idx="280">
                  <c:v>10.79999999999994</c:v>
                </c:pt>
                <c:pt idx="281">
                  <c:v>10.80999999999994</c:v>
                </c:pt>
                <c:pt idx="282">
                  <c:v>10.81999999999994</c:v>
                </c:pt>
                <c:pt idx="283">
                  <c:v>10.82999999999994</c:v>
                </c:pt>
                <c:pt idx="284">
                  <c:v>10.839999999999939</c:v>
                </c:pt>
                <c:pt idx="285">
                  <c:v>10.849999999999939</c:v>
                </c:pt>
                <c:pt idx="286">
                  <c:v>10.859999999999939</c:v>
                </c:pt>
                <c:pt idx="287">
                  <c:v>10.869999999999939</c:v>
                </c:pt>
                <c:pt idx="288">
                  <c:v>10.879999999999939</c:v>
                </c:pt>
                <c:pt idx="289">
                  <c:v>10.889999999999938</c:v>
                </c:pt>
                <c:pt idx="290">
                  <c:v>10.899999999999938</c:v>
                </c:pt>
                <c:pt idx="291">
                  <c:v>10.909999999999938</c:v>
                </c:pt>
                <c:pt idx="292">
                  <c:v>10.919999999999938</c:v>
                </c:pt>
                <c:pt idx="293">
                  <c:v>10.929999999999938</c:v>
                </c:pt>
                <c:pt idx="294">
                  <c:v>10.939999999999937</c:v>
                </c:pt>
                <c:pt idx="295">
                  <c:v>10.949999999999937</c:v>
                </c:pt>
                <c:pt idx="296">
                  <c:v>10.959999999999937</c:v>
                </c:pt>
                <c:pt idx="297">
                  <c:v>10.969999999999937</c:v>
                </c:pt>
                <c:pt idx="298">
                  <c:v>10.979999999999936</c:v>
                </c:pt>
                <c:pt idx="299">
                  <c:v>10.989999999999936</c:v>
                </c:pt>
                <c:pt idx="300">
                  <c:v>10.999999999999936</c:v>
                </c:pt>
                <c:pt idx="301">
                  <c:v>11.009999999999936</c:v>
                </c:pt>
                <c:pt idx="302">
                  <c:v>11.019999999999936</c:v>
                </c:pt>
                <c:pt idx="303">
                  <c:v>11.029999999999935</c:v>
                </c:pt>
                <c:pt idx="304">
                  <c:v>11.039999999999935</c:v>
                </c:pt>
                <c:pt idx="305">
                  <c:v>11.049999999999935</c:v>
                </c:pt>
                <c:pt idx="306">
                  <c:v>11.059999999999935</c:v>
                </c:pt>
                <c:pt idx="307">
                  <c:v>11.069999999999935</c:v>
                </c:pt>
                <c:pt idx="308">
                  <c:v>11.079999999999934</c:v>
                </c:pt>
                <c:pt idx="309">
                  <c:v>11.089999999999934</c:v>
                </c:pt>
                <c:pt idx="310">
                  <c:v>11.099999999999934</c:v>
                </c:pt>
                <c:pt idx="311">
                  <c:v>11.109999999999934</c:v>
                </c:pt>
                <c:pt idx="312">
                  <c:v>11.119999999999933</c:v>
                </c:pt>
                <c:pt idx="313">
                  <c:v>11.129999999999933</c:v>
                </c:pt>
                <c:pt idx="314">
                  <c:v>11.139999999999933</c:v>
                </c:pt>
                <c:pt idx="315">
                  <c:v>11.149999999999933</c:v>
                </c:pt>
                <c:pt idx="316">
                  <c:v>11.159999999999933</c:v>
                </c:pt>
                <c:pt idx="317">
                  <c:v>11.169999999999932</c:v>
                </c:pt>
                <c:pt idx="318">
                  <c:v>11.179999999999932</c:v>
                </c:pt>
                <c:pt idx="319">
                  <c:v>11.189999999999932</c:v>
                </c:pt>
                <c:pt idx="320">
                  <c:v>11.199999999999932</c:v>
                </c:pt>
                <c:pt idx="321">
                  <c:v>11.209999999999932</c:v>
                </c:pt>
                <c:pt idx="322">
                  <c:v>11.219999999999931</c:v>
                </c:pt>
                <c:pt idx="323">
                  <c:v>11.229999999999931</c:v>
                </c:pt>
                <c:pt idx="324">
                  <c:v>11.239999999999931</c:v>
                </c:pt>
                <c:pt idx="325">
                  <c:v>11.249999999999931</c:v>
                </c:pt>
                <c:pt idx="326">
                  <c:v>11.259999999999931</c:v>
                </c:pt>
                <c:pt idx="327">
                  <c:v>11.26999999999993</c:v>
                </c:pt>
                <c:pt idx="328">
                  <c:v>11.27999999999993</c:v>
                </c:pt>
                <c:pt idx="329">
                  <c:v>11.28999999999993</c:v>
                </c:pt>
                <c:pt idx="330">
                  <c:v>11.29999999999993</c:v>
                </c:pt>
                <c:pt idx="331">
                  <c:v>11.309999999999929</c:v>
                </c:pt>
                <c:pt idx="332">
                  <c:v>11.319999999999929</c:v>
                </c:pt>
                <c:pt idx="333">
                  <c:v>11.329999999999929</c:v>
                </c:pt>
                <c:pt idx="334">
                  <c:v>11.339999999999929</c:v>
                </c:pt>
                <c:pt idx="335">
                  <c:v>11.349999999999929</c:v>
                </c:pt>
                <c:pt idx="336">
                  <c:v>11.359999999999928</c:v>
                </c:pt>
                <c:pt idx="337">
                  <c:v>11.369999999999928</c:v>
                </c:pt>
                <c:pt idx="338">
                  <c:v>11.379999999999928</c:v>
                </c:pt>
                <c:pt idx="339">
                  <c:v>11.389999999999928</c:v>
                </c:pt>
                <c:pt idx="340">
                  <c:v>11.399999999999928</c:v>
                </c:pt>
                <c:pt idx="341">
                  <c:v>11.409999999999927</c:v>
                </c:pt>
                <c:pt idx="342">
                  <c:v>11.419999999999927</c:v>
                </c:pt>
                <c:pt idx="343">
                  <c:v>11.429999999999927</c:v>
                </c:pt>
                <c:pt idx="344">
                  <c:v>11.439999999999927</c:v>
                </c:pt>
                <c:pt idx="345">
                  <c:v>11.449999999999926</c:v>
                </c:pt>
                <c:pt idx="346">
                  <c:v>11.459999999999926</c:v>
                </c:pt>
                <c:pt idx="347">
                  <c:v>11.469999999999926</c:v>
                </c:pt>
                <c:pt idx="348">
                  <c:v>11.479999999999926</c:v>
                </c:pt>
                <c:pt idx="349">
                  <c:v>11.489999999999926</c:v>
                </c:pt>
                <c:pt idx="350">
                  <c:v>11.499999999999925</c:v>
                </c:pt>
                <c:pt idx="351">
                  <c:v>11.509999999999925</c:v>
                </c:pt>
                <c:pt idx="352">
                  <c:v>11.519999999999925</c:v>
                </c:pt>
                <c:pt idx="353">
                  <c:v>11.529999999999925</c:v>
                </c:pt>
                <c:pt idx="354">
                  <c:v>11.539999999999925</c:v>
                </c:pt>
                <c:pt idx="355">
                  <c:v>11.549999999999924</c:v>
                </c:pt>
                <c:pt idx="356">
                  <c:v>11.559999999999924</c:v>
                </c:pt>
                <c:pt idx="357">
                  <c:v>11.569999999999924</c:v>
                </c:pt>
                <c:pt idx="358">
                  <c:v>11.579999999999924</c:v>
                </c:pt>
                <c:pt idx="359">
                  <c:v>11.589999999999923</c:v>
                </c:pt>
                <c:pt idx="360">
                  <c:v>11.599999999999923</c:v>
                </c:pt>
                <c:pt idx="361">
                  <c:v>11.609999999999923</c:v>
                </c:pt>
                <c:pt idx="362">
                  <c:v>11.619999999999923</c:v>
                </c:pt>
                <c:pt idx="363">
                  <c:v>11.629999999999923</c:v>
                </c:pt>
                <c:pt idx="364">
                  <c:v>11.639999999999922</c:v>
                </c:pt>
                <c:pt idx="365">
                  <c:v>11.649999999999922</c:v>
                </c:pt>
                <c:pt idx="366">
                  <c:v>11.659999999999922</c:v>
                </c:pt>
                <c:pt idx="367">
                  <c:v>11.669999999999922</c:v>
                </c:pt>
                <c:pt idx="368">
                  <c:v>11.679999999999922</c:v>
                </c:pt>
                <c:pt idx="369">
                  <c:v>11.689999999999921</c:v>
                </c:pt>
                <c:pt idx="370">
                  <c:v>11.699999999999921</c:v>
                </c:pt>
                <c:pt idx="371">
                  <c:v>11.709999999999921</c:v>
                </c:pt>
                <c:pt idx="372">
                  <c:v>11.719999999999921</c:v>
                </c:pt>
                <c:pt idx="373">
                  <c:v>11.72999999999992</c:v>
                </c:pt>
                <c:pt idx="374">
                  <c:v>11.73999999999992</c:v>
                </c:pt>
                <c:pt idx="375">
                  <c:v>11.74999999999992</c:v>
                </c:pt>
                <c:pt idx="376">
                  <c:v>11.75999999999992</c:v>
                </c:pt>
                <c:pt idx="377">
                  <c:v>11.76999999999992</c:v>
                </c:pt>
                <c:pt idx="378">
                  <c:v>11.779999999999919</c:v>
                </c:pt>
                <c:pt idx="379">
                  <c:v>11.789999999999919</c:v>
                </c:pt>
                <c:pt idx="380">
                  <c:v>11.799999999999919</c:v>
                </c:pt>
                <c:pt idx="381">
                  <c:v>11.809999999999919</c:v>
                </c:pt>
                <c:pt idx="382">
                  <c:v>11.819999999999919</c:v>
                </c:pt>
                <c:pt idx="383">
                  <c:v>11.829999999999918</c:v>
                </c:pt>
                <c:pt idx="384">
                  <c:v>11.839999999999918</c:v>
                </c:pt>
                <c:pt idx="385">
                  <c:v>11.849999999999918</c:v>
                </c:pt>
                <c:pt idx="386">
                  <c:v>11.859999999999918</c:v>
                </c:pt>
                <c:pt idx="387">
                  <c:v>11.869999999999918</c:v>
                </c:pt>
                <c:pt idx="388">
                  <c:v>11.879999999999917</c:v>
                </c:pt>
                <c:pt idx="389">
                  <c:v>11.889999999999917</c:v>
                </c:pt>
                <c:pt idx="390">
                  <c:v>11.899999999999917</c:v>
                </c:pt>
                <c:pt idx="391">
                  <c:v>11.909999999999917</c:v>
                </c:pt>
                <c:pt idx="392">
                  <c:v>11.919999999999916</c:v>
                </c:pt>
                <c:pt idx="393">
                  <c:v>11.929999999999916</c:v>
                </c:pt>
                <c:pt idx="394">
                  <c:v>11.939999999999916</c:v>
                </c:pt>
                <c:pt idx="395">
                  <c:v>11.949999999999916</c:v>
                </c:pt>
                <c:pt idx="396">
                  <c:v>11.959999999999916</c:v>
                </c:pt>
                <c:pt idx="397">
                  <c:v>11.969999999999915</c:v>
                </c:pt>
                <c:pt idx="398">
                  <c:v>11.979999999999915</c:v>
                </c:pt>
                <c:pt idx="399">
                  <c:v>11.989999999999915</c:v>
                </c:pt>
                <c:pt idx="400">
                  <c:v>11.999999999999915</c:v>
                </c:pt>
                <c:pt idx="401">
                  <c:v>12.009999999999915</c:v>
                </c:pt>
                <c:pt idx="402">
                  <c:v>12.019999999999914</c:v>
                </c:pt>
                <c:pt idx="403">
                  <c:v>12.029999999999914</c:v>
                </c:pt>
                <c:pt idx="404">
                  <c:v>12.039999999999914</c:v>
                </c:pt>
                <c:pt idx="405">
                  <c:v>12.049999999999914</c:v>
                </c:pt>
                <c:pt idx="406">
                  <c:v>12.059999999999913</c:v>
                </c:pt>
                <c:pt idx="407">
                  <c:v>12.069999999999913</c:v>
                </c:pt>
                <c:pt idx="408">
                  <c:v>12.079999999999913</c:v>
                </c:pt>
                <c:pt idx="409">
                  <c:v>12.089999999999913</c:v>
                </c:pt>
                <c:pt idx="410">
                  <c:v>12.099999999999913</c:v>
                </c:pt>
                <c:pt idx="411">
                  <c:v>12.109999999999912</c:v>
                </c:pt>
                <c:pt idx="412">
                  <c:v>12.119999999999912</c:v>
                </c:pt>
                <c:pt idx="413">
                  <c:v>12.129999999999912</c:v>
                </c:pt>
                <c:pt idx="414">
                  <c:v>12.139999999999912</c:v>
                </c:pt>
                <c:pt idx="415">
                  <c:v>12.149999999999912</c:v>
                </c:pt>
                <c:pt idx="416">
                  <c:v>12.159999999999911</c:v>
                </c:pt>
                <c:pt idx="417">
                  <c:v>12.169999999999911</c:v>
                </c:pt>
                <c:pt idx="418">
                  <c:v>12.179999999999911</c:v>
                </c:pt>
                <c:pt idx="419">
                  <c:v>12.189999999999911</c:v>
                </c:pt>
                <c:pt idx="420">
                  <c:v>12.19999999999991</c:v>
                </c:pt>
                <c:pt idx="421">
                  <c:v>12.20999999999991</c:v>
                </c:pt>
                <c:pt idx="422">
                  <c:v>12.21999999999991</c:v>
                </c:pt>
                <c:pt idx="423">
                  <c:v>12.22999999999991</c:v>
                </c:pt>
                <c:pt idx="424">
                  <c:v>12.23999999999991</c:v>
                </c:pt>
                <c:pt idx="425">
                  <c:v>12.249999999999909</c:v>
                </c:pt>
                <c:pt idx="426">
                  <c:v>12.259999999999909</c:v>
                </c:pt>
                <c:pt idx="427">
                  <c:v>12.269999999999909</c:v>
                </c:pt>
                <c:pt idx="428">
                  <c:v>12.279999999999909</c:v>
                </c:pt>
                <c:pt idx="429">
                  <c:v>12.289999999999909</c:v>
                </c:pt>
                <c:pt idx="430">
                  <c:v>12.299999999999908</c:v>
                </c:pt>
                <c:pt idx="431">
                  <c:v>12.309999999999908</c:v>
                </c:pt>
                <c:pt idx="432">
                  <c:v>12.319999999999908</c:v>
                </c:pt>
                <c:pt idx="433">
                  <c:v>12.329999999999908</c:v>
                </c:pt>
                <c:pt idx="434">
                  <c:v>12.339999999999907</c:v>
                </c:pt>
                <c:pt idx="435">
                  <c:v>12.349999999999907</c:v>
                </c:pt>
                <c:pt idx="436">
                  <c:v>12.359999999999907</c:v>
                </c:pt>
                <c:pt idx="437">
                  <c:v>12.369999999999907</c:v>
                </c:pt>
                <c:pt idx="438">
                  <c:v>12.379999999999907</c:v>
                </c:pt>
                <c:pt idx="439">
                  <c:v>12.389999999999906</c:v>
                </c:pt>
                <c:pt idx="440">
                  <c:v>12.399999999999906</c:v>
                </c:pt>
                <c:pt idx="441">
                  <c:v>12.409999999999906</c:v>
                </c:pt>
                <c:pt idx="442">
                  <c:v>12.419999999999906</c:v>
                </c:pt>
                <c:pt idx="443">
                  <c:v>12.429999999999906</c:v>
                </c:pt>
                <c:pt idx="444">
                  <c:v>12.439999999999905</c:v>
                </c:pt>
                <c:pt idx="445">
                  <c:v>12.449999999999905</c:v>
                </c:pt>
                <c:pt idx="446">
                  <c:v>12.459999999999905</c:v>
                </c:pt>
                <c:pt idx="447">
                  <c:v>12.469999999999905</c:v>
                </c:pt>
                <c:pt idx="448">
                  <c:v>12.479999999999905</c:v>
                </c:pt>
                <c:pt idx="449">
                  <c:v>12.489999999999904</c:v>
                </c:pt>
                <c:pt idx="450">
                  <c:v>12.499999999999904</c:v>
                </c:pt>
                <c:pt idx="451">
                  <c:v>12.509999999999904</c:v>
                </c:pt>
                <c:pt idx="452">
                  <c:v>12.519999999999904</c:v>
                </c:pt>
                <c:pt idx="453">
                  <c:v>12.529999999999903</c:v>
                </c:pt>
                <c:pt idx="454">
                  <c:v>12.539999999999903</c:v>
                </c:pt>
                <c:pt idx="455">
                  <c:v>12.549999999999903</c:v>
                </c:pt>
                <c:pt idx="456">
                  <c:v>12.559999999999903</c:v>
                </c:pt>
                <c:pt idx="457">
                  <c:v>12.569999999999903</c:v>
                </c:pt>
                <c:pt idx="458">
                  <c:v>12.579999999999902</c:v>
                </c:pt>
                <c:pt idx="459">
                  <c:v>12.589999999999902</c:v>
                </c:pt>
                <c:pt idx="460">
                  <c:v>12.599999999999902</c:v>
                </c:pt>
                <c:pt idx="461">
                  <c:v>12.609999999999902</c:v>
                </c:pt>
                <c:pt idx="462">
                  <c:v>12.619999999999902</c:v>
                </c:pt>
                <c:pt idx="463">
                  <c:v>12.629999999999901</c:v>
                </c:pt>
                <c:pt idx="464">
                  <c:v>12.639999999999901</c:v>
                </c:pt>
                <c:pt idx="465">
                  <c:v>12.649999999999901</c:v>
                </c:pt>
                <c:pt idx="466">
                  <c:v>12.659999999999901</c:v>
                </c:pt>
                <c:pt idx="467">
                  <c:v>12.6699999999999</c:v>
                </c:pt>
                <c:pt idx="468">
                  <c:v>12.6799999999999</c:v>
                </c:pt>
                <c:pt idx="469">
                  <c:v>12.6899999999999</c:v>
                </c:pt>
                <c:pt idx="470">
                  <c:v>12.6999999999999</c:v>
                </c:pt>
                <c:pt idx="471">
                  <c:v>12.7099999999999</c:v>
                </c:pt>
                <c:pt idx="472">
                  <c:v>12.719999999999899</c:v>
                </c:pt>
                <c:pt idx="473">
                  <c:v>12.729999999999899</c:v>
                </c:pt>
                <c:pt idx="474">
                  <c:v>12.739999999999899</c:v>
                </c:pt>
                <c:pt idx="475">
                  <c:v>12.749999999999899</c:v>
                </c:pt>
                <c:pt idx="476">
                  <c:v>12.759999999999899</c:v>
                </c:pt>
                <c:pt idx="477">
                  <c:v>12.769999999999898</c:v>
                </c:pt>
                <c:pt idx="478">
                  <c:v>12.779999999999898</c:v>
                </c:pt>
                <c:pt idx="479">
                  <c:v>12.789999999999898</c:v>
                </c:pt>
                <c:pt idx="480">
                  <c:v>12.799999999999898</c:v>
                </c:pt>
                <c:pt idx="481">
                  <c:v>12.809999999999897</c:v>
                </c:pt>
                <c:pt idx="482">
                  <c:v>12.819999999999897</c:v>
                </c:pt>
                <c:pt idx="483">
                  <c:v>12.829999999999897</c:v>
                </c:pt>
                <c:pt idx="484">
                  <c:v>12.839999999999897</c:v>
                </c:pt>
                <c:pt idx="485">
                  <c:v>12.849999999999897</c:v>
                </c:pt>
                <c:pt idx="486">
                  <c:v>12.859999999999896</c:v>
                </c:pt>
                <c:pt idx="487">
                  <c:v>12.869999999999896</c:v>
                </c:pt>
                <c:pt idx="488">
                  <c:v>12.879999999999896</c:v>
                </c:pt>
                <c:pt idx="489">
                  <c:v>12.889999999999896</c:v>
                </c:pt>
                <c:pt idx="490">
                  <c:v>12.899999999999896</c:v>
                </c:pt>
                <c:pt idx="491">
                  <c:v>12.909999999999895</c:v>
                </c:pt>
                <c:pt idx="492">
                  <c:v>12.919999999999895</c:v>
                </c:pt>
                <c:pt idx="493">
                  <c:v>12.929999999999895</c:v>
                </c:pt>
                <c:pt idx="494">
                  <c:v>12.939999999999895</c:v>
                </c:pt>
                <c:pt idx="495">
                  <c:v>12.949999999999894</c:v>
                </c:pt>
                <c:pt idx="496">
                  <c:v>12.959999999999894</c:v>
                </c:pt>
                <c:pt idx="497">
                  <c:v>12.969999999999894</c:v>
                </c:pt>
                <c:pt idx="498">
                  <c:v>12.979999999999894</c:v>
                </c:pt>
                <c:pt idx="499">
                  <c:v>12.989999999999894</c:v>
                </c:pt>
              </c:numCache>
            </c:numRef>
          </c:cat>
          <c:val>
            <c:numRef>
              <c:f>'Example of Inferential Stats'!$D$103:$D$602</c:f>
              <c:numCache>
                <c:formatCode>0.0000</c:formatCode>
                <c:ptCount val="500"/>
                <c:pt idx="0">
                  <c:v>2.6766045152977074E-4</c:v>
                </c:pt>
                <c:pt idx="1">
                  <c:v>2.8989512084778157E-4</c:v>
                </c:pt>
                <c:pt idx="2">
                  <c:v>3.1385126813106339E-4</c:v>
                </c:pt>
                <c:pt idx="3">
                  <c:v>3.3965119885868533E-4</c:v>
                </c:pt>
                <c:pt idx="4">
                  <c:v>3.6742499600491161E-4</c:v>
                </c:pt>
                <c:pt idx="5">
                  <c:v>3.9731094278554186E-4</c:v>
                </c:pt>
                <c:pt idx="6">
                  <c:v>4.2945596300072948E-4</c:v>
                </c:pt>
                <c:pt idx="7">
                  <c:v>4.640160793138794E-4</c:v>
                </c:pt>
                <c:pt idx="8">
                  <c:v>5.0115688978171489E-4</c:v>
                </c:pt>
                <c:pt idx="9">
                  <c:v>5.4105406292303377E-4</c:v>
                </c:pt>
                <c:pt idx="10">
                  <c:v>5.8389385158291068E-4</c:v>
                </c:pt>
                <c:pt idx="11">
                  <c:v>6.2987362581503248E-4</c:v>
                </c:pt>
                <c:pt idx="12">
                  <c:v>6.7920242496729633E-4</c:v>
                </c:pt>
                <c:pt idx="13">
                  <c:v>7.3210152911465571E-4</c:v>
                </c:pt>
                <c:pt idx="14">
                  <c:v>7.8880504993829564E-4</c:v>
                </c:pt>
                <c:pt idx="15">
                  <c:v>8.4956054110148335E-4</c:v>
                </c:pt>
                <c:pt idx="16">
                  <c:v>9.1462962811969084E-4</c:v>
                </c:pt>
                <c:pt idx="17">
                  <c:v>9.8428865766576087E-4</c:v>
                </c:pt>
                <c:pt idx="18">
                  <c:v>1.0588293661898404E-3</c:v>
                </c:pt>
                <c:pt idx="19">
                  <c:v>1.1385595676684718E-3</c:v>
                </c:pt>
                <c:pt idx="20">
                  <c:v>1.2238038602275069E-3</c:v>
                </c:pt>
                <c:pt idx="21">
                  <c:v>1.3149043513093108E-3</c:v>
                </c:pt>
                <c:pt idx="22">
                  <c:v>1.412221400976026E-3</c:v>
                </c:pt>
                <c:pt idx="23">
                  <c:v>1.5161343828573679E-3</c:v>
                </c:pt>
                <c:pt idx="24">
                  <c:v>1.6270424621635578E-3</c:v>
                </c:pt>
                <c:pt idx="25">
                  <c:v>1.7453653900914553E-3</c:v>
                </c:pt>
                <c:pt idx="26">
                  <c:v>1.8715443138548878E-3</c:v>
                </c:pt>
                <c:pt idx="27">
                  <c:v>2.006042601468395E-3</c:v>
                </c:pt>
                <c:pt idx="28">
                  <c:v>2.1493466803073815E-3</c:v>
                </c:pt>
                <c:pt idx="29">
                  <c:v>2.3019668883568706E-3</c:v>
                </c:pt>
                <c:pt idx="30">
                  <c:v>2.4644383369459301E-3</c:v>
                </c:pt>
                <c:pt idx="31">
                  <c:v>2.6373217836453645E-3</c:v>
                </c:pt>
                <c:pt idx="32">
                  <c:v>2.8212045138826369E-3</c:v>
                </c:pt>
                <c:pt idx="33">
                  <c:v>3.0167012297004727E-3</c:v>
                </c:pt>
                <c:pt idx="34">
                  <c:v>3.2244549439540918E-3</c:v>
                </c:pt>
                <c:pt idx="35">
                  <c:v>3.4451378781071912E-3</c:v>
                </c:pt>
                <c:pt idx="36">
                  <c:v>3.6794523616483724E-3</c:v>
                </c:pt>
                <c:pt idx="37">
                  <c:v>3.9281317310085493E-3</c:v>
                </c:pt>
                <c:pt idx="38">
                  <c:v>4.1919412257156678E-3</c:v>
                </c:pt>
                <c:pt idx="39">
                  <c:v>4.4716788793768385E-3</c:v>
                </c:pt>
                <c:pt idx="40">
                  <c:v>4.7681764029294266E-3</c:v>
                </c:pt>
                <c:pt idx="41">
                  <c:v>5.0823000574527627E-3</c:v>
                </c:pt>
                <c:pt idx="42">
                  <c:v>5.4149515136810971E-3</c:v>
                </c:pt>
                <c:pt idx="43">
                  <c:v>5.7670686952065453E-3</c:v>
                </c:pt>
                <c:pt idx="44">
                  <c:v>6.1396266022091268E-3</c:v>
                </c:pt>
                <c:pt idx="45">
                  <c:v>6.5336381123994548E-3</c:v>
                </c:pt>
                <c:pt idx="46">
                  <c:v>6.950154755709456E-3</c:v>
                </c:pt>
                <c:pt idx="47">
                  <c:v>7.390267459117617E-3</c:v>
                </c:pt>
                <c:pt idx="48">
                  <c:v>7.8551072578490703E-3</c:v>
                </c:pt>
                <c:pt idx="49">
                  <c:v>8.3458459690473989E-3</c:v>
                </c:pt>
                <c:pt idx="50">
                  <c:v>8.8636968238754478E-3</c:v>
                </c:pt>
                <c:pt idx="51">
                  <c:v>9.4099150538673494E-3</c:v>
                </c:pt>
                <c:pt idx="52">
                  <c:v>9.9857984272240952E-3</c:v>
                </c:pt>
                <c:pt idx="53">
                  <c:v>1.0592687730621334E-2</c:v>
                </c:pt>
                <c:pt idx="54">
                  <c:v>1.1231967191981178E-2</c:v>
                </c:pt>
                <c:pt idx="55">
                  <c:v>1.1905064839550903E-2</c:v>
                </c:pt>
                <c:pt idx="56">
                  <c:v>1.2613452792530983E-2</c:v>
                </c:pt>
                <c:pt idx="57">
                  <c:v>1.3358647478404305E-2</c:v>
                </c:pt>
                <c:pt idx="58">
                  <c:v>1.4142209772037907E-2</c:v>
                </c:pt>
                <c:pt idx="59">
                  <c:v>1.4965745051560056E-2</c:v>
                </c:pt>
                <c:pt idx="60">
                  <c:v>1.5830903165958796E-2</c:v>
                </c:pt>
                <c:pt idx="61">
                  <c:v>1.6739378309304848E-2</c:v>
                </c:pt>
                <c:pt idx="62">
                  <c:v>1.7692908796473155E-2</c:v>
                </c:pt>
                <c:pt idx="63">
                  <c:v>1.8693276735223197E-2</c:v>
                </c:pt>
                <c:pt idx="64">
                  <c:v>1.9742307589500806E-2</c:v>
                </c:pt>
                <c:pt idx="65">
                  <c:v>2.0841869628843636E-2</c:v>
                </c:pt>
                <c:pt idx="66">
                  <c:v>2.1993873258809502E-2</c:v>
                </c:pt>
                <c:pt idx="67">
                  <c:v>2.3200270227403372E-2</c:v>
                </c:pt>
                <c:pt idx="68">
                  <c:v>2.4463052702554073E-2</c:v>
                </c:pt>
                <c:pt idx="69">
                  <c:v>2.5784252215788624E-2</c:v>
                </c:pt>
                <c:pt idx="70">
                  <c:v>2.716593846736913E-2</c:v>
                </c:pt>
                <c:pt idx="71">
                  <c:v>2.8610217988297156E-2</c:v>
                </c:pt>
                <c:pt idx="72">
                  <c:v>3.0119232654752533E-2</c:v>
                </c:pt>
                <c:pt idx="73">
                  <c:v>3.1695158050719131E-2</c:v>
                </c:pt>
                <c:pt idx="74">
                  <c:v>3.3340201674759477E-2</c:v>
                </c:pt>
                <c:pt idx="75">
                  <c:v>3.505660098713427E-2</c:v>
                </c:pt>
                <c:pt idx="76">
                  <c:v>3.6846621293721134E-2</c:v>
                </c:pt>
                <c:pt idx="77">
                  <c:v>3.8712553463470793E-2</c:v>
                </c:pt>
                <c:pt idx="78">
                  <c:v>4.0656711476448372E-2</c:v>
                </c:pt>
                <c:pt idx="79">
                  <c:v>4.2681429799842081E-2</c:v>
                </c:pt>
                <c:pt idx="80">
                  <c:v>4.4789060589682121E-2</c:v>
                </c:pt>
                <c:pt idx="81">
                  <c:v>4.6981970716398869E-2</c:v>
                </c:pt>
                <c:pt idx="82">
                  <c:v>4.9262538612760948E-2</c:v>
                </c:pt>
                <c:pt idx="83">
                  <c:v>5.1633150943171099E-2</c:v>
                </c:pt>
                <c:pt idx="84">
                  <c:v>5.4096199093759061E-2</c:v>
                </c:pt>
                <c:pt idx="85">
                  <c:v>5.6654075483197612E-2</c:v>
                </c:pt>
                <c:pt idx="86">
                  <c:v>5.9309169694677581E-2</c:v>
                </c:pt>
                <c:pt idx="87">
                  <c:v>6.2063864430011308E-2</c:v>
                </c:pt>
                <c:pt idx="88">
                  <c:v>6.4920531287389477E-2</c:v>
                </c:pt>
                <c:pt idx="89">
                  <c:v>6.7881526364892669E-2</c:v>
                </c:pt>
                <c:pt idx="90">
                  <c:v>7.0949185692456895E-2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7.0949185692483527E-2</c:v>
                </c:pt>
                <c:pt idx="311">
                  <c:v>6.7881526364918371E-2</c:v>
                </c:pt>
                <c:pt idx="312">
                  <c:v>6.4920531287414263E-2</c:v>
                </c:pt>
                <c:pt idx="313">
                  <c:v>6.2063864430035233E-2</c:v>
                </c:pt>
                <c:pt idx="314">
                  <c:v>5.9309169694700646E-2</c:v>
                </c:pt>
                <c:pt idx="315">
                  <c:v>5.6654075483219858E-2</c:v>
                </c:pt>
                <c:pt idx="316">
                  <c:v>5.4096199093780467E-2</c:v>
                </c:pt>
                <c:pt idx="317">
                  <c:v>5.1633150943191694E-2</c:v>
                </c:pt>
                <c:pt idx="318">
                  <c:v>4.9262538612780765E-2</c:v>
                </c:pt>
                <c:pt idx="319">
                  <c:v>4.6981970716417923E-2</c:v>
                </c:pt>
                <c:pt idx="320">
                  <c:v>4.4789060589700461E-2</c:v>
                </c:pt>
                <c:pt idx="321">
                  <c:v>4.2681429799859706E-2</c:v>
                </c:pt>
                <c:pt idx="322">
                  <c:v>4.0656711476465289E-2</c:v>
                </c:pt>
                <c:pt idx="323">
                  <c:v>3.8712553463487023E-2</c:v>
                </c:pt>
                <c:pt idx="324">
                  <c:v>3.6846621293736725E-2</c:v>
                </c:pt>
                <c:pt idx="325">
                  <c:v>3.5056600987149224E-2</c:v>
                </c:pt>
                <c:pt idx="326">
                  <c:v>3.3340201674773792E-2</c:v>
                </c:pt>
                <c:pt idx="327">
                  <c:v>3.1695158050732856E-2</c:v>
                </c:pt>
                <c:pt idx="328">
                  <c:v>3.0119232654765682E-2</c:v>
                </c:pt>
                <c:pt idx="329">
                  <c:v>2.8610217988309733E-2</c:v>
                </c:pt>
                <c:pt idx="330">
                  <c:v>2.7165938467381169E-2</c:v>
                </c:pt>
                <c:pt idx="331">
                  <c:v>2.5784252215800146E-2</c:v>
                </c:pt>
                <c:pt idx="332">
                  <c:v>2.4463052702565088E-2</c:v>
                </c:pt>
                <c:pt idx="333">
                  <c:v>2.3200270227413892E-2</c:v>
                </c:pt>
                <c:pt idx="334">
                  <c:v>2.1993873258819553E-2</c:v>
                </c:pt>
                <c:pt idx="335">
                  <c:v>2.0841869628853222E-2</c:v>
                </c:pt>
                <c:pt idx="336">
                  <c:v>1.9742307589509969E-2</c:v>
                </c:pt>
                <c:pt idx="337">
                  <c:v>1.869327673523194E-2</c:v>
                </c:pt>
                <c:pt idx="338">
                  <c:v>1.7692908796481485E-2</c:v>
                </c:pt>
                <c:pt idx="339">
                  <c:v>1.6739378309312779E-2</c:v>
                </c:pt>
                <c:pt idx="340">
                  <c:v>1.5830903165966352E-2</c:v>
                </c:pt>
                <c:pt idx="341">
                  <c:v>1.4965745051567253E-2</c:v>
                </c:pt>
                <c:pt idx="342">
                  <c:v>1.4142209772044752E-2</c:v>
                </c:pt>
                <c:pt idx="343">
                  <c:v>1.3358647478410819E-2</c:v>
                </c:pt>
                <c:pt idx="344">
                  <c:v>1.2613452792537177E-2</c:v>
                </c:pt>
                <c:pt idx="345">
                  <c:v>1.1905064839556783E-2</c:v>
                </c:pt>
                <c:pt idx="346">
                  <c:v>1.1231967191986766E-2</c:v>
                </c:pt>
                <c:pt idx="347">
                  <c:v>1.0592687730626641E-2</c:v>
                </c:pt>
                <c:pt idx="348">
                  <c:v>9.9857984272291329E-3</c:v>
                </c:pt>
                <c:pt idx="349">
                  <c:v>9.4099150538721303E-3</c:v>
                </c:pt>
                <c:pt idx="350">
                  <c:v>8.8636968238799824E-3</c:v>
                </c:pt>
                <c:pt idx="351">
                  <c:v>8.3458459690516976E-3</c:v>
                </c:pt>
                <c:pt idx="352">
                  <c:v>7.8551072578531434E-3</c:v>
                </c:pt>
                <c:pt idx="353">
                  <c:v>7.3902674591214699E-3</c:v>
                </c:pt>
                <c:pt idx="354">
                  <c:v>6.9501547557131041E-3</c:v>
                </c:pt>
                <c:pt idx="355">
                  <c:v>6.5336381124029069E-3</c:v>
                </c:pt>
                <c:pt idx="356">
                  <c:v>6.1396266022123933E-3</c:v>
                </c:pt>
                <c:pt idx="357">
                  <c:v>5.767068695209634E-3</c:v>
                </c:pt>
                <c:pt idx="358">
                  <c:v>5.4149515136840158E-3</c:v>
                </c:pt>
                <c:pt idx="359">
                  <c:v>5.0823000574555218E-3</c:v>
                </c:pt>
                <c:pt idx="360">
                  <c:v>4.768176402932027E-3</c:v>
                </c:pt>
                <c:pt idx="361">
                  <c:v>4.4716788793792966E-3</c:v>
                </c:pt>
                <c:pt idx="362">
                  <c:v>4.1919412257179827E-3</c:v>
                </c:pt>
                <c:pt idx="363">
                  <c:v>3.9281317310107334E-3</c:v>
                </c:pt>
                <c:pt idx="364">
                  <c:v>3.6794523616504315E-3</c:v>
                </c:pt>
                <c:pt idx="365">
                  <c:v>3.4451378781091284E-3</c:v>
                </c:pt>
                <c:pt idx="366">
                  <c:v>3.2244549439559189E-3</c:v>
                </c:pt>
                <c:pt idx="367">
                  <c:v>3.0167012297021901E-3</c:v>
                </c:pt>
                <c:pt idx="368">
                  <c:v>2.8212045138842558E-3</c:v>
                </c:pt>
                <c:pt idx="369">
                  <c:v>2.637321783646885E-3</c:v>
                </c:pt>
                <c:pt idx="370">
                  <c:v>2.4644383369473596E-3</c:v>
                </c:pt>
                <c:pt idx="371">
                  <c:v>2.301966888358212E-3</c:v>
                </c:pt>
                <c:pt idx="372">
                  <c:v>2.1493466803086435E-3</c:v>
                </c:pt>
                <c:pt idx="373">
                  <c:v>2.0060426014695799E-3</c:v>
                </c:pt>
                <c:pt idx="374">
                  <c:v>1.8715443138559982E-3</c:v>
                </c:pt>
                <c:pt idx="375">
                  <c:v>1.7453653900924967E-3</c:v>
                </c:pt>
                <c:pt idx="376">
                  <c:v>1.6270424621645345E-3</c:v>
                </c:pt>
                <c:pt idx="377">
                  <c:v>1.5161343828582838E-3</c:v>
                </c:pt>
                <c:pt idx="378">
                  <c:v>1.4122214009768827E-3</c:v>
                </c:pt>
                <c:pt idx="379">
                  <c:v>1.3149043513101131E-3</c:v>
                </c:pt>
                <c:pt idx="380">
                  <c:v>1.2238038602282581E-3</c:v>
                </c:pt>
                <c:pt idx="381">
                  <c:v>1.1385595676691748E-3</c:v>
                </c:pt>
                <c:pt idx="382">
                  <c:v>1.0588293661904977E-3</c:v>
                </c:pt>
                <c:pt idx="383">
                  <c:v>9.842886576663754E-4</c:v>
                </c:pt>
                <c:pt idx="384">
                  <c:v>9.1462962812026525E-4</c:v>
                </c:pt>
                <c:pt idx="385">
                  <c:v>8.4956054110201895E-4</c:v>
                </c:pt>
                <c:pt idx="386">
                  <c:v>7.8880504993879589E-4</c:v>
                </c:pt>
                <c:pt idx="387">
                  <c:v>7.3210152911512257E-4</c:v>
                </c:pt>
                <c:pt idx="388">
                  <c:v>6.7920242496773186E-4</c:v>
                </c:pt>
                <c:pt idx="389">
                  <c:v>6.2987362581543808E-4</c:v>
                </c:pt>
                <c:pt idx="390">
                  <c:v>5.8389385158328928E-4</c:v>
                </c:pt>
                <c:pt idx="391">
                  <c:v>5.4105406292338657E-4</c:v>
                </c:pt>
                <c:pt idx="392">
                  <c:v>5.0115688978204286E-4</c:v>
                </c:pt>
                <c:pt idx="393">
                  <c:v>4.6401607931418476E-4</c:v>
                </c:pt>
                <c:pt idx="394">
                  <c:v>4.2945596300101365E-4</c:v>
                </c:pt>
                <c:pt idx="395">
                  <c:v>3.9731094278580624E-4</c:v>
                </c:pt>
                <c:pt idx="396">
                  <c:v>3.6742499600515702E-4</c:v>
                </c:pt>
                <c:pt idx="397">
                  <c:v>3.3965119885891372E-4</c:v>
                </c:pt>
                <c:pt idx="398">
                  <c:v>3.1385126813127524E-4</c:v>
                </c:pt>
                <c:pt idx="399">
                  <c:v>2.8989512084797852E-4</c:v>
                </c:pt>
                <c:pt idx="400">
                  <c:v>2.6766045152995331E-4</c:v>
                </c:pt>
                <c:pt idx="401">
                  <c:v>2.4703232668221671E-4</c:v>
                </c:pt>
                <c:pt idx="402">
                  <c:v>2.2790279613788713E-4</c:v>
                </c:pt>
                <c:pt idx="403">
                  <c:v>2.1017052086094693E-4</c:v>
                </c:pt>
                <c:pt idx="404">
                  <c:v>1.9374041679757483E-4</c:v>
                </c:pt>
                <c:pt idx="405">
                  <c:v>1.7852331435439206E-4</c:v>
                </c:pt>
                <c:pt idx="406">
                  <c:v>1.6443563307268913E-4</c:v>
                </c:pt>
                <c:pt idx="407">
                  <c:v>1.5139907106043106E-4</c:v>
                </c:pt>
                <c:pt idx="408">
                  <c:v>1.3934030873852965E-4</c:v>
                </c:pt>
                <c:pt idx="409">
                  <c:v>1.2819072645430535E-4</c:v>
                </c:pt>
                <c:pt idx="410">
                  <c:v>1.1788613551316619E-4</c:v>
                </c:pt>
                <c:pt idx="411">
                  <c:v>1.0836652217916037E-4</c:v>
                </c:pt>
                <c:pt idx="412">
                  <c:v>9.9575804196098462E-5</c:v>
                </c:pt>
                <c:pt idx="413">
                  <c:v>9.1461599383271027E-5</c:v>
                </c:pt>
                <c:pt idx="414">
                  <c:v>8.3975005863298042E-5</c:v>
                </c:pt>
                <c:pt idx="415">
                  <c:v>7.707039348423286E-5</c:v>
                </c:pt>
                <c:pt idx="416">
                  <c:v>7.0705206003600458E-5</c:v>
                </c:pt>
                <c:pt idx="417">
                  <c:v>6.4839773608477537E-5</c:v>
                </c:pt>
                <c:pt idx="418">
                  <c:v>5.9437135352930646E-5</c:v>
                </c:pt>
                <c:pt idx="419">
                  <c:v>5.4462871102027792E-5</c:v>
                </c:pt>
                <c:pt idx="420">
                  <c:v>4.9884942580146407E-5</c:v>
                </c:pt>
                <c:pt idx="421">
                  <c:v>4.5673543130330107E-5</c:v>
                </c:pt>
                <c:pt idx="422">
                  <c:v>4.1800955800934303E-5</c:v>
                </c:pt>
                <c:pt idx="423">
                  <c:v>3.8241419385666245E-5</c:v>
                </c:pt>
                <c:pt idx="424">
                  <c:v>3.4971002053306656E-5</c:v>
                </c:pt>
                <c:pt idx="425">
                  <c:v>3.1967482213837018E-5</c:v>
                </c:pt>
                <c:pt idx="426">
                  <c:v>2.9210236278329801E-5</c:v>
                </c:pt>
                <c:pt idx="427">
                  <c:v>2.6680132980733716E-5</c:v>
                </c:pt>
                <c:pt idx="428">
                  <c:v>2.4359433940557653E-5</c:v>
                </c:pt>
                <c:pt idx="429">
                  <c:v>2.2231700156374218E-5</c:v>
                </c:pt>
                <c:pt idx="430">
                  <c:v>2.0281704130990596E-5</c:v>
                </c:pt>
                <c:pt idx="431">
                  <c:v>1.8495347340026941E-5</c:v>
                </c:pt>
                <c:pt idx="432">
                  <c:v>1.685958276647195E-5</c:v>
                </c:pt>
                <c:pt idx="433">
                  <c:v>1.5362342234514148E-5</c:v>
                </c:pt>
                <c:pt idx="434">
                  <c:v>1.3992468286552889E-5</c:v>
                </c:pt>
                <c:pt idx="435">
                  <c:v>1.2739650357745315E-5</c:v>
                </c:pt>
                <c:pt idx="436">
                  <c:v>1.1594365012724728E-5</c:v>
                </c:pt>
                <c:pt idx="437">
                  <c:v>1.0547820019211919E-5</c:v>
                </c:pt>
                <c:pt idx="438">
                  <c:v>9.5919020431135629E-6</c:v>
                </c:pt>
                <c:pt idx="439">
                  <c:v>8.7191277593510796E-6</c:v>
                </c:pt>
                <c:pt idx="440">
                  <c:v>7.922598182071286E-6</c:v>
                </c:pt>
                <c:pt idx="441">
                  <c:v>7.1959560270490272E-6</c:v>
                </c:pt>
                <c:pt idx="442">
                  <c:v>6.5333459279925033E-6</c:v>
                </c:pt>
                <c:pt idx="443">
                  <c:v>5.9293773370959906E-6</c:v>
                </c:pt>
                <c:pt idx="444">
                  <c:v>5.3790899485480153E-6</c:v>
                </c:pt>
                <c:pt idx="445">
                  <c:v>4.8779214917912538E-6</c:v>
                </c:pt>
                <c:pt idx="446">
                  <c:v>4.4216777491409743E-6</c:v>
                </c:pt>
                <c:pt idx="447">
                  <c:v>4.0065046599007574E-6</c:v>
                </c:pt>
                <c:pt idx="448">
                  <c:v>3.6288623803675035E-6</c:v>
                </c:pt>
                <c:pt idx="449">
                  <c:v>3.2855011760932822E-6</c:v>
                </c:pt>
                <c:pt idx="450">
                  <c:v>2.9734390294714477E-6</c:v>
                </c:pt>
                <c:pt idx="451">
                  <c:v>2.6899408521414789E-6</c:v>
                </c:pt>
                <c:pt idx="452">
                  <c:v>2.4324991978649997E-6</c:v>
                </c:pt>
                <c:pt idx="453">
                  <c:v>2.1988163774185546E-6</c:v>
                </c:pt>
                <c:pt idx="454">
                  <c:v>1.986787882681779E-6</c:v>
                </c:pt>
                <c:pt idx="455">
                  <c:v>1.7944870324784397E-6</c:v>
                </c:pt>
                <c:pt idx="456">
                  <c:v>1.6201507578578836E-6</c:v>
                </c:pt>
                <c:pt idx="457">
                  <c:v>1.4621664493921603E-6</c:v>
                </c:pt>
                <c:pt idx="458">
                  <c:v>1.3190597937163742E-6</c:v>
                </c:pt>
                <c:pt idx="459">
                  <c:v>1.1894835309627571E-6</c:v>
                </c:pt>
                <c:pt idx="460">
                  <c:v>1.0722070689406179E-6</c:v>
                </c:pt>
                <c:pt idx="461">
                  <c:v>9.6610689390092655E-7</c:v>
                </c:pt>
                <c:pt idx="462">
                  <c:v>8.701577215039215E-7</c:v>
                </c:pt>
                <c:pt idx="463">
                  <c:v>7.8342433518777594E-7</c:v>
                </c:pt>
                <c:pt idx="464">
                  <c:v>7.0505406252354529E-7</c:v>
                </c:pt>
                <c:pt idx="465">
                  <c:v>6.3426984334386106E-7</c:v>
                </c:pt>
                <c:pt idx="466">
                  <c:v>5.7036384645739907E-7</c:v>
                </c:pt>
                <c:pt idx="467">
                  <c:v>5.1269159461546322E-7</c:v>
                </c:pt>
                <c:pt idx="468">
                  <c:v>4.6066656008833471E-7</c:v>
                </c:pt>
                <c:pt idx="469">
                  <c:v>4.1375519574437563E-7</c:v>
                </c:pt>
                <c:pt idx="470">
                  <c:v>3.7147236891146043E-7</c:v>
                </c:pt>
                <c:pt idx="471">
                  <c:v>3.3337716754481956E-7</c:v>
                </c:pt>
                <c:pt idx="472">
                  <c:v>2.9906905033464666E-7</c:v>
                </c:pt>
                <c:pt idx="473">
                  <c:v>2.6818431436738989E-7</c:v>
                </c:pt>
                <c:pt idx="474">
                  <c:v>2.4039285581283106E-7</c:v>
                </c:pt>
                <c:pt idx="475">
                  <c:v>2.1539520085110544E-7</c:v>
                </c:pt>
                <c:pt idx="476">
                  <c:v>1.9291978568568323E-7</c:v>
                </c:pt>
                <c:pt idx="477">
                  <c:v>1.7272046601581461E-7</c:v>
                </c:pt>
                <c:pt idx="478">
                  <c:v>1.5457423777063331E-7</c:v>
                </c:pt>
                <c:pt idx="479">
                  <c:v>1.3827915224240565E-7</c:v>
                </c:pt>
                <c:pt idx="480">
                  <c:v>1.236524100034586E-7</c:v>
                </c:pt>
                <c:pt idx="481">
                  <c:v>1.1052861915512173E-7</c:v>
                </c:pt>
                <c:pt idx="482">
                  <c:v>9.875820454232317E-8</c:v>
                </c:pt>
                <c:pt idx="483">
                  <c:v>8.8205955578848947E-8</c:v>
                </c:pt>
                <c:pt idx="484">
                  <c:v>7.8749701270089321E-8</c:v>
                </c:pt>
                <c:pt idx="485">
                  <c:v>7.0279101896491571E-8</c:v>
                </c:pt>
                <c:pt idx="486">
                  <c:v>6.2694547635913748E-8</c:v>
                </c:pt>
                <c:pt idx="487">
                  <c:v>5.5906155160376038E-8</c:v>
                </c:pt>
                <c:pt idx="488">
                  <c:v>4.9832853945961641E-8</c:v>
                </c:pt>
                <c:pt idx="489">
                  <c:v>4.4401554687211501E-8</c:v>
                </c:pt>
                <c:pt idx="490">
                  <c:v>3.9546392812537254E-8</c:v>
                </c:pt>
                <c:pt idx="491">
                  <c:v>3.5208040658014593E-8</c:v>
                </c:pt>
                <c:pt idx="492">
                  <c:v>3.1333082376303439E-8</c:v>
                </c:pt>
                <c:pt idx="493">
                  <c:v>2.7873446138129144E-8</c:v>
                </c:pt>
                <c:pt idx="494">
                  <c:v>2.4785888628330898E-8</c:v>
                </c:pt>
                <c:pt idx="495">
                  <c:v>2.2031527249392092E-8</c:v>
                </c:pt>
                <c:pt idx="496">
                  <c:v>1.9575415824906837E-8</c:v>
                </c:pt>
                <c:pt idx="497">
                  <c:v>1.7386159945782274E-8</c:v>
                </c:pt>
                <c:pt idx="498">
                  <c:v>1.5435568425160579E-8</c:v>
                </c:pt>
                <c:pt idx="499">
                  <c:v>1.3698337625988989E-8</c:v>
                </c:pt>
              </c:numCache>
            </c:numRef>
          </c:val>
          <c:extLst>
            <c:ext xmlns:c16="http://schemas.microsoft.com/office/drawing/2014/chart" uri="{C3380CC4-5D6E-409C-BE32-E72D297353CC}">
              <c16:uniqueId val="{00000001-112E-418C-B351-970796C7EEE3}"/>
            </c:ext>
          </c:extLst>
        </c:ser>
        <c:ser>
          <c:idx val="2"/>
          <c:order val="2"/>
          <c:tx>
            <c:strRef>
              <c:f>'Example of Inferential Stats'!$E$102</c:f>
              <c:strCache>
                <c:ptCount val="1"/>
                <c:pt idx="0">
                  <c:v>P(alpha)</c:v>
                </c:pt>
              </c:strCache>
            </c:strRef>
          </c:tx>
          <c:spPr>
            <a:ln w="25400">
              <a:noFill/>
            </a:ln>
          </c:spPr>
          <c:cat>
            <c:numRef>
              <c:f>'Example of Inferential Stats'!$B$103:$B$602</c:f>
              <c:numCache>
                <c:formatCode>0.00</c:formatCode>
                <c:ptCount val="500"/>
                <c:pt idx="0">
                  <c:v>8</c:v>
                </c:pt>
                <c:pt idx="1">
                  <c:v>8.01</c:v>
                </c:pt>
                <c:pt idx="2">
                  <c:v>8.02</c:v>
                </c:pt>
                <c:pt idx="3">
                  <c:v>8.0299999999999994</c:v>
                </c:pt>
                <c:pt idx="4">
                  <c:v>8.0399999999999991</c:v>
                </c:pt>
                <c:pt idx="5">
                  <c:v>8.0499999999999989</c:v>
                </c:pt>
                <c:pt idx="6">
                  <c:v>8.0599999999999987</c:v>
                </c:pt>
                <c:pt idx="7">
                  <c:v>8.0699999999999985</c:v>
                </c:pt>
                <c:pt idx="8">
                  <c:v>8.0799999999999983</c:v>
                </c:pt>
                <c:pt idx="9">
                  <c:v>8.0899999999999981</c:v>
                </c:pt>
                <c:pt idx="10">
                  <c:v>8.0999999999999979</c:v>
                </c:pt>
                <c:pt idx="11">
                  <c:v>8.1099999999999977</c:v>
                </c:pt>
                <c:pt idx="12">
                  <c:v>8.1199999999999974</c:v>
                </c:pt>
                <c:pt idx="13">
                  <c:v>8.1299999999999972</c:v>
                </c:pt>
                <c:pt idx="14">
                  <c:v>8.139999999999997</c:v>
                </c:pt>
                <c:pt idx="15">
                  <c:v>8.1499999999999968</c:v>
                </c:pt>
                <c:pt idx="16">
                  <c:v>8.1599999999999966</c:v>
                </c:pt>
                <c:pt idx="17">
                  <c:v>8.1699999999999964</c:v>
                </c:pt>
                <c:pt idx="18">
                  <c:v>8.1799999999999962</c:v>
                </c:pt>
                <c:pt idx="19">
                  <c:v>8.1899999999999959</c:v>
                </c:pt>
                <c:pt idx="20">
                  <c:v>8.1999999999999957</c:v>
                </c:pt>
                <c:pt idx="21">
                  <c:v>8.2099999999999955</c:v>
                </c:pt>
                <c:pt idx="22">
                  <c:v>8.2199999999999953</c:v>
                </c:pt>
                <c:pt idx="23">
                  <c:v>8.2299999999999951</c:v>
                </c:pt>
                <c:pt idx="24">
                  <c:v>8.2399999999999949</c:v>
                </c:pt>
                <c:pt idx="25">
                  <c:v>8.2499999999999947</c:v>
                </c:pt>
                <c:pt idx="26">
                  <c:v>8.2599999999999945</c:v>
                </c:pt>
                <c:pt idx="27">
                  <c:v>8.2699999999999942</c:v>
                </c:pt>
                <c:pt idx="28">
                  <c:v>8.279999999999994</c:v>
                </c:pt>
                <c:pt idx="29">
                  <c:v>8.2899999999999938</c:v>
                </c:pt>
                <c:pt idx="30">
                  <c:v>8.2999999999999936</c:v>
                </c:pt>
                <c:pt idx="31">
                  <c:v>8.3099999999999934</c:v>
                </c:pt>
                <c:pt idx="32">
                  <c:v>8.3199999999999932</c:v>
                </c:pt>
                <c:pt idx="33">
                  <c:v>8.329999999999993</c:v>
                </c:pt>
                <c:pt idx="34">
                  <c:v>8.3399999999999928</c:v>
                </c:pt>
                <c:pt idx="35">
                  <c:v>8.3499999999999925</c:v>
                </c:pt>
                <c:pt idx="36">
                  <c:v>8.3599999999999923</c:v>
                </c:pt>
                <c:pt idx="37">
                  <c:v>8.3699999999999921</c:v>
                </c:pt>
                <c:pt idx="38">
                  <c:v>8.3799999999999919</c:v>
                </c:pt>
                <c:pt idx="39">
                  <c:v>8.3899999999999917</c:v>
                </c:pt>
                <c:pt idx="40">
                  <c:v>8.3999999999999915</c:v>
                </c:pt>
                <c:pt idx="41">
                  <c:v>8.4099999999999913</c:v>
                </c:pt>
                <c:pt idx="42">
                  <c:v>8.419999999999991</c:v>
                </c:pt>
                <c:pt idx="43">
                  <c:v>8.4299999999999908</c:v>
                </c:pt>
                <c:pt idx="44">
                  <c:v>8.4399999999999906</c:v>
                </c:pt>
                <c:pt idx="45">
                  <c:v>8.4499999999999904</c:v>
                </c:pt>
                <c:pt idx="46">
                  <c:v>8.4599999999999902</c:v>
                </c:pt>
                <c:pt idx="47">
                  <c:v>8.46999999999999</c:v>
                </c:pt>
                <c:pt idx="48">
                  <c:v>8.4799999999999898</c:v>
                </c:pt>
                <c:pt idx="49">
                  <c:v>8.4899999999999896</c:v>
                </c:pt>
                <c:pt idx="50">
                  <c:v>8.4999999999999893</c:v>
                </c:pt>
                <c:pt idx="51">
                  <c:v>8.5099999999999891</c:v>
                </c:pt>
                <c:pt idx="52">
                  <c:v>8.5199999999999889</c:v>
                </c:pt>
                <c:pt idx="53">
                  <c:v>8.5299999999999887</c:v>
                </c:pt>
                <c:pt idx="54">
                  <c:v>8.5399999999999885</c:v>
                </c:pt>
                <c:pt idx="55">
                  <c:v>8.5499999999999883</c:v>
                </c:pt>
                <c:pt idx="56">
                  <c:v>8.5599999999999881</c:v>
                </c:pt>
                <c:pt idx="57">
                  <c:v>8.5699999999999878</c:v>
                </c:pt>
                <c:pt idx="58">
                  <c:v>8.5799999999999876</c:v>
                </c:pt>
                <c:pt idx="59">
                  <c:v>8.5899999999999874</c:v>
                </c:pt>
                <c:pt idx="60">
                  <c:v>8.5999999999999872</c:v>
                </c:pt>
                <c:pt idx="61">
                  <c:v>8.609999999999987</c:v>
                </c:pt>
                <c:pt idx="62">
                  <c:v>8.6199999999999868</c:v>
                </c:pt>
                <c:pt idx="63">
                  <c:v>8.6299999999999866</c:v>
                </c:pt>
                <c:pt idx="64">
                  <c:v>8.6399999999999864</c:v>
                </c:pt>
                <c:pt idx="65">
                  <c:v>8.6499999999999861</c:v>
                </c:pt>
                <c:pt idx="66">
                  <c:v>8.6599999999999859</c:v>
                </c:pt>
                <c:pt idx="67">
                  <c:v>8.6699999999999857</c:v>
                </c:pt>
                <c:pt idx="68">
                  <c:v>8.6799999999999855</c:v>
                </c:pt>
                <c:pt idx="69">
                  <c:v>8.6899999999999853</c:v>
                </c:pt>
                <c:pt idx="70">
                  <c:v>8.6999999999999851</c:v>
                </c:pt>
                <c:pt idx="71">
                  <c:v>8.7099999999999849</c:v>
                </c:pt>
                <c:pt idx="72">
                  <c:v>8.7199999999999847</c:v>
                </c:pt>
                <c:pt idx="73">
                  <c:v>8.7299999999999844</c:v>
                </c:pt>
                <c:pt idx="74">
                  <c:v>8.7399999999999842</c:v>
                </c:pt>
                <c:pt idx="75">
                  <c:v>8.749999999999984</c:v>
                </c:pt>
                <c:pt idx="76">
                  <c:v>8.7599999999999838</c:v>
                </c:pt>
                <c:pt idx="77">
                  <c:v>8.7699999999999836</c:v>
                </c:pt>
                <c:pt idx="78">
                  <c:v>8.7799999999999834</c:v>
                </c:pt>
                <c:pt idx="79">
                  <c:v>8.7899999999999832</c:v>
                </c:pt>
                <c:pt idx="80">
                  <c:v>8.7999999999999829</c:v>
                </c:pt>
                <c:pt idx="81">
                  <c:v>8.8099999999999827</c:v>
                </c:pt>
                <c:pt idx="82">
                  <c:v>8.8199999999999825</c:v>
                </c:pt>
                <c:pt idx="83">
                  <c:v>8.8299999999999823</c:v>
                </c:pt>
                <c:pt idx="84">
                  <c:v>8.8399999999999821</c:v>
                </c:pt>
                <c:pt idx="85">
                  <c:v>8.8499999999999819</c:v>
                </c:pt>
                <c:pt idx="86">
                  <c:v>8.8599999999999817</c:v>
                </c:pt>
                <c:pt idx="87">
                  <c:v>8.8699999999999815</c:v>
                </c:pt>
                <c:pt idx="88">
                  <c:v>8.8799999999999812</c:v>
                </c:pt>
                <c:pt idx="89">
                  <c:v>8.889999999999981</c:v>
                </c:pt>
                <c:pt idx="90">
                  <c:v>8.8999999999999808</c:v>
                </c:pt>
                <c:pt idx="91">
                  <c:v>8.9099999999999806</c:v>
                </c:pt>
                <c:pt idx="92">
                  <c:v>8.9199999999999804</c:v>
                </c:pt>
                <c:pt idx="93">
                  <c:v>8.9299999999999802</c:v>
                </c:pt>
                <c:pt idx="94">
                  <c:v>8.93999999999998</c:v>
                </c:pt>
                <c:pt idx="95">
                  <c:v>8.9499999999999797</c:v>
                </c:pt>
                <c:pt idx="96">
                  <c:v>8.9599999999999795</c:v>
                </c:pt>
                <c:pt idx="97">
                  <c:v>8.9699999999999793</c:v>
                </c:pt>
                <c:pt idx="98">
                  <c:v>8.9799999999999791</c:v>
                </c:pt>
                <c:pt idx="99">
                  <c:v>8.9899999999999789</c:v>
                </c:pt>
                <c:pt idx="100">
                  <c:v>8.9999999999999787</c:v>
                </c:pt>
                <c:pt idx="101">
                  <c:v>9.0099999999999785</c:v>
                </c:pt>
                <c:pt idx="102">
                  <c:v>9.0199999999999783</c:v>
                </c:pt>
                <c:pt idx="103">
                  <c:v>9.029999999999978</c:v>
                </c:pt>
                <c:pt idx="104">
                  <c:v>9.0399999999999778</c:v>
                </c:pt>
                <c:pt idx="105">
                  <c:v>9.0499999999999776</c:v>
                </c:pt>
                <c:pt idx="106">
                  <c:v>9.0599999999999774</c:v>
                </c:pt>
                <c:pt idx="107">
                  <c:v>9.0699999999999772</c:v>
                </c:pt>
                <c:pt idx="108">
                  <c:v>9.079999999999977</c:v>
                </c:pt>
                <c:pt idx="109">
                  <c:v>9.0899999999999768</c:v>
                </c:pt>
                <c:pt idx="110">
                  <c:v>9.0999999999999766</c:v>
                </c:pt>
                <c:pt idx="111">
                  <c:v>9.1099999999999763</c:v>
                </c:pt>
                <c:pt idx="112">
                  <c:v>9.1199999999999761</c:v>
                </c:pt>
                <c:pt idx="113">
                  <c:v>9.1299999999999759</c:v>
                </c:pt>
                <c:pt idx="114">
                  <c:v>9.1399999999999757</c:v>
                </c:pt>
                <c:pt idx="115">
                  <c:v>9.1499999999999755</c:v>
                </c:pt>
                <c:pt idx="116">
                  <c:v>9.1599999999999753</c:v>
                </c:pt>
                <c:pt idx="117">
                  <c:v>9.1699999999999751</c:v>
                </c:pt>
                <c:pt idx="118">
                  <c:v>9.1799999999999748</c:v>
                </c:pt>
                <c:pt idx="119">
                  <c:v>9.1899999999999746</c:v>
                </c:pt>
                <c:pt idx="120">
                  <c:v>9.1999999999999744</c:v>
                </c:pt>
                <c:pt idx="121">
                  <c:v>9.2099999999999742</c:v>
                </c:pt>
                <c:pt idx="122">
                  <c:v>9.219999999999974</c:v>
                </c:pt>
                <c:pt idx="123">
                  <c:v>9.2299999999999738</c:v>
                </c:pt>
                <c:pt idx="124">
                  <c:v>9.2399999999999736</c:v>
                </c:pt>
                <c:pt idx="125">
                  <c:v>9.2499999999999734</c:v>
                </c:pt>
                <c:pt idx="126">
                  <c:v>9.2599999999999731</c:v>
                </c:pt>
                <c:pt idx="127">
                  <c:v>9.2699999999999729</c:v>
                </c:pt>
                <c:pt idx="128">
                  <c:v>9.2799999999999727</c:v>
                </c:pt>
                <c:pt idx="129">
                  <c:v>9.2899999999999725</c:v>
                </c:pt>
                <c:pt idx="130">
                  <c:v>9.2999999999999723</c:v>
                </c:pt>
                <c:pt idx="131">
                  <c:v>9.3099999999999721</c:v>
                </c:pt>
                <c:pt idx="132">
                  <c:v>9.3199999999999719</c:v>
                </c:pt>
                <c:pt idx="133">
                  <c:v>9.3299999999999716</c:v>
                </c:pt>
                <c:pt idx="134">
                  <c:v>9.3399999999999714</c:v>
                </c:pt>
                <c:pt idx="135">
                  <c:v>9.3499999999999712</c:v>
                </c:pt>
                <c:pt idx="136">
                  <c:v>9.359999999999971</c:v>
                </c:pt>
                <c:pt idx="137">
                  <c:v>9.3699999999999708</c:v>
                </c:pt>
                <c:pt idx="138">
                  <c:v>9.3799999999999706</c:v>
                </c:pt>
                <c:pt idx="139">
                  <c:v>9.3899999999999704</c:v>
                </c:pt>
                <c:pt idx="140">
                  <c:v>9.3999999999999702</c:v>
                </c:pt>
                <c:pt idx="141">
                  <c:v>9.4099999999999699</c:v>
                </c:pt>
                <c:pt idx="142">
                  <c:v>9.4199999999999697</c:v>
                </c:pt>
                <c:pt idx="143">
                  <c:v>9.4299999999999695</c:v>
                </c:pt>
                <c:pt idx="144">
                  <c:v>9.4399999999999693</c:v>
                </c:pt>
                <c:pt idx="145">
                  <c:v>9.4499999999999691</c:v>
                </c:pt>
                <c:pt idx="146">
                  <c:v>9.4599999999999689</c:v>
                </c:pt>
                <c:pt idx="147">
                  <c:v>9.4699999999999687</c:v>
                </c:pt>
                <c:pt idx="148">
                  <c:v>9.4799999999999685</c:v>
                </c:pt>
                <c:pt idx="149">
                  <c:v>9.4899999999999682</c:v>
                </c:pt>
                <c:pt idx="150">
                  <c:v>9.499999999999968</c:v>
                </c:pt>
                <c:pt idx="151">
                  <c:v>9.5099999999999678</c:v>
                </c:pt>
                <c:pt idx="152">
                  <c:v>9.5199999999999676</c:v>
                </c:pt>
                <c:pt idx="153">
                  <c:v>9.5299999999999674</c:v>
                </c:pt>
                <c:pt idx="154">
                  <c:v>9.5399999999999672</c:v>
                </c:pt>
                <c:pt idx="155">
                  <c:v>9.549999999999967</c:v>
                </c:pt>
                <c:pt idx="156">
                  <c:v>9.5599999999999667</c:v>
                </c:pt>
                <c:pt idx="157">
                  <c:v>9.5699999999999665</c:v>
                </c:pt>
                <c:pt idx="158">
                  <c:v>9.5799999999999663</c:v>
                </c:pt>
                <c:pt idx="159">
                  <c:v>9.5899999999999661</c:v>
                </c:pt>
                <c:pt idx="160">
                  <c:v>9.5999999999999659</c:v>
                </c:pt>
                <c:pt idx="161">
                  <c:v>9.6099999999999657</c:v>
                </c:pt>
                <c:pt idx="162">
                  <c:v>9.6199999999999655</c:v>
                </c:pt>
                <c:pt idx="163">
                  <c:v>9.6299999999999653</c:v>
                </c:pt>
                <c:pt idx="164">
                  <c:v>9.639999999999965</c:v>
                </c:pt>
                <c:pt idx="165">
                  <c:v>9.6499999999999648</c:v>
                </c:pt>
                <c:pt idx="166">
                  <c:v>9.6599999999999646</c:v>
                </c:pt>
                <c:pt idx="167">
                  <c:v>9.6699999999999644</c:v>
                </c:pt>
                <c:pt idx="168">
                  <c:v>9.6799999999999642</c:v>
                </c:pt>
                <c:pt idx="169">
                  <c:v>9.689999999999964</c:v>
                </c:pt>
                <c:pt idx="170">
                  <c:v>9.6999999999999638</c:v>
                </c:pt>
                <c:pt idx="171">
                  <c:v>9.7099999999999635</c:v>
                </c:pt>
                <c:pt idx="172">
                  <c:v>9.7199999999999633</c:v>
                </c:pt>
                <c:pt idx="173">
                  <c:v>9.7299999999999631</c:v>
                </c:pt>
                <c:pt idx="174">
                  <c:v>9.7399999999999629</c:v>
                </c:pt>
                <c:pt idx="175">
                  <c:v>9.7499999999999627</c:v>
                </c:pt>
                <c:pt idx="176">
                  <c:v>9.7599999999999625</c:v>
                </c:pt>
                <c:pt idx="177">
                  <c:v>9.7699999999999623</c:v>
                </c:pt>
                <c:pt idx="178">
                  <c:v>9.7799999999999621</c:v>
                </c:pt>
                <c:pt idx="179">
                  <c:v>9.7899999999999618</c:v>
                </c:pt>
                <c:pt idx="180">
                  <c:v>9.7999999999999616</c:v>
                </c:pt>
                <c:pt idx="181">
                  <c:v>9.8099999999999614</c:v>
                </c:pt>
                <c:pt idx="182">
                  <c:v>9.8199999999999612</c:v>
                </c:pt>
                <c:pt idx="183">
                  <c:v>9.829999999999961</c:v>
                </c:pt>
                <c:pt idx="184">
                  <c:v>9.8399999999999608</c:v>
                </c:pt>
                <c:pt idx="185">
                  <c:v>9.8499999999999606</c:v>
                </c:pt>
                <c:pt idx="186">
                  <c:v>9.8599999999999604</c:v>
                </c:pt>
                <c:pt idx="187">
                  <c:v>9.8699999999999601</c:v>
                </c:pt>
                <c:pt idx="188">
                  <c:v>9.8799999999999599</c:v>
                </c:pt>
                <c:pt idx="189">
                  <c:v>9.8899999999999597</c:v>
                </c:pt>
                <c:pt idx="190">
                  <c:v>9.8999999999999595</c:v>
                </c:pt>
                <c:pt idx="191">
                  <c:v>9.9099999999999593</c:v>
                </c:pt>
                <c:pt idx="192">
                  <c:v>9.9199999999999591</c:v>
                </c:pt>
                <c:pt idx="193">
                  <c:v>9.9299999999999589</c:v>
                </c:pt>
                <c:pt idx="194">
                  <c:v>9.9399999999999586</c:v>
                </c:pt>
                <c:pt idx="195">
                  <c:v>9.9499999999999584</c:v>
                </c:pt>
                <c:pt idx="196">
                  <c:v>9.9599999999999582</c:v>
                </c:pt>
                <c:pt idx="197">
                  <c:v>9.969999999999958</c:v>
                </c:pt>
                <c:pt idx="198">
                  <c:v>9.9799999999999578</c:v>
                </c:pt>
                <c:pt idx="199">
                  <c:v>9.9899999999999576</c:v>
                </c:pt>
                <c:pt idx="200">
                  <c:v>9.9999999999999574</c:v>
                </c:pt>
                <c:pt idx="201">
                  <c:v>10.009999999999957</c:v>
                </c:pt>
                <c:pt idx="202">
                  <c:v>10.019999999999957</c:v>
                </c:pt>
                <c:pt idx="203">
                  <c:v>10.029999999999957</c:v>
                </c:pt>
                <c:pt idx="204">
                  <c:v>10.039999999999957</c:v>
                </c:pt>
                <c:pt idx="205">
                  <c:v>10.049999999999956</c:v>
                </c:pt>
                <c:pt idx="206">
                  <c:v>10.059999999999956</c:v>
                </c:pt>
                <c:pt idx="207">
                  <c:v>10.069999999999956</c:v>
                </c:pt>
                <c:pt idx="208">
                  <c:v>10.079999999999956</c:v>
                </c:pt>
                <c:pt idx="209">
                  <c:v>10.089999999999955</c:v>
                </c:pt>
                <c:pt idx="210">
                  <c:v>10.099999999999955</c:v>
                </c:pt>
                <c:pt idx="211">
                  <c:v>10.109999999999955</c:v>
                </c:pt>
                <c:pt idx="212">
                  <c:v>10.119999999999955</c:v>
                </c:pt>
                <c:pt idx="213">
                  <c:v>10.129999999999955</c:v>
                </c:pt>
                <c:pt idx="214">
                  <c:v>10.139999999999954</c:v>
                </c:pt>
                <c:pt idx="215">
                  <c:v>10.149999999999954</c:v>
                </c:pt>
                <c:pt idx="216">
                  <c:v>10.159999999999954</c:v>
                </c:pt>
                <c:pt idx="217">
                  <c:v>10.169999999999954</c:v>
                </c:pt>
                <c:pt idx="218">
                  <c:v>10.179999999999954</c:v>
                </c:pt>
                <c:pt idx="219">
                  <c:v>10.189999999999953</c:v>
                </c:pt>
                <c:pt idx="220">
                  <c:v>10.199999999999953</c:v>
                </c:pt>
                <c:pt idx="221">
                  <c:v>10.209999999999953</c:v>
                </c:pt>
                <c:pt idx="222">
                  <c:v>10.219999999999953</c:v>
                </c:pt>
                <c:pt idx="223">
                  <c:v>10.229999999999952</c:v>
                </c:pt>
                <c:pt idx="224">
                  <c:v>10.239999999999952</c:v>
                </c:pt>
                <c:pt idx="225">
                  <c:v>10.249999999999952</c:v>
                </c:pt>
                <c:pt idx="226">
                  <c:v>10.259999999999952</c:v>
                </c:pt>
                <c:pt idx="227">
                  <c:v>10.269999999999952</c:v>
                </c:pt>
                <c:pt idx="228">
                  <c:v>10.279999999999951</c:v>
                </c:pt>
                <c:pt idx="229">
                  <c:v>10.289999999999951</c:v>
                </c:pt>
                <c:pt idx="230">
                  <c:v>10.299999999999951</c:v>
                </c:pt>
                <c:pt idx="231">
                  <c:v>10.309999999999951</c:v>
                </c:pt>
                <c:pt idx="232">
                  <c:v>10.319999999999951</c:v>
                </c:pt>
                <c:pt idx="233">
                  <c:v>10.32999999999995</c:v>
                </c:pt>
                <c:pt idx="234">
                  <c:v>10.33999999999995</c:v>
                </c:pt>
                <c:pt idx="235">
                  <c:v>10.34999999999995</c:v>
                </c:pt>
                <c:pt idx="236">
                  <c:v>10.35999999999995</c:v>
                </c:pt>
                <c:pt idx="237">
                  <c:v>10.369999999999949</c:v>
                </c:pt>
                <c:pt idx="238">
                  <c:v>10.379999999999949</c:v>
                </c:pt>
                <c:pt idx="239">
                  <c:v>10.389999999999949</c:v>
                </c:pt>
                <c:pt idx="240">
                  <c:v>10.399999999999949</c:v>
                </c:pt>
                <c:pt idx="241">
                  <c:v>10.409999999999949</c:v>
                </c:pt>
                <c:pt idx="242">
                  <c:v>10.419999999999948</c:v>
                </c:pt>
                <c:pt idx="243">
                  <c:v>10.429999999999948</c:v>
                </c:pt>
                <c:pt idx="244">
                  <c:v>10.439999999999948</c:v>
                </c:pt>
                <c:pt idx="245">
                  <c:v>10.449999999999948</c:v>
                </c:pt>
                <c:pt idx="246">
                  <c:v>10.459999999999948</c:v>
                </c:pt>
                <c:pt idx="247">
                  <c:v>10.469999999999947</c:v>
                </c:pt>
                <c:pt idx="248">
                  <c:v>10.479999999999947</c:v>
                </c:pt>
                <c:pt idx="249">
                  <c:v>10.489999999999947</c:v>
                </c:pt>
                <c:pt idx="250">
                  <c:v>10.499999999999947</c:v>
                </c:pt>
                <c:pt idx="251">
                  <c:v>10.509999999999946</c:v>
                </c:pt>
                <c:pt idx="252">
                  <c:v>10.519999999999946</c:v>
                </c:pt>
                <c:pt idx="253">
                  <c:v>10.529999999999946</c:v>
                </c:pt>
                <c:pt idx="254">
                  <c:v>10.539999999999946</c:v>
                </c:pt>
                <c:pt idx="255">
                  <c:v>10.549999999999946</c:v>
                </c:pt>
                <c:pt idx="256">
                  <c:v>10.559999999999945</c:v>
                </c:pt>
                <c:pt idx="257">
                  <c:v>10.569999999999945</c:v>
                </c:pt>
                <c:pt idx="258">
                  <c:v>10.579999999999945</c:v>
                </c:pt>
                <c:pt idx="259">
                  <c:v>10.589999999999945</c:v>
                </c:pt>
                <c:pt idx="260">
                  <c:v>10.599999999999945</c:v>
                </c:pt>
                <c:pt idx="261">
                  <c:v>10.609999999999944</c:v>
                </c:pt>
                <c:pt idx="262">
                  <c:v>10.619999999999944</c:v>
                </c:pt>
                <c:pt idx="263">
                  <c:v>10.629999999999944</c:v>
                </c:pt>
                <c:pt idx="264">
                  <c:v>10.639999999999944</c:v>
                </c:pt>
                <c:pt idx="265">
                  <c:v>10.649999999999944</c:v>
                </c:pt>
                <c:pt idx="266">
                  <c:v>10.659999999999943</c:v>
                </c:pt>
                <c:pt idx="267">
                  <c:v>10.669999999999943</c:v>
                </c:pt>
                <c:pt idx="268">
                  <c:v>10.679999999999943</c:v>
                </c:pt>
                <c:pt idx="269">
                  <c:v>10.689999999999943</c:v>
                </c:pt>
                <c:pt idx="270">
                  <c:v>10.699999999999942</c:v>
                </c:pt>
                <c:pt idx="271">
                  <c:v>10.709999999999942</c:v>
                </c:pt>
                <c:pt idx="272">
                  <c:v>10.719999999999942</c:v>
                </c:pt>
                <c:pt idx="273">
                  <c:v>10.729999999999942</c:v>
                </c:pt>
                <c:pt idx="274">
                  <c:v>10.739999999999942</c:v>
                </c:pt>
                <c:pt idx="275">
                  <c:v>10.749999999999941</c:v>
                </c:pt>
                <c:pt idx="276">
                  <c:v>10.759999999999941</c:v>
                </c:pt>
                <c:pt idx="277">
                  <c:v>10.769999999999941</c:v>
                </c:pt>
                <c:pt idx="278">
                  <c:v>10.779999999999941</c:v>
                </c:pt>
                <c:pt idx="279">
                  <c:v>10.789999999999941</c:v>
                </c:pt>
                <c:pt idx="280">
                  <c:v>10.79999999999994</c:v>
                </c:pt>
                <c:pt idx="281">
                  <c:v>10.80999999999994</c:v>
                </c:pt>
                <c:pt idx="282">
                  <c:v>10.81999999999994</c:v>
                </c:pt>
                <c:pt idx="283">
                  <c:v>10.82999999999994</c:v>
                </c:pt>
                <c:pt idx="284">
                  <c:v>10.839999999999939</c:v>
                </c:pt>
                <c:pt idx="285">
                  <c:v>10.849999999999939</c:v>
                </c:pt>
                <c:pt idx="286">
                  <c:v>10.859999999999939</c:v>
                </c:pt>
                <c:pt idx="287">
                  <c:v>10.869999999999939</c:v>
                </c:pt>
                <c:pt idx="288">
                  <c:v>10.879999999999939</c:v>
                </c:pt>
                <c:pt idx="289">
                  <c:v>10.889999999999938</c:v>
                </c:pt>
                <c:pt idx="290">
                  <c:v>10.899999999999938</c:v>
                </c:pt>
                <c:pt idx="291">
                  <c:v>10.909999999999938</c:v>
                </c:pt>
                <c:pt idx="292">
                  <c:v>10.919999999999938</c:v>
                </c:pt>
                <c:pt idx="293">
                  <c:v>10.929999999999938</c:v>
                </c:pt>
                <c:pt idx="294">
                  <c:v>10.939999999999937</c:v>
                </c:pt>
                <c:pt idx="295">
                  <c:v>10.949999999999937</c:v>
                </c:pt>
                <c:pt idx="296">
                  <c:v>10.959999999999937</c:v>
                </c:pt>
                <c:pt idx="297">
                  <c:v>10.969999999999937</c:v>
                </c:pt>
                <c:pt idx="298">
                  <c:v>10.979999999999936</c:v>
                </c:pt>
                <c:pt idx="299">
                  <c:v>10.989999999999936</c:v>
                </c:pt>
                <c:pt idx="300">
                  <c:v>10.999999999999936</c:v>
                </c:pt>
                <c:pt idx="301">
                  <c:v>11.009999999999936</c:v>
                </c:pt>
                <c:pt idx="302">
                  <c:v>11.019999999999936</c:v>
                </c:pt>
                <c:pt idx="303">
                  <c:v>11.029999999999935</c:v>
                </c:pt>
                <c:pt idx="304">
                  <c:v>11.039999999999935</c:v>
                </c:pt>
                <c:pt idx="305">
                  <c:v>11.049999999999935</c:v>
                </c:pt>
                <c:pt idx="306">
                  <c:v>11.059999999999935</c:v>
                </c:pt>
                <c:pt idx="307">
                  <c:v>11.069999999999935</c:v>
                </c:pt>
                <c:pt idx="308">
                  <c:v>11.079999999999934</c:v>
                </c:pt>
                <c:pt idx="309">
                  <c:v>11.089999999999934</c:v>
                </c:pt>
                <c:pt idx="310">
                  <c:v>11.099999999999934</c:v>
                </c:pt>
                <c:pt idx="311">
                  <c:v>11.109999999999934</c:v>
                </c:pt>
                <c:pt idx="312">
                  <c:v>11.119999999999933</c:v>
                </c:pt>
                <c:pt idx="313">
                  <c:v>11.129999999999933</c:v>
                </c:pt>
                <c:pt idx="314">
                  <c:v>11.139999999999933</c:v>
                </c:pt>
                <c:pt idx="315">
                  <c:v>11.149999999999933</c:v>
                </c:pt>
                <c:pt idx="316">
                  <c:v>11.159999999999933</c:v>
                </c:pt>
                <c:pt idx="317">
                  <c:v>11.169999999999932</c:v>
                </c:pt>
                <c:pt idx="318">
                  <c:v>11.179999999999932</c:v>
                </c:pt>
                <c:pt idx="319">
                  <c:v>11.189999999999932</c:v>
                </c:pt>
                <c:pt idx="320">
                  <c:v>11.199999999999932</c:v>
                </c:pt>
                <c:pt idx="321">
                  <c:v>11.209999999999932</c:v>
                </c:pt>
                <c:pt idx="322">
                  <c:v>11.219999999999931</c:v>
                </c:pt>
                <c:pt idx="323">
                  <c:v>11.229999999999931</c:v>
                </c:pt>
                <c:pt idx="324">
                  <c:v>11.239999999999931</c:v>
                </c:pt>
                <c:pt idx="325">
                  <c:v>11.249999999999931</c:v>
                </c:pt>
                <c:pt idx="326">
                  <c:v>11.259999999999931</c:v>
                </c:pt>
                <c:pt idx="327">
                  <c:v>11.26999999999993</c:v>
                </c:pt>
                <c:pt idx="328">
                  <c:v>11.27999999999993</c:v>
                </c:pt>
                <c:pt idx="329">
                  <c:v>11.28999999999993</c:v>
                </c:pt>
                <c:pt idx="330">
                  <c:v>11.29999999999993</c:v>
                </c:pt>
                <c:pt idx="331">
                  <c:v>11.309999999999929</c:v>
                </c:pt>
                <c:pt idx="332">
                  <c:v>11.319999999999929</c:v>
                </c:pt>
                <c:pt idx="333">
                  <c:v>11.329999999999929</c:v>
                </c:pt>
                <c:pt idx="334">
                  <c:v>11.339999999999929</c:v>
                </c:pt>
                <c:pt idx="335">
                  <c:v>11.349999999999929</c:v>
                </c:pt>
                <c:pt idx="336">
                  <c:v>11.359999999999928</c:v>
                </c:pt>
                <c:pt idx="337">
                  <c:v>11.369999999999928</c:v>
                </c:pt>
                <c:pt idx="338">
                  <c:v>11.379999999999928</c:v>
                </c:pt>
                <c:pt idx="339">
                  <c:v>11.389999999999928</c:v>
                </c:pt>
                <c:pt idx="340">
                  <c:v>11.399999999999928</c:v>
                </c:pt>
                <c:pt idx="341">
                  <c:v>11.409999999999927</c:v>
                </c:pt>
                <c:pt idx="342">
                  <c:v>11.419999999999927</c:v>
                </c:pt>
                <c:pt idx="343">
                  <c:v>11.429999999999927</c:v>
                </c:pt>
                <c:pt idx="344">
                  <c:v>11.439999999999927</c:v>
                </c:pt>
                <c:pt idx="345">
                  <c:v>11.449999999999926</c:v>
                </c:pt>
                <c:pt idx="346">
                  <c:v>11.459999999999926</c:v>
                </c:pt>
                <c:pt idx="347">
                  <c:v>11.469999999999926</c:v>
                </c:pt>
                <c:pt idx="348">
                  <c:v>11.479999999999926</c:v>
                </c:pt>
                <c:pt idx="349">
                  <c:v>11.489999999999926</c:v>
                </c:pt>
                <c:pt idx="350">
                  <c:v>11.499999999999925</c:v>
                </c:pt>
                <c:pt idx="351">
                  <c:v>11.509999999999925</c:v>
                </c:pt>
                <c:pt idx="352">
                  <c:v>11.519999999999925</c:v>
                </c:pt>
                <c:pt idx="353">
                  <c:v>11.529999999999925</c:v>
                </c:pt>
                <c:pt idx="354">
                  <c:v>11.539999999999925</c:v>
                </c:pt>
                <c:pt idx="355">
                  <c:v>11.549999999999924</c:v>
                </c:pt>
                <c:pt idx="356">
                  <c:v>11.559999999999924</c:v>
                </c:pt>
                <c:pt idx="357">
                  <c:v>11.569999999999924</c:v>
                </c:pt>
                <c:pt idx="358">
                  <c:v>11.579999999999924</c:v>
                </c:pt>
                <c:pt idx="359">
                  <c:v>11.589999999999923</c:v>
                </c:pt>
                <c:pt idx="360">
                  <c:v>11.599999999999923</c:v>
                </c:pt>
                <c:pt idx="361">
                  <c:v>11.609999999999923</c:v>
                </c:pt>
                <c:pt idx="362">
                  <c:v>11.619999999999923</c:v>
                </c:pt>
                <c:pt idx="363">
                  <c:v>11.629999999999923</c:v>
                </c:pt>
                <c:pt idx="364">
                  <c:v>11.639999999999922</c:v>
                </c:pt>
                <c:pt idx="365">
                  <c:v>11.649999999999922</c:v>
                </c:pt>
                <c:pt idx="366">
                  <c:v>11.659999999999922</c:v>
                </c:pt>
                <c:pt idx="367">
                  <c:v>11.669999999999922</c:v>
                </c:pt>
                <c:pt idx="368">
                  <c:v>11.679999999999922</c:v>
                </c:pt>
                <c:pt idx="369">
                  <c:v>11.689999999999921</c:v>
                </c:pt>
                <c:pt idx="370">
                  <c:v>11.699999999999921</c:v>
                </c:pt>
                <c:pt idx="371">
                  <c:v>11.709999999999921</c:v>
                </c:pt>
                <c:pt idx="372">
                  <c:v>11.719999999999921</c:v>
                </c:pt>
                <c:pt idx="373">
                  <c:v>11.72999999999992</c:v>
                </c:pt>
                <c:pt idx="374">
                  <c:v>11.73999999999992</c:v>
                </c:pt>
                <c:pt idx="375">
                  <c:v>11.74999999999992</c:v>
                </c:pt>
                <c:pt idx="376">
                  <c:v>11.75999999999992</c:v>
                </c:pt>
                <c:pt idx="377">
                  <c:v>11.76999999999992</c:v>
                </c:pt>
                <c:pt idx="378">
                  <c:v>11.779999999999919</c:v>
                </c:pt>
                <c:pt idx="379">
                  <c:v>11.789999999999919</c:v>
                </c:pt>
                <c:pt idx="380">
                  <c:v>11.799999999999919</c:v>
                </c:pt>
                <c:pt idx="381">
                  <c:v>11.809999999999919</c:v>
                </c:pt>
                <c:pt idx="382">
                  <c:v>11.819999999999919</c:v>
                </c:pt>
                <c:pt idx="383">
                  <c:v>11.829999999999918</c:v>
                </c:pt>
                <c:pt idx="384">
                  <c:v>11.839999999999918</c:v>
                </c:pt>
                <c:pt idx="385">
                  <c:v>11.849999999999918</c:v>
                </c:pt>
                <c:pt idx="386">
                  <c:v>11.859999999999918</c:v>
                </c:pt>
                <c:pt idx="387">
                  <c:v>11.869999999999918</c:v>
                </c:pt>
                <c:pt idx="388">
                  <c:v>11.879999999999917</c:v>
                </c:pt>
                <c:pt idx="389">
                  <c:v>11.889999999999917</c:v>
                </c:pt>
                <c:pt idx="390">
                  <c:v>11.899999999999917</c:v>
                </c:pt>
                <c:pt idx="391">
                  <c:v>11.909999999999917</c:v>
                </c:pt>
                <c:pt idx="392">
                  <c:v>11.919999999999916</c:v>
                </c:pt>
                <c:pt idx="393">
                  <c:v>11.929999999999916</c:v>
                </c:pt>
                <c:pt idx="394">
                  <c:v>11.939999999999916</c:v>
                </c:pt>
                <c:pt idx="395">
                  <c:v>11.949999999999916</c:v>
                </c:pt>
                <c:pt idx="396">
                  <c:v>11.959999999999916</c:v>
                </c:pt>
                <c:pt idx="397">
                  <c:v>11.969999999999915</c:v>
                </c:pt>
                <c:pt idx="398">
                  <c:v>11.979999999999915</c:v>
                </c:pt>
                <c:pt idx="399">
                  <c:v>11.989999999999915</c:v>
                </c:pt>
                <c:pt idx="400">
                  <c:v>11.999999999999915</c:v>
                </c:pt>
                <c:pt idx="401">
                  <c:v>12.009999999999915</c:v>
                </c:pt>
                <c:pt idx="402">
                  <c:v>12.019999999999914</c:v>
                </c:pt>
                <c:pt idx="403">
                  <c:v>12.029999999999914</c:v>
                </c:pt>
                <c:pt idx="404">
                  <c:v>12.039999999999914</c:v>
                </c:pt>
                <c:pt idx="405">
                  <c:v>12.049999999999914</c:v>
                </c:pt>
                <c:pt idx="406">
                  <c:v>12.059999999999913</c:v>
                </c:pt>
                <c:pt idx="407">
                  <c:v>12.069999999999913</c:v>
                </c:pt>
                <c:pt idx="408">
                  <c:v>12.079999999999913</c:v>
                </c:pt>
                <c:pt idx="409">
                  <c:v>12.089999999999913</c:v>
                </c:pt>
                <c:pt idx="410">
                  <c:v>12.099999999999913</c:v>
                </c:pt>
                <c:pt idx="411">
                  <c:v>12.109999999999912</c:v>
                </c:pt>
                <c:pt idx="412">
                  <c:v>12.119999999999912</c:v>
                </c:pt>
                <c:pt idx="413">
                  <c:v>12.129999999999912</c:v>
                </c:pt>
                <c:pt idx="414">
                  <c:v>12.139999999999912</c:v>
                </c:pt>
                <c:pt idx="415">
                  <c:v>12.149999999999912</c:v>
                </c:pt>
                <c:pt idx="416">
                  <c:v>12.159999999999911</c:v>
                </c:pt>
                <c:pt idx="417">
                  <c:v>12.169999999999911</c:v>
                </c:pt>
                <c:pt idx="418">
                  <c:v>12.179999999999911</c:v>
                </c:pt>
                <c:pt idx="419">
                  <c:v>12.189999999999911</c:v>
                </c:pt>
                <c:pt idx="420">
                  <c:v>12.19999999999991</c:v>
                </c:pt>
                <c:pt idx="421">
                  <c:v>12.20999999999991</c:v>
                </c:pt>
                <c:pt idx="422">
                  <c:v>12.21999999999991</c:v>
                </c:pt>
                <c:pt idx="423">
                  <c:v>12.22999999999991</c:v>
                </c:pt>
                <c:pt idx="424">
                  <c:v>12.23999999999991</c:v>
                </c:pt>
                <c:pt idx="425">
                  <c:v>12.249999999999909</c:v>
                </c:pt>
                <c:pt idx="426">
                  <c:v>12.259999999999909</c:v>
                </c:pt>
                <c:pt idx="427">
                  <c:v>12.269999999999909</c:v>
                </c:pt>
                <c:pt idx="428">
                  <c:v>12.279999999999909</c:v>
                </c:pt>
                <c:pt idx="429">
                  <c:v>12.289999999999909</c:v>
                </c:pt>
                <c:pt idx="430">
                  <c:v>12.299999999999908</c:v>
                </c:pt>
                <c:pt idx="431">
                  <c:v>12.309999999999908</c:v>
                </c:pt>
                <c:pt idx="432">
                  <c:v>12.319999999999908</c:v>
                </c:pt>
                <c:pt idx="433">
                  <c:v>12.329999999999908</c:v>
                </c:pt>
                <c:pt idx="434">
                  <c:v>12.339999999999907</c:v>
                </c:pt>
                <c:pt idx="435">
                  <c:v>12.349999999999907</c:v>
                </c:pt>
                <c:pt idx="436">
                  <c:v>12.359999999999907</c:v>
                </c:pt>
                <c:pt idx="437">
                  <c:v>12.369999999999907</c:v>
                </c:pt>
                <c:pt idx="438">
                  <c:v>12.379999999999907</c:v>
                </c:pt>
                <c:pt idx="439">
                  <c:v>12.389999999999906</c:v>
                </c:pt>
                <c:pt idx="440">
                  <c:v>12.399999999999906</c:v>
                </c:pt>
                <c:pt idx="441">
                  <c:v>12.409999999999906</c:v>
                </c:pt>
                <c:pt idx="442">
                  <c:v>12.419999999999906</c:v>
                </c:pt>
                <c:pt idx="443">
                  <c:v>12.429999999999906</c:v>
                </c:pt>
                <c:pt idx="444">
                  <c:v>12.439999999999905</c:v>
                </c:pt>
                <c:pt idx="445">
                  <c:v>12.449999999999905</c:v>
                </c:pt>
                <c:pt idx="446">
                  <c:v>12.459999999999905</c:v>
                </c:pt>
                <c:pt idx="447">
                  <c:v>12.469999999999905</c:v>
                </c:pt>
                <c:pt idx="448">
                  <c:v>12.479999999999905</c:v>
                </c:pt>
                <c:pt idx="449">
                  <c:v>12.489999999999904</c:v>
                </c:pt>
                <c:pt idx="450">
                  <c:v>12.499999999999904</c:v>
                </c:pt>
                <c:pt idx="451">
                  <c:v>12.509999999999904</c:v>
                </c:pt>
                <c:pt idx="452">
                  <c:v>12.519999999999904</c:v>
                </c:pt>
                <c:pt idx="453">
                  <c:v>12.529999999999903</c:v>
                </c:pt>
                <c:pt idx="454">
                  <c:v>12.539999999999903</c:v>
                </c:pt>
                <c:pt idx="455">
                  <c:v>12.549999999999903</c:v>
                </c:pt>
                <c:pt idx="456">
                  <c:v>12.559999999999903</c:v>
                </c:pt>
                <c:pt idx="457">
                  <c:v>12.569999999999903</c:v>
                </c:pt>
                <c:pt idx="458">
                  <c:v>12.579999999999902</c:v>
                </c:pt>
                <c:pt idx="459">
                  <c:v>12.589999999999902</c:v>
                </c:pt>
                <c:pt idx="460">
                  <c:v>12.599999999999902</c:v>
                </c:pt>
                <c:pt idx="461">
                  <c:v>12.609999999999902</c:v>
                </c:pt>
                <c:pt idx="462">
                  <c:v>12.619999999999902</c:v>
                </c:pt>
                <c:pt idx="463">
                  <c:v>12.629999999999901</c:v>
                </c:pt>
                <c:pt idx="464">
                  <c:v>12.639999999999901</c:v>
                </c:pt>
                <c:pt idx="465">
                  <c:v>12.649999999999901</c:v>
                </c:pt>
                <c:pt idx="466">
                  <c:v>12.659999999999901</c:v>
                </c:pt>
                <c:pt idx="467">
                  <c:v>12.6699999999999</c:v>
                </c:pt>
                <c:pt idx="468">
                  <c:v>12.6799999999999</c:v>
                </c:pt>
                <c:pt idx="469">
                  <c:v>12.6899999999999</c:v>
                </c:pt>
                <c:pt idx="470">
                  <c:v>12.6999999999999</c:v>
                </c:pt>
                <c:pt idx="471">
                  <c:v>12.7099999999999</c:v>
                </c:pt>
                <c:pt idx="472">
                  <c:v>12.719999999999899</c:v>
                </c:pt>
                <c:pt idx="473">
                  <c:v>12.729999999999899</c:v>
                </c:pt>
                <c:pt idx="474">
                  <c:v>12.739999999999899</c:v>
                </c:pt>
                <c:pt idx="475">
                  <c:v>12.749999999999899</c:v>
                </c:pt>
                <c:pt idx="476">
                  <c:v>12.759999999999899</c:v>
                </c:pt>
                <c:pt idx="477">
                  <c:v>12.769999999999898</c:v>
                </c:pt>
                <c:pt idx="478">
                  <c:v>12.779999999999898</c:v>
                </c:pt>
                <c:pt idx="479">
                  <c:v>12.789999999999898</c:v>
                </c:pt>
                <c:pt idx="480">
                  <c:v>12.799999999999898</c:v>
                </c:pt>
                <c:pt idx="481">
                  <c:v>12.809999999999897</c:v>
                </c:pt>
                <c:pt idx="482">
                  <c:v>12.819999999999897</c:v>
                </c:pt>
                <c:pt idx="483">
                  <c:v>12.829999999999897</c:v>
                </c:pt>
                <c:pt idx="484">
                  <c:v>12.839999999999897</c:v>
                </c:pt>
                <c:pt idx="485">
                  <c:v>12.849999999999897</c:v>
                </c:pt>
                <c:pt idx="486">
                  <c:v>12.859999999999896</c:v>
                </c:pt>
                <c:pt idx="487">
                  <c:v>12.869999999999896</c:v>
                </c:pt>
                <c:pt idx="488">
                  <c:v>12.879999999999896</c:v>
                </c:pt>
                <c:pt idx="489">
                  <c:v>12.889999999999896</c:v>
                </c:pt>
                <c:pt idx="490">
                  <c:v>12.899999999999896</c:v>
                </c:pt>
                <c:pt idx="491">
                  <c:v>12.909999999999895</c:v>
                </c:pt>
                <c:pt idx="492">
                  <c:v>12.919999999999895</c:v>
                </c:pt>
                <c:pt idx="493">
                  <c:v>12.929999999999895</c:v>
                </c:pt>
                <c:pt idx="494">
                  <c:v>12.939999999999895</c:v>
                </c:pt>
                <c:pt idx="495">
                  <c:v>12.949999999999894</c:v>
                </c:pt>
                <c:pt idx="496">
                  <c:v>12.959999999999894</c:v>
                </c:pt>
                <c:pt idx="497">
                  <c:v>12.969999999999894</c:v>
                </c:pt>
                <c:pt idx="498">
                  <c:v>12.979999999999894</c:v>
                </c:pt>
                <c:pt idx="499">
                  <c:v>12.989999999999894</c:v>
                </c:pt>
              </c:numCache>
            </c:numRef>
          </c:cat>
          <c:val>
            <c:numRef>
              <c:f>'Example of Inferential Stats'!$E$103:$E$602</c:f>
              <c:numCache>
                <c:formatCode>0.0000</c:formatCode>
                <c:ptCount val="500"/>
                <c:pt idx="0">
                  <c:v>2.6766045152977074E-4</c:v>
                </c:pt>
                <c:pt idx="1">
                  <c:v>2.8989512084778157E-4</c:v>
                </c:pt>
                <c:pt idx="2">
                  <c:v>3.1385126813106339E-4</c:v>
                </c:pt>
                <c:pt idx="3">
                  <c:v>3.3965119885868533E-4</c:v>
                </c:pt>
                <c:pt idx="4">
                  <c:v>3.6742499600491161E-4</c:v>
                </c:pt>
                <c:pt idx="5">
                  <c:v>3.9731094278554186E-4</c:v>
                </c:pt>
                <c:pt idx="6">
                  <c:v>4.2945596300072948E-4</c:v>
                </c:pt>
                <c:pt idx="7">
                  <c:v>4.640160793138794E-4</c:v>
                </c:pt>
                <c:pt idx="8">
                  <c:v>5.0115688978171489E-4</c:v>
                </c:pt>
                <c:pt idx="9">
                  <c:v>5.4105406292303377E-4</c:v>
                </c:pt>
                <c:pt idx="10">
                  <c:v>5.8389385158291068E-4</c:v>
                </c:pt>
                <c:pt idx="11">
                  <c:v>6.2987362581503248E-4</c:v>
                </c:pt>
                <c:pt idx="12">
                  <c:v>6.7920242496729633E-4</c:v>
                </c:pt>
                <c:pt idx="13">
                  <c:v>7.3210152911465571E-4</c:v>
                </c:pt>
                <c:pt idx="14">
                  <c:v>7.8880504993829564E-4</c:v>
                </c:pt>
                <c:pt idx="15">
                  <c:v>8.4956054110148335E-4</c:v>
                </c:pt>
                <c:pt idx="16">
                  <c:v>9.1462962811969084E-4</c:v>
                </c:pt>
                <c:pt idx="17">
                  <c:v>9.8428865766576087E-4</c:v>
                </c:pt>
                <c:pt idx="18">
                  <c:v>1.0588293661898404E-3</c:v>
                </c:pt>
                <c:pt idx="19">
                  <c:v>1.1385595676684718E-3</c:v>
                </c:pt>
                <c:pt idx="20">
                  <c:v>1.2238038602275069E-3</c:v>
                </c:pt>
                <c:pt idx="21">
                  <c:v>1.3149043513093108E-3</c:v>
                </c:pt>
                <c:pt idx="22">
                  <c:v>1.412221400976026E-3</c:v>
                </c:pt>
                <c:pt idx="23">
                  <c:v>1.5161343828573679E-3</c:v>
                </c:pt>
                <c:pt idx="24">
                  <c:v>1.6270424621635578E-3</c:v>
                </c:pt>
                <c:pt idx="25">
                  <c:v>1.7453653900914553E-3</c:v>
                </c:pt>
                <c:pt idx="26">
                  <c:v>1.8715443138548878E-3</c:v>
                </c:pt>
                <c:pt idx="27">
                  <c:v>2.006042601468395E-3</c:v>
                </c:pt>
                <c:pt idx="28">
                  <c:v>2.1493466803073815E-3</c:v>
                </c:pt>
                <c:pt idx="29">
                  <c:v>2.3019668883568706E-3</c:v>
                </c:pt>
                <c:pt idx="30">
                  <c:v>2.4644383369459301E-3</c:v>
                </c:pt>
                <c:pt idx="31">
                  <c:v>2.6373217836453645E-3</c:v>
                </c:pt>
                <c:pt idx="32">
                  <c:v>2.8212045138826369E-3</c:v>
                </c:pt>
                <c:pt idx="33">
                  <c:v>3.0167012297004727E-3</c:v>
                </c:pt>
                <c:pt idx="34">
                  <c:v>3.2244549439540918E-3</c:v>
                </c:pt>
                <c:pt idx="35">
                  <c:v>3.4451378781071912E-3</c:v>
                </c:pt>
                <c:pt idx="36">
                  <c:v>3.6794523616483724E-3</c:v>
                </c:pt>
                <c:pt idx="37">
                  <c:v>3.9281317310085493E-3</c:v>
                </c:pt>
                <c:pt idx="38">
                  <c:v>4.1919412257156678E-3</c:v>
                </c:pt>
                <c:pt idx="39">
                  <c:v>4.4716788793768385E-3</c:v>
                </c:pt>
                <c:pt idx="40">
                  <c:v>4.7681764029294266E-3</c:v>
                </c:pt>
                <c:pt idx="41">
                  <c:v>5.0823000574527627E-3</c:v>
                </c:pt>
                <c:pt idx="42">
                  <c:v>5.4149515136810971E-3</c:v>
                </c:pt>
                <c:pt idx="43">
                  <c:v>5.7670686952065453E-3</c:v>
                </c:pt>
                <c:pt idx="44">
                  <c:v>6.1396266022091268E-3</c:v>
                </c:pt>
                <c:pt idx="45">
                  <c:v>6.5336381123994548E-3</c:v>
                </c:pt>
                <c:pt idx="46">
                  <c:v>6.950154755709456E-3</c:v>
                </c:pt>
                <c:pt idx="47">
                  <c:v>7.390267459117617E-3</c:v>
                </c:pt>
                <c:pt idx="48">
                  <c:v>7.8551072578490703E-3</c:v>
                </c:pt>
                <c:pt idx="49">
                  <c:v>8.3458459690473989E-3</c:v>
                </c:pt>
                <c:pt idx="50">
                  <c:v>8.8636968238754478E-3</c:v>
                </c:pt>
                <c:pt idx="51">
                  <c:v>9.4099150538673494E-3</c:v>
                </c:pt>
                <c:pt idx="52">
                  <c:v>9.9857984272240952E-3</c:v>
                </c:pt>
                <c:pt idx="53">
                  <c:v>1.0592687730621334E-2</c:v>
                </c:pt>
                <c:pt idx="54">
                  <c:v>1.1231967191981178E-2</c:v>
                </c:pt>
                <c:pt idx="55">
                  <c:v>1.1905064839550903E-2</c:v>
                </c:pt>
                <c:pt idx="56">
                  <c:v>1.2613452792530983E-2</c:v>
                </c:pt>
                <c:pt idx="57">
                  <c:v>1.3358647478404305E-2</c:v>
                </c:pt>
                <c:pt idx="58">
                  <c:v>1.4142209772037907E-2</c:v>
                </c:pt>
                <c:pt idx="59">
                  <c:v>1.4965745051560056E-2</c:v>
                </c:pt>
                <c:pt idx="60">
                  <c:v>1.5830903165958796E-2</c:v>
                </c:pt>
                <c:pt idx="61">
                  <c:v>1.6739378309304848E-2</c:v>
                </c:pt>
                <c:pt idx="62">
                  <c:v>1.7692908796473155E-2</c:v>
                </c:pt>
                <c:pt idx="63">
                  <c:v>1.8693276735223197E-2</c:v>
                </c:pt>
                <c:pt idx="64">
                  <c:v>1.9742307589500806E-2</c:v>
                </c:pt>
                <c:pt idx="65">
                  <c:v>2.0841869628843636E-2</c:v>
                </c:pt>
                <c:pt idx="66">
                  <c:v>2.1993873258809502E-2</c:v>
                </c:pt>
                <c:pt idx="67">
                  <c:v>2.3200270227403372E-2</c:v>
                </c:pt>
                <c:pt idx="68">
                  <c:v>2.4463052702554073E-2</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2.4463052702565088E-2</c:v>
                </c:pt>
                <c:pt idx="333">
                  <c:v>2.3200270227413892E-2</c:v>
                </c:pt>
                <c:pt idx="334">
                  <c:v>2.1993873258819553E-2</c:v>
                </c:pt>
                <c:pt idx="335">
                  <c:v>2.0841869628853222E-2</c:v>
                </c:pt>
                <c:pt idx="336">
                  <c:v>1.9742307589509969E-2</c:v>
                </c:pt>
                <c:pt idx="337">
                  <c:v>1.869327673523194E-2</c:v>
                </c:pt>
                <c:pt idx="338">
                  <c:v>1.7692908796481485E-2</c:v>
                </c:pt>
                <c:pt idx="339">
                  <c:v>1.6739378309312779E-2</c:v>
                </c:pt>
                <c:pt idx="340">
                  <c:v>1.5830903165966352E-2</c:v>
                </c:pt>
                <c:pt idx="341">
                  <c:v>1.4965745051567253E-2</c:v>
                </c:pt>
                <c:pt idx="342">
                  <c:v>1.4142209772044752E-2</c:v>
                </c:pt>
                <c:pt idx="343">
                  <c:v>1.3358647478410819E-2</c:v>
                </c:pt>
                <c:pt idx="344">
                  <c:v>1.2613452792537177E-2</c:v>
                </c:pt>
                <c:pt idx="345">
                  <c:v>1.1905064839556783E-2</c:v>
                </c:pt>
                <c:pt idx="346">
                  <c:v>1.1231967191986766E-2</c:v>
                </c:pt>
                <c:pt idx="347">
                  <c:v>1.0592687730626641E-2</c:v>
                </c:pt>
                <c:pt idx="348">
                  <c:v>9.9857984272291329E-3</c:v>
                </c:pt>
                <c:pt idx="349">
                  <c:v>9.4099150538721303E-3</c:v>
                </c:pt>
                <c:pt idx="350">
                  <c:v>8.8636968238799824E-3</c:v>
                </c:pt>
                <c:pt idx="351">
                  <c:v>8.3458459690516976E-3</c:v>
                </c:pt>
                <c:pt idx="352">
                  <c:v>7.8551072578531434E-3</c:v>
                </c:pt>
                <c:pt idx="353">
                  <c:v>7.3902674591214699E-3</c:v>
                </c:pt>
                <c:pt idx="354">
                  <c:v>6.9501547557131041E-3</c:v>
                </c:pt>
                <c:pt idx="355">
                  <c:v>6.5336381124029069E-3</c:v>
                </c:pt>
                <c:pt idx="356">
                  <c:v>6.1396266022123933E-3</c:v>
                </c:pt>
                <c:pt idx="357">
                  <c:v>5.767068695209634E-3</c:v>
                </c:pt>
                <c:pt idx="358">
                  <c:v>5.4149515136840158E-3</c:v>
                </c:pt>
                <c:pt idx="359">
                  <c:v>5.0823000574555218E-3</c:v>
                </c:pt>
                <c:pt idx="360">
                  <c:v>4.768176402932027E-3</c:v>
                </c:pt>
                <c:pt idx="361">
                  <c:v>4.4716788793792966E-3</c:v>
                </c:pt>
                <c:pt idx="362">
                  <c:v>4.1919412257179827E-3</c:v>
                </c:pt>
                <c:pt idx="363">
                  <c:v>3.9281317310107334E-3</c:v>
                </c:pt>
                <c:pt idx="364">
                  <c:v>3.6794523616504315E-3</c:v>
                </c:pt>
                <c:pt idx="365">
                  <c:v>3.4451378781091284E-3</c:v>
                </c:pt>
                <c:pt idx="366">
                  <c:v>3.2244549439559189E-3</c:v>
                </c:pt>
                <c:pt idx="367">
                  <c:v>3.0167012297021901E-3</c:v>
                </c:pt>
                <c:pt idx="368">
                  <c:v>2.8212045138842558E-3</c:v>
                </c:pt>
                <c:pt idx="369">
                  <c:v>2.637321783646885E-3</c:v>
                </c:pt>
                <c:pt idx="370">
                  <c:v>2.4644383369473596E-3</c:v>
                </c:pt>
                <c:pt idx="371">
                  <c:v>2.301966888358212E-3</c:v>
                </c:pt>
                <c:pt idx="372">
                  <c:v>2.1493466803086435E-3</c:v>
                </c:pt>
                <c:pt idx="373">
                  <c:v>2.0060426014695799E-3</c:v>
                </c:pt>
                <c:pt idx="374">
                  <c:v>1.8715443138559982E-3</c:v>
                </c:pt>
                <c:pt idx="375">
                  <c:v>1.7453653900924967E-3</c:v>
                </c:pt>
                <c:pt idx="376">
                  <c:v>1.6270424621645345E-3</c:v>
                </c:pt>
                <c:pt idx="377">
                  <c:v>1.5161343828582838E-3</c:v>
                </c:pt>
                <c:pt idx="378">
                  <c:v>1.4122214009768827E-3</c:v>
                </c:pt>
                <c:pt idx="379">
                  <c:v>1.3149043513101131E-3</c:v>
                </c:pt>
                <c:pt idx="380">
                  <c:v>1.2238038602282581E-3</c:v>
                </c:pt>
                <c:pt idx="381">
                  <c:v>1.1385595676691748E-3</c:v>
                </c:pt>
                <c:pt idx="382">
                  <c:v>1.0588293661904977E-3</c:v>
                </c:pt>
                <c:pt idx="383">
                  <c:v>9.842886576663754E-4</c:v>
                </c:pt>
                <c:pt idx="384">
                  <c:v>9.1462962812026525E-4</c:v>
                </c:pt>
                <c:pt idx="385">
                  <c:v>8.4956054110201895E-4</c:v>
                </c:pt>
                <c:pt idx="386">
                  <c:v>7.8880504993879589E-4</c:v>
                </c:pt>
                <c:pt idx="387">
                  <c:v>7.3210152911512257E-4</c:v>
                </c:pt>
                <c:pt idx="388">
                  <c:v>6.7920242496773186E-4</c:v>
                </c:pt>
                <c:pt idx="389">
                  <c:v>6.2987362581543808E-4</c:v>
                </c:pt>
                <c:pt idx="390">
                  <c:v>5.8389385158328928E-4</c:v>
                </c:pt>
                <c:pt idx="391">
                  <c:v>5.4105406292338657E-4</c:v>
                </c:pt>
                <c:pt idx="392">
                  <c:v>5.0115688978204286E-4</c:v>
                </c:pt>
                <c:pt idx="393">
                  <c:v>4.6401607931418476E-4</c:v>
                </c:pt>
                <c:pt idx="394">
                  <c:v>4.2945596300101365E-4</c:v>
                </c:pt>
                <c:pt idx="395">
                  <c:v>3.9731094278580624E-4</c:v>
                </c:pt>
                <c:pt idx="396">
                  <c:v>3.6742499600515702E-4</c:v>
                </c:pt>
                <c:pt idx="397">
                  <c:v>3.3965119885891372E-4</c:v>
                </c:pt>
                <c:pt idx="398">
                  <c:v>3.1385126813127524E-4</c:v>
                </c:pt>
                <c:pt idx="399">
                  <c:v>2.8989512084797852E-4</c:v>
                </c:pt>
                <c:pt idx="400">
                  <c:v>2.6766045152995331E-4</c:v>
                </c:pt>
                <c:pt idx="401">
                  <c:v>2.4703232668221671E-4</c:v>
                </c:pt>
                <c:pt idx="402">
                  <c:v>2.2790279613788713E-4</c:v>
                </c:pt>
                <c:pt idx="403">
                  <c:v>2.1017052086094693E-4</c:v>
                </c:pt>
                <c:pt idx="404">
                  <c:v>1.9374041679757483E-4</c:v>
                </c:pt>
                <c:pt idx="405">
                  <c:v>1.7852331435439206E-4</c:v>
                </c:pt>
                <c:pt idx="406">
                  <c:v>1.6443563307268913E-4</c:v>
                </c:pt>
                <c:pt idx="407">
                  <c:v>1.5139907106043106E-4</c:v>
                </c:pt>
                <c:pt idx="408">
                  <c:v>1.3934030873852965E-4</c:v>
                </c:pt>
                <c:pt idx="409">
                  <c:v>1.2819072645430535E-4</c:v>
                </c:pt>
                <c:pt idx="410">
                  <c:v>1.1788613551316619E-4</c:v>
                </c:pt>
                <c:pt idx="411">
                  <c:v>1.0836652217916037E-4</c:v>
                </c:pt>
                <c:pt idx="412">
                  <c:v>9.9575804196098462E-5</c:v>
                </c:pt>
                <c:pt idx="413">
                  <c:v>9.1461599383271027E-5</c:v>
                </c:pt>
                <c:pt idx="414">
                  <c:v>8.3975005863298042E-5</c:v>
                </c:pt>
                <c:pt idx="415">
                  <c:v>7.707039348423286E-5</c:v>
                </c:pt>
                <c:pt idx="416">
                  <c:v>7.0705206003600458E-5</c:v>
                </c:pt>
                <c:pt idx="417">
                  <c:v>6.4839773608477537E-5</c:v>
                </c:pt>
                <c:pt idx="418">
                  <c:v>5.9437135352930646E-5</c:v>
                </c:pt>
                <c:pt idx="419">
                  <c:v>5.4462871102027792E-5</c:v>
                </c:pt>
                <c:pt idx="420">
                  <c:v>4.9884942580146407E-5</c:v>
                </c:pt>
                <c:pt idx="421">
                  <c:v>4.5673543130330107E-5</c:v>
                </c:pt>
                <c:pt idx="422">
                  <c:v>4.1800955800934303E-5</c:v>
                </c:pt>
                <c:pt idx="423">
                  <c:v>3.8241419385666245E-5</c:v>
                </c:pt>
                <c:pt idx="424">
                  <c:v>3.4971002053306656E-5</c:v>
                </c:pt>
                <c:pt idx="425">
                  <c:v>3.1967482213837018E-5</c:v>
                </c:pt>
                <c:pt idx="426">
                  <c:v>2.9210236278329801E-5</c:v>
                </c:pt>
                <c:pt idx="427">
                  <c:v>2.6680132980733716E-5</c:v>
                </c:pt>
                <c:pt idx="428">
                  <c:v>2.4359433940557653E-5</c:v>
                </c:pt>
                <c:pt idx="429">
                  <c:v>2.2231700156374218E-5</c:v>
                </c:pt>
                <c:pt idx="430">
                  <c:v>2.0281704130990596E-5</c:v>
                </c:pt>
                <c:pt idx="431">
                  <c:v>1.8495347340026941E-5</c:v>
                </c:pt>
                <c:pt idx="432">
                  <c:v>1.685958276647195E-5</c:v>
                </c:pt>
                <c:pt idx="433">
                  <c:v>1.5362342234514148E-5</c:v>
                </c:pt>
                <c:pt idx="434">
                  <c:v>1.3992468286552889E-5</c:v>
                </c:pt>
                <c:pt idx="435">
                  <c:v>1.2739650357745315E-5</c:v>
                </c:pt>
                <c:pt idx="436">
                  <c:v>1.1594365012724728E-5</c:v>
                </c:pt>
                <c:pt idx="437">
                  <c:v>1.0547820019211919E-5</c:v>
                </c:pt>
                <c:pt idx="438">
                  <c:v>9.5919020431135629E-6</c:v>
                </c:pt>
                <c:pt idx="439">
                  <c:v>8.7191277593510796E-6</c:v>
                </c:pt>
                <c:pt idx="440">
                  <c:v>7.922598182071286E-6</c:v>
                </c:pt>
                <c:pt idx="441">
                  <c:v>7.1959560270490272E-6</c:v>
                </c:pt>
                <c:pt idx="442">
                  <c:v>6.5333459279925033E-6</c:v>
                </c:pt>
                <c:pt idx="443">
                  <c:v>5.9293773370959906E-6</c:v>
                </c:pt>
                <c:pt idx="444">
                  <c:v>5.3790899485480153E-6</c:v>
                </c:pt>
                <c:pt idx="445">
                  <c:v>4.8779214917912538E-6</c:v>
                </c:pt>
                <c:pt idx="446">
                  <c:v>4.4216777491409743E-6</c:v>
                </c:pt>
                <c:pt idx="447">
                  <c:v>4.0065046599007574E-6</c:v>
                </c:pt>
                <c:pt idx="448">
                  <c:v>3.6288623803675035E-6</c:v>
                </c:pt>
                <c:pt idx="449">
                  <c:v>3.2855011760932822E-6</c:v>
                </c:pt>
                <c:pt idx="450">
                  <c:v>2.9734390294714477E-6</c:v>
                </c:pt>
                <c:pt idx="451">
                  <c:v>2.6899408521414789E-6</c:v>
                </c:pt>
                <c:pt idx="452">
                  <c:v>2.4324991978649997E-6</c:v>
                </c:pt>
                <c:pt idx="453">
                  <c:v>2.1988163774185546E-6</c:v>
                </c:pt>
                <c:pt idx="454">
                  <c:v>1.986787882681779E-6</c:v>
                </c:pt>
                <c:pt idx="455">
                  <c:v>1.7944870324784397E-6</c:v>
                </c:pt>
                <c:pt idx="456">
                  <c:v>1.6201507578578836E-6</c:v>
                </c:pt>
                <c:pt idx="457">
                  <c:v>1.4621664493921603E-6</c:v>
                </c:pt>
                <c:pt idx="458">
                  <c:v>1.3190597937163742E-6</c:v>
                </c:pt>
                <c:pt idx="459">
                  <c:v>1.1894835309627571E-6</c:v>
                </c:pt>
                <c:pt idx="460">
                  <c:v>1.0722070689406179E-6</c:v>
                </c:pt>
                <c:pt idx="461">
                  <c:v>9.6610689390092655E-7</c:v>
                </c:pt>
                <c:pt idx="462">
                  <c:v>8.701577215039215E-7</c:v>
                </c:pt>
                <c:pt idx="463">
                  <c:v>7.8342433518777594E-7</c:v>
                </c:pt>
                <c:pt idx="464">
                  <c:v>7.0505406252354529E-7</c:v>
                </c:pt>
                <c:pt idx="465">
                  <c:v>6.3426984334386106E-7</c:v>
                </c:pt>
                <c:pt idx="466">
                  <c:v>5.7036384645739907E-7</c:v>
                </c:pt>
                <c:pt idx="467">
                  <c:v>5.1269159461546322E-7</c:v>
                </c:pt>
                <c:pt idx="468">
                  <c:v>4.6066656008833471E-7</c:v>
                </c:pt>
                <c:pt idx="469">
                  <c:v>4.1375519574437563E-7</c:v>
                </c:pt>
                <c:pt idx="470">
                  <c:v>3.7147236891146043E-7</c:v>
                </c:pt>
                <c:pt idx="471">
                  <c:v>3.3337716754481956E-7</c:v>
                </c:pt>
                <c:pt idx="472">
                  <c:v>2.9906905033464666E-7</c:v>
                </c:pt>
                <c:pt idx="473">
                  <c:v>2.6818431436738989E-7</c:v>
                </c:pt>
                <c:pt idx="474">
                  <c:v>2.4039285581283106E-7</c:v>
                </c:pt>
                <c:pt idx="475">
                  <c:v>2.1539520085110544E-7</c:v>
                </c:pt>
                <c:pt idx="476">
                  <c:v>1.9291978568568323E-7</c:v>
                </c:pt>
                <c:pt idx="477">
                  <c:v>1.7272046601581461E-7</c:v>
                </c:pt>
                <c:pt idx="478">
                  <c:v>1.5457423777063331E-7</c:v>
                </c:pt>
                <c:pt idx="479">
                  <c:v>1.3827915224240565E-7</c:v>
                </c:pt>
                <c:pt idx="480">
                  <c:v>1.236524100034586E-7</c:v>
                </c:pt>
                <c:pt idx="481">
                  <c:v>1.1052861915512173E-7</c:v>
                </c:pt>
                <c:pt idx="482">
                  <c:v>9.875820454232317E-8</c:v>
                </c:pt>
                <c:pt idx="483">
                  <c:v>8.8205955578848947E-8</c:v>
                </c:pt>
                <c:pt idx="484">
                  <c:v>7.8749701270089321E-8</c:v>
                </c:pt>
                <c:pt idx="485">
                  <c:v>7.0279101896491571E-8</c:v>
                </c:pt>
                <c:pt idx="486">
                  <c:v>6.2694547635913748E-8</c:v>
                </c:pt>
                <c:pt idx="487">
                  <c:v>5.5906155160376038E-8</c:v>
                </c:pt>
                <c:pt idx="488">
                  <c:v>4.9832853945961641E-8</c:v>
                </c:pt>
                <c:pt idx="489">
                  <c:v>4.4401554687211501E-8</c:v>
                </c:pt>
                <c:pt idx="490">
                  <c:v>3.9546392812537254E-8</c:v>
                </c:pt>
                <c:pt idx="491">
                  <c:v>3.5208040658014593E-8</c:v>
                </c:pt>
                <c:pt idx="492">
                  <c:v>3.1333082376303439E-8</c:v>
                </c:pt>
                <c:pt idx="493">
                  <c:v>2.7873446138129144E-8</c:v>
                </c:pt>
                <c:pt idx="494">
                  <c:v>2.4785888628330898E-8</c:v>
                </c:pt>
                <c:pt idx="495">
                  <c:v>2.2031527249392092E-8</c:v>
                </c:pt>
                <c:pt idx="496">
                  <c:v>1.9575415824906837E-8</c:v>
                </c:pt>
                <c:pt idx="497">
                  <c:v>1.7386159945782274E-8</c:v>
                </c:pt>
                <c:pt idx="498">
                  <c:v>1.5435568425160579E-8</c:v>
                </c:pt>
                <c:pt idx="499">
                  <c:v>1.3698337625988989E-8</c:v>
                </c:pt>
              </c:numCache>
            </c:numRef>
          </c:val>
          <c:extLst>
            <c:ext xmlns:c16="http://schemas.microsoft.com/office/drawing/2014/chart" uri="{C3380CC4-5D6E-409C-BE32-E72D297353CC}">
              <c16:uniqueId val="{00000002-112E-418C-B351-970796C7EEE3}"/>
            </c:ext>
          </c:extLst>
        </c:ser>
        <c:dLbls>
          <c:showLegendKey val="0"/>
          <c:showVal val="0"/>
          <c:showCatName val="0"/>
          <c:showSerName val="0"/>
          <c:showPercent val="0"/>
          <c:showBubbleSize val="0"/>
        </c:dLbls>
        <c:axId val="902518448"/>
        <c:axId val="902519568"/>
      </c:areaChart>
      <c:catAx>
        <c:axId val="902518448"/>
        <c:scaling>
          <c:orientation val="minMax"/>
        </c:scaling>
        <c:delete val="0"/>
        <c:axPos val="b"/>
        <c:numFmt formatCode="0.00" sourceLinked="1"/>
        <c:majorTickMark val="out"/>
        <c:minorTickMark val="none"/>
        <c:tickLblPos val="nextTo"/>
        <c:crossAx val="902519568"/>
        <c:crosses val="autoZero"/>
        <c:auto val="1"/>
        <c:lblAlgn val="ctr"/>
        <c:lblOffset val="100"/>
        <c:noMultiLvlLbl val="0"/>
      </c:catAx>
      <c:valAx>
        <c:axId val="902519568"/>
        <c:scaling>
          <c:orientation val="minMax"/>
        </c:scaling>
        <c:delete val="0"/>
        <c:axPos val="l"/>
        <c:majorGridlines/>
        <c:numFmt formatCode="0.0000" sourceLinked="1"/>
        <c:majorTickMark val="out"/>
        <c:minorTickMark val="none"/>
        <c:tickLblPos val="nextTo"/>
        <c:crossAx val="902518448"/>
        <c:crosses val="autoZero"/>
        <c:crossBetween val="midCat"/>
      </c:valAx>
    </c:plotArea>
    <c:plotVisOnly val="1"/>
    <c:dispBlanksAs val="zero"/>
    <c:showDLblsOverMax val="0"/>
  </c:chart>
  <c:printSettings>
    <c:headerFooter/>
    <c:pageMargins b="0.75000000000000144" l="0.70000000000000062" r="0.70000000000000062" t="0.75000000000000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'TS Data'!$B$7</c:f>
              <c:strCache>
                <c:ptCount val="1"/>
                <c:pt idx="0">
                  <c:v>Adj Close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'TS Data'!$A$8:$A$4708</c:f>
              <c:numCache>
                <c:formatCode>m/d/yyyy</c:formatCode>
                <c:ptCount val="4701"/>
                <c:pt idx="0">
                  <c:v>35167</c:v>
                </c:pt>
                <c:pt idx="1">
                  <c:v>35170</c:v>
                </c:pt>
                <c:pt idx="2">
                  <c:v>35171</c:v>
                </c:pt>
                <c:pt idx="3">
                  <c:v>35172</c:v>
                </c:pt>
                <c:pt idx="4">
                  <c:v>35173</c:v>
                </c:pt>
                <c:pt idx="5">
                  <c:v>35174</c:v>
                </c:pt>
                <c:pt idx="6">
                  <c:v>35177</c:v>
                </c:pt>
                <c:pt idx="7">
                  <c:v>35178</c:v>
                </c:pt>
                <c:pt idx="8">
                  <c:v>35179</c:v>
                </c:pt>
                <c:pt idx="9">
                  <c:v>35180</c:v>
                </c:pt>
                <c:pt idx="10">
                  <c:v>35181</c:v>
                </c:pt>
                <c:pt idx="11">
                  <c:v>35184</c:v>
                </c:pt>
                <c:pt idx="12">
                  <c:v>35185</c:v>
                </c:pt>
                <c:pt idx="13">
                  <c:v>35186</c:v>
                </c:pt>
                <c:pt idx="14">
                  <c:v>35187</c:v>
                </c:pt>
                <c:pt idx="15">
                  <c:v>35188</c:v>
                </c:pt>
                <c:pt idx="16">
                  <c:v>35191</c:v>
                </c:pt>
                <c:pt idx="17">
                  <c:v>35192</c:v>
                </c:pt>
                <c:pt idx="18">
                  <c:v>35193</c:v>
                </c:pt>
                <c:pt idx="19">
                  <c:v>35194</c:v>
                </c:pt>
                <c:pt idx="20">
                  <c:v>35195</c:v>
                </c:pt>
                <c:pt idx="21">
                  <c:v>35198</c:v>
                </c:pt>
                <c:pt idx="22">
                  <c:v>35199</c:v>
                </c:pt>
                <c:pt idx="23">
                  <c:v>35200</c:v>
                </c:pt>
                <c:pt idx="24">
                  <c:v>35201</c:v>
                </c:pt>
                <c:pt idx="25">
                  <c:v>35202</c:v>
                </c:pt>
                <c:pt idx="26">
                  <c:v>35205</c:v>
                </c:pt>
                <c:pt idx="27">
                  <c:v>35206</c:v>
                </c:pt>
                <c:pt idx="28">
                  <c:v>35207</c:v>
                </c:pt>
                <c:pt idx="29">
                  <c:v>35208</c:v>
                </c:pt>
                <c:pt idx="30">
                  <c:v>35209</c:v>
                </c:pt>
                <c:pt idx="31">
                  <c:v>35213</c:v>
                </c:pt>
                <c:pt idx="32">
                  <c:v>35214</c:v>
                </c:pt>
                <c:pt idx="33">
                  <c:v>35215</c:v>
                </c:pt>
                <c:pt idx="34">
                  <c:v>35216</c:v>
                </c:pt>
                <c:pt idx="35">
                  <c:v>35219</c:v>
                </c:pt>
                <c:pt idx="36">
                  <c:v>35220</c:v>
                </c:pt>
                <c:pt idx="37">
                  <c:v>35221</c:v>
                </c:pt>
                <c:pt idx="38">
                  <c:v>35222</c:v>
                </c:pt>
                <c:pt idx="39">
                  <c:v>35223</c:v>
                </c:pt>
                <c:pt idx="40">
                  <c:v>35226</c:v>
                </c:pt>
                <c:pt idx="41">
                  <c:v>35227</c:v>
                </c:pt>
                <c:pt idx="42">
                  <c:v>35228</c:v>
                </c:pt>
                <c:pt idx="43">
                  <c:v>35229</c:v>
                </c:pt>
                <c:pt idx="44">
                  <c:v>35230</c:v>
                </c:pt>
                <c:pt idx="45">
                  <c:v>35233</c:v>
                </c:pt>
                <c:pt idx="46">
                  <c:v>35234</c:v>
                </c:pt>
                <c:pt idx="47">
                  <c:v>35235</c:v>
                </c:pt>
                <c:pt idx="48">
                  <c:v>35236</c:v>
                </c:pt>
                <c:pt idx="49">
                  <c:v>35237</c:v>
                </c:pt>
                <c:pt idx="50">
                  <c:v>35240</c:v>
                </c:pt>
                <c:pt idx="51">
                  <c:v>35241</c:v>
                </c:pt>
                <c:pt idx="52">
                  <c:v>35242</c:v>
                </c:pt>
                <c:pt idx="53">
                  <c:v>35243</c:v>
                </c:pt>
                <c:pt idx="54">
                  <c:v>35244</c:v>
                </c:pt>
                <c:pt idx="55">
                  <c:v>35247</c:v>
                </c:pt>
                <c:pt idx="56">
                  <c:v>35248</c:v>
                </c:pt>
                <c:pt idx="57">
                  <c:v>35249</c:v>
                </c:pt>
                <c:pt idx="58">
                  <c:v>35251</c:v>
                </c:pt>
                <c:pt idx="59">
                  <c:v>35254</c:v>
                </c:pt>
                <c:pt idx="60">
                  <c:v>35255</c:v>
                </c:pt>
                <c:pt idx="61">
                  <c:v>35256</c:v>
                </c:pt>
                <c:pt idx="62">
                  <c:v>35257</c:v>
                </c:pt>
                <c:pt idx="63">
                  <c:v>35258</c:v>
                </c:pt>
                <c:pt idx="64">
                  <c:v>35261</c:v>
                </c:pt>
                <c:pt idx="65">
                  <c:v>35262</c:v>
                </c:pt>
                <c:pt idx="66">
                  <c:v>35263</c:v>
                </c:pt>
                <c:pt idx="67">
                  <c:v>35264</c:v>
                </c:pt>
                <c:pt idx="68">
                  <c:v>35265</c:v>
                </c:pt>
                <c:pt idx="69">
                  <c:v>35268</c:v>
                </c:pt>
                <c:pt idx="70">
                  <c:v>35269</c:v>
                </c:pt>
                <c:pt idx="71">
                  <c:v>35270</c:v>
                </c:pt>
                <c:pt idx="72">
                  <c:v>35271</c:v>
                </c:pt>
                <c:pt idx="73">
                  <c:v>35272</c:v>
                </c:pt>
                <c:pt idx="74">
                  <c:v>35275</c:v>
                </c:pt>
                <c:pt idx="75">
                  <c:v>35276</c:v>
                </c:pt>
                <c:pt idx="76">
                  <c:v>35277</c:v>
                </c:pt>
                <c:pt idx="77">
                  <c:v>35278</c:v>
                </c:pt>
                <c:pt idx="78">
                  <c:v>35279</c:v>
                </c:pt>
                <c:pt idx="79">
                  <c:v>35282</c:v>
                </c:pt>
                <c:pt idx="80">
                  <c:v>35283</c:v>
                </c:pt>
                <c:pt idx="81">
                  <c:v>35284</c:v>
                </c:pt>
                <c:pt idx="82">
                  <c:v>35285</c:v>
                </c:pt>
                <c:pt idx="83">
                  <c:v>35286</c:v>
                </c:pt>
                <c:pt idx="84">
                  <c:v>35289</c:v>
                </c:pt>
                <c:pt idx="85">
                  <c:v>35290</c:v>
                </c:pt>
                <c:pt idx="86">
                  <c:v>35291</c:v>
                </c:pt>
                <c:pt idx="87">
                  <c:v>35292</c:v>
                </c:pt>
                <c:pt idx="88">
                  <c:v>35293</c:v>
                </c:pt>
                <c:pt idx="89">
                  <c:v>35296</c:v>
                </c:pt>
                <c:pt idx="90">
                  <c:v>35297</c:v>
                </c:pt>
                <c:pt idx="91">
                  <c:v>35298</c:v>
                </c:pt>
                <c:pt idx="92">
                  <c:v>35299</c:v>
                </c:pt>
                <c:pt idx="93">
                  <c:v>35300</c:v>
                </c:pt>
                <c:pt idx="94">
                  <c:v>35303</c:v>
                </c:pt>
                <c:pt idx="95">
                  <c:v>35304</c:v>
                </c:pt>
                <c:pt idx="96">
                  <c:v>35305</c:v>
                </c:pt>
                <c:pt idx="97">
                  <c:v>35306</c:v>
                </c:pt>
                <c:pt idx="98">
                  <c:v>35307</c:v>
                </c:pt>
                <c:pt idx="99">
                  <c:v>35311</c:v>
                </c:pt>
                <c:pt idx="100">
                  <c:v>35312</c:v>
                </c:pt>
                <c:pt idx="101">
                  <c:v>35313</c:v>
                </c:pt>
                <c:pt idx="102">
                  <c:v>35314</c:v>
                </c:pt>
                <c:pt idx="103">
                  <c:v>35317</c:v>
                </c:pt>
                <c:pt idx="104">
                  <c:v>35318</c:v>
                </c:pt>
                <c:pt idx="105">
                  <c:v>35319</c:v>
                </c:pt>
                <c:pt idx="106">
                  <c:v>35320</c:v>
                </c:pt>
                <c:pt idx="107">
                  <c:v>35321</c:v>
                </c:pt>
                <c:pt idx="108">
                  <c:v>35324</c:v>
                </c:pt>
                <c:pt idx="109">
                  <c:v>35325</c:v>
                </c:pt>
                <c:pt idx="110">
                  <c:v>35326</c:v>
                </c:pt>
                <c:pt idx="111">
                  <c:v>35327</c:v>
                </c:pt>
                <c:pt idx="112">
                  <c:v>35328</c:v>
                </c:pt>
                <c:pt idx="113">
                  <c:v>35331</c:v>
                </c:pt>
                <c:pt idx="114">
                  <c:v>35332</c:v>
                </c:pt>
                <c:pt idx="115">
                  <c:v>35333</c:v>
                </c:pt>
                <c:pt idx="116">
                  <c:v>35334</c:v>
                </c:pt>
                <c:pt idx="117">
                  <c:v>35335</c:v>
                </c:pt>
                <c:pt idx="118">
                  <c:v>35338</c:v>
                </c:pt>
                <c:pt idx="119">
                  <c:v>35339</c:v>
                </c:pt>
                <c:pt idx="120">
                  <c:v>35340</c:v>
                </c:pt>
                <c:pt idx="121">
                  <c:v>35341</c:v>
                </c:pt>
                <c:pt idx="122">
                  <c:v>35342</c:v>
                </c:pt>
                <c:pt idx="123">
                  <c:v>35345</c:v>
                </c:pt>
                <c:pt idx="124">
                  <c:v>35346</c:v>
                </c:pt>
                <c:pt idx="125">
                  <c:v>35347</c:v>
                </c:pt>
                <c:pt idx="126">
                  <c:v>35348</c:v>
                </c:pt>
                <c:pt idx="127">
                  <c:v>35349</c:v>
                </c:pt>
                <c:pt idx="128">
                  <c:v>35352</c:v>
                </c:pt>
                <c:pt idx="129">
                  <c:v>35353</c:v>
                </c:pt>
                <c:pt idx="130">
                  <c:v>35354</c:v>
                </c:pt>
                <c:pt idx="131">
                  <c:v>35355</c:v>
                </c:pt>
                <c:pt idx="132">
                  <c:v>35356</c:v>
                </c:pt>
                <c:pt idx="133">
                  <c:v>35359</c:v>
                </c:pt>
                <c:pt idx="134">
                  <c:v>35360</c:v>
                </c:pt>
                <c:pt idx="135">
                  <c:v>35361</c:v>
                </c:pt>
                <c:pt idx="136">
                  <c:v>35362</c:v>
                </c:pt>
                <c:pt idx="137">
                  <c:v>35363</c:v>
                </c:pt>
                <c:pt idx="138">
                  <c:v>35366</c:v>
                </c:pt>
                <c:pt idx="139">
                  <c:v>35367</c:v>
                </c:pt>
                <c:pt idx="140">
                  <c:v>35368</c:v>
                </c:pt>
                <c:pt idx="141">
                  <c:v>35369</c:v>
                </c:pt>
                <c:pt idx="142">
                  <c:v>35370</c:v>
                </c:pt>
                <c:pt idx="143">
                  <c:v>35373</c:v>
                </c:pt>
                <c:pt idx="144">
                  <c:v>35374</c:v>
                </c:pt>
                <c:pt idx="145">
                  <c:v>35375</c:v>
                </c:pt>
                <c:pt idx="146">
                  <c:v>35376</c:v>
                </c:pt>
                <c:pt idx="147">
                  <c:v>35377</c:v>
                </c:pt>
                <c:pt idx="148">
                  <c:v>35380</c:v>
                </c:pt>
                <c:pt idx="149">
                  <c:v>35381</c:v>
                </c:pt>
                <c:pt idx="150">
                  <c:v>35382</c:v>
                </c:pt>
                <c:pt idx="151">
                  <c:v>35383</c:v>
                </c:pt>
                <c:pt idx="152">
                  <c:v>35384</c:v>
                </c:pt>
                <c:pt idx="153">
                  <c:v>35387</c:v>
                </c:pt>
                <c:pt idx="154">
                  <c:v>35388</c:v>
                </c:pt>
                <c:pt idx="155">
                  <c:v>35389</c:v>
                </c:pt>
                <c:pt idx="156">
                  <c:v>35390</c:v>
                </c:pt>
                <c:pt idx="157">
                  <c:v>35391</c:v>
                </c:pt>
                <c:pt idx="158">
                  <c:v>35394</c:v>
                </c:pt>
                <c:pt idx="159">
                  <c:v>35395</c:v>
                </c:pt>
                <c:pt idx="160">
                  <c:v>35396</c:v>
                </c:pt>
                <c:pt idx="161">
                  <c:v>35398</c:v>
                </c:pt>
                <c:pt idx="162">
                  <c:v>35401</c:v>
                </c:pt>
                <c:pt idx="163">
                  <c:v>35402</c:v>
                </c:pt>
                <c:pt idx="164">
                  <c:v>35403</c:v>
                </c:pt>
                <c:pt idx="165">
                  <c:v>35404</c:v>
                </c:pt>
                <c:pt idx="166">
                  <c:v>35405</c:v>
                </c:pt>
                <c:pt idx="167">
                  <c:v>35408</c:v>
                </c:pt>
                <c:pt idx="168">
                  <c:v>35409</c:v>
                </c:pt>
                <c:pt idx="169">
                  <c:v>35410</c:v>
                </c:pt>
                <c:pt idx="170">
                  <c:v>35411</c:v>
                </c:pt>
                <c:pt idx="171">
                  <c:v>35412</c:v>
                </c:pt>
                <c:pt idx="172">
                  <c:v>35415</c:v>
                </c:pt>
                <c:pt idx="173">
                  <c:v>35416</c:v>
                </c:pt>
                <c:pt idx="174">
                  <c:v>35417</c:v>
                </c:pt>
                <c:pt idx="175">
                  <c:v>35418</c:v>
                </c:pt>
                <c:pt idx="176">
                  <c:v>35419</c:v>
                </c:pt>
                <c:pt idx="177">
                  <c:v>35422</c:v>
                </c:pt>
                <c:pt idx="178">
                  <c:v>35423</c:v>
                </c:pt>
                <c:pt idx="179">
                  <c:v>35425</c:v>
                </c:pt>
                <c:pt idx="180">
                  <c:v>35426</c:v>
                </c:pt>
                <c:pt idx="181">
                  <c:v>35429</c:v>
                </c:pt>
                <c:pt idx="182">
                  <c:v>35430</c:v>
                </c:pt>
                <c:pt idx="183">
                  <c:v>35432</c:v>
                </c:pt>
                <c:pt idx="184">
                  <c:v>35433</c:v>
                </c:pt>
                <c:pt idx="185">
                  <c:v>35436</c:v>
                </c:pt>
                <c:pt idx="186">
                  <c:v>35437</c:v>
                </c:pt>
                <c:pt idx="187">
                  <c:v>35438</c:v>
                </c:pt>
                <c:pt idx="188">
                  <c:v>35439</c:v>
                </c:pt>
                <c:pt idx="189">
                  <c:v>35440</c:v>
                </c:pt>
                <c:pt idx="190">
                  <c:v>35443</c:v>
                </c:pt>
                <c:pt idx="191">
                  <c:v>35444</c:v>
                </c:pt>
                <c:pt idx="192">
                  <c:v>35445</c:v>
                </c:pt>
                <c:pt idx="193">
                  <c:v>35446</c:v>
                </c:pt>
                <c:pt idx="194">
                  <c:v>35447</c:v>
                </c:pt>
                <c:pt idx="195">
                  <c:v>35450</c:v>
                </c:pt>
                <c:pt idx="196">
                  <c:v>35451</c:v>
                </c:pt>
                <c:pt idx="197">
                  <c:v>35452</c:v>
                </c:pt>
                <c:pt idx="198">
                  <c:v>35453</c:v>
                </c:pt>
                <c:pt idx="199">
                  <c:v>35454</c:v>
                </c:pt>
                <c:pt idx="200">
                  <c:v>35457</c:v>
                </c:pt>
                <c:pt idx="201">
                  <c:v>35458</c:v>
                </c:pt>
                <c:pt idx="202">
                  <c:v>35459</c:v>
                </c:pt>
                <c:pt idx="203">
                  <c:v>35460</c:v>
                </c:pt>
                <c:pt idx="204">
                  <c:v>35461</c:v>
                </c:pt>
                <c:pt idx="205">
                  <c:v>35464</c:v>
                </c:pt>
                <c:pt idx="206">
                  <c:v>35465</c:v>
                </c:pt>
                <c:pt idx="207">
                  <c:v>35466</c:v>
                </c:pt>
                <c:pt idx="208">
                  <c:v>35467</c:v>
                </c:pt>
                <c:pt idx="209">
                  <c:v>35468</c:v>
                </c:pt>
                <c:pt idx="210">
                  <c:v>35471</c:v>
                </c:pt>
                <c:pt idx="211">
                  <c:v>35472</c:v>
                </c:pt>
                <c:pt idx="212">
                  <c:v>35473</c:v>
                </c:pt>
                <c:pt idx="213">
                  <c:v>35474</c:v>
                </c:pt>
                <c:pt idx="214">
                  <c:v>35475</c:v>
                </c:pt>
                <c:pt idx="215">
                  <c:v>35479</c:v>
                </c:pt>
                <c:pt idx="216">
                  <c:v>35480</c:v>
                </c:pt>
                <c:pt idx="217">
                  <c:v>35481</c:v>
                </c:pt>
                <c:pt idx="218">
                  <c:v>35482</c:v>
                </c:pt>
                <c:pt idx="219">
                  <c:v>35485</c:v>
                </c:pt>
                <c:pt idx="220">
                  <c:v>35486</c:v>
                </c:pt>
                <c:pt idx="221">
                  <c:v>35487</c:v>
                </c:pt>
                <c:pt idx="222">
                  <c:v>35488</c:v>
                </c:pt>
                <c:pt idx="223">
                  <c:v>35489</c:v>
                </c:pt>
                <c:pt idx="224">
                  <c:v>35492</c:v>
                </c:pt>
                <c:pt idx="225">
                  <c:v>35493</c:v>
                </c:pt>
                <c:pt idx="226">
                  <c:v>35494</c:v>
                </c:pt>
                <c:pt idx="227">
                  <c:v>35495</c:v>
                </c:pt>
                <c:pt idx="228">
                  <c:v>35496</c:v>
                </c:pt>
                <c:pt idx="229">
                  <c:v>35499</c:v>
                </c:pt>
                <c:pt idx="230">
                  <c:v>35500</c:v>
                </c:pt>
                <c:pt idx="231">
                  <c:v>35501</c:v>
                </c:pt>
                <c:pt idx="232">
                  <c:v>35502</c:v>
                </c:pt>
                <c:pt idx="233">
                  <c:v>35503</c:v>
                </c:pt>
                <c:pt idx="234">
                  <c:v>35506</c:v>
                </c:pt>
                <c:pt idx="235">
                  <c:v>35507</c:v>
                </c:pt>
                <c:pt idx="236">
                  <c:v>35508</c:v>
                </c:pt>
                <c:pt idx="237">
                  <c:v>35509</c:v>
                </c:pt>
                <c:pt idx="238">
                  <c:v>35510</c:v>
                </c:pt>
                <c:pt idx="239">
                  <c:v>35513</c:v>
                </c:pt>
                <c:pt idx="240">
                  <c:v>35514</c:v>
                </c:pt>
                <c:pt idx="241">
                  <c:v>35515</c:v>
                </c:pt>
                <c:pt idx="242">
                  <c:v>35516</c:v>
                </c:pt>
                <c:pt idx="243">
                  <c:v>35520</c:v>
                </c:pt>
                <c:pt idx="244">
                  <c:v>35521</c:v>
                </c:pt>
                <c:pt idx="245">
                  <c:v>35522</c:v>
                </c:pt>
                <c:pt idx="246">
                  <c:v>35523</c:v>
                </c:pt>
                <c:pt idx="247">
                  <c:v>35524</c:v>
                </c:pt>
                <c:pt idx="248">
                  <c:v>35527</c:v>
                </c:pt>
                <c:pt idx="249">
                  <c:v>35528</c:v>
                </c:pt>
                <c:pt idx="250">
                  <c:v>35529</c:v>
                </c:pt>
                <c:pt idx="251">
                  <c:v>35530</c:v>
                </c:pt>
                <c:pt idx="252">
                  <c:v>35531</c:v>
                </c:pt>
                <c:pt idx="253">
                  <c:v>35534</c:v>
                </c:pt>
                <c:pt idx="254">
                  <c:v>35535</c:v>
                </c:pt>
                <c:pt idx="255">
                  <c:v>35536</c:v>
                </c:pt>
                <c:pt idx="256">
                  <c:v>35537</c:v>
                </c:pt>
                <c:pt idx="257">
                  <c:v>35538</c:v>
                </c:pt>
                <c:pt idx="258">
                  <c:v>35541</c:v>
                </c:pt>
                <c:pt idx="259">
                  <c:v>35542</c:v>
                </c:pt>
                <c:pt idx="260">
                  <c:v>35543</c:v>
                </c:pt>
                <c:pt idx="261">
                  <c:v>35544</c:v>
                </c:pt>
                <c:pt idx="262">
                  <c:v>35545</c:v>
                </c:pt>
                <c:pt idx="263">
                  <c:v>35548</c:v>
                </c:pt>
                <c:pt idx="264">
                  <c:v>35549</c:v>
                </c:pt>
                <c:pt idx="265">
                  <c:v>35550</c:v>
                </c:pt>
                <c:pt idx="266">
                  <c:v>35551</c:v>
                </c:pt>
                <c:pt idx="267">
                  <c:v>35552</c:v>
                </c:pt>
                <c:pt idx="268">
                  <c:v>35555</c:v>
                </c:pt>
                <c:pt idx="269">
                  <c:v>35556</c:v>
                </c:pt>
                <c:pt idx="270">
                  <c:v>35557</c:v>
                </c:pt>
                <c:pt idx="271">
                  <c:v>35558</c:v>
                </c:pt>
                <c:pt idx="272">
                  <c:v>35559</c:v>
                </c:pt>
                <c:pt idx="273">
                  <c:v>35562</c:v>
                </c:pt>
                <c:pt idx="274">
                  <c:v>35563</c:v>
                </c:pt>
                <c:pt idx="275">
                  <c:v>35564</c:v>
                </c:pt>
                <c:pt idx="276">
                  <c:v>35565</c:v>
                </c:pt>
                <c:pt idx="277">
                  <c:v>35566</c:v>
                </c:pt>
                <c:pt idx="278">
                  <c:v>35569</c:v>
                </c:pt>
                <c:pt idx="279">
                  <c:v>35570</c:v>
                </c:pt>
                <c:pt idx="280">
                  <c:v>35571</c:v>
                </c:pt>
                <c:pt idx="281">
                  <c:v>35572</c:v>
                </c:pt>
                <c:pt idx="282">
                  <c:v>35573</c:v>
                </c:pt>
                <c:pt idx="283">
                  <c:v>35577</c:v>
                </c:pt>
                <c:pt idx="284">
                  <c:v>35578</c:v>
                </c:pt>
                <c:pt idx="285">
                  <c:v>35579</c:v>
                </c:pt>
                <c:pt idx="286">
                  <c:v>35580</c:v>
                </c:pt>
                <c:pt idx="287">
                  <c:v>35583</c:v>
                </c:pt>
                <c:pt idx="288">
                  <c:v>35584</c:v>
                </c:pt>
                <c:pt idx="289">
                  <c:v>35585</c:v>
                </c:pt>
                <c:pt idx="290">
                  <c:v>35586</c:v>
                </c:pt>
                <c:pt idx="291">
                  <c:v>35587</c:v>
                </c:pt>
                <c:pt idx="292">
                  <c:v>35590</c:v>
                </c:pt>
                <c:pt idx="293">
                  <c:v>35591</c:v>
                </c:pt>
                <c:pt idx="294">
                  <c:v>35592</c:v>
                </c:pt>
                <c:pt idx="295">
                  <c:v>35593</c:v>
                </c:pt>
                <c:pt idx="296">
                  <c:v>35594</c:v>
                </c:pt>
                <c:pt idx="297">
                  <c:v>35597</c:v>
                </c:pt>
                <c:pt idx="298">
                  <c:v>35598</c:v>
                </c:pt>
                <c:pt idx="299">
                  <c:v>35599</c:v>
                </c:pt>
                <c:pt idx="300">
                  <c:v>35600</c:v>
                </c:pt>
                <c:pt idx="301">
                  <c:v>35601</c:v>
                </c:pt>
                <c:pt idx="302">
                  <c:v>35604</c:v>
                </c:pt>
                <c:pt idx="303">
                  <c:v>35605</c:v>
                </c:pt>
                <c:pt idx="304">
                  <c:v>35606</c:v>
                </c:pt>
                <c:pt idx="305">
                  <c:v>35607</c:v>
                </c:pt>
                <c:pt idx="306">
                  <c:v>35608</c:v>
                </c:pt>
                <c:pt idx="307">
                  <c:v>35611</c:v>
                </c:pt>
                <c:pt idx="308">
                  <c:v>35612</c:v>
                </c:pt>
                <c:pt idx="309">
                  <c:v>35613</c:v>
                </c:pt>
                <c:pt idx="310">
                  <c:v>35614</c:v>
                </c:pt>
                <c:pt idx="311">
                  <c:v>35618</c:v>
                </c:pt>
                <c:pt idx="312">
                  <c:v>35619</c:v>
                </c:pt>
                <c:pt idx="313">
                  <c:v>35620</c:v>
                </c:pt>
                <c:pt idx="314">
                  <c:v>35621</c:v>
                </c:pt>
                <c:pt idx="315">
                  <c:v>35622</c:v>
                </c:pt>
                <c:pt idx="316">
                  <c:v>35625</c:v>
                </c:pt>
                <c:pt idx="317">
                  <c:v>35626</c:v>
                </c:pt>
                <c:pt idx="318">
                  <c:v>35627</c:v>
                </c:pt>
                <c:pt idx="319">
                  <c:v>35628</c:v>
                </c:pt>
                <c:pt idx="320">
                  <c:v>35629</c:v>
                </c:pt>
                <c:pt idx="321">
                  <c:v>35632</c:v>
                </c:pt>
                <c:pt idx="322">
                  <c:v>35633</c:v>
                </c:pt>
                <c:pt idx="323">
                  <c:v>35634</c:v>
                </c:pt>
                <c:pt idx="324">
                  <c:v>35635</c:v>
                </c:pt>
                <c:pt idx="325">
                  <c:v>35636</c:v>
                </c:pt>
                <c:pt idx="326">
                  <c:v>35639</c:v>
                </c:pt>
                <c:pt idx="327">
                  <c:v>35640</c:v>
                </c:pt>
                <c:pt idx="328">
                  <c:v>35641</c:v>
                </c:pt>
                <c:pt idx="329">
                  <c:v>35642</c:v>
                </c:pt>
                <c:pt idx="330">
                  <c:v>35643</c:v>
                </c:pt>
                <c:pt idx="331">
                  <c:v>35646</c:v>
                </c:pt>
                <c:pt idx="332">
                  <c:v>35647</c:v>
                </c:pt>
                <c:pt idx="333">
                  <c:v>35648</c:v>
                </c:pt>
                <c:pt idx="334">
                  <c:v>35649</c:v>
                </c:pt>
                <c:pt idx="335">
                  <c:v>35650</c:v>
                </c:pt>
                <c:pt idx="336">
                  <c:v>35653</c:v>
                </c:pt>
                <c:pt idx="337">
                  <c:v>35654</c:v>
                </c:pt>
                <c:pt idx="338">
                  <c:v>35655</c:v>
                </c:pt>
                <c:pt idx="339">
                  <c:v>35656</c:v>
                </c:pt>
                <c:pt idx="340">
                  <c:v>35657</c:v>
                </c:pt>
                <c:pt idx="341">
                  <c:v>35660</c:v>
                </c:pt>
                <c:pt idx="342">
                  <c:v>35661</c:v>
                </c:pt>
                <c:pt idx="343">
                  <c:v>35662</c:v>
                </c:pt>
                <c:pt idx="344">
                  <c:v>35663</c:v>
                </c:pt>
                <c:pt idx="345">
                  <c:v>35664</c:v>
                </c:pt>
                <c:pt idx="346">
                  <c:v>35667</c:v>
                </c:pt>
                <c:pt idx="347">
                  <c:v>35668</c:v>
                </c:pt>
                <c:pt idx="348">
                  <c:v>35669</c:v>
                </c:pt>
                <c:pt idx="349">
                  <c:v>35670</c:v>
                </c:pt>
                <c:pt idx="350">
                  <c:v>35671</c:v>
                </c:pt>
                <c:pt idx="351">
                  <c:v>35675</c:v>
                </c:pt>
                <c:pt idx="352">
                  <c:v>35676</c:v>
                </c:pt>
                <c:pt idx="353">
                  <c:v>35677</c:v>
                </c:pt>
                <c:pt idx="354">
                  <c:v>35678</c:v>
                </c:pt>
                <c:pt idx="355">
                  <c:v>35681</c:v>
                </c:pt>
                <c:pt idx="356">
                  <c:v>35682</c:v>
                </c:pt>
                <c:pt idx="357">
                  <c:v>35683</c:v>
                </c:pt>
                <c:pt idx="358">
                  <c:v>35684</c:v>
                </c:pt>
                <c:pt idx="359">
                  <c:v>35685</c:v>
                </c:pt>
                <c:pt idx="360">
                  <c:v>35688</c:v>
                </c:pt>
                <c:pt idx="361">
                  <c:v>35689</c:v>
                </c:pt>
                <c:pt idx="362">
                  <c:v>35690</c:v>
                </c:pt>
                <c:pt idx="363">
                  <c:v>35691</c:v>
                </c:pt>
                <c:pt idx="364">
                  <c:v>35692</c:v>
                </c:pt>
                <c:pt idx="365">
                  <c:v>35695</c:v>
                </c:pt>
                <c:pt idx="366">
                  <c:v>35696</c:v>
                </c:pt>
                <c:pt idx="367">
                  <c:v>35697</c:v>
                </c:pt>
                <c:pt idx="368">
                  <c:v>35698</c:v>
                </c:pt>
                <c:pt idx="369">
                  <c:v>35699</c:v>
                </c:pt>
                <c:pt idx="370">
                  <c:v>35702</c:v>
                </c:pt>
                <c:pt idx="371">
                  <c:v>35703</c:v>
                </c:pt>
                <c:pt idx="372">
                  <c:v>35704</c:v>
                </c:pt>
                <c:pt idx="373">
                  <c:v>35705</c:v>
                </c:pt>
                <c:pt idx="374">
                  <c:v>35706</c:v>
                </c:pt>
                <c:pt idx="375">
                  <c:v>35709</c:v>
                </c:pt>
                <c:pt idx="376">
                  <c:v>35710</c:v>
                </c:pt>
                <c:pt idx="377">
                  <c:v>35711</c:v>
                </c:pt>
                <c:pt idx="378">
                  <c:v>35712</c:v>
                </c:pt>
                <c:pt idx="379">
                  <c:v>35713</c:v>
                </c:pt>
                <c:pt idx="380">
                  <c:v>35716</c:v>
                </c:pt>
                <c:pt idx="381">
                  <c:v>35717</c:v>
                </c:pt>
                <c:pt idx="382">
                  <c:v>35718</c:v>
                </c:pt>
                <c:pt idx="383">
                  <c:v>35719</c:v>
                </c:pt>
                <c:pt idx="384">
                  <c:v>35720</c:v>
                </c:pt>
                <c:pt idx="385">
                  <c:v>35723</c:v>
                </c:pt>
                <c:pt idx="386">
                  <c:v>35724</c:v>
                </c:pt>
                <c:pt idx="387">
                  <c:v>35725</c:v>
                </c:pt>
                <c:pt idx="388">
                  <c:v>35726</c:v>
                </c:pt>
                <c:pt idx="389">
                  <c:v>35727</c:v>
                </c:pt>
                <c:pt idx="390">
                  <c:v>35730</c:v>
                </c:pt>
                <c:pt idx="391">
                  <c:v>35731</c:v>
                </c:pt>
                <c:pt idx="392">
                  <c:v>35732</c:v>
                </c:pt>
                <c:pt idx="393">
                  <c:v>35733</c:v>
                </c:pt>
                <c:pt idx="394">
                  <c:v>35734</c:v>
                </c:pt>
                <c:pt idx="395">
                  <c:v>35737</c:v>
                </c:pt>
                <c:pt idx="396">
                  <c:v>35738</c:v>
                </c:pt>
                <c:pt idx="397">
                  <c:v>35739</c:v>
                </c:pt>
                <c:pt idx="398">
                  <c:v>35740</c:v>
                </c:pt>
                <c:pt idx="399">
                  <c:v>35741</c:v>
                </c:pt>
                <c:pt idx="400">
                  <c:v>35744</c:v>
                </c:pt>
                <c:pt idx="401">
                  <c:v>35745</c:v>
                </c:pt>
                <c:pt idx="402">
                  <c:v>35746</c:v>
                </c:pt>
                <c:pt idx="403">
                  <c:v>35747</c:v>
                </c:pt>
                <c:pt idx="404">
                  <c:v>35748</c:v>
                </c:pt>
                <c:pt idx="405">
                  <c:v>35751</c:v>
                </c:pt>
                <c:pt idx="406">
                  <c:v>35752</c:v>
                </c:pt>
                <c:pt idx="407">
                  <c:v>35753</c:v>
                </c:pt>
                <c:pt idx="408">
                  <c:v>35754</c:v>
                </c:pt>
                <c:pt idx="409">
                  <c:v>35755</c:v>
                </c:pt>
                <c:pt idx="410">
                  <c:v>35758</c:v>
                </c:pt>
                <c:pt idx="411">
                  <c:v>35759</c:v>
                </c:pt>
                <c:pt idx="412">
                  <c:v>35760</c:v>
                </c:pt>
                <c:pt idx="413">
                  <c:v>35762</c:v>
                </c:pt>
                <c:pt idx="414">
                  <c:v>35765</c:v>
                </c:pt>
                <c:pt idx="415">
                  <c:v>35766</c:v>
                </c:pt>
                <c:pt idx="416">
                  <c:v>35767</c:v>
                </c:pt>
                <c:pt idx="417">
                  <c:v>35768</c:v>
                </c:pt>
                <c:pt idx="418">
                  <c:v>35769</c:v>
                </c:pt>
                <c:pt idx="419">
                  <c:v>35772</c:v>
                </c:pt>
                <c:pt idx="420">
                  <c:v>35773</c:v>
                </c:pt>
                <c:pt idx="421">
                  <c:v>35774</c:v>
                </c:pt>
                <c:pt idx="422">
                  <c:v>35775</c:v>
                </c:pt>
                <c:pt idx="423">
                  <c:v>35776</c:v>
                </c:pt>
                <c:pt idx="424">
                  <c:v>35779</c:v>
                </c:pt>
                <c:pt idx="425">
                  <c:v>35780</c:v>
                </c:pt>
                <c:pt idx="426">
                  <c:v>35781</c:v>
                </c:pt>
                <c:pt idx="427">
                  <c:v>35782</c:v>
                </c:pt>
                <c:pt idx="428">
                  <c:v>35783</c:v>
                </c:pt>
                <c:pt idx="429">
                  <c:v>35786</c:v>
                </c:pt>
                <c:pt idx="430">
                  <c:v>35787</c:v>
                </c:pt>
                <c:pt idx="431">
                  <c:v>35788</c:v>
                </c:pt>
                <c:pt idx="432">
                  <c:v>35790</c:v>
                </c:pt>
                <c:pt idx="433">
                  <c:v>35793</c:v>
                </c:pt>
                <c:pt idx="434">
                  <c:v>35794</c:v>
                </c:pt>
                <c:pt idx="435">
                  <c:v>35795</c:v>
                </c:pt>
                <c:pt idx="436">
                  <c:v>35797</c:v>
                </c:pt>
                <c:pt idx="437">
                  <c:v>35800</c:v>
                </c:pt>
                <c:pt idx="438">
                  <c:v>35801</c:v>
                </c:pt>
                <c:pt idx="439">
                  <c:v>35802</c:v>
                </c:pt>
                <c:pt idx="440">
                  <c:v>35803</c:v>
                </c:pt>
                <c:pt idx="441">
                  <c:v>35804</c:v>
                </c:pt>
                <c:pt idx="442">
                  <c:v>35807</c:v>
                </c:pt>
                <c:pt idx="443">
                  <c:v>35808</c:v>
                </c:pt>
                <c:pt idx="444">
                  <c:v>35809</c:v>
                </c:pt>
                <c:pt idx="445">
                  <c:v>35810</c:v>
                </c:pt>
                <c:pt idx="446">
                  <c:v>35811</c:v>
                </c:pt>
                <c:pt idx="447">
                  <c:v>35815</c:v>
                </c:pt>
                <c:pt idx="448">
                  <c:v>35816</c:v>
                </c:pt>
                <c:pt idx="449">
                  <c:v>35817</c:v>
                </c:pt>
                <c:pt idx="450">
                  <c:v>35818</c:v>
                </c:pt>
                <c:pt idx="451">
                  <c:v>35821</c:v>
                </c:pt>
                <c:pt idx="452">
                  <c:v>35822</c:v>
                </c:pt>
                <c:pt idx="453">
                  <c:v>35823</c:v>
                </c:pt>
                <c:pt idx="454">
                  <c:v>35824</c:v>
                </c:pt>
                <c:pt idx="455">
                  <c:v>35825</c:v>
                </c:pt>
                <c:pt idx="456">
                  <c:v>35828</c:v>
                </c:pt>
                <c:pt idx="457">
                  <c:v>35829</c:v>
                </c:pt>
                <c:pt idx="458">
                  <c:v>35830</c:v>
                </c:pt>
                <c:pt idx="459">
                  <c:v>35831</c:v>
                </c:pt>
                <c:pt idx="460">
                  <c:v>35832</c:v>
                </c:pt>
                <c:pt idx="461">
                  <c:v>35835</c:v>
                </c:pt>
                <c:pt idx="462">
                  <c:v>35836</c:v>
                </c:pt>
                <c:pt idx="463">
                  <c:v>35837</c:v>
                </c:pt>
                <c:pt idx="464">
                  <c:v>35838</c:v>
                </c:pt>
                <c:pt idx="465">
                  <c:v>35839</c:v>
                </c:pt>
                <c:pt idx="466">
                  <c:v>35843</c:v>
                </c:pt>
                <c:pt idx="467">
                  <c:v>35844</c:v>
                </c:pt>
                <c:pt idx="468">
                  <c:v>35845</c:v>
                </c:pt>
                <c:pt idx="469">
                  <c:v>35846</c:v>
                </c:pt>
                <c:pt idx="470">
                  <c:v>35849</c:v>
                </c:pt>
                <c:pt idx="471">
                  <c:v>35850</c:v>
                </c:pt>
                <c:pt idx="472">
                  <c:v>35851</c:v>
                </c:pt>
                <c:pt idx="473">
                  <c:v>35852</c:v>
                </c:pt>
                <c:pt idx="474">
                  <c:v>35853</c:v>
                </c:pt>
                <c:pt idx="475">
                  <c:v>35856</c:v>
                </c:pt>
                <c:pt idx="476">
                  <c:v>35857</c:v>
                </c:pt>
                <c:pt idx="477">
                  <c:v>35858</c:v>
                </c:pt>
                <c:pt idx="478">
                  <c:v>35859</c:v>
                </c:pt>
                <c:pt idx="479">
                  <c:v>35860</c:v>
                </c:pt>
                <c:pt idx="480">
                  <c:v>35863</c:v>
                </c:pt>
                <c:pt idx="481">
                  <c:v>35864</c:v>
                </c:pt>
                <c:pt idx="482">
                  <c:v>35865</c:v>
                </c:pt>
                <c:pt idx="483">
                  <c:v>35866</c:v>
                </c:pt>
                <c:pt idx="484">
                  <c:v>35867</c:v>
                </c:pt>
                <c:pt idx="485">
                  <c:v>35870</c:v>
                </c:pt>
                <c:pt idx="486">
                  <c:v>35871</c:v>
                </c:pt>
                <c:pt idx="487">
                  <c:v>35872</c:v>
                </c:pt>
                <c:pt idx="488">
                  <c:v>35873</c:v>
                </c:pt>
                <c:pt idx="489">
                  <c:v>35874</c:v>
                </c:pt>
                <c:pt idx="490">
                  <c:v>35877</c:v>
                </c:pt>
                <c:pt idx="491">
                  <c:v>35878</c:v>
                </c:pt>
                <c:pt idx="492">
                  <c:v>35879</c:v>
                </c:pt>
                <c:pt idx="493">
                  <c:v>35880</c:v>
                </c:pt>
                <c:pt idx="494">
                  <c:v>35881</c:v>
                </c:pt>
                <c:pt idx="495">
                  <c:v>35884</c:v>
                </c:pt>
                <c:pt idx="496">
                  <c:v>35885</c:v>
                </c:pt>
                <c:pt idx="497">
                  <c:v>35886</c:v>
                </c:pt>
                <c:pt idx="498">
                  <c:v>35887</c:v>
                </c:pt>
                <c:pt idx="499">
                  <c:v>35888</c:v>
                </c:pt>
                <c:pt idx="500">
                  <c:v>35891</c:v>
                </c:pt>
                <c:pt idx="501">
                  <c:v>35892</c:v>
                </c:pt>
                <c:pt idx="502">
                  <c:v>35893</c:v>
                </c:pt>
                <c:pt idx="503">
                  <c:v>35894</c:v>
                </c:pt>
                <c:pt idx="504">
                  <c:v>35898</c:v>
                </c:pt>
                <c:pt idx="505">
                  <c:v>35899</c:v>
                </c:pt>
                <c:pt idx="506">
                  <c:v>35900</c:v>
                </c:pt>
                <c:pt idx="507">
                  <c:v>35901</c:v>
                </c:pt>
                <c:pt idx="508">
                  <c:v>35902</c:v>
                </c:pt>
                <c:pt idx="509">
                  <c:v>35905</c:v>
                </c:pt>
                <c:pt idx="510">
                  <c:v>35906</c:v>
                </c:pt>
                <c:pt idx="511">
                  <c:v>35907</c:v>
                </c:pt>
                <c:pt idx="512">
                  <c:v>35908</c:v>
                </c:pt>
                <c:pt idx="513">
                  <c:v>35909</c:v>
                </c:pt>
                <c:pt idx="514">
                  <c:v>35912</c:v>
                </c:pt>
                <c:pt idx="515">
                  <c:v>35913</c:v>
                </c:pt>
                <c:pt idx="516">
                  <c:v>35914</c:v>
                </c:pt>
                <c:pt idx="517">
                  <c:v>35915</c:v>
                </c:pt>
                <c:pt idx="518">
                  <c:v>35916</c:v>
                </c:pt>
                <c:pt idx="519">
                  <c:v>35919</c:v>
                </c:pt>
                <c:pt idx="520">
                  <c:v>35920</c:v>
                </c:pt>
                <c:pt idx="521">
                  <c:v>35921</c:v>
                </c:pt>
                <c:pt idx="522">
                  <c:v>35922</c:v>
                </c:pt>
                <c:pt idx="523">
                  <c:v>35923</c:v>
                </c:pt>
                <c:pt idx="524">
                  <c:v>35926</c:v>
                </c:pt>
                <c:pt idx="525">
                  <c:v>35927</c:v>
                </c:pt>
                <c:pt idx="526">
                  <c:v>35928</c:v>
                </c:pt>
                <c:pt idx="527">
                  <c:v>35929</c:v>
                </c:pt>
                <c:pt idx="528">
                  <c:v>35930</c:v>
                </c:pt>
                <c:pt idx="529">
                  <c:v>35933</c:v>
                </c:pt>
                <c:pt idx="530">
                  <c:v>35934</c:v>
                </c:pt>
                <c:pt idx="531">
                  <c:v>35935</c:v>
                </c:pt>
                <c:pt idx="532">
                  <c:v>35936</c:v>
                </c:pt>
                <c:pt idx="533">
                  <c:v>35937</c:v>
                </c:pt>
                <c:pt idx="534">
                  <c:v>35941</c:v>
                </c:pt>
                <c:pt idx="535">
                  <c:v>35942</c:v>
                </c:pt>
                <c:pt idx="536">
                  <c:v>35943</c:v>
                </c:pt>
                <c:pt idx="537">
                  <c:v>35944</c:v>
                </c:pt>
                <c:pt idx="538">
                  <c:v>35947</c:v>
                </c:pt>
                <c:pt idx="539">
                  <c:v>35948</c:v>
                </c:pt>
                <c:pt idx="540">
                  <c:v>35949</c:v>
                </c:pt>
                <c:pt idx="541">
                  <c:v>35950</c:v>
                </c:pt>
                <c:pt idx="542">
                  <c:v>35951</c:v>
                </c:pt>
                <c:pt idx="543">
                  <c:v>35954</c:v>
                </c:pt>
                <c:pt idx="544">
                  <c:v>35955</c:v>
                </c:pt>
                <c:pt idx="545">
                  <c:v>35956</c:v>
                </c:pt>
                <c:pt idx="546">
                  <c:v>35957</c:v>
                </c:pt>
                <c:pt idx="547">
                  <c:v>35958</c:v>
                </c:pt>
                <c:pt idx="548">
                  <c:v>35961</c:v>
                </c:pt>
                <c:pt idx="549">
                  <c:v>35962</c:v>
                </c:pt>
                <c:pt idx="550">
                  <c:v>35963</c:v>
                </c:pt>
                <c:pt idx="551">
                  <c:v>35964</c:v>
                </c:pt>
                <c:pt idx="552">
                  <c:v>35965</c:v>
                </c:pt>
                <c:pt idx="553">
                  <c:v>35968</c:v>
                </c:pt>
                <c:pt idx="554">
                  <c:v>35969</c:v>
                </c:pt>
                <c:pt idx="555">
                  <c:v>35970</c:v>
                </c:pt>
                <c:pt idx="556">
                  <c:v>35971</c:v>
                </c:pt>
                <c:pt idx="557">
                  <c:v>35972</c:v>
                </c:pt>
                <c:pt idx="558">
                  <c:v>35975</c:v>
                </c:pt>
                <c:pt idx="559">
                  <c:v>35976</c:v>
                </c:pt>
                <c:pt idx="560">
                  <c:v>35977</c:v>
                </c:pt>
                <c:pt idx="561">
                  <c:v>35978</c:v>
                </c:pt>
                <c:pt idx="562">
                  <c:v>35982</c:v>
                </c:pt>
                <c:pt idx="563">
                  <c:v>35983</c:v>
                </c:pt>
                <c:pt idx="564">
                  <c:v>35984</c:v>
                </c:pt>
                <c:pt idx="565">
                  <c:v>35985</c:v>
                </c:pt>
                <c:pt idx="566">
                  <c:v>35986</c:v>
                </c:pt>
                <c:pt idx="567">
                  <c:v>35989</c:v>
                </c:pt>
                <c:pt idx="568">
                  <c:v>35990</c:v>
                </c:pt>
                <c:pt idx="569">
                  <c:v>35991</c:v>
                </c:pt>
                <c:pt idx="570">
                  <c:v>35992</c:v>
                </c:pt>
                <c:pt idx="571">
                  <c:v>35993</c:v>
                </c:pt>
                <c:pt idx="572">
                  <c:v>35996</c:v>
                </c:pt>
                <c:pt idx="573">
                  <c:v>35997</c:v>
                </c:pt>
                <c:pt idx="574">
                  <c:v>35998</c:v>
                </c:pt>
                <c:pt idx="575">
                  <c:v>35999</c:v>
                </c:pt>
                <c:pt idx="576">
                  <c:v>36000</c:v>
                </c:pt>
                <c:pt idx="577">
                  <c:v>36003</c:v>
                </c:pt>
                <c:pt idx="578">
                  <c:v>36004</c:v>
                </c:pt>
                <c:pt idx="579">
                  <c:v>36005</c:v>
                </c:pt>
                <c:pt idx="580">
                  <c:v>36006</c:v>
                </c:pt>
                <c:pt idx="581">
                  <c:v>36007</c:v>
                </c:pt>
                <c:pt idx="582">
                  <c:v>36010</c:v>
                </c:pt>
                <c:pt idx="583">
                  <c:v>36011</c:v>
                </c:pt>
                <c:pt idx="584">
                  <c:v>36012</c:v>
                </c:pt>
                <c:pt idx="585">
                  <c:v>36013</c:v>
                </c:pt>
                <c:pt idx="586">
                  <c:v>36014</c:v>
                </c:pt>
                <c:pt idx="587">
                  <c:v>36017</c:v>
                </c:pt>
                <c:pt idx="588">
                  <c:v>36018</c:v>
                </c:pt>
                <c:pt idx="589">
                  <c:v>36019</c:v>
                </c:pt>
                <c:pt idx="590">
                  <c:v>36020</c:v>
                </c:pt>
                <c:pt idx="591">
                  <c:v>36021</c:v>
                </c:pt>
                <c:pt idx="592">
                  <c:v>36024</c:v>
                </c:pt>
                <c:pt idx="593">
                  <c:v>36025</c:v>
                </c:pt>
                <c:pt idx="594">
                  <c:v>36026</c:v>
                </c:pt>
                <c:pt idx="595">
                  <c:v>36027</c:v>
                </c:pt>
                <c:pt idx="596">
                  <c:v>36028</c:v>
                </c:pt>
                <c:pt idx="597">
                  <c:v>36031</c:v>
                </c:pt>
                <c:pt idx="598">
                  <c:v>36032</c:v>
                </c:pt>
                <c:pt idx="599">
                  <c:v>36033</c:v>
                </c:pt>
                <c:pt idx="600">
                  <c:v>36034</c:v>
                </c:pt>
                <c:pt idx="601">
                  <c:v>36035</c:v>
                </c:pt>
                <c:pt idx="602">
                  <c:v>36038</c:v>
                </c:pt>
                <c:pt idx="603">
                  <c:v>36039</c:v>
                </c:pt>
                <c:pt idx="604">
                  <c:v>36040</c:v>
                </c:pt>
                <c:pt idx="605">
                  <c:v>36041</c:v>
                </c:pt>
                <c:pt idx="606">
                  <c:v>36042</c:v>
                </c:pt>
                <c:pt idx="607">
                  <c:v>36046</c:v>
                </c:pt>
                <c:pt idx="608">
                  <c:v>36047</c:v>
                </c:pt>
                <c:pt idx="609">
                  <c:v>36048</c:v>
                </c:pt>
                <c:pt idx="610">
                  <c:v>36049</c:v>
                </c:pt>
                <c:pt idx="611">
                  <c:v>36052</c:v>
                </c:pt>
                <c:pt idx="612">
                  <c:v>36053</c:v>
                </c:pt>
                <c:pt idx="613">
                  <c:v>36054</c:v>
                </c:pt>
                <c:pt idx="614">
                  <c:v>36055</c:v>
                </c:pt>
                <c:pt idx="615">
                  <c:v>36056</c:v>
                </c:pt>
                <c:pt idx="616">
                  <c:v>36059</c:v>
                </c:pt>
                <c:pt idx="617">
                  <c:v>36060</c:v>
                </c:pt>
                <c:pt idx="618">
                  <c:v>36061</c:v>
                </c:pt>
                <c:pt idx="619">
                  <c:v>36062</c:v>
                </c:pt>
                <c:pt idx="620">
                  <c:v>36063</c:v>
                </c:pt>
                <c:pt idx="621">
                  <c:v>36066</c:v>
                </c:pt>
                <c:pt idx="622">
                  <c:v>36067</c:v>
                </c:pt>
                <c:pt idx="623">
                  <c:v>36068</c:v>
                </c:pt>
                <c:pt idx="624">
                  <c:v>36069</c:v>
                </c:pt>
                <c:pt idx="625">
                  <c:v>36070</c:v>
                </c:pt>
                <c:pt idx="626">
                  <c:v>36073</c:v>
                </c:pt>
                <c:pt idx="627">
                  <c:v>36074</c:v>
                </c:pt>
                <c:pt idx="628">
                  <c:v>36075</c:v>
                </c:pt>
                <c:pt idx="629">
                  <c:v>36076</c:v>
                </c:pt>
                <c:pt idx="630">
                  <c:v>36077</c:v>
                </c:pt>
                <c:pt idx="631">
                  <c:v>36080</c:v>
                </c:pt>
                <c:pt idx="632">
                  <c:v>36081</c:v>
                </c:pt>
                <c:pt idx="633">
                  <c:v>36082</c:v>
                </c:pt>
                <c:pt idx="634">
                  <c:v>36083</c:v>
                </c:pt>
                <c:pt idx="635">
                  <c:v>36084</c:v>
                </c:pt>
                <c:pt idx="636">
                  <c:v>36087</c:v>
                </c:pt>
                <c:pt idx="637">
                  <c:v>36088</c:v>
                </c:pt>
                <c:pt idx="638">
                  <c:v>36089</c:v>
                </c:pt>
                <c:pt idx="639">
                  <c:v>36090</c:v>
                </c:pt>
                <c:pt idx="640">
                  <c:v>36091</c:v>
                </c:pt>
                <c:pt idx="641">
                  <c:v>36094</c:v>
                </c:pt>
                <c:pt idx="642">
                  <c:v>36095</c:v>
                </c:pt>
                <c:pt idx="643">
                  <c:v>36096</c:v>
                </c:pt>
                <c:pt idx="644">
                  <c:v>36097</c:v>
                </c:pt>
                <c:pt idx="645">
                  <c:v>36098</c:v>
                </c:pt>
                <c:pt idx="646">
                  <c:v>36101</c:v>
                </c:pt>
                <c:pt idx="647">
                  <c:v>36102</c:v>
                </c:pt>
                <c:pt idx="648">
                  <c:v>36103</c:v>
                </c:pt>
                <c:pt idx="649">
                  <c:v>36104</c:v>
                </c:pt>
                <c:pt idx="650">
                  <c:v>36105</c:v>
                </c:pt>
                <c:pt idx="651">
                  <c:v>36108</c:v>
                </c:pt>
                <c:pt idx="652">
                  <c:v>36109</c:v>
                </c:pt>
                <c:pt idx="653">
                  <c:v>36110</c:v>
                </c:pt>
                <c:pt idx="654">
                  <c:v>36111</c:v>
                </c:pt>
                <c:pt idx="655">
                  <c:v>36112</c:v>
                </c:pt>
                <c:pt idx="656">
                  <c:v>36115</c:v>
                </c:pt>
                <c:pt idx="657">
                  <c:v>36116</c:v>
                </c:pt>
                <c:pt idx="658">
                  <c:v>36117</c:v>
                </c:pt>
                <c:pt idx="659">
                  <c:v>36118</c:v>
                </c:pt>
                <c:pt idx="660">
                  <c:v>36119</c:v>
                </c:pt>
                <c:pt idx="661">
                  <c:v>36122</c:v>
                </c:pt>
                <c:pt idx="662">
                  <c:v>36123</c:v>
                </c:pt>
                <c:pt idx="663">
                  <c:v>36124</c:v>
                </c:pt>
                <c:pt idx="664">
                  <c:v>36126</c:v>
                </c:pt>
                <c:pt idx="665">
                  <c:v>36129</c:v>
                </c:pt>
                <c:pt idx="666">
                  <c:v>36130</c:v>
                </c:pt>
                <c:pt idx="667">
                  <c:v>36131</c:v>
                </c:pt>
                <c:pt idx="668">
                  <c:v>36132</c:v>
                </c:pt>
                <c:pt idx="669">
                  <c:v>36133</c:v>
                </c:pt>
                <c:pt idx="670">
                  <c:v>36136</c:v>
                </c:pt>
                <c:pt idx="671">
                  <c:v>36137</c:v>
                </c:pt>
                <c:pt idx="672">
                  <c:v>36138</c:v>
                </c:pt>
                <c:pt idx="673">
                  <c:v>36139</c:v>
                </c:pt>
                <c:pt idx="674">
                  <c:v>36140</c:v>
                </c:pt>
                <c:pt idx="675">
                  <c:v>36143</c:v>
                </c:pt>
                <c:pt idx="676">
                  <c:v>36144</c:v>
                </c:pt>
                <c:pt idx="677">
                  <c:v>36145</c:v>
                </c:pt>
                <c:pt idx="678">
                  <c:v>36146</c:v>
                </c:pt>
                <c:pt idx="679">
                  <c:v>36147</c:v>
                </c:pt>
                <c:pt idx="680">
                  <c:v>36150</c:v>
                </c:pt>
                <c:pt idx="681">
                  <c:v>36151</c:v>
                </c:pt>
                <c:pt idx="682">
                  <c:v>36152</c:v>
                </c:pt>
                <c:pt idx="683">
                  <c:v>36153</c:v>
                </c:pt>
                <c:pt idx="684">
                  <c:v>36157</c:v>
                </c:pt>
                <c:pt idx="685">
                  <c:v>36158</c:v>
                </c:pt>
                <c:pt idx="686">
                  <c:v>36159</c:v>
                </c:pt>
                <c:pt idx="687">
                  <c:v>36160</c:v>
                </c:pt>
                <c:pt idx="688">
                  <c:v>36164</c:v>
                </c:pt>
                <c:pt idx="689">
                  <c:v>36165</c:v>
                </c:pt>
                <c:pt idx="690">
                  <c:v>36166</c:v>
                </c:pt>
                <c:pt idx="691">
                  <c:v>36167</c:v>
                </c:pt>
                <c:pt idx="692">
                  <c:v>36168</c:v>
                </c:pt>
                <c:pt idx="693">
                  <c:v>36171</c:v>
                </c:pt>
                <c:pt idx="694">
                  <c:v>36172</c:v>
                </c:pt>
                <c:pt idx="695">
                  <c:v>36173</c:v>
                </c:pt>
                <c:pt idx="696">
                  <c:v>36174</c:v>
                </c:pt>
                <c:pt idx="697">
                  <c:v>36175</c:v>
                </c:pt>
                <c:pt idx="698">
                  <c:v>36179</c:v>
                </c:pt>
                <c:pt idx="699">
                  <c:v>36180</c:v>
                </c:pt>
                <c:pt idx="700">
                  <c:v>36181</c:v>
                </c:pt>
                <c:pt idx="701">
                  <c:v>36182</c:v>
                </c:pt>
                <c:pt idx="702">
                  <c:v>36185</c:v>
                </c:pt>
                <c:pt idx="703">
                  <c:v>36186</c:v>
                </c:pt>
                <c:pt idx="704">
                  <c:v>36187</c:v>
                </c:pt>
                <c:pt idx="705">
                  <c:v>36188</c:v>
                </c:pt>
                <c:pt idx="706">
                  <c:v>36189</c:v>
                </c:pt>
                <c:pt idx="707">
                  <c:v>36192</c:v>
                </c:pt>
                <c:pt idx="708">
                  <c:v>36193</c:v>
                </c:pt>
                <c:pt idx="709">
                  <c:v>36194</c:v>
                </c:pt>
                <c:pt idx="710">
                  <c:v>36195</c:v>
                </c:pt>
                <c:pt idx="711">
                  <c:v>36196</c:v>
                </c:pt>
                <c:pt idx="712">
                  <c:v>36199</c:v>
                </c:pt>
                <c:pt idx="713">
                  <c:v>36200</c:v>
                </c:pt>
                <c:pt idx="714">
                  <c:v>36201</c:v>
                </c:pt>
                <c:pt idx="715">
                  <c:v>36202</c:v>
                </c:pt>
                <c:pt idx="716">
                  <c:v>36203</c:v>
                </c:pt>
                <c:pt idx="717">
                  <c:v>36207</c:v>
                </c:pt>
                <c:pt idx="718">
                  <c:v>36208</c:v>
                </c:pt>
                <c:pt idx="719">
                  <c:v>36209</c:v>
                </c:pt>
                <c:pt idx="720">
                  <c:v>36210</c:v>
                </c:pt>
                <c:pt idx="721">
                  <c:v>36213</c:v>
                </c:pt>
                <c:pt idx="722">
                  <c:v>36214</c:v>
                </c:pt>
                <c:pt idx="723">
                  <c:v>36215</c:v>
                </c:pt>
                <c:pt idx="724">
                  <c:v>36216</c:v>
                </c:pt>
                <c:pt idx="725">
                  <c:v>36217</c:v>
                </c:pt>
                <c:pt idx="726">
                  <c:v>36220</c:v>
                </c:pt>
                <c:pt idx="727">
                  <c:v>36221</c:v>
                </c:pt>
                <c:pt idx="728">
                  <c:v>36222</c:v>
                </c:pt>
                <c:pt idx="729">
                  <c:v>36223</c:v>
                </c:pt>
                <c:pt idx="730">
                  <c:v>36224</c:v>
                </c:pt>
                <c:pt idx="731">
                  <c:v>36227</c:v>
                </c:pt>
                <c:pt idx="732">
                  <c:v>36228</c:v>
                </c:pt>
                <c:pt idx="733">
                  <c:v>36229</c:v>
                </c:pt>
                <c:pt idx="734">
                  <c:v>36230</c:v>
                </c:pt>
                <c:pt idx="735">
                  <c:v>36231</c:v>
                </c:pt>
                <c:pt idx="736">
                  <c:v>36234</c:v>
                </c:pt>
                <c:pt idx="737">
                  <c:v>36235</c:v>
                </c:pt>
                <c:pt idx="738">
                  <c:v>36236</c:v>
                </c:pt>
                <c:pt idx="739">
                  <c:v>36237</c:v>
                </c:pt>
                <c:pt idx="740">
                  <c:v>36238</c:v>
                </c:pt>
                <c:pt idx="741">
                  <c:v>36241</c:v>
                </c:pt>
                <c:pt idx="742">
                  <c:v>36242</c:v>
                </c:pt>
                <c:pt idx="743">
                  <c:v>36243</c:v>
                </c:pt>
                <c:pt idx="744">
                  <c:v>36244</c:v>
                </c:pt>
                <c:pt idx="745">
                  <c:v>36245</c:v>
                </c:pt>
                <c:pt idx="746">
                  <c:v>36248</c:v>
                </c:pt>
                <c:pt idx="747">
                  <c:v>36249</c:v>
                </c:pt>
                <c:pt idx="748">
                  <c:v>36250</c:v>
                </c:pt>
                <c:pt idx="749">
                  <c:v>36251</c:v>
                </c:pt>
                <c:pt idx="750">
                  <c:v>36255</c:v>
                </c:pt>
                <c:pt idx="751">
                  <c:v>36256</c:v>
                </c:pt>
                <c:pt idx="752">
                  <c:v>36257</c:v>
                </c:pt>
                <c:pt idx="753">
                  <c:v>36258</c:v>
                </c:pt>
                <c:pt idx="754">
                  <c:v>36259</c:v>
                </c:pt>
                <c:pt idx="755">
                  <c:v>36262</c:v>
                </c:pt>
                <c:pt idx="756">
                  <c:v>36263</c:v>
                </c:pt>
                <c:pt idx="757">
                  <c:v>36264</c:v>
                </c:pt>
                <c:pt idx="758">
                  <c:v>36265</c:v>
                </c:pt>
                <c:pt idx="759">
                  <c:v>36266</c:v>
                </c:pt>
                <c:pt idx="760">
                  <c:v>36269</c:v>
                </c:pt>
                <c:pt idx="761">
                  <c:v>36270</c:v>
                </c:pt>
                <c:pt idx="762">
                  <c:v>36271</c:v>
                </c:pt>
                <c:pt idx="763">
                  <c:v>36272</c:v>
                </c:pt>
                <c:pt idx="764">
                  <c:v>36273</c:v>
                </c:pt>
                <c:pt idx="765">
                  <c:v>36276</c:v>
                </c:pt>
                <c:pt idx="766">
                  <c:v>36277</c:v>
                </c:pt>
                <c:pt idx="767">
                  <c:v>36278</c:v>
                </c:pt>
                <c:pt idx="768">
                  <c:v>36279</c:v>
                </c:pt>
                <c:pt idx="769">
                  <c:v>36280</c:v>
                </c:pt>
                <c:pt idx="770">
                  <c:v>36283</c:v>
                </c:pt>
                <c:pt idx="771">
                  <c:v>36284</c:v>
                </c:pt>
                <c:pt idx="772">
                  <c:v>36285</c:v>
                </c:pt>
                <c:pt idx="773">
                  <c:v>36286</c:v>
                </c:pt>
                <c:pt idx="774">
                  <c:v>36287</c:v>
                </c:pt>
                <c:pt idx="775">
                  <c:v>36290</c:v>
                </c:pt>
                <c:pt idx="776">
                  <c:v>36291</c:v>
                </c:pt>
                <c:pt idx="777">
                  <c:v>36292</c:v>
                </c:pt>
                <c:pt idx="778">
                  <c:v>36293</c:v>
                </c:pt>
                <c:pt idx="779">
                  <c:v>36294</c:v>
                </c:pt>
                <c:pt idx="780">
                  <c:v>36297</c:v>
                </c:pt>
                <c:pt idx="781">
                  <c:v>36298</c:v>
                </c:pt>
                <c:pt idx="782">
                  <c:v>36299</c:v>
                </c:pt>
                <c:pt idx="783">
                  <c:v>36300</c:v>
                </c:pt>
                <c:pt idx="784">
                  <c:v>36301</c:v>
                </c:pt>
                <c:pt idx="785">
                  <c:v>36304</c:v>
                </c:pt>
                <c:pt idx="786">
                  <c:v>36305</c:v>
                </c:pt>
                <c:pt idx="787">
                  <c:v>36306</c:v>
                </c:pt>
                <c:pt idx="788">
                  <c:v>36307</c:v>
                </c:pt>
                <c:pt idx="789">
                  <c:v>36308</c:v>
                </c:pt>
                <c:pt idx="790">
                  <c:v>36312</c:v>
                </c:pt>
                <c:pt idx="791">
                  <c:v>36313</c:v>
                </c:pt>
                <c:pt idx="792">
                  <c:v>36314</c:v>
                </c:pt>
                <c:pt idx="793">
                  <c:v>36315</c:v>
                </c:pt>
                <c:pt idx="794">
                  <c:v>36318</c:v>
                </c:pt>
                <c:pt idx="795">
                  <c:v>36319</c:v>
                </c:pt>
                <c:pt idx="796">
                  <c:v>36320</c:v>
                </c:pt>
                <c:pt idx="797">
                  <c:v>36321</c:v>
                </c:pt>
                <c:pt idx="798">
                  <c:v>36322</c:v>
                </c:pt>
                <c:pt idx="799">
                  <c:v>36325</c:v>
                </c:pt>
                <c:pt idx="800">
                  <c:v>36326</c:v>
                </c:pt>
                <c:pt idx="801">
                  <c:v>36327</c:v>
                </c:pt>
                <c:pt idx="802">
                  <c:v>36328</c:v>
                </c:pt>
                <c:pt idx="803">
                  <c:v>36329</c:v>
                </c:pt>
                <c:pt idx="804">
                  <c:v>36332</c:v>
                </c:pt>
                <c:pt idx="805">
                  <c:v>36333</c:v>
                </c:pt>
                <c:pt idx="806">
                  <c:v>36334</c:v>
                </c:pt>
                <c:pt idx="807">
                  <c:v>36335</c:v>
                </c:pt>
                <c:pt idx="808">
                  <c:v>36336</c:v>
                </c:pt>
                <c:pt idx="809">
                  <c:v>36339</c:v>
                </c:pt>
                <c:pt idx="810">
                  <c:v>36340</c:v>
                </c:pt>
                <c:pt idx="811">
                  <c:v>36341</c:v>
                </c:pt>
                <c:pt idx="812">
                  <c:v>36342</c:v>
                </c:pt>
                <c:pt idx="813">
                  <c:v>36343</c:v>
                </c:pt>
                <c:pt idx="814">
                  <c:v>36347</c:v>
                </c:pt>
                <c:pt idx="815">
                  <c:v>36348</c:v>
                </c:pt>
                <c:pt idx="816">
                  <c:v>36349</c:v>
                </c:pt>
                <c:pt idx="817">
                  <c:v>36350</c:v>
                </c:pt>
                <c:pt idx="818">
                  <c:v>36353</c:v>
                </c:pt>
                <c:pt idx="819">
                  <c:v>36354</c:v>
                </c:pt>
                <c:pt idx="820">
                  <c:v>36355</c:v>
                </c:pt>
                <c:pt idx="821">
                  <c:v>36356</c:v>
                </c:pt>
                <c:pt idx="822">
                  <c:v>36357</c:v>
                </c:pt>
                <c:pt idx="823">
                  <c:v>36360</c:v>
                </c:pt>
                <c:pt idx="824">
                  <c:v>36361</c:v>
                </c:pt>
                <c:pt idx="825">
                  <c:v>36362</c:v>
                </c:pt>
                <c:pt idx="826">
                  <c:v>36363</c:v>
                </c:pt>
                <c:pt idx="827">
                  <c:v>36364</c:v>
                </c:pt>
                <c:pt idx="828">
                  <c:v>36367</c:v>
                </c:pt>
                <c:pt idx="829">
                  <c:v>36368</c:v>
                </c:pt>
                <c:pt idx="830">
                  <c:v>36369</c:v>
                </c:pt>
                <c:pt idx="831">
                  <c:v>36370</c:v>
                </c:pt>
                <c:pt idx="832">
                  <c:v>36371</c:v>
                </c:pt>
                <c:pt idx="833">
                  <c:v>36374</c:v>
                </c:pt>
                <c:pt idx="834">
                  <c:v>36375</c:v>
                </c:pt>
                <c:pt idx="835">
                  <c:v>36376</c:v>
                </c:pt>
                <c:pt idx="836">
                  <c:v>36377</c:v>
                </c:pt>
                <c:pt idx="837">
                  <c:v>36378</c:v>
                </c:pt>
                <c:pt idx="838">
                  <c:v>36381</c:v>
                </c:pt>
                <c:pt idx="839">
                  <c:v>36382</c:v>
                </c:pt>
                <c:pt idx="840">
                  <c:v>36383</c:v>
                </c:pt>
                <c:pt idx="841">
                  <c:v>36384</c:v>
                </c:pt>
                <c:pt idx="842">
                  <c:v>36385</c:v>
                </c:pt>
                <c:pt idx="843">
                  <c:v>36388</c:v>
                </c:pt>
                <c:pt idx="844">
                  <c:v>36389</c:v>
                </c:pt>
                <c:pt idx="845">
                  <c:v>36390</c:v>
                </c:pt>
                <c:pt idx="846">
                  <c:v>36391</c:v>
                </c:pt>
                <c:pt idx="847">
                  <c:v>36392</c:v>
                </c:pt>
                <c:pt idx="848">
                  <c:v>36395</c:v>
                </c:pt>
                <c:pt idx="849">
                  <c:v>36396</c:v>
                </c:pt>
                <c:pt idx="850">
                  <c:v>36397</c:v>
                </c:pt>
                <c:pt idx="851">
                  <c:v>36398</c:v>
                </c:pt>
                <c:pt idx="852">
                  <c:v>36399</c:v>
                </c:pt>
                <c:pt idx="853">
                  <c:v>36402</c:v>
                </c:pt>
                <c:pt idx="854">
                  <c:v>36403</c:v>
                </c:pt>
                <c:pt idx="855">
                  <c:v>36404</c:v>
                </c:pt>
                <c:pt idx="856">
                  <c:v>36405</c:v>
                </c:pt>
                <c:pt idx="857">
                  <c:v>36406</c:v>
                </c:pt>
                <c:pt idx="858">
                  <c:v>36410</c:v>
                </c:pt>
                <c:pt idx="859">
                  <c:v>36411</c:v>
                </c:pt>
                <c:pt idx="860">
                  <c:v>36412</c:v>
                </c:pt>
                <c:pt idx="861">
                  <c:v>36413</c:v>
                </c:pt>
                <c:pt idx="862">
                  <c:v>36416</c:v>
                </c:pt>
                <c:pt idx="863">
                  <c:v>36417</c:v>
                </c:pt>
                <c:pt idx="864">
                  <c:v>36418</c:v>
                </c:pt>
                <c:pt idx="865">
                  <c:v>36419</c:v>
                </c:pt>
                <c:pt idx="866">
                  <c:v>36420</c:v>
                </c:pt>
                <c:pt idx="867">
                  <c:v>36423</c:v>
                </c:pt>
                <c:pt idx="868">
                  <c:v>36424</c:v>
                </c:pt>
                <c:pt idx="869">
                  <c:v>36425</c:v>
                </c:pt>
                <c:pt idx="870">
                  <c:v>36426</c:v>
                </c:pt>
                <c:pt idx="871">
                  <c:v>36427</c:v>
                </c:pt>
                <c:pt idx="872">
                  <c:v>36430</c:v>
                </c:pt>
                <c:pt idx="873">
                  <c:v>36431</c:v>
                </c:pt>
                <c:pt idx="874">
                  <c:v>36432</c:v>
                </c:pt>
                <c:pt idx="875">
                  <c:v>36433</c:v>
                </c:pt>
                <c:pt idx="876">
                  <c:v>36434</c:v>
                </c:pt>
                <c:pt idx="877">
                  <c:v>36437</c:v>
                </c:pt>
                <c:pt idx="878">
                  <c:v>36438</c:v>
                </c:pt>
                <c:pt idx="879">
                  <c:v>36439</c:v>
                </c:pt>
                <c:pt idx="880">
                  <c:v>36440</c:v>
                </c:pt>
                <c:pt idx="881">
                  <c:v>36441</c:v>
                </c:pt>
                <c:pt idx="882">
                  <c:v>36444</c:v>
                </c:pt>
                <c:pt idx="883">
                  <c:v>36445</c:v>
                </c:pt>
                <c:pt idx="884">
                  <c:v>36446</c:v>
                </c:pt>
                <c:pt idx="885">
                  <c:v>36447</c:v>
                </c:pt>
                <c:pt idx="886">
                  <c:v>36448</c:v>
                </c:pt>
                <c:pt idx="887">
                  <c:v>36451</c:v>
                </c:pt>
                <c:pt idx="888">
                  <c:v>36452</c:v>
                </c:pt>
                <c:pt idx="889">
                  <c:v>36453</c:v>
                </c:pt>
                <c:pt idx="890">
                  <c:v>36454</c:v>
                </c:pt>
                <c:pt idx="891">
                  <c:v>36455</c:v>
                </c:pt>
                <c:pt idx="892">
                  <c:v>36458</c:v>
                </c:pt>
                <c:pt idx="893">
                  <c:v>36459</c:v>
                </c:pt>
                <c:pt idx="894">
                  <c:v>36460</c:v>
                </c:pt>
                <c:pt idx="895">
                  <c:v>36461</c:v>
                </c:pt>
                <c:pt idx="896">
                  <c:v>36462</c:v>
                </c:pt>
                <c:pt idx="897">
                  <c:v>36465</c:v>
                </c:pt>
                <c:pt idx="898">
                  <c:v>36466</c:v>
                </c:pt>
                <c:pt idx="899">
                  <c:v>36467</c:v>
                </c:pt>
                <c:pt idx="900">
                  <c:v>36468</c:v>
                </c:pt>
                <c:pt idx="901">
                  <c:v>36469</c:v>
                </c:pt>
                <c:pt idx="902">
                  <c:v>36472</c:v>
                </c:pt>
                <c:pt idx="903">
                  <c:v>36473</c:v>
                </c:pt>
                <c:pt idx="904">
                  <c:v>36474</c:v>
                </c:pt>
                <c:pt idx="905">
                  <c:v>36475</c:v>
                </c:pt>
                <c:pt idx="906">
                  <c:v>36476</c:v>
                </c:pt>
                <c:pt idx="907">
                  <c:v>36479</c:v>
                </c:pt>
                <c:pt idx="908">
                  <c:v>36480</c:v>
                </c:pt>
                <c:pt idx="909">
                  <c:v>36481</c:v>
                </c:pt>
                <c:pt idx="910">
                  <c:v>36482</c:v>
                </c:pt>
                <c:pt idx="911">
                  <c:v>36483</c:v>
                </c:pt>
                <c:pt idx="912">
                  <c:v>36486</c:v>
                </c:pt>
                <c:pt idx="913">
                  <c:v>36487</c:v>
                </c:pt>
                <c:pt idx="914">
                  <c:v>36488</c:v>
                </c:pt>
                <c:pt idx="915">
                  <c:v>36490</c:v>
                </c:pt>
                <c:pt idx="916">
                  <c:v>36493</c:v>
                </c:pt>
                <c:pt idx="917">
                  <c:v>36494</c:v>
                </c:pt>
                <c:pt idx="918">
                  <c:v>36495</c:v>
                </c:pt>
                <c:pt idx="919">
                  <c:v>36496</c:v>
                </c:pt>
                <c:pt idx="920">
                  <c:v>36497</c:v>
                </c:pt>
                <c:pt idx="921">
                  <c:v>36500</c:v>
                </c:pt>
                <c:pt idx="922">
                  <c:v>36501</c:v>
                </c:pt>
                <c:pt idx="923">
                  <c:v>36502</c:v>
                </c:pt>
                <c:pt idx="924">
                  <c:v>36503</c:v>
                </c:pt>
                <c:pt idx="925">
                  <c:v>36504</c:v>
                </c:pt>
                <c:pt idx="926">
                  <c:v>36507</c:v>
                </c:pt>
                <c:pt idx="927">
                  <c:v>36508</c:v>
                </c:pt>
                <c:pt idx="928">
                  <c:v>36509</c:v>
                </c:pt>
                <c:pt idx="929">
                  <c:v>36510</c:v>
                </c:pt>
                <c:pt idx="930">
                  <c:v>36511</c:v>
                </c:pt>
                <c:pt idx="931">
                  <c:v>36514</c:v>
                </c:pt>
                <c:pt idx="932">
                  <c:v>36515</c:v>
                </c:pt>
                <c:pt idx="933">
                  <c:v>36516</c:v>
                </c:pt>
                <c:pt idx="934">
                  <c:v>36517</c:v>
                </c:pt>
                <c:pt idx="935">
                  <c:v>36521</c:v>
                </c:pt>
                <c:pt idx="936">
                  <c:v>36522</c:v>
                </c:pt>
                <c:pt idx="937">
                  <c:v>36523</c:v>
                </c:pt>
                <c:pt idx="938">
                  <c:v>36524</c:v>
                </c:pt>
                <c:pt idx="939">
                  <c:v>36525</c:v>
                </c:pt>
                <c:pt idx="940">
                  <c:v>36528</c:v>
                </c:pt>
                <c:pt idx="941">
                  <c:v>36529</c:v>
                </c:pt>
                <c:pt idx="942">
                  <c:v>36530</c:v>
                </c:pt>
                <c:pt idx="943">
                  <c:v>36531</c:v>
                </c:pt>
                <c:pt idx="944">
                  <c:v>36532</c:v>
                </c:pt>
                <c:pt idx="945">
                  <c:v>36535</c:v>
                </c:pt>
                <c:pt idx="946">
                  <c:v>36536</c:v>
                </c:pt>
                <c:pt idx="947">
                  <c:v>36537</c:v>
                </c:pt>
                <c:pt idx="948">
                  <c:v>36538</c:v>
                </c:pt>
                <c:pt idx="949">
                  <c:v>36539</c:v>
                </c:pt>
                <c:pt idx="950">
                  <c:v>36543</c:v>
                </c:pt>
                <c:pt idx="951">
                  <c:v>36544</c:v>
                </c:pt>
                <c:pt idx="952">
                  <c:v>36545</c:v>
                </c:pt>
                <c:pt idx="953">
                  <c:v>36546</c:v>
                </c:pt>
                <c:pt idx="954">
                  <c:v>36549</c:v>
                </c:pt>
                <c:pt idx="955">
                  <c:v>36550</c:v>
                </c:pt>
                <c:pt idx="956">
                  <c:v>36551</c:v>
                </c:pt>
                <c:pt idx="957">
                  <c:v>36552</c:v>
                </c:pt>
                <c:pt idx="958">
                  <c:v>36553</c:v>
                </c:pt>
                <c:pt idx="959">
                  <c:v>36556</c:v>
                </c:pt>
                <c:pt idx="960">
                  <c:v>36557</c:v>
                </c:pt>
                <c:pt idx="961">
                  <c:v>36558</c:v>
                </c:pt>
                <c:pt idx="962">
                  <c:v>36559</c:v>
                </c:pt>
                <c:pt idx="963">
                  <c:v>36560</c:v>
                </c:pt>
                <c:pt idx="964">
                  <c:v>36563</c:v>
                </c:pt>
                <c:pt idx="965">
                  <c:v>36564</c:v>
                </c:pt>
                <c:pt idx="966">
                  <c:v>36565</c:v>
                </c:pt>
                <c:pt idx="967">
                  <c:v>36566</c:v>
                </c:pt>
                <c:pt idx="968">
                  <c:v>36567</c:v>
                </c:pt>
                <c:pt idx="969">
                  <c:v>36570</c:v>
                </c:pt>
                <c:pt idx="970">
                  <c:v>36571</c:v>
                </c:pt>
                <c:pt idx="971">
                  <c:v>36572</c:v>
                </c:pt>
                <c:pt idx="972">
                  <c:v>36573</c:v>
                </c:pt>
                <c:pt idx="973">
                  <c:v>36574</c:v>
                </c:pt>
                <c:pt idx="974">
                  <c:v>36578</c:v>
                </c:pt>
                <c:pt idx="975">
                  <c:v>36579</c:v>
                </c:pt>
                <c:pt idx="976">
                  <c:v>36580</c:v>
                </c:pt>
                <c:pt idx="977">
                  <c:v>36581</c:v>
                </c:pt>
                <c:pt idx="978">
                  <c:v>36584</c:v>
                </c:pt>
                <c:pt idx="979">
                  <c:v>36585</c:v>
                </c:pt>
                <c:pt idx="980">
                  <c:v>36586</c:v>
                </c:pt>
                <c:pt idx="981">
                  <c:v>36587</c:v>
                </c:pt>
                <c:pt idx="982">
                  <c:v>36588</c:v>
                </c:pt>
                <c:pt idx="983">
                  <c:v>36591</c:v>
                </c:pt>
                <c:pt idx="984">
                  <c:v>36592</c:v>
                </c:pt>
                <c:pt idx="985">
                  <c:v>36593</c:v>
                </c:pt>
                <c:pt idx="986">
                  <c:v>36594</c:v>
                </c:pt>
                <c:pt idx="987">
                  <c:v>36595</c:v>
                </c:pt>
                <c:pt idx="988">
                  <c:v>36598</c:v>
                </c:pt>
                <c:pt idx="989">
                  <c:v>36599</c:v>
                </c:pt>
                <c:pt idx="990">
                  <c:v>36600</c:v>
                </c:pt>
                <c:pt idx="991">
                  <c:v>36601</c:v>
                </c:pt>
                <c:pt idx="992">
                  <c:v>36602</c:v>
                </c:pt>
                <c:pt idx="993">
                  <c:v>36605</c:v>
                </c:pt>
                <c:pt idx="994">
                  <c:v>36606</c:v>
                </c:pt>
                <c:pt idx="995">
                  <c:v>36607</c:v>
                </c:pt>
                <c:pt idx="996">
                  <c:v>36608</c:v>
                </c:pt>
                <c:pt idx="997">
                  <c:v>36609</c:v>
                </c:pt>
                <c:pt idx="998">
                  <c:v>36612</c:v>
                </c:pt>
                <c:pt idx="999">
                  <c:v>36613</c:v>
                </c:pt>
                <c:pt idx="1000">
                  <c:v>36614</c:v>
                </c:pt>
                <c:pt idx="1001">
                  <c:v>36615</c:v>
                </c:pt>
                <c:pt idx="1002">
                  <c:v>36616</c:v>
                </c:pt>
                <c:pt idx="1003">
                  <c:v>36619</c:v>
                </c:pt>
                <c:pt idx="1004">
                  <c:v>36620</c:v>
                </c:pt>
                <c:pt idx="1005">
                  <c:v>36621</c:v>
                </c:pt>
                <c:pt idx="1006">
                  <c:v>36622</c:v>
                </c:pt>
                <c:pt idx="1007">
                  <c:v>36623</c:v>
                </c:pt>
                <c:pt idx="1008">
                  <c:v>36626</c:v>
                </c:pt>
                <c:pt idx="1009">
                  <c:v>36627</c:v>
                </c:pt>
                <c:pt idx="1010">
                  <c:v>36628</c:v>
                </c:pt>
                <c:pt idx="1011">
                  <c:v>36629</c:v>
                </c:pt>
                <c:pt idx="1012">
                  <c:v>36630</c:v>
                </c:pt>
                <c:pt idx="1013">
                  <c:v>36633</c:v>
                </c:pt>
                <c:pt idx="1014">
                  <c:v>36634</c:v>
                </c:pt>
                <c:pt idx="1015">
                  <c:v>36635</c:v>
                </c:pt>
                <c:pt idx="1016">
                  <c:v>36636</c:v>
                </c:pt>
                <c:pt idx="1017">
                  <c:v>36640</c:v>
                </c:pt>
                <c:pt idx="1018">
                  <c:v>36641</c:v>
                </c:pt>
                <c:pt idx="1019">
                  <c:v>36642</c:v>
                </c:pt>
                <c:pt idx="1020">
                  <c:v>36643</c:v>
                </c:pt>
                <c:pt idx="1021">
                  <c:v>36644</c:v>
                </c:pt>
                <c:pt idx="1022">
                  <c:v>36647</c:v>
                </c:pt>
                <c:pt idx="1023">
                  <c:v>36648</c:v>
                </c:pt>
                <c:pt idx="1024">
                  <c:v>36649</c:v>
                </c:pt>
                <c:pt idx="1025">
                  <c:v>36650</c:v>
                </c:pt>
                <c:pt idx="1026">
                  <c:v>36651</c:v>
                </c:pt>
                <c:pt idx="1027">
                  <c:v>36654</c:v>
                </c:pt>
                <c:pt idx="1028">
                  <c:v>36655</c:v>
                </c:pt>
                <c:pt idx="1029">
                  <c:v>36656</c:v>
                </c:pt>
                <c:pt idx="1030">
                  <c:v>36657</c:v>
                </c:pt>
                <c:pt idx="1031">
                  <c:v>36658</c:v>
                </c:pt>
                <c:pt idx="1032">
                  <c:v>36661</c:v>
                </c:pt>
                <c:pt idx="1033">
                  <c:v>36662</c:v>
                </c:pt>
                <c:pt idx="1034">
                  <c:v>36663</c:v>
                </c:pt>
                <c:pt idx="1035">
                  <c:v>36664</c:v>
                </c:pt>
                <c:pt idx="1036">
                  <c:v>36665</c:v>
                </c:pt>
                <c:pt idx="1037">
                  <c:v>36668</c:v>
                </c:pt>
                <c:pt idx="1038">
                  <c:v>36669</c:v>
                </c:pt>
                <c:pt idx="1039">
                  <c:v>36670</c:v>
                </c:pt>
                <c:pt idx="1040">
                  <c:v>36671</c:v>
                </c:pt>
                <c:pt idx="1041">
                  <c:v>36672</c:v>
                </c:pt>
                <c:pt idx="1042">
                  <c:v>36676</c:v>
                </c:pt>
                <c:pt idx="1043">
                  <c:v>36677</c:v>
                </c:pt>
                <c:pt idx="1044">
                  <c:v>36678</c:v>
                </c:pt>
                <c:pt idx="1045">
                  <c:v>36679</c:v>
                </c:pt>
                <c:pt idx="1046">
                  <c:v>36682</c:v>
                </c:pt>
                <c:pt idx="1047">
                  <c:v>36683</c:v>
                </c:pt>
                <c:pt idx="1048">
                  <c:v>36684</c:v>
                </c:pt>
                <c:pt idx="1049">
                  <c:v>36685</c:v>
                </c:pt>
                <c:pt idx="1050">
                  <c:v>36686</c:v>
                </c:pt>
                <c:pt idx="1051">
                  <c:v>36689</c:v>
                </c:pt>
                <c:pt idx="1052">
                  <c:v>36690</c:v>
                </c:pt>
                <c:pt idx="1053">
                  <c:v>36691</c:v>
                </c:pt>
                <c:pt idx="1054">
                  <c:v>36692</c:v>
                </c:pt>
                <c:pt idx="1055">
                  <c:v>36693</c:v>
                </c:pt>
                <c:pt idx="1056">
                  <c:v>36696</c:v>
                </c:pt>
                <c:pt idx="1057">
                  <c:v>36697</c:v>
                </c:pt>
                <c:pt idx="1058">
                  <c:v>36698</c:v>
                </c:pt>
                <c:pt idx="1059">
                  <c:v>36699</c:v>
                </c:pt>
                <c:pt idx="1060">
                  <c:v>36700</c:v>
                </c:pt>
                <c:pt idx="1061">
                  <c:v>36703</c:v>
                </c:pt>
                <c:pt idx="1062">
                  <c:v>36704</c:v>
                </c:pt>
                <c:pt idx="1063">
                  <c:v>36705</c:v>
                </c:pt>
                <c:pt idx="1064">
                  <c:v>36706</c:v>
                </c:pt>
                <c:pt idx="1065">
                  <c:v>36707</c:v>
                </c:pt>
                <c:pt idx="1066">
                  <c:v>36710</c:v>
                </c:pt>
                <c:pt idx="1067">
                  <c:v>36712</c:v>
                </c:pt>
                <c:pt idx="1068">
                  <c:v>36713</c:v>
                </c:pt>
                <c:pt idx="1069">
                  <c:v>36714</c:v>
                </c:pt>
                <c:pt idx="1070">
                  <c:v>36717</c:v>
                </c:pt>
                <c:pt idx="1071">
                  <c:v>36718</c:v>
                </c:pt>
                <c:pt idx="1072">
                  <c:v>36719</c:v>
                </c:pt>
                <c:pt idx="1073">
                  <c:v>36720</c:v>
                </c:pt>
                <c:pt idx="1074">
                  <c:v>36721</c:v>
                </c:pt>
                <c:pt idx="1075">
                  <c:v>36724</c:v>
                </c:pt>
                <c:pt idx="1076">
                  <c:v>36725</c:v>
                </c:pt>
                <c:pt idx="1077">
                  <c:v>36726</c:v>
                </c:pt>
                <c:pt idx="1078">
                  <c:v>36727</c:v>
                </c:pt>
                <c:pt idx="1079">
                  <c:v>36728</c:v>
                </c:pt>
                <c:pt idx="1080">
                  <c:v>36731</c:v>
                </c:pt>
                <c:pt idx="1081">
                  <c:v>36732</c:v>
                </c:pt>
                <c:pt idx="1082">
                  <c:v>36733</c:v>
                </c:pt>
                <c:pt idx="1083">
                  <c:v>36734</c:v>
                </c:pt>
                <c:pt idx="1084">
                  <c:v>36735</c:v>
                </c:pt>
                <c:pt idx="1085">
                  <c:v>36738</c:v>
                </c:pt>
                <c:pt idx="1086">
                  <c:v>36739</c:v>
                </c:pt>
                <c:pt idx="1087">
                  <c:v>36740</c:v>
                </c:pt>
                <c:pt idx="1088">
                  <c:v>36741</c:v>
                </c:pt>
                <c:pt idx="1089">
                  <c:v>36742</c:v>
                </c:pt>
                <c:pt idx="1090">
                  <c:v>36745</c:v>
                </c:pt>
                <c:pt idx="1091">
                  <c:v>36746</c:v>
                </c:pt>
                <c:pt idx="1092">
                  <c:v>36747</c:v>
                </c:pt>
                <c:pt idx="1093">
                  <c:v>36748</c:v>
                </c:pt>
                <c:pt idx="1094">
                  <c:v>36749</c:v>
                </c:pt>
                <c:pt idx="1095">
                  <c:v>36752</c:v>
                </c:pt>
                <c:pt idx="1096">
                  <c:v>36753</c:v>
                </c:pt>
                <c:pt idx="1097">
                  <c:v>36754</c:v>
                </c:pt>
                <c:pt idx="1098">
                  <c:v>36755</c:v>
                </c:pt>
                <c:pt idx="1099">
                  <c:v>36756</c:v>
                </c:pt>
                <c:pt idx="1100">
                  <c:v>36759</c:v>
                </c:pt>
                <c:pt idx="1101">
                  <c:v>36760</c:v>
                </c:pt>
                <c:pt idx="1102">
                  <c:v>36761</c:v>
                </c:pt>
                <c:pt idx="1103">
                  <c:v>36762</c:v>
                </c:pt>
                <c:pt idx="1104">
                  <c:v>36763</c:v>
                </c:pt>
                <c:pt idx="1105">
                  <c:v>36766</c:v>
                </c:pt>
                <c:pt idx="1106">
                  <c:v>36767</c:v>
                </c:pt>
                <c:pt idx="1107">
                  <c:v>36768</c:v>
                </c:pt>
                <c:pt idx="1108">
                  <c:v>36769</c:v>
                </c:pt>
                <c:pt idx="1109">
                  <c:v>36770</c:v>
                </c:pt>
                <c:pt idx="1110">
                  <c:v>36774</c:v>
                </c:pt>
                <c:pt idx="1111">
                  <c:v>36775</c:v>
                </c:pt>
                <c:pt idx="1112">
                  <c:v>36776</c:v>
                </c:pt>
                <c:pt idx="1113">
                  <c:v>36777</c:v>
                </c:pt>
                <c:pt idx="1114">
                  <c:v>36780</c:v>
                </c:pt>
                <c:pt idx="1115">
                  <c:v>36781</c:v>
                </c:pt>
                <c:pt idx="1116">
                  <c:v>36782</c:v>
                </c:pt>
                <c:pt idx="1117">
                  <c:v>36783</c:v>
                </c:pt>
                <c:pt idx="1118">
                  <c:v>36784</c:v>
                </c:pt>
                <c:pt idx="1119">
                  <c:v>36787</c:v>
                </c:pt>
                <c:pt idx="1120">
                  <c:v>36788</c:v>
                </c:pt>
                <c:pt idx="1121">
                  <c:v>36789</c:v>
                </c:pt>
                <c:pt idx="1122">
                  <c:v>36790</c:v>
                </c:pt>
                <c:pt idx="1123">
                  <c:v>36791</c:v>
                </c:pt>
                <c:pt idx="1124">
                  <c:v>36794</c:v>
                </c:pt>
                <c:pt idx="1125">
                  <c:v>36795</c:v>
                </c:pt>
                <c:pt idx="1126">
                  <c:v>36796</c:v>
                </c:pt>
                <c:pt idx="1127">
                  <c:v>36797</c:v>
                </c:pt>
                <c:pt idx="1128">
                  <c:v>36798</c:v>
                </c:pt>
                <c:pt idx="1129">
                  <c:v>36801</c:v>
                </c:pt>
                <c:pt idx="1130">
                  <c:v>36802</c:v>
                </c:pt>
                <c:pt idx="1131">
                  <c:v>36803</c:v>
                </c:pt>
                <c:pt idx="1132">
                  <c:v>36804</c:v>
                </c:pt>
                <c:pt idx="1133">
                  <c:v>36805</c:v>
                </c:pt>
                <c:pt idx="1134">
                  <c:v>36808</c:v>
                </c:pt>
                <c:pt idx="1135">
                  <c:v>36809</c:v>
                </c:pt>
                <c:pt idx="1136">
                  <c:v>36810</c:v>
                </c:pt>
                <c:pt idx="1137">
                  <c:v>36811</c:v>
                </c:pt>
                <c:pt idx="1138">
                  <c:v>36812</c:v>
                </c:pt>
                <c:pt idx="1139">
                  <c:v>36815</c:v>
                </c:pt>
                <c:pt idx="1140">
                  <c:v>36816</c:v>
                </c:pt>
                <c:pt idx="1141">
                  <c:v>36817</c:v>
                </c:pt>
                <c:pt idx="1142">
                  <c:v>36818</c:v>
                </c:pt>
                <c:pt idx="1143">
                  <c:v>36819</c:v>
                </c:pt>
                <c:pt idx="1144">
                  <c:v>36822</c:v>
                </c:pt>
                <c:pt idx="1145">
                  <c:v>36823</c:v>
                </c:pt>
                <c:pt idx="1146">
                  <c:v>36824</c:v>
                </c:pt>
                <c:pt idx="1147">
                  <c:v>36825</c:v>
                </c:pt>
                <c:pt idx="1148">
                  <c:v>36826</c:v>
                </c:pt>
                <c:pt idx="1149">
                  <c:v>36829</c:v>
                </c:pt>
                <c:pt idx="1150">
                  <c:v>36830</c:v>
                </c:pt>
                <c:pt idx="1151">
                  <c:v>36831</c:v>
                </c:pt>
                <c:pt idx="1152">
                  <c:v>36832</c:v>
                </c:pt>
                <c:pt idx="1153">
                  <c:v>36833</c:v>
                </c:pt>
                <c:pt idx="1154">
                  <c:v>36836</c:v>
                </c:pt>
                <c:pt idx="1155">
                  <c:v>36837</c:v>
                </c:pt>
                <c:pt idx="1156">
                  <c:v>36838</c:v>
                </c:pt>
                <c:pt idx="1157">
                  <c:v>36839</c:v>
                </c:pt>
                <c:pt idx="1158">
                  <c:v>36840</c:v>
                </c:pt>
                <c:pt idx="1159">
                  <c:v>36843</c:v>
                </c:pt>
                <c:pt idx="1160">
                  <c:v>36844</c:v>
                </c:pt>
                <c:pt idx="1161">
                  <c:v>36845</c:v>
                </c:pt>
                <c:pt idx="1162">
                  <c:v>36846</c:v>
                </c:pt>
                <c:pt idx="1163">
                  <c:v>36847</c:v>
                </c:pt>
                <c:pt idx="1164">
                  <c:v>36850</c:v>
                </c:pt>
                <c:pt idx="1165">
                  <c:v>36851</c:v>
                </c:pt>
                <c:pt idx="1166">
                  <c:v>36852</c:v>
                </c:pt>
                <c:pt idx="1167">
                  <c:v>36854</c:v>
                </c:pt>
                <c:pt idx="1168">
                  <c:v>36857</c:v>
                </c:pt>
                <c:pt idx="1169">
                  <c:v>36858</c:v>
                </c:pt>
                <c:pt idx="1170">
                  <c:v>36859</c:v>
                </c:pt>
                <c:pt idx="1171">
                  <c:v>36860</c:v>
                </c:pt>
                <c:pt idx="1172">
                  <c:v>36861</c:v>
                </c:pt>
                <c:pt idx="1173">
                  <c:v>36864</c:v>
                </c:pt>
                <c:pt idx="1174">
                  <c:v>36865</c:v>
                </c:pt>
                <c:pt idx="1175">
                  <c:v>36866</c:v>
                </c:pt>
                <c:pt idx="1176">
                  <c:v>36867</c:v>
                </c:pt>
                <c:pt idx="1177">
                  <c:v>36868</c:v>
                </c:pt>
                <c:pt idx="1178">
                  <c:v>36871</c:v>
                </c:pt>
                <c:pt idx="1179">
                  <c:v>36872</c:v>
                </c:pt>
                <c:pt idx="1180">
                  <c:v>36873</c:v>
                </c:pt>
                <c:pt idx="1181">
                  <c:v>36874</c:v>
                </c:pt>
                <c:pt idx="1182">
                  <c:v>36875</c:v>
                </c:pt>
                <c:pt idx="1183">
                  <c:v>36878</c:v>
                </c:pt>
                <c:pt idx="1184">
                  <c:v>36879</c:v>
                </c:pt>
                <c:pt idx="1185">
                  <c:v>36880</c:v>
                </c:pt>
                <c:pt idx="1186">
                  <c:v>36881</c:v>
                </c:pt>
                <c:pt idx="1187">
                  <c:v>36882</c:v>
                </c:pt>
                <c:pt idx="1188">
                  <c:v>36886</c:v>
                </c:pt>
                <c:pt idx="1189">
                  <c:v>36887</c:v>
                </c:pt>
                <c:pt idx="1190">
                  <c:v>36888</c:v>
                </c:pt>
                <c:pt idx="1191">
                  <c:v>36889</c:v>
                </c:pt>
                <c:pt idx="1192">
                  <c:v>36893</c:v>
                </c:pt>
                <c:pt idx="1193">
                  <c:v>36894</c:v>
                </c:pt>
                <c:pt idx="1194">
                  <c:v>36895</c:v>
                </c:pt>
                <c:pt idx="1195">
                  <c:v>36896</c:v>
                </c:pt>
                <c:pt idx="1196">
                  <c:v>36899</c:v>
                </c:pt>
                <c:pt idx="1197">
                  <c:v>36900</c:v>
                </c:pt>
                <c:pt idx="1198">
                  <c:v>36901</c:v>
                </c:pt>
                <c:pt idx="1199">
                  <c:v>36902</c:v>
                </c:pt>
                <c:pt idx="1200">
                  <c:v>36903</c:v>
                </c:pt>
                <c:pt idx="1201">
                  <c:v>36907</c:v>
                </c:pt>
                <c:pt idx="1202">
                  <c:v>36908</c:v>
                </c:pt>
                <c:pt idx="1203">
                  <c:v>36909</c:v>
                </c:pt>
                <c:pt idx="1204">
                  <c:v>36910</c:v>
                </c:pt>
                <c:pt idx="1205">
                  <c:v>36913</c:v>
                </c:pt>
                <c:pt idx="1206">
                  <c:v>36914</c:v>
                </c:pt>
                <c:pt idx="1207">
                  <c:v>36915</c:v>
                </c:pt>
                <c:pt idx="1208">
                  <c:v>36916</c:v>
                </c:pt>
                <c:pt idx="1209">
                  <c:v>36917</c:v>
                </c:pt>
                <c:pt idx="1210">
                  <c:v>36920</c:v>
                </c:pt>
                <c:pt idx="1211">
                  <c:v>36921</c:v>
                </c:pt>
                <c:pt idx="1212">
                  <c:v>36922</c:v>
                </c:pt>
                <c:pt idx="1213">
                  <c:v>36923</c:v>
                </c:pt>
                <c:pt idx="1214">
                  <c:v>36924</c:v>
                </c:pt>
                <c:pt idx="1215">
                  <c:v>36927</c:v>
                </c:pt>
                <c:pt idx="1216">
                  <c:v>36928</c:v>
                </c:pt>
                <c:pt idx="1217">
                  <c:v>36929</c:v>
                </c:pt>
                <c:pt idx="1218">
                  <c:v>36930</c:v>
                </c:pt>
                <c:pt idx="1219">
                  <c:v>36931</c:v>
                </c:pt>
                <c:pt idx="1220">
                  <c:v>36934</c:v>
                </c:pt>
                <c:pt idx="1221">
                  <c:v>36935</c:v>
                </c:pt>
                <c:pt idx="1222">
                  <c:v>36936</c:v>
                </c:pt>
                <c:pt idx="1223">
                  <c:v>36937</c:v>
                </c:pt>
                <c:pt idx="1224">
                  <c:v>36938</c:v>
                </c:pt>
                <c:pt idx="1225">
                  <c:v>36942</c:v>
                </c:pt>
                <c:pt idx="1226">
                  <c:v>36943</c:v>
                </c:pt>
                <c:pt idx="1227">
                  <c:v>36944</c:v>
                </c:pt>
                <c:pt idx="1228">
                  <c:v>36945</c:v>
                </c:pt>
                <c:pt idx="1229">
                  <c:v>36948</c:v>
                </c:pt>
                <c:pt idx="1230">
                  <c:v>36949</c:v>
                </c:pt>
                <c:pt idx="1231">
                  <c:v>36950</c:v>
                </c:pt>
                <c:pt idx="1232">
                  <c:v>36951</c:v>
                </c:pt>
                <c:pt idx="1233">
                  <c:v>36952</c:v>
                </c:pt>
                <c:pt idx="1234">
                  <c:v>36955</c:v>
                </c:pt>
                <c:pt idx="1235">
                  <c:v>36956</c:v>
                </c:pt>
                <c:pt idx="1236">
                  <c:v>36957</c:v>
                </c:pt>
                <c:pt idx="1237">
                  <c:v>36958</c:v>
                </c:pt>
                <c:pt idx="1238">
                  <c:v>36959</c:v>
                </c:pt>
                <c:pt idx="1239">
                  <c:v>36962</c:v>
                </c:pt>
                <c:pt idx="1240">
                  <c:v>36963</c:v>
                </c:pt>
                <c:pt idx="1241">
                  <c:v>36964</c:v>
                </c:pt>
                <c:pt idx="1242">
                  <c:v>36965</c:v>
                </c:pt>
                <c:pt idx="1243">
                  <c:v>36966</c:v>
                </c:pt>
                <c:pt idx="1244">
                  <c:v>36969</c:v>
                </c:pt>
                <c:pt idx="1245">
                  <c:v>36970</c:v>
                </c:pt>
                <c:pt idx="1246">
                  <c:v>36971</c:v>
                </c:pt>
                <c:pt idx="1247">
                  <c:v>36972</c:v>
                </c:pt>
                <c:pt idx="1248">
                  <c:v>36973</c:v>
                </c:pt>
                <c:pt idx="1249">
                  <c:v>36976</c:v>
                </c:pt>
                <c:pt idx="1250">
                  <c:v>36977</c:v>
                </c:pt>
                <c:pt idx="1251">
                  <c:v>36978</c:v>
                </c:pt>
                <c:pt idx="1252">
                  <c:v>36979</c:v>
                </c:pt>
                <c:pt idx="1253">
                  <c:v>36980</c:v>
                </c:pt>
                <c:pt idx="1254">
                  <c:v>36983</c:v>
                </c:pt>
                <c:pt idx="1255">
                  <c:v>36984</c:v>
                </c:pt>
                <c:pt idx="1256">
                  <c:v>36985</c:v>
                </c:pt>
                <c:pt idx="1257">
                  <c:v>36986</c:v>
                </c:pt>
                <c:pt idx="1258">
                  <c:v>36987</c:v>
                </c:pt>
                <c:pt idx="1259">
                  <c:v>36990</c:v>
                </c:pt>
                <c:pt idx="1260">
                  <c:v>36991</c:v>
                </c:pt>
                <c:pt idx="1261">
                  <c:v>36992</c:v>
                </c:pt>
                <c:pt idx="1262">
                  <c:v>36993</c:v>
                </c:pt>
                <c:pt idx="1263">
                  <c:v>36997</c:v>
                </c:pt>
                <c:pt idx="1264">
                  <c:v>36998</c:v>
                </c:pt>
                <c:pt idx="1265">
                  <c:v>36999</c:v>
                </c:pt>
                <c:pt idx="1266">
                  <c:v>37000</c:v>
                </c:pt>
                <c:pt idx="1267">
                  <c:v>37001</c:v>
                </c:pt>
                <c:pt idx="1268">
                  <c:v>37004</c:v>
                </c:pt>
                <c:pt idx="1269">
                  <c:v>37005</c:v>
                </c:pt>
                <c:pt idx="1270">
                  <c:v>37006</c:v>
                </c:pt>
                <c:pt idx="1271">
                  <c:v>37007</c:v>
                </c:pt>
                <c:pt idx="1272">
                  <c:v>37008</c:v>
                </c:pt>
                <c:pt idx="1273">
                  <c:v>37011</c:v>
                </c:pt>
                <c:pt idx="1274">
                  <c:v>37012</c:v>
                </c:pt>
                <c:pt idx="1275">
                  <c:v>37013</c:v>
                </c:pt>
                <c:pt idx="1276">
                  <c:v>37014</c:v>
                </c:pt>
                <c:pt idx="1277">
                  <c:v>37015</c:v>
                </c:pt>
                <c:pt idx="1278">
                  <c:v>37018</c:v>
                </c:pt>
                <c:pt idx="1279">
                  <c:v>37019</c:v>
                </c:pt>
                <c:pt idx="1280">
                  <c:v>37020</c:v>
                </c:pt>
                <c:pt idx="1281">
                  <c:v>37021</c:v>
                </c:pt>
                <c:pt idx="1282">
                  <c:v>37022</c:v>
                </c:pt>
                <c:pt idx="1283">
                  <c:v>37025</c:v>
                </c:pt>
                <c:pt idx="1284">
                  <c:v>37026</c:v>
                </c:pt>
                <c:pt idx="1285">
                  <c:v>37027</c:v>
                </c:pt>
                <c:pt idx="1286">
                  <c:v>37028</c:v>
                </c:pt>
                <c:pt idx="1287">
                  <c:v>37029</c:v>
                </c:pt>
                <c:pt idx="1288">
                  <c:v>37032</c:v>
                </c:pt>
                <c:pt idx="1289">
                  <c:v>37033</c:v>
                </c:pt>
                <c:pt idx="1290">
                  <c:v>37034</c:v>
                </c:pt>
                <c:pt idx="1291">
                  <c:v>37035</c:v>
                </c:pt>
                <c:pt idx="1292">
                  <c:v>37036</c:v>
                </c:pt>
                <c:pt idx="1293">
                  <c:v>37040</c:v>
                </c:pt>
                <c:pt idx="1294">
                  <c:v>37041</c:v>
                </c:pt>
                <c:pt idx="1295">
                  <c:v>37042</c:v>
                </c:pt>
                <c:pt idx="1296">
                  <c:v>37043</c:v>
                </c:pt>
                <c:pt idx="1297">
                  <c:v>37046</c:v>
                </c:pt>
                <c:pt idx="1298">
                  <c:v>37047</c:v>
                </c:pt>
                <c:pt idx="1299">
                  <c:v>37048</c:v>
                </c:pt>
                <c:pt idx="1300">
                  <c:v>37049</c:v>
                </c:pt>
                <c:pt idx="1301">
                  <c:v>37050</c:v>
                </c:pt>
                <c:pt idx="1302">
                  <c:v>37053</c:v>
                </c:pt>
                <c:pt idx="1303">
                  <c:v>37054</c:v>
                </c:pt>
                <c:pt idx="1304">
                  <c:v>37055</c:v>
                </c:pt>
                <c:pt idx="1305">
                  <c:v>37056</c:v>
                </c:pt>
                <c:pt idx="1306">
                  <c:v>37057</c:v>
                </c:pt>
                <c:pt idx="1307">
                  <c:v>37060</c:v>
                </c:pt>
                <c:pt idx="1308">
                  <c:v>37061</c:v>
                </c:pt>
                <c:pt idx="1309">
                  <c:v>37062</c:v>
                </c:pt>
                <c:pt idx="1310">
                  <c:v>37063</c:v>
                </c:pt>
                <c:pt idx="1311">
                  <c:v>37064</c:v>
                </c:pt>
                <c:pt idx="1312">
                  <c:v>37067</c:v>
                </c:pt>
                <c:pt idx="1313">
                  <c:v>37068</c:v>
                </c:pt>
                <c:pt idx="1314">
                  <c:v>37069</c:v>
                </c:pt>
                <c:pt idx="1315">
                  <c:v>37070</c:v>
                </c:pt>
                <c:pt idx="1316">
                  <c:v>37071</c:v>
                </c:pt>
                <c:pt idx="1317">
                  <c:v>37074</c:v>
                </c:pt>
                <c:pt idx="1318">
                  <c:v>37075</c:v>
                </c:pt>
                <c:pt idx="1319">
                  <c:v>37077</c:v>
                </c:pt>
                <c:pt idx="1320">
                  <c:v>37078</c:v>
                </c:pt>
                <c:pt idx="1321">
                  <c:v>37081</c:v>
                </c:pt>
                <c:pt idx="1322">
                  <c:v>37082</c:v>
                </c:pt>
                <c:pt idx="1323">
                  <c:v>37083</c:v>
                </c:pt>
                <c:pt idx="1324">
                  <c:v>37084</c:v>
                </c:pt>
                <c:pt idx="1325">
                  <c:v>37085</c:v>
                </c:pt>
                <c:pt idx="1326">
                  <c:v>37088</c:v>
                </c:pt>
                <c:pt idx="1327">
                  <c:v>37089</c:v>
                </c:pt>
                <c:pt idx="1328">
                  <c:v>37090</c:v>
                </c:pt>
                <c:pt idx="1329">
                  <c:v>37091</c:v>
                </c:pt>
                <c:pt idx="1330">
                  <c:v>37092</c:v>
                </c:pt>
                <c:pt idx="1331">
                  <c:v>37095</c:v>
                </c:pt>
                <c:pt idx="1332">
                  <c:v>37096</c:v>
                </c:pt>
                <c:pt idx="1333">
                  <c:v>37097</c:v>
                </c:pt>
                <c:pt idx="1334">
                  <c:v>37098</c:v>
                </c:pt>
                <c:pt idx="1335">
                  <c:v>37099</c:v>
                </c:pt>
                <c:pt idx="1336">
                  <c:v>37102</c:v>
                </c:pt>
                <c:pt idx="1337">
                  <c:v>37103</c:v>
                </c:pt>
                <c:pt idx="1338">
                  <c:v>37104</c:v>
                </c:pt>
                <c:pt idx="1339">
                  <c:v>37105</c:v>
                </c:pt>
                <c:pt idx="1340">
                  <c:v>37106</c:v>
                </c:pt>
                <c:pt idx="1341">
                  <c:v>37109</c:v>
                </c:pt>
                <c:pt idx="1342">
                  <c:v>37110</c:v>
                </c:pt>
                <c:pt idx="1343">
                  <c:v>37111</c:v>
                </c:pt>
                <c:pt idx="1344">
                  <c:v>37112</c:v>
                </c:pt>
                <c:pt idx="1345">
                  <c:v>37113</c:v>
                </c:pt>
                <c:pt idx="1346">
                  <c:v>37116</c:v>
                </c:pt>
                <c:pt idx="1347">
                  <c:v>37117</c:v>
                </c:pt>
                <c:pt idx="1348">
                  <c:v>37118</c:v>
                </c:pt>
                <c:pt idx="1349">
                  <c:v>37119</c:v>
                </c:pt>
                <c:pt idx="1350">
                  <c:v>37120</c:v>
                </c:pt>
                <c:pt idx="1351">
                  <c:v>37123</c:v>
                </c:pt>
                <c:pt idx="1352">
                  <c:v>37124</c:v>
                </c:pt>
                <c:pt idx="1353">
                  <c:v>37125</c:v>
                </c:pt>
                <c:pt idx="1354">
                  <c:v>37126</c:v>
                </c:pt>
                <c:pt idx="1355">
                  <c:v>37127</c:v>
                </c:pt>
                <c:pt idx="1356">
                  <c:v>37130</c:v>
                </c:pt>
                <c:pt idx="1357">
                  <c:v>37131</c:v>
                </c:pt>
                <c:pt idx="1358">
                  <c:v>37132</c:v>
                </c:pt>
                <c:pt idx="1359">
                  <c:v>37133</c:v>
                </c:pt>
                <c:pt idx="1360">
                  <c:v>37134</c:v>
                </c:pt>
                <c:pt idx="1361">
                  <c:v>37138</c:v>
                </c:pt>
                <c:pt idx="1362">
                  <c:v>37139</c:v>
                </c:pt>
                <c:pt idx="1363">
                  <c:v>37140</c:v>
                </c:pt>
                <c:pt idx="1364">
                  <c:v>37141</c:v>
                </c:pt>
                <c:pt idx="1365">
                  <c:v>37144</c:v>
                </c:pt>
                <c:pt idx="1366">
                  <c:v>37151</c:v>
                </c:pt>
                <c:pt idx="1367">
                  <c:v>37152</c:v>
                </c:pt>
                <c:pt idx="1368">
                  <c:v>37153</c:v>
                </c:pt>
                <c:pt idx="1369">
                  <c:v>37154</c:v>
                </c:pt>
                <c:pt idx="1370">
                  <c:v>37155</c:v>
                </c:pt>
                <c:pt idx="1371">
                  <c:v>37158</c:v>
                </c:pt>
                <c:pt idx="1372">
                  <c:v>37159</c:v>
                </c:pt>
                <c:pt idx="1373">
                  <c:v>37160</c:v>
                </c:pt>
                <c:pt idx="1374">
                  <c:v>37161</c:v>
                </c:pt>
                <c:pt idx="1375">
                  <c:v>37162</c:v>
                </c:pt>
                <c:pt idx="1376">
                  <c:v>37165</c:v>
                </c:pt>
                <c:pt idx="1377">
                  <c:v>37166</c:v>
                </c:pt>
                <c:pt idx="1378">
                  <c:v>37167</c:v>
                </c:pt>
                <c:pt idx="1379">
                  <c:v>37168</c:v>
                </c:pt>
                <c:pt idx="1380">
                  <c:v>37169</c:v>
                </c:pt>
                <c:pt idx="1381">
                  <c:v>37172</c:v>
                </c:pt>
                <c:pt idx="1382">
                  <c:v>37173</c:v>
                </c:pt>
                <c:pt idx="1383">
                  <c:v>37174</c:v>
                </c:pt>
                <c:pt idx="1384">
                  <c:v>37175</c:v>
                </c:pt>
                <c:pt idx="1385">
                  <c:v>37176</c:v>
                </c:pt>
                <c:pt idx="1386">
                  <c:v>37179</c:v>
                </c:pt>
                <c:pt idx="1387">
                  <c:v>37180</c:v>
                </c:pt>
                <c:pt idx="1388">
                  <c:v>37181</c:v>
                </c:pt>
                <c:pt idx="1389">
                  <c:v>37182</c:v>
                </c:pt>
                <c:pt idx="1390">
                  <c:v>37183</c:v>
                </c:pt>
                <c:pt idx="1391">
                  <c:v>37186</c:v>
                </c:pt>
                <c:pt idx="1392">
                  <c:v>37187</c:v>
                </c:pt>
                <c:pt idx="1393">
                  <c:v>37188</c:v>
                </c:pt>
                <c:pt idx="1394">
                  <c:v>37189</c:v>
                </c:pt>
                <c:pt idx="1395">
                  <c:v>37190</c:v>
                </c:pt>
                <c:pt idx="1396">
                  <c:v>37193</c:v>
                </c:pt>
                <c:pt idx="1397">
                  <c:v>37194</c:v>
                </c:pt>
                <c:pt idx="1398">
                  <c:v>37195</c:v>
                </c:pt>
                <c:pt idx="1399">
                  <c:v>37196</c:v>
                </c:pt>
                <c:pt idx="1400">
                  <c:v>37197</c:v>
                </c:pt>
                <c:pt idx="1401">
                  <c:v>37200</c:v>
                </c:pt>
                <c:pt idx="1402">
                  <c:v>37201</c:v>
                </c:pt>
                <c:pt idx="1403">
                  <c:v>37202</c:v>
                </c:pt>
                <c:pt idx="1404">
                  <c:v>37203</c:v>
                </c:pt>
                <c:pt idx="1405">
                  <c:v>37204</c:v>
                </c:pt>
                <c:pt idx="1406">
                  <c:v>37207</c:v>
                </c:pt>
                <c:pt idx="1407">
                  <c:v>37208</c:v>
                </c:pt>
                <c:pt idx="1408">
                  <c:v>37209</c:v>
                </c:pt>
                <c:pt idx="1409">
                  <c:v>37210</c:v>
                </c:pt>
                <c:pt idx="1410">
                  <c:v>37211</c:v>
                </c:pt>
                <c:pt idx="1411">
                  <c:v>37214</c:v>
                </c:pt>
                <c:pt idx="1412">
                  <c:v>37215</c:v>
                </c:pt>
                <c:pt idx="1413">
                  <c:v>37216</c:v>
                </c:pt>
                <c:pt idx="1414">
                  <c:v>37218</c:v>
                </c:pt>
                <c:pt idx="1415">
                  <c:v>37221</c:v>
                </c:pt>
                <c:pt idx="1416">
                  <c:v>37222</c:v>
                </c:pt>
                <c:pt idx="1417">
                  <c:v>37223</c:v>
                </c:pt>
                <c:pt idx="1418">
                  <c:v>37224</c:v>
                </c:pt>
                <c:pt idx="1419">
                  <c:v>37225</c:v>
                </c:pt>
                <c:pt idx="1420">
                  <c:v>37228</c:v>
                </c:pt>
                <c:pt idx="1421">
                  <c:v>37229</c:v>
                </c:pt>
                <c:pt idx="1422">
                  <c:v>37230</c:v>
                </c:pt>
                <c:pt idx="1423">
                  <c:v>37231</c:v>
                </c:pt>
                <c:pt idx="1424">
                  <c:v>37232</c:v>
                </c:pt>
                <c:pt idx="1425">
                  <c:v>37235</c:v>
                </c:pt>
                <c:pt idx="1426">
                  <c:v>37236</c:v>
                </c:pt>
                <c:pt idx="1427">
                  <c:v>37237</c:v>
                </c:pt>
                <c:pt idx="1428">
                  <c:v>37238</c:v>
                </c:pt>
                <c:pt idx="1429">
                  <c:v>37239</c:v>
                </c:pt>
                <c:pt idx="1430">
                  <c:v>37242</c:v>
                </c:pt>
                <c:pt idx="1431">
                  <c:v>37243</c:v>
                </c:pt>
                <c:pt idx="1432">
                  <c:v>37244</c:v>
                </c:pt>
                <c:pt idx="1433">
                  <c:v>37245</c:v>
                </c:pt>
                <c:pt idx="1434">
                  <c:v>37246</c:v>
                </c:pt>
                <c:pt idx="1435">
                  <c:v>37249</c:v>
                </c:pt>
                <c:pt idx="1436">
                  <c:v>37251</c:v>
                </c:pt>
                <c:pt idx="1437">
                  <c:v>37252</c:v>
                </c:pt>
                <c:pt idx="1438">
                  <c:v>37253</c:v>
                </c:pt>
                <c:pt idx="1439">
                  <c:v>37256</c:v>
                </c:pt>
                <c:pt idx="1440">
                  <c:v>37258</c:v>
                </c:pt>
                <c:pt idx="1441">
                  <c:v>37259</c:v>
                </c:pt>
                <c:pt idx="1442">
                  <c:v>37260</c:v>
                </c:pt>
                <c:pt idx="1443">
                  <c:v>37263</c:v>
                </c:pt>
                <c:pt idx="1444">
                  <c:v>37264</c:v>
                </c:pt>
                <c:pt idx="1445">
                  <c:v>37265</c:v>
                </c:pt>
                <c:pt idx="1446">
                  <c:v>37266</c:v>
                </c:pt>
                <c:pt idx="1447">
                  <c:v>37267</c:v>
                </c:pt>
                <c:pt idx="1448">
                  <c:v>37270</c:v>
                </c:pt>
                <c:pt idx="1449">
                  <c:v>37271</c:v>
                </c:pt>
                <c:pt idx="1450">
                  <c:v>37272</c:v>
                </c:pt>
                <c:pt idx="1451">
                  <c:v>37273</c:v>
                </c:pt>
                <c:pt idx="1452">
                  <c:v>37274</c:v>
                </c:pt>
                <c:pt idx="1453">
                  <c:v>37278</c:v>
                </c:pt>
                <c:pt idx="1454">
                  <c:v>37279</c:v>
                </c:pt>
                <c:pt idx="1455">
                  <c:v>37280</c:v>
                </c:pt>
                <c:pt idx="1456">
                  <c:v>37281</c:v>
                </c:pt>
                <c:pt idx="1457">
                  <c:v>37284</c:v>
                </c:pt>
                <c:pt idx="1458">
                  <c:v>37285</c:v>
                </c:pt>
                <c:pt idx="1459">
                  <c:v>37286</c:v>
                </c:pt>
                <c:pt idx="1460">
                  <c:v>37287</c:v>
                </c:pt>
                <c:pt idx="1461">
                  <c:v>37288</c:v>
                </c:pt>
                <c:pt idx="1462">
                  <c:v>37291</c:v>
                </c:pt>
                <c:pt idx="1463">
                  <c:v>37292</c:v>
                </c:pt>
                <c:pt idx="1464">
                  <c:v>37293</c:v>
                </c:pt>
                <c:pt idx="1465">
                  <c:v>37294</c:v>
                </c:pt>
                <c:pt idx="1466">
                  <c:v>37295</c:v>
                </c:pt>
                <c:pt idx="1467">
                  <c:v>37298</c:v>
                </c:pt>
                <c:pt idx="1468">
                  <c:v>37299</c:v>
                </c:pt>
                <c:pt idx="1469">
                  <c:v>37300</c:v>
                </c:pt>
                <c:pt idx="1470">
                  <c:v>37301</c:v>
                </c:pt>
                <c:pt idx="1471">
                  <c:v>37302</c:v>
                </c:pt>
                <c:pt idx="1472">
                  <c:v>37306</c:v>
                </c:pt>
                <c:pt idx="1473">
                  <c:v>37307</c:v>
                </c:pt>
                <c:pt idx="1474">
                  <c:v>37308</c:v>
                </c:pt>
                <c:pt idx="1475">
                  <c:v>37309</c:v>
                </c:pt>
                <c:pt idx="1476">
                  <c:v>37312</c:v>
                </c:pt>
                <c:pt idx="1477">
                  <c:v>37313</c:v>
                </c:pt>
                <c:pt idx="1478">
                  <c:v>37314</c:v>
                </c:pt>
                <c:pt idx="1479">
                  <c:v>37315</c:v>
                </c:pt>
                <c:pt idx="1480">
                  <c:v>37316</c:v>
                </c:pt>
                <c:pt idx="1481">
                  <c:v>37319</c:v>
                </c:pt>
                <c:pt idx="1482">
                  <c:v>37320</c:v>
                </c:pt>
                <c:pt idx="1483">
                  <c:v>37321</c:v>
                </c:pt>
                <c:pt idx="1484">
                  <c:v>37322</c:v>
                </c:pt>
                <c:pt idx="1485">
                  <c:v>37323</c:v>
                </c:pt>
                <c:pt idx="1486">
                  <c:v>37326</c:v>
                </c:pt>
                <c:pt idx="1487">
                  <c:v>37327</c:v>
                </c:pt>
                <c:pt idx="1488">
                  <c:v>37328</c:v>
                </c:pt>
                <c:pt idx="1489">
                  <c:v>37329</c:v>
                </c:pt>
                <c:pt idx="1490">
                  <c:v>37330</c:v>
                </c:pt>
                <c:pt idx="1491">
                  <c:v>37333</c:v>
                </c:pt>
                <c:pt idx="1492">
                  <c:v>37334</c:v>
                </c:pt>
                <c:pt idx="1493">
                  <c:v>37335</c:v>
                </c:pt>
                <c:pt idx="1494">
                  <c:v>37336</c:v>
                </c:pt>
                <c:pt idx="1495">
                  <c:v>37337</c:v>
                </c:pt>
                <c:pt idx="1496">
                  <c:v>37340</c:v>
                </c:pt>
                <c:pt idx="1497">
                  <c:v>37341</c:v>
                </c:pt>
                <c:pt idx="1498">
                  <c:v>37342</c:v>
                </c:pt>
                <c:pt idx="1499">
                  <c:v>37343</c:v>
                </c:pt>
                <c:pt idx="1500">
                  <c:v>37347</c:v>
                </c:pt>
                <c:pt idx="1501">
                  <c:v>37348</c:v>
                </c:pt>
                <c:pt idx="1502">
                  <c:v>37349</c:v>
                </c:pt>
                <c:pt idx="1503">
                  <c:v>37350</c:v>
                </c:pt>
                <c:pt idx="1504">
                  <c:v>37351</c:v>
                </c:pt>
                <c:pt idx="1505">
                  <c:v>37354</c:v>
                </c:pt>
                <c:pt idx="1506">
                  <c:v>37355</c:v>
                </c:pt>
                <c:pt idx="1507">
                  <c:v>37356</c:v>
                </c:pt>
                <c:pt idx="1508">
                  <c:v>37357</c:v>
                </c:pt>
                <c:pt idx="1509">
                  <c:v>37358</c:v>
                </c:pt>
                <c:pt idx="1510">
                  <c:v>37361</c:v>
                </c:pt>
                <c:pt idx="1511">
                  <c:v>37362</c:v>
                </c:pt>
                <c:pt idx="1512">
                  <c:v>37363</c:v>
                </c:pt>
                <c:pt idx="1513">
                  <c:v>37364</c:v>
                </c:pt>
                <c:pt idx="1514">
                  <c:v>37365</c:v>
                </c:pt>
                <c:pt idx="1515">
                  <c:v>37368</c:v>
                </c:pt>
                <c:pt idx="1516">
                  <c:v>37369</c:v>
                </c:pt>
                <c:pt idx="1517">
                  <c:v>37370</c:v>
                </c:pt>
                <c:pt idx="1518">
                  <c:v>37371</c:v>
                </c:pt>
                <c:pt idx="1519">
                  <c:v>37372</c:v>
                </c:pt>
                <c:pt idx="1520">
                  <c:v>37375</c:v>
                </c:pt>
                <c:pt idx="1521">
                  <c:v>37376</c:v>
                </c:pt>
                <c:pt idx="1522">
                  <c:v>37377</c:v>
                </c:pt>
                <c:pt idx="1523">
                  <c:v>37378</c:v>
                </c:pt>
                <c:pt idx="1524">
                  <c:v>37379</c:v>
                </c:pt>
                <c:pt idx="1525">
                  <c:v>37382</c:v>
                </c:pt>
                <c:pt idx="1526">
                  <c:v>37383</c:v>
                </c:pt>
                <c:pt idx="1527">
                  <c:v>37384</c:v>
                </c:pt>
                <c:pt idx="1528">
                  <c:v>37385</c:v>
                </c:pt>
                <c:pt idx="1529">
                  <c:v>37386</c:v>
                </c:pt>
                <c:pt idx="1530">
                  <c:v>37389</c:v>
                </c:pt>
                <c:pt idx="1531">
                  <c:v>37390</c:v>
                </c:pt>
                <c:pt idx="1532">
                  <c:v>37391</c:v>
                </c:pt>
                <c:pt idx="1533">
                  <c:v>37392</c:v>
                </c:pt>
                <c:pt idx="1534">
                  <c:v>37393</c:v>
                </c:pt>
                <c:pt idx="1535">
                  <c:v>37396</c:v>
                </c:pt>
                <c:pt idx="1536">
                  <c:v>37397</c:v>
                </c:pt>
                <c:pt idx="1537">
                  <c:v>37398</c:v>
                </c:pt>
                <c:pt idx="1538">
                  <c:v>37399</c:v>
                </c:pt>
                <c:pt idx="1539">
                  <c:v>37400</c:v>
                </c:pt>
                <c:pt idx="1540">
                  <c:v>37404</c:v>
                </c:pt>
                <c:pt idx="1541">
                  <c:v>37405</c:v>
                </c:pt>
                <c:pt idx="1542">
                  <c:v>37406</c:v>
                </c:pt>
                <c:pt idx="1543">
                  <c:v>37407</c:v>
                </c:pt>
                <c:pt idx="1544">
                  <c:v>37410</c:v>
                </c:pt>
                <c:pt idx="1545">
                  <c:v>37411</c:v>
                </c:pt>
                <c:pt idx="1546">
                  <c:v>37412</c:v>
                </c:pt>
                <c:pt idx="1547">
                  <c:v>37413</c:v>
                </c:pt>
                <c:pt idx="1548">
                  <c:v>37414</c:v>
                </c:pt>
                <c:pt idx="1549">
                  <c:v>37417</c:v>
                </c:pt>
                <c:pt idx="1550">
                  <c:v>37418</c:v>
                </c:pt>
                <c:pt idx="1551">
                  <c:v>37419</c:v>
                </c:pt>
                <c:pt idx="1552">
                  <c:v>37420</c:v>
                </c:pt>
                <c:pt idx="1553">
                  <c:v>37421</c:v>
                </c:pt>
                <c:pt idx="1554">
                  <c:v>37424</c:v>
                </c:pt>
                <c:pt idx="1555">
                  <c:v>37425</c:v>
                </c:pt>
                <c:pt idx="1556">
                  <c:v>37426</c:v>
                </c:pt>
                <c:pt idx="1557">
                  <c:v>37427</c:v>
                </c:pt>
                <c:pt idx="1558">
                  <c:v>37428</c:v>
                </c:pt>
                <c:pt idx="1559">
                  <c:v>37431</c:v>
                </c:pt>
                <c:pt idx="1560">
                  <c:v>37432</c:v>
                </c:pt>
                <c:pt idx="1561">
                  <c:v>37433</c:v>
                </c:pt>
                <c:pt idx="1562">
                  <c:v>37434</c:v>
                </c:pt>
                <c:pt idx="1563">
                  <c:v>37435</c:v>
                </c:pt>
                <c:pt idx="1564">
                  <c:v>37438</c:v>
                </c:pt>
                <c:pt idx="1565">
                  <c:v>37439</c:v>
                </c:pt>
                <c:pt idx="1566">
                  <c:v>37440</c:v>
                </c:pt>
                <c:pt idx="1567">
                  <c:v>37442</c:v>
                </c:pt>
                <c:pt idx="1568">
                  <c:v>37445</c:v>
                </c:pt>
                <c:pt idx="1569">
                  <c:v>37446</c:v>
                </c:pt>
                <c:pt idx="1570">
                  <c:v>37447</c:v>
                </c:pt>
                <c:pt idx="1571">
                  <c:v>37448</c:v>
                </c:pt>
                <c:pt idx="1572">
                  <c:v>37449</c:v>
                </c:pt>
                <c:pt idx="1573">
                  <c:v>37452</c:v>
                </c:pt>
                <c:pt idx="1574">
                  <c:v>37453</c:v>
                </c:pt>
                <c:pt idx="1575">
                  <c:v>37454</c:v>
                </c:pt>
                <c:pt idx="1576">
                  <c:v>37455</c:v>
                </c:pt>
                <c:pt idx="1577">
                  <c:v>37456</c:v>
                </c:pt>
                <c:pt idx="1578">
                  <c:v>37459</c:v>
                </c:pt>
                <c:pt idx="1579">
                  <c:v>37460</c:v>
                </c:pt>
                <c:pt idx="1580">
                  <c:v>37461</c:v>
                </c:pt>
                <c:pt idx="1581">
                  <c:v>37462</c:v>
                </c:pt>
                <c:pt idx="1582">
                  <c:v>37463</c:v>
                </c:pt>
                <c:pt idx="1583">
                  <c:v>37466</c:v>
                </c:pt>
                <c:pt idx="1584">
                  <c:v>37467</c:v>
                </c:pt>
                <c:pt idx="1585">
                  <c:v>37468</c:v>
                </c:pt>
                <c:pt idx="1586">
                  <c:v>37469</c:v>
                </c:pt>
                <c:pt idx="1587">
                  <c:v>37470</c:v>
                </c:pt>
                <c:pt idx="1588">
                  <c:v>37473</c:v>
                </c:pt>
                <c:pt idx="1589">
                  <c:v>37474</c:v>
                </c:pt>
                <c:pt idx="1590">
                  <c:v>37475</c:v>
                </c:pt>
                <c:pt idx="1591">
                  <c:v>37476</c:v>
                </c:pt>
                <c:pt idx="1592">
                  <c:v>37477</c:v>
                </c:pt>
                <c:pt idx="1593">
                  <c:v>37480</c:v>
                </c:pt>
                <c:pt idx="1594">
                  <c:v>37481</c:v>
                </c:pt>
                <c:pt idx="1595">
                  <c:v>37482</c:v>
                </c:pt>
                <c:pt idx="1596">
                  <c:v>37483</c:v>
                </c:pt>
                <c:pt idx="1597">
                  <c:v>37484</c:v>
                </c:pt>
                <c:pt idx="1598">
                  <c:v>37487</c:v>
                </c:pt>
                <c:pt idx="1599">
                  <c:v>37488</c:v>
                </c:pt>
                <c:pt idx="1600">
                  <c:v>37489</c:v>
                </c:pt>
                <c:pt idx="1601">
                  <c:v>37490</c:v>
                </c:pt>
                <c:pt idx="1602">
                  <c:v>37491</c:v>
                </c:pt>
                <c:pt idx="1603">
                  <c:v>37494</c:v>
                </c:pt>
                <c:pt idx="1604">
                  <c:v>37495</c:v>
                </c:pt>
                <c:pt idx="1605">
                  <c:v>37496</c:v>
                </c:pt>
                <c:pt idx="1606">
                  <c:v>37497</c:v>
                </c:pt>
                <c:pt idx="1607">
                  <c:v>37498</c:v>
                </c:pt>
                <c:pt idx="1608">
                  <c:v>37502</c:v>
                </c:pt>
                <c:pt idx="1609">
                  <c:v>37503</c:v>
                </c:pt>
                <c:pt idx="1610">
                  <c:v>37504</c:v>
                </c:pt>
                <c:pt idx="1611">
                  <c:v>37505</c:v>
                </c:pt>
                <c:pt idx="1612">
                  <c:v>37508</c:v>
                </c:pt>
                <c:pt idx="1613">
                  <c:v>37509</c:v>
                </c:pt>
                <c:pt idx="1614">
                  <c:v>37510</c:v>
                </c:pt>
                <c:pt idx="1615">
                  <c:v>37511</c:v>
                </c:pt>
                <c:pt idx="1616">
                  <c:v>37512</c:v>
                </c:pt>
                <c:pt idx="1617">
                  <c:v>37515</c:v>
                </c:pt>
                <c:pt idx="1618">
                  <c:v>37516</c:v>
                </c:pt>
                <c:pt idx="1619">
                  <c:v>37517</c:v>
                </c:pt>
                <c:pt idx="1620">
                  <c:v>37518</c:v>
                </c:pt>
                <c:pt idx="1621">
                  <c:v>37519</c:v>
                </c:pt>
                <c:pt idx="1622">
                  <c:v>37522</c:v>
                </c:pt>
                <c:pt idx="1623">
                  <c:v>37523</c:v>
                </c:pt>
                <c:pt idx="1624">
                  <c:v>37524</c:v>
                </c:pt>
                <c:pt idx="1625">
                  <c:v>37525</c:v>
                </c:pt>
                <c:pt idx="1626">
                  <c:v>37526</c:v>
                </c:pt>
                <c:pt idx="1627">
                  <c:v>37529</c:v>
                </c:pt>
                <c:pt idx="1628">
                  <c:v>37530</c:v>
                </c:pt>
                <c:pt idx="1629">
                  <c:v>37531</c:v>
                </c:pt>
                <c:pt idx="1630">
                  <c:v>37532</c:v>
                </c:pt>
                <c:pt idx="1631">
                  <c:v>37533</c:v>
                </c:pt>
                <c:pt idx="1632">
                  <c:v>37536</c:v>
                </c:pt>
                <c:pt idx="1633">
                  <c:v>37537</c:v>
                </c:pt>
                <c:pt idx="1634">
                  <c:v>37538</c:v>
                </c:pt>
                <c:pt idx="1635">
                  <c:v>37539</c:v>
                </c:pt>
                <c:pt idx="1636">
                  <c:v>37540</c:v>
                </c:pt>
                <c:pt idx="1637">
                  <c:v>37543</c:v>
                </c:pt>
                <c:pt idx="1638">
                  <c:v>37544</c:v>
                </c:pt>
                <c:pt idx="1639">
                  <c:v>37545</c:v>
                </c:pt>
                <c:pt idx="1640">
                  <c:v>37546</c:v>
                </c:pt>
                <c:pt idx="1641">
                  <c:v>37547</c:v>
                </c:pt>
                <c:pt idx="1642">
                  <c:v>37550</c:v>
                </c:pt>
                <c:pt idx="1643">
                  <c:v>37551</c:v>
                </c:pt>
                <c:pt idx="1644">
                  <c:v>37552</c:v>
                </c:pt>
                <c:pt idx="1645">
                  <c:v>37553</c:v>
                </c:pt>
                <c:pt idx="1646">
                  <c:v>37554</c:v>
                </c:pt>
                <c:pt idx="1647">
                  <c:v>37557</c:v>
                </c:pt>
                <c:pt idx="1648">
                  <c:v>37558</c:v>
                </c:pt>
                <c:pt idx="1649">
                  <c:v>37559</c:v>
                </c:pt>
                <c:pt idx="1650">
                  <c:v>37560</c:v>
                </c:pt>
                <c:pt idx="1651">
                  <c:v>37561</c:v>
                </c:pt>
                <c:pt idx="1652">
                  <c:v>37564</c:v>
                </c:pt>
                <c:pt idx="1653">
                  <c:v>37565</c:v>
                </c:pt>
                <c:pt idx="1654">
                  <c:v>37566</c:v>
                </c:pt>
                <c:pt idx="1655">
                  <c:v>37567</c:v>
                </c:pt>
                <c:pt idx="1656">
                  <c:v>37568</c:v>
                </c:pt>
                <c:pt idx="1657">
                  <c:v>37571</c:v>
                </c:pt>
                <c:pt idx="1658">
                  <c:v>37572</c:v>
                </c:pt>
                <c:pt idx="1659">
                  <c:v>37573</c:v>
                </c:pt>
                <c:pt idx="1660">
                  <c:v>37574</c:v>
                </c:pt>
                <c:pt idx="1661">
                  <c:v>37575</c:v>
                </c:pt>
                <c:pt idx="1662">
                  <c:v>37578</c:v>
                </c:pt>
                <c:pt idx="1663">
                  <c:v>37579</c:v>
                </c:pt>
                <c:pt idx="1664">
                  <c:v>37580</c:v>
                </c:pt>
                <c:pt idx="1665">
                  <c:v>37581</c:v>
                </c:pt>
                <c:pt idx="1666">
                  <c:v>37582</c:v>
                </c:pt>
                <c:pt idx="1667">
                  <c:v>37585</c:v>
                </c:pt>
                <c:pt idx="1668">
                  <c:v>37586</c:v>
                </c:pt>
                <c:pt idx="1669">
                  <c:v>37587</c:v>
                </c:pt>
                <c:pt idx="1670">
                  <c:v>37589</c:v>
                </c:pt>
                <c:pt idx="1671">
                  <c:v>37592</c:v>
                </c:pt>
                <c:pt idx="1672">
                  <c:v>37593</c:v>
                </c:pt>
                <c:pt idx="1673">
                  <c:v>37594</c:v>
                </c:pt>
                <c:pt idx="1674">
                  <c:v>37595</c:v>
                </c:pt>
                <c:pt idx="1675">
                  <c:v>37596</c:v>
                </c:pt>
                <c:pt idx="1676">
                  <c:v>37599</c:v>
                </c:pt>
                <c:pt idx="1677">
                  <c:v>37600</c:v>
                </c:pt>
                <c:pt idx="1678">
                  <c:v>37601</c:v>
                </c:pt>
                <c:pt idx="1679">
                  <c:v>37602</c:v>
                </c:pt>
                <c:pt idx="1680">
                  <c:v>37603</c:v>
                </c:pt>
                <c:pt idx="1681">
                  <c:v>37606</c:v>
                </c:pt>
                <c:pt idx="1682">
                  <c:v>37607</c:v>
                </c:pt>
                <c:pt idx="1683">
                  <c:v>37608</c:v>
                </c:pt>
                <c:pt idx="1684">
                  <c:v>37609</c:v>
                </c:pt>
                <c:pt idx="1685">
                  <c:v>37610</c:v>
                </c:pt>
                <c:pt idx="1686">
                  <c:v>37613</c:v>
                </c:pt>
                <c:pt idx="1687">
                  <c:v>37614</c:v>
                </c:pt>
                <c:pt idx="1688">
                  <c:v>37616</c:v>
                </c:pt>
                <c:pt idx="1689">
                  <c:v>37617</c:v>
                </c:pt>
                <c:pt idx="1690">
                  <c:v>37620</c:v>
                </c:pt>
                <c:pt idx="1691">
                  <c:v>37621</c:v>
                </c:pt>
                <c:pt idx="1692">
                  <c:v>37623</c:v>
                </c:pt>
                <c:pt idx="1693">
                  <c:v>37624</c:v>
                </c:pt>
                <c:pt idx="1694">
                  <c:v>37627</c:v>
                </c:pt>
                <c:pt idx="1695">
                  <c:v>37628</c:v>
                </c:pt>
                <c:pt idx="1696">
                  <c:v>37629</c:v>
                </c:pt>
                <c:pt idx="1697">
                  <c:v>37630</c:v>
                </c:pt>
                <c:pt idx="1698">
                  <c:v>37631</c:v>
                </c:pt>
                <c:pt idx="1699">
                  <c:v>37634</c:v>
                </c:pt>
                <c:pt idx="1700">
                  <c:v>37635</c:v>
                </c:pt>
                <c:pt idx="1701">
                  <c:v>37636</c:v>
                </c:pt>
                <c:pt idx="1702">
                  <c:v>37637</c:v>
                </c:pt>
                <c:pt idx="1703">
                  <c:v>37638</c:v>
                </c:pt>
                <c:pt idx="1704">
                  <c:v>37642</c:v>
                </c:pt>
                <c:pt idx="1705">
                  <c:v>37643</c:v>
                </c:pt>
                <c:pt idx="1706">
                  <c:v>37644</c:v>
                </c:pt>
                <c:pt idx="1707">
                  <c:v>37645</c:v>
                </c:pt>
                <c:pt idx="1708">
                  <c:v>37648</c:v>
                </c:pt>
                <c:pt idx="1709">
                  <c:v>37649</c:v>
                </c:pt>
                <c:pt idx="1710">
                  <c:v>37650</c:v>
                </c:pt>
                <c:pt idx="1711">
                  <c:v>37651</c:v>
                </c:pt>
                <c:pt idx="1712">
                  <c:v>37652</c:v>
                </c:pt>
                <c:pt idx="1713">
                  <c:v>37655</c:v>
                </c:pt>
                <c:pt idx="1714">
                  <c:v>37656</c:v>
                </c:pt>
                <c:pt idx="1715">
                  <c:v>37657</c:v>
                </c:pt>
                <c:pt idx="1716">
                  <c:v>37658</c:v>
                </c:pt>
                <c:pt idx="1717">
                  <c:v>37659</c:v>
                </c:pt>
                <c:pt idx="1718">
                  <c:v>37662</c:v>
                </c:pt>
                <c:pt idx="1719">
                  <c:v>37663</c:v>
                </c:pt>
                <c:pt idx="1720">
                  <c:v>37664</c:v>
                </c:pt>
                <c:pt idx="1721">
                  <c:v>37665</c:v>
                </c:pt>
                <c:pt idx="1722">
                  <c:v>37666</c:v>
                </c:pt>
                <c:pt idx="1723">
                  <c:v>37670</c:v>
                </c:pt>
                <c:pt idx="1724">
                  <c:v>37671</c:v>
                </c:pt>
                <c:pt idx="1725">
                  <c:v>37672</c:v>
                </c:pt>
                <c:pt idx="1726">
                  <c:v>37673</c:v>
                </c:pt>
                <c:pt idx="1727">
                  <c:v>37676</c:v>
                </c:pt>
                <c:pt idx="1728">
                  <c:v>37677</c:v>
                </c:pt>
                <c:pt idx="1729">
                  <c:v>37678</c:v>
                </c:pt>
                <c:pt idx="1730">
                  <c:v>37679</c:v>
                </c:pt>
                <c:pt idx="1731">
                  <c:v>37680</c:v>
                </c:pt>
                <c:pt idx="1732">
                  <c:v>37683</c:v>
                </c:pt>
                <c:pt idx="1733">
                  <c:v>37684</c:v>
                </c:pt>
                <c:pt idx="1734">
                  <c:v>37685</c:v>
                </c:pt>
                <c:pt idx="1735">
                  <c:v>37686</c:v>
                </c:pt>
                <c:pt idx="1736">
                  <c:v>37687</c:v>
                </c:pt>
                <c:pt idx="1737">
                  <c:v>37690</c:v>
                </c:pt>
                <c:pt idx="1738">
                  <c:v>37691</c:v>
                </c:pt>
                <c:pt idx="1739">
                  <c:v>37692</c:v>
                </c:pt>
                <c:pt idx="1740">
                  <c:v>37693</c:v>
                </c:pt>
                <c:pt idx="1741">
                  <c:v>37694</c:v>
                </c:pt>
                <c:pt idx="1742">
                  <c:v>37697</c:v>
                </c:pt>
                <c:pt idx="1743">
                  <c:v>37698</c:v>
                </c:pt>
                <c:pt idx="1744">
                  <c:v>37699</c:v>
                </c:pt>
                <c:pt idx="1745">
                  <c:v>37700</c:v>
                </c:pt>
                <c:pt idx="1746">
                  <c:v>37701</c:v>
                </c:pt>
                <c:pt idx="1747">
                  <c:v>37704</c:v>
                </c:pt>
                <c:pt idx="1748">
                  <c:v>37705</c:v>
                </c:pt>
                <c:pt idx="1749">
                  <c:v>37706</c:v>
                </c:pt>
                <c:pt idx="1750">
                  <c:v>37707</c:v>
                </c:pt>
                <c:pt idx="1751">
                  <c:v>37708</c:v>
                </c:pt>
                <c:pt idx="1752">
                  <c:v>37711</c:v>
                </c:pt>
                <c:pt idx="1753">
                  <c:v>37712</c:v>
                </c:pt>
                <c:pt idx="1754">
                  <c:v>37713</c:v>
                </c:pt>
                <c:pt idx="1755">
                  <c:v>37714</c:v>
                </c:pt>
                <c:pt idx="1756">
                  <c:v>37715</c:v>
                </c:pt>
                <c:pt idx="1757">
                  <c:v>37718</c:v>
                </c:pt>
                <c:pt idx="1758">
                  <c:v>37719</c:v>
                </c:pt>
                <c:pt idx="1759">
                  <c:v>37720</c:v>
                </c:pt>
                <c:pt idx="1760">
                  <c:v>37721</c:v>
                </c:pt>
                <c:pt idx="1761">
                  <c:v>37722</c:v>
                </c:pt>
                <c:pt idx="1762">
                  <c:v>37725</c:v>
                </c:pt>
                <c:pt idx="1763">
                  <c:v>37726</c:v>
                </c:pt>
                <c:pt idx="1764">
                  <c:v>37727</c:v>
                </c:pt>
                <c:pt idx="1765">
                  <c:v>37728</c:v>
                </c:pt>
                <c:pt idx="1766">
                  <c:v>37732</c:v>
                </c:pt>
                <c:pt idx="1767">
                  <c:v>37733</c:v>
                </c:pt>
                <c:pt idx="1768">
                  <c:v>37734</c:v>
                </c:pt>
                <c:pt idx="1769">
                  <c:v>37735</c:v>
                </c:pt>
                <c:pt idx="1770">
                  <c:v>37736</c:v>
                </c:pt>
                <c:pt idx="1771">
                  <c:v>37739</c:v>
                </c:pt>
                <c:pt idx="1772">
                  <c:v>37740</c:v>
                </c:pt>
                <c:pt idx="1773">
                  <c:v>37741</c:v>
                </c:pt>
                <c:pt idx="1774">
                  <c:v>37742</c:v>
                </c:pt>
                <c:pt idx="1775">
                  <c:v>37743</c:v>
                </c:pt>
                <c:pt idx="1776">
                  <c:v>37746</c:v>
                </c:pt>
                <c:pt idx="1777">
                  <c:v>37747</c:v>
                </c:pt>
                <c:pt idx="1778">
                  <c:v>37748</c:v>
                </c:pt>
                <c:pt idx="1779">
                  <c:v>37749</c:v>
                </c:pt>
                <c:pt idx="1780">
                  <c:v>37750</c:v>
                </c:pt>
                <c:pt idx="1781">
                  <c:v>37753</c:v>
                </c:pt>
                <c:pt idx="1782">
                  <c:v>37754</c:v>
                </c:pt>
                <c:pt idx="1783">
                  <c:v>37755</c:v>
                </c:pt>
                <c:pt idx="1784">
                  <c:v>37756</c:v>
                </c:pt>
                <c:pt idx="1785">
                  <c:v>37757</c:v>
                </c:pt>
                <c:pt idx="1786">
                  <c:v>37760</c:v>
                </c:pt>
                <c:pt idx="1787">
                  <c:v>37761</c:v>
                </c:pt>
                <c:pt idx="1788">
                  <c:v>37762</c:v>
                </c:pt>
                <c:pt idx="1789">
                  <c:v>37763</c:v>
                </c:pt>
                <c:pt idx="1790">
                  <c:v>37764</c:v>
                </c:pt>
                <c:pt idx="1791">
                  <c:v>37768</c:v>
                </c:pt>
                <c:pt idx="1792">
                  <c:v>37769</c:v>
                </c:pt>
                <c:pt idx="1793">
                  <c:v>37770</c:v>
                </c:pt>
                <c:pt idx="1794">
                  <c:v>37771</c:v>
                </c:pt>
                <c:pt idx="1795">
                  <c:v>37774</c:v>
                </c:pt>
                <c:pt idx="1796">
                  <c:v>37775</c:v>
                </c:pt>
                <c:pt idx="1797">
                  <c:v>37776</c:v>
                </c:pt>
                <c:pt idx="1798">
                  <c:v>37777</c:v>
                </c:pt>
                <c:pt idx="1799">
                  <c:v>37778</c:v>
                </c:pt>
                <c:pt idx="1800">
                  <c:v>37781</c:v>
                </c:pt>
                <c:pt idx="1801">
                  <c:v>37782</c:v>
                </c:pt>
                <c:pt idx="1802">
                  <c:v>37783</c:v>
                </c:pt>
                <c:pt idx="1803">
                  <c:v>37784</c:v>
                </c:pt>
                <c:pt idx="1804">
                  <c:v>37785</c:v>
                </c:pt>
                <c:pt idx="1805">
                  <c:v>37788</c:v>
                </c:pt>
                <c:pt idx="1806">
                  <c:v>37789</c:v>
                </c:pt>
                <c:pt idx="1807">
                  <c:v>37790</c:v>
                </c:pt>
                <c:pt idx="1808">
                  <c:v>37791</c:v>
                </c:pt>
                <c:pt idx="1809">
                  <c:v>37792</c:v>
                </c:pt>
                <c:pt idx="1810">
                  <c:v>37795</c:v>
                </c:pt>
                <c:pt idx="1811">
                  <c:v>37796</c:v>
                </c:pt>
                <c:pt idx="1812">
                  <c:v>37797</c:v>
                </c:pt>
                <c:pt idx="1813">
                  <c:v>37798</c:v>
                </c:pt>
                <c:pt idx="1814">
                  <c:v>37799</c:v>
                </c:pt>
                <c:pt idx="1815">
                  <c:v>37802</c:v>
                </c:pt>
                <c:pt idx="1816">
                  <c:v>37803</c:v>
                </c:pt>
                <c:pt idx="1817">
                  <c:v>37804</c:v>
                </c:pt>
                <c:pt idx="1818">
                  <c:v>37805</c:v>
                </c:pt>
                <c:pt idx="1819">
                  <c:v>37809</c:v>
                </c:pt>
                <c:pt idx="1820">
                  <c:v>37810</c:v>
                </c:pt>
                <c:pt idx="1821">
                  <c:v>37811</c:v>
                </c:pt>
                <c:pt idx="1822">
                  <c:v>37812</c:v>
                </c:pt>
                <c:pt idx="1823">
                  <c:v>37813</c:v>
                </c:pt>
                <c:pt idx="1824">
                  <c:v>37816</c:v>
                </c:pt>
                <c:pt idx="1825">
                  <c:v>37817</c:v>
                </c:pt>
                <c:pt idx="1826">
                  <c:v>37818</c:v>
                </c:pt>
                <c:pt idx="1827">
                  <c:v>37819</c:v>
                </c:pt>
                <c:pt idx="1828">
                  <c:v>37820</c:v>
                </c:pt>
                <c:pt idx="1829">
                  <c:v>37823</c:v>
                </c:pt>
                <c:pt idx="1830">
                  <c:v>37824</c:v>
                </c:pt>
                <c:pt idx="1831">
                  <c:v>37825</c:v>
                </c:pt>
                <c:pt idx="1832">
                  <c:v>37826</c:v>
                </c:pt>
                <c:pt idx="1833">
                  <c:v>37827</c:v>
                </c:pt>
                <c:pt idx="1834">
                  <c:v>37830</c:v>
                </c:pt>
                <c:pt idx="1835">
                  <c:v>37831</c:v>
                </c:pt>
                <c:pt idx="1836">
                  <c:v>37832</c:v>
                </c:pt>
                <c:pt idx="1837">
                  <c:v>37833</c:v>
                </c:pt>
                <c:pt idx="1838">
                  <c:v>37834</c:v>
                </c:pt>
                <c:pt idx="1839">
                  <c:v>37837</c:v>
                </c:pt>
                <c:pt idx="1840">
                  <c:v>37838</c:v>
                </c:pt>
                <c:pt idx="1841">
                  <c:v>37839</c:v>
                </c:pt>
                <c:pt idx="1842">
                  <c:v>37840</c:v>
                </c:pt>
                <c:pt idx="1843">
                  <c:v>37841</c:v>
                </c:pt>
                <c:pt idx="1844">
                  <c:v>37844</c:v>
                </c:pt>
                <c:pt idx="1845">
                  <c:v>37845</c:v>
                </c:pt>
                <c:pt idx="1846">
                  <c:v>37846</c:v>
                </c:pt>
                <c:pt idx="1847">
                  <c:v>37847</c:v>
                </c:pt>
                <c:pt idx="1848">
                  <c:v>37848</c:v>
                </c:pt>
                <c:pt idx="1849">
                  <c:v>37851</c:v>
                </c:pt>
                <c:pt idx="1850">
                  <c:v>37852</c:v>
                </c:pt>
                <c:pt idx="1851">
                  <c:v>37853</c:v>
                </c:pt>
                <c:pt idx="1852">
                  <c:v>37854</c:v>
                </c:pt>
                <c:pt idx="1853">
                  <c:v>37855</c:v>
                </c:pt>
                <c:pt idx="1854">
                  <c:v>37858</c:v>
                </c:pt>
                <c:pt idx="1855">
                  <c:v>37859</c:v>
                </c:pt>
                <c:pt idx="1856">
                  <c:v>37860</c:v>
                </c:pt>
                <c:pt idx="1857">
                  <c:v>37861</c:v>
                </c:pt>
                <c:pt idx="1858">
                  <c:v>37862</c:v>
                </c:pt>
                <c:pt idx="1859">
                  <c:v>37866</c:v>
                </c:pt>
                <c:pt idx="1860">
                  <c:v>37867</c:v>
                </c:pt>
                <c:pt idx="1861">
                  <c:v>37868</c:v>
                </c:pt>
                <c:pt idx="1862">
                  <c:v>37869</c:v>
                </c:pt>
                <c:pt idx="1863">
                  <c:v>37872</c:v>
                </c:pt>
                <c:pt idx="1864">
                  <c:v>37873</c:v>
                </c:pt>
                <c:pt idx="1865">
                  <c:v>37874</c:v>
                </c:pt>
                <c:pt idx="1866">
                  <c:v>37875</c:v>
                </c:pt>
                <c:pt idx="1867">
                  <c:v>37876</c:v>
                </c:pt>
                <c:pt idx="1868">
                  <c:v>37879</c:v>
                </c:pt>
                <c:pt idx="1869">
                  <c:v>37880</c:v>
                </c:pt>
                <c:pt idx="1870">
                  <c:v>37881</c:v>
                </c:pt>
                <c:pt idx="1871">
                  <c:v>37882</c:v>
                </c:pt>
                <c:pt idx="1872">
                  <c:v>37883</c:v>
                </c:pt>
                <c:pt idx="1873">
                  <c:v>37886</c:v>
                </c:pt>
                <c:pt idx="1874">
                  <c:v>37887</c:v>
                </c:pt>
                <c:pt idx="1875">
                  <c:v>37888</c:v>
                </c:pt>
                <c:pt idx="1876">
                  <c:v>37889</c:v>
                </c:pt>
                <c:pt idx="1877">
                  <c:v>37890</c:v>
                </c:pt>
                <c:pt idx="1878">
                  <c:v>37893</c:v>
                </c:pt>
                <c:pt idx="1879">
                  <c:v>37894</c:v>
                </c:pt>
                <c:pt idx="1880">
                  <c:v>37895</c:v>
                </c:pt>
                <c:pt idx="1881">
                  <c:v>37896</c:v>
                </c:pt>
                <c:pt idx="1882">
                  <c:v>37897</c:v>
                </c:pt>
                <c:pt idx="1883">
                  <c:v>37900</c:v>
                </c:pt>
                <c:pt idx="1884">
                  <c:v>37901</c:v>
                </c:pt>
                <c:pt idx="1885">
                  <c:v>37902</c:v>
                </c:pt>
                <c:pt idx="1886">
                  <c:v>37903</c:v>
                </c:pt>
                <c:pt idx="1887">
                  <c:v>37904</c:v>
                </c:pt>
                <c:pt idx="1888">
                  <c:v>37907</c:v>
                </c:pt>
                <c:pt idx="1889">
                  <c:v>37908</c:v>
                </c:pt>
                <c:pt idx="1890">
                  <c:v>37909</c:v>
                </c:pt>
                <c:pt idx="1891">
                  <c:v>37910</c:v>
                </c:pt>
                <c:pt idx="1892">
                  <c:v>37911</c:v>
                </c:pt>
                <c:pt idx="1893">
                  <c:v>37914</c:v>
                </c:pt>
                <c:pt idx="1894">
                  <c:v>37915</c:v>
                </c:pt>
                <c:pt idx="1895">
                  <c:v>37916</c:v>
                </c:pt>
                <c:pt idx="1896">
                  <c:v>37917</c:v>
                </c:pt>
                <c:pt idx="1897">
                  <c:v>37918</c:v>
                </c:pt>
                <c:pt idx="1898">
                  <c:v>37921</c:v>
                </c:pt>
                <c:pt idx="1899">
                  <c:v>37922</c:v>
                </c:pt>
                <c:pt idx="1900">
                  <c:v>37923</c:v>
                </c:pt>
                <c:pt idx="1901">
                  <c:v>37924</c:v>
                </c:pt>
                <c:pt idx="1902">
                  <c:v>37925</c:v>
                </c:pt>
                <c:pt idx="1903">
                  <c:v>37928</c:v>
                </c:pt>
                <c:pt idx="1904">
                  <c:v>37929</c:v>
                </c:pt>
                <c:pt idx="1905">
                  <c:v>37930</c:v>
                </c:pt>
                <c:pt idx="1906">
                  <c:v>37931</c:v>
                </c:pt>
                <c:pt idx="1907">
                  <c:v>37932</c:v>
                </c:pt>
                <c:pt idx="1908">
                  <c:v>37935</c:v>
                </c:pt>
                <c:pt idx="1909">
                  <c:v>37936</c:v>
                </c:pt>
                <c:pt idx="1910">
                  <c:v>37937</c:v>
                </c:pt>
                <c:pt idx="1911">
                  <c:v>37938</c:v>
                </c:pt>
                <c:pt idx="1912">
                  <c:v>37939</c:v>
                </c:pt>
                <c:pt idx="1913">
                  <c:v>37942</c:v>
                </c:pt>
                <c:pt idx="1914">
                  <c:v>37943</c:v>
                </c:pt>
                <c:pt idx="1915">
                  <c:v>37944</c:v>
                </c:pt>
                <c:pt idx="1916">
                  <c:v>37945</c:v>
                </c:pt>
                <c:pt idx="1917">
                  <c:v>37946</c:v>
                </c:pt>
                <c:pt idx="1918">
                  <c:v>37949</c:v>
                </c:pt>
                <c:pt idx="1919">
                  <c:v>37950</c:v>
                </c:pt>
                <c:pt idx="1920">
                  <c:v>37951</c:v>
                </c:pt>
                <c:pt idx="1921">
                  <c:v>37953</c:v>
                </c:pt>
                <c:pt idx="1922">
                  <c:v>37956</c:v>
                </c:pt>
                <c:pt idx="1923">
                  <c:v>37957</c:v>
                </c:pt>
                <c:pt idx="1924">
                  <c:v>37958</c:v>
                </c:pt>
                <c:pt idx="1925">
                  <c:v>37959</c:v>
                </c:pt>
                <c:pt idx="1926">
                  <c:v>37960</c:v>
                </c:pt>
                <c:pt idx="1927">
                  <c:v>37963</c:v>
                </c:pt>
                <c:pt idx="1928">
                  <c:v>37964</c:v>
                </c:pt>
                <c:pt idx="1929">
                  <c:v>37965</c:v>
                </c:pt>
                <c:pt idx="1930">
                  <c:v>37966</c:v>
                </c:pt>
                <c:pt idx="1931">
                  <c:v>37967</c:v>
                </c:pt>
                <c:pt idx="1932">
                  <c:v>37970</c:v>
                </c:pt>
                <c:pt idx="1933">
                  <c:v>37971</c:v>
                </c:pt>
                <c:pt idx="1934">
                  <c:v>37972</c:v>
                </c:pt>
                <c:pt idx="1935">
                  <c:v>37973</c:v>
                </c:pt>
                <c:pt idx="1936">
                  <c:v>37974</c:v>
                </c:pt>
                <c:pt idx="1937">
                  <c:v>37977</c:v>
                </c:pt>
                <c:pt idx="1938">
                  <c:v>37978</c:v>
                </c:pt>
                <c:pt idx="1939">
                  <c:v>37979</c:v>
                </c:pt>
                <c:pt idx="1940">
                  <c:v>37981</c:v>
                </c:pt>
                <c:pt idx="1941">
                  <c:v>37984</c:v>
                </c:pt>
                <c:pt idx="1942">
                  <c:v>37985</c:v>
                </c:pt>
                <c:pt idx="1943">
                  <c:v>37986</c:v>
                </c:pt>
                <c:pt idx="1944">
                  <c:v>37988</c:v>
                </c:pt>
                <c:pt idx="1945">
                  <c:v>37991</c:v>
                </c:pt>
                <c:pt idx="1946">
                  <c:v>37992</c:v>
                </c:pt>
                <c:pt idx="1947">
                  <c:v>37993</c:v>
                </c:pt>
                <c:pt idx="1948">
                  <c:v>37994</c:v>
                </c:pt>
                <c:pt idx="1949">
                  <c:v>37995</c:v>
                </c:pt>
                <c:pt idx="1950">
                  <c:v>37998</c:v>
                </c:pt>
                <c:pt idx="1951">
                  <c:v>37999</c:v>
                </c:pt>
                <c:pt idx="1952">
                  <c:v>38000</c:v>
                </c:pt>
                <c:pt idx="1953">
                  <c:v>38001</c:v>
                </c:pt>
                <c:pt idx="1954">
                  <c:v>38002</c:v>
                </c:pt>
                <c:pt idx="1955">
                  <c:v>38006</c:v>
                </c:pt>
                <c:pt idx="1956">
                  <c:v>38007</c:v>
                </c:pt>
                <c:pt idx="1957">
                  <c:v>38008</c:v>
                </c:pt>
                <c:pt idx="1958">
                  <c:v>38009</c:v>
                </c:pt>
                <c:pt idx="1959">
                  <c:v>38012</c:v>
                </c:pt>
                <c:pt idx="1960">
                  <c:v>38013</c:v>
                </c:pt>
                <c:pt idx="1961">
                  <c:v>38014</c:v>
                </c:pt>
                <c:pt idx="1962">
                  <c:v>38015</c:v>
                </c:pt>
                <c:pt idx="1963">
                  <c:v>38016</c:v>
                </c:pt>
                <c:pt idx="1964">
                  <c:v>38019</c:v>
                </c:pt>
                <c:pt idx="1965">
                  <c:v>38020</c:v>
                </c:pt>
                <c:pt idx="1966">
                  <c:v>38021</c:v>
                </c:pt>
                <c:pt idx="1967">
                  <c:v>38022</c:v>
                </c:pt>
                <c:pt idx="1968">
                  <c:v>38023</c:v>
                </c:pt>
                <c:pt idx="1969">
                  <c:v>38026</c:v>
                </c:pt>
                <c:pt idx="1970">
                  <c:v>38027</c:v>
                </c:pt>
                <c:pt idx="1971">
                  <c:v>38028</c:v>
                </c:pt>
                <c:pt idx="1972">
                  <c:v>38029</c:v>
                </c:pt>
                <c:pt idx="1973">
                  <c:v>38030</c:v>
                </c:pt>
                <c:pt idx="1974">
                  <c:v>38034</c:v>
                </c:pt>
                <c:pt idx="1975">
                  <c:v>38035</c:v>
                </c:pt>
                <c:pt idx="1976">
                  <c:v>38036</c:v>
                </c:pt>
                <c:pt idx="1977">
                  <c:v>38037</c:v>
                </c:pt>
                <c:pt idx="1978">
                  <c:v>38040</c:v>
                </c:pt>
                <c:pt idx="1979">
                  <c:v>38041</c:v>
                </c:pt>
                <c:pt idx="1980">
                  <c:v>38042</c:v>
                </c:pt>
                <c:pt idx="1981">
                  <c:v>38043</c:v>
                </c:pt>
                <c:pt idx="1982">
                  <c:v>38044</c:v>
                </c:pt>
                <c:pt idx="1983">
                  <c:v>38047</c:v>
                </c:pt>
                <c:pt idx="1984">
                  <c:v>38048</c:v>
                </c:pt>
                <c:pt idx="1985">
                  <c:v>38049</c:v>
                </c:pt>
                <c:pt idx="1986">
                  <c:v>38050</c:v>
                </c:pt>
                <c:pt idx="1987">
                  <c:v>38051</c:v>
                </c:pt>
                <c:pt idx="1988">
                  <c:v>38054</c:v>
                </c:pt>
                <c:pt idx="1989">
                  <c:v>38055</c:v>
                </c:pt>
                <c:pt idx="1990">
                  <c:v>38056</c:v>
                </c:pt>
                <c:pt idx="1991">
                  <c:v>38057</c:v>
                </c:pt>
                <c:pt idx="1992">
                  <c:v>38058</c:v>
                </c:pt>
                <c:pt idx="1993">
                  <c:v>38061</c:v>
                </c:pt>
                <c:pt idx="1994">
                  <c:v>38062</c:v>
                </c:pt>
                <c:pt idx="1995">
                  <c:v>38063</c:v>
                </c:pt>
                <c:pt idx="1996">
                  <c:v>38064</c:v>
                </c:pt>
                <c:pt idx="1997">
                  <c:v>38065</c:v>
                </c:pt>
                <c:pt idx="1998">
                  <c:v>38068</c:v>
                </c:pt>
                <c:pt idx="1999">
                  <c:v>38069</c:v>
                </c:pt>
                <c:pt idx="2000">
                  <c:v>38070</c:v>
                </c:pt>
                <c:pt idx="2001">
                  <c:v>38071</c:v>
                </c:pt>
                <c:pt idx="2002">
                  <c:v>38072</c:v>
                </c:pt>
                <c:pt idx="2003">
                  <c:v>38075</c:v>
                </c:pt>
                <c:pt idx="2004">
                  <c:v>38076</c:v>
                </c:pt>
                <c:pt idx="2005">
                  <c:v>38077</c:v>
                </c:pt>
                <c:pt idx="2006">
                  <c:v>38078</c:v>
                </c:pt>
                <c:pt idx="2007">
                  <c:v>38079</c:v>
                </c:pt>
                <c:pt idx="2008">
                  <c:v>38082</c:v>
                </c:pt>
                <c:pt idx="2009">
                  <c:v>38083</c:v>
                </c:pt>
                <c:pt idx="2010">
                  <c:v>38084</c:v>
                </c:pt>
                <c:pt idx="2011">
                  <c:v>38085</c:v>
                </c:pt>
                <c:pt idx="2012">
                  <c:v>38089</c:v>
                </c:pt>
                <c:pt idx="2013">
                  <c:v>38090</c:v>
                </c:pt>
                <c:pt idx="2014">
                  <c:v>38091</c:v>
                </c:pt>
                <c:pt idx="2015">
                  <c:v>38092</c:v>
                </c:pt>
                <c:pt idx="2016">
                  <c:v>38093</c:v>
                </c:pt>
                <c:pt idx="2017">
                  <c:v>38096</c:v>
                </c:pt>
                <c:pt idx="2018">
                  <c:v>38097</c:v>
                </c:pt>
                <c:pt idx="2019">
                  <c:v>38098</c:v>
                </c:pt>
                <c:pt idx="2020">
                  <c:v>38099</c:v>
                </c:pt>
                <c:pt idx="2021">
                  <c:v>38100</c:v>
                </c:pt>
                <c:pt idx="2022">
                  <c:v>38103</c:v>
                </c:pt>
                <c:pt idx="2023">
                  <c:v>38104</c:v>
                </c:pt>
                <c:pt idx="2024">
                  <c:v>38105</c:v>
                </c:pt>
                <c:pt idx="2025">
                  <c:v>38106</c:v>
                </c:pt>
                <c:pt idx="2026">
                  <c:v>38107</c:v>
                </c:pt>
                <c:pt idx="2027">
                  <c:v>38110</c:v>
                </c:pt>
                <c:pt idx="2028">
                  <c:v>38111</c:v>
                </c:pt>
                <c:pt idx="2029">
                  <c:v>38112</c:v>
                </c:pt>
                <c:pt idx="2030">
                  <c:v>38113</c:v>
                </c:pt>
                <c:pt idx="2031">
                  <c:v>38114</c:v>
                </c:pt>
                <c:pt idx="2032">
                  <c:v>38117</c:v>
                </c:pt>
                <c:pt idx="2033">
                  <c:v>38118</c:v>
                </c:pt>
                <c:pt idx="2034">
                  <c:v>38119</c:v>
                </c:pt>
                <c:pt idx="2035">
                  <c:v>38120</c:v>
                </c:pt>
                <c:pt idx="2036">
                  <c:v>38121</c:v>
                </c:pt>
                <c:pt idx="2037">
                  <c:v>38124</c:v>
                </c:pt>
                <c:pt idx="2038">
                  <c:v>38125</c:v>
                </c:pt>
                <c:pt idx="2039">
                  <c:v>38126</c:v>
                </c:pt>
                <c:pt idx="2040">
                  <c:v>38127</c:v>
                </c:pt>
                <c:pt idx="2041">
                  <c:v>38128</c:v>
                </c:pt>
                <c:pt idx="2042">
                  <c:v>38131</c:v>
                </c:pt>
                <c:pt idx="2043">
                  <c:v>38132</c:v>
                </c:pt>
                <c:pt idx="2044">
                  <c:v>38133</c:v>
                </c:pt>
                <c:pt idx="2045">
                  <c:v>38134</c:v>
                </c:pt>
                <c:pt idx="2046">
                  <c:v>38135</c:v>
                </c:pt>
                <c:pt idx="2047">
                  <c:v>38139</c:v>
                </c:pt>
                <c:pt idx="2048">
                  <c:v>38140</c:v>
                </c:pt>
                <c:pt idx="2049">
                  <c:v>38141</c:v>
                </c:pt>
                <c:pt idx="2050">
                  <c:v>38142</c:v>
                </c:pt>
                <c:pt idx="2051">
                  <c:v>38145</c:v>
                </c:pt>
                <c:pt idx="2052">
                  <c:v>38146</c:v>
                </c:pt>
                <c:pt idx="2053">
                  <c:v>38147</c:v>
                </c:pt>
                <c:pt idx="2054">
                  <c:v>38148</c:v>
                </c:pt>
                <c:pt idx="2055">
                  <c:v>38152</c:v>
                </c:pt>
                <c:pt idx="2056">
                  <c:v>38153</c:v>
                </c:pt>
                <c:pt idx="2057">
                  <c:v>38154</c:v>
                </c:pt>
                <c:pt idx="2058">
                  <c:v>38155</c:v>
                </c:pt>
                <c:pt idx="2059">
                  <c:v>38156</c:v>
                </c:pt>
                <c:pt idx="2060">
                  <c:v>38159</c:v>
                </c:pt>
                <c:pt idx="2061">
                  <c:v>38160</c:v>
                </c:pt>
                <c:pt idx="2062">
                  <c:v>38161</c:v>
                </c:pt>
                <c:pt idx="2063">
                  <c:v>38162</c:v>
                </c:pt>
                <c:pt idx="2064">
                  <c:v>38163</c:v>
                </c:pt>
                <c:pt idx="2065">
                  <c:v>38166</c:v>
                </c:pt>
                <c:pt idx="2066">
                  <c:v>38167</c:v>
                </c:pt>
                <c:pt idx="2067">
                  <c:v>38168</c:v>
                </c:pt>
                <c:pt idx="2068">
                  <c:v>38169</c:v>
                </c:pt>
                <c:pt idx="2069">
                  <c:v>38170</c:v>
                </c:pt>
                <c:pt idx="2070">
                  <c:v>38174</c:v>
                </c:pt>
                <c:pt idx="2071">
                  <c:v>38175</c:v>
                </c:pt>
                <c:pt idx="2072">
                  <c:v>38176</c:v>
                </c:pt>
                <c:pt idx="2073">
                  <c:v>38177</c:v>
                </c:pt>
                <c:pt idx="2074">
                  <c:v>38180</c:v>
                </c:pt>
                <c:pt idx="2075">
                  <c:v>38181</c:v>
                </c:pt>
                <c:pt idx="2076">
                  <c:v>38182</c:v>
                </c:pt>
                <c:pt idx="2077">
                  <c:v>38183</c:v>
                </c:pt>
                <c:pt idx="2078">
                  <c:v>38184</c:v>
                </c:pt>
                <c:pt idx="2079">
                  <c:v>38187</c:v>
                </c:pt>
                <c:pt idx="2080">
                  <c:v>38188</c:v>
                </c:pt>
                <c:pt idx="2081">
                  <c:v>38189</c:v>
                </c:pt>
                <c:pt idx="2082">
                  <c:v>38190</c:v>
                </c:pt>
                <c:pt idx="2083">
                  <c:v>38191</c:v>
                </c:pt>
                <c:pt idx="2084">
                  <c:v>38194</c:v>
                </c:pt>
                <c:pt idx="2085">
                  <c:v>38195</c:v>
                </c:pt>
                <c:pt idx="2086">
                  <c:v>38196</c:v>
                </c:pt>
                <c:pt idx="2087">
                  <c:v>38197</c:v>
                </c:pt>
                <c:pt idx="2088">
                  <c:v>38198</c:v>
                </c:pt>
                <c:pt idx="2089">
                  <c:v>38201</c:v>
                </c:pt>
                <c:pt idx="2090">
                  <c:v>38202</c:v>
                </c:pt>
                <c:pt idx="2091">
                  <c:v>38203</c:v>
                </c:pt>
                <c:pt idx="2092">
                  <c:v>38204</c:v>
                </c:pt>
                <c:pt idx="2093">
                  <c:v>38205</c:v>
                </c:pt>
                <c:pt idx="2094">
                  <c:v>38208</c:v>
                </c:pt>
                <c:pt idx="2095">
                  <c:v>38209</c:v>
                </c:pt>
                <c:pt idx="2096">
                  <c:v>38210</c:v>
                </c:pt>
                <c:pt idx="2097">
                  <c:v>38211</c:v>
                </c:pt>
                <c:pt idx="2098">
                  <c:v>38212</c:v>
                </c:pt>
                <c:pt idx="2099">
                  <c:v>38215</c:v>
                </c:pt>
                <c:pt idx="2100">
                  <c:v>38216</c:v>
                </c:pt>
                <c:pt idx="2101">
                  <c:v>38217</c:v>
                </c:pt>
                <c:pt idx="2102">
                  <c:v>38218</c:v>
                </c:pt>
                <c:pt idx="2103">
                  <c:v>38219</c:v>
                </c:pt>
                <c:pt idx="2104">
                  <c:v>38222</c:v>
                </c:pt>
                <c:pt idx="2105">
                  <c:v>38223</c:v>
                </c:pt>
                <c:pt idx="2106">
                  <c:v>38224</c:v>
                </c:pt>
                <c:pt idx="2107">
                  <c:v>38225</c:v>
                </c:pt>
                <c:pt idx="2108">
                  <c:v>38226</c:v>
                </c:pt>
                <c:pt idx="2109">
                  <c:v>38229</c:v>
                </c:pt>
                <c:pt idx="2110">
                  <c:v>38230</c:v>
                </c:pt>
                <c:pt idx="2111">
                  <c:v>38231</c:v>
                </c:pt>
                <c:pt idx="2112">
                  <c:v>38232</c:v>
                </c:pt>
                <c:pt idx="2113">
                  <c:v>38233</c:v>
                </c:pt>
                <c:pt idx="2114">
                  <c:v>38237</c:v>
                </c:pt>
                <c:pt idx="2115">
                  <c:v>38238</c:v>
                </c:pt>
                <c:pt idx="2116">
                  <c:v>38239</c:v>
                </c:pt>
                <c:pt idx="2117">
                  <c:v>38240</c:v>
                </c:pt>
                <c:pt idx="2118">
                  <c:v>38243</c:v>
                </c:pt>
                <c:pt idx="2119">
                  <c:v>38244</c:v>
                </c:pt>
                <c:pt idx="2120">
                  <c:v>38245</c:v>
                </c:pt>
                <c:pt idx="2121">
                  <c:v>38246</c:v>
                </c:pt>
                <c:pt idx="2122">
                  <c:v>38247</c:v>
                </c:pt>
                <c:pt idx="2123">
                  <c:v>38250</c:v>
                </c:pt>
                <c:pt idx="2124">
                  <c:v>38251</c:v>
                </c:pt>
                <c:pt idx="2125">
                  <c:v>38252</c:v>
                </c:pt>
                <c:pt idx="2126">
                  <c:v>38253</c:v>
                </c:pt>
                <c:pt idx="2127">
                  <c:v>38254</c:v>
                </c:pt>
                <c:pt idx="2128">
                  <c:v>38257</c:v>
                </c:pt>
                <c:pt idx="2129">
                  <c:v>38258</c:v>
                </c:pt>
                <c:pt idx="2130">
                  <c:v>38259</c:v>
                </c:pt>
                <c:pt idx="2131">
                  <c:v>38260</c:v>
                </c:pt>
                <c:pt idx="2132">
                  <c:v>38261</c:v>
                </c:pt>
                <c:pt idx="2133">
                  <c:v>38264</c:v>
                </c:pt>
                <c:pt idx="2134">
                  <c:v>38265</c:v>
                </c:pt>
                <c:pt idx="2135">
                  <c:v>38266</c:v>
                </c:pt>
                <c:pt idx="2136">
                  <c:v>38267</c:v>
                </c:pt>
                <c:pt idx="2137">
                  <c:v>38268</c:v>
                </c:pt>
                <c:pt idx="2138">
                  <c:v>38271</c:v>
                </c:pt>
                <c:pt idx="2139">
                  <c:v>38272</c:v>
                </c:pt>
                <c:pt idx="2140">
                  <c:v>38273</c:v>
                </c:pt>
                <c:pt idx="2141">
                  <c:v>38274</c:v>
                </c:pt>
                <c:pt idx="2142">
                  <c:v>38275</c:v>
                </c:pt>
                <c:pt idx="2143">
                  <c:v>38278</c:v>
                </c:pt>
                <c:pt idx="2144">
                  <c:v>38279</c:v>
                </c:pt>
                <c:pt idx="2145">
                  <c:v>38280</c:v>
                </c:pt>
                <c:pt idx="2146">
                  <c:v>38281</c:v>
                </c:pt>
                <c:pt idx="2147">
                  <c:v>38282</c:v>
                </c:pt>
                <c:pt idx="2148">
                  <c:v>38285</c:v>
                </c:pt>
                <c:pt idx="2149">
                  <c:v>38286</c:v>
                </c:pt>
                <c:pt idx="2150">
                  <c:v>38287</c:v>
                </c:pt>
                <c:pt idx="2151">
                  <c:v>38288</c:v>
                </c:pt>
                <c:pt idx="2152">
                  <c:v>38289</c:v>
                </c:pt>
                <c:pt idx="2153">
                  <c:v>38292</c:v>
                </c:pt>
                <c:pt idx="2154">
                  <c:v>38293</c:v>
                </c:pt>
                <c:pt idx="2155">
                  <c:v>38294</c:v>
                </c:pt>
                <c:pt idx="2156">
                  <c:v>38295</c:v>
                </c:pt>
                <c:pt idx="2157">
                  <c:v>38296</c:v>
                </c:pt>
                <c:pt idx="2158">
                  <c:v>38299</c:v>
                </c:pt>
                <c:pt idx="2159">
                  <c:v>38300</c:v>
                </c:pt>
                <c:pt idx="2160">
                  <c:v>38301</c:v>
                </c:pt>
                <c:pt idx="2161">
                  <c:v>38302</c:v>
                </c:pt>
                <c:pt idx="2162">
                  <c:v>38303</c:v>
                </c:pt>
                <c:pt idx="2163">
                  <c:v>38306</c:v>
                </c:pt>
                <c:pt idx="2164">
                  <c:v>38307</c:v>
                </c:pt>
                <c:pt idx="2165">
                  <c:v>38308</c:v>
                </c:pt>
                <c:pt idx="2166">
                  <c:v>38309</c:v>
                </c:pt>
                <c:pt idx="2167">
                  <c:v>38310</c:v>
                </c:pt>
                <c:pt idx="2168">
                  <c:v>38313</c:v>
                </c:pt>
                <c:pt idx="2169">
                  <c:v>38314</c:v>
                </c:pt>
                <c:pt idx="2170">
                  <c:v>38315</c:v>
                </c:pt>
                <c:pt idx="2171">
                  <c:v>38317</c:v>
                </c:pt>
                <c:pt idx="2172">
                  <c:v>38320</c:v>
                </c:pt>
                <c:pt idx="2173">
                  <c:v>38321</c:v>
                </c:pt>
                <c:pt idx="2174">
                  <c:v>38322</c:v>
                </c:pt>
                <c:pt idx="2175">
                  <c:v>38323</c:v>
                </c:pt>
                <c:pt idx="2176">
                  <c:v>38324</c:v>
                </c:pt>
                <c:pt idx="2177">
                  <c:v>38327</c:v>
                </c:pt>
                <c:pt idx="2178">
                  <c:v>38328</c:v>
                </c:pt>
                <c:pt idx="2179">
                  <c:v>38329</c:v>
                </c:pt>
                <c:pt idx="2180">
                  <c:v>38330</c:v>
                </c:pt>
                <c:pt idx="2181">
                  <c:v>38331</c:v>
                </c:pt>
                <c:pt idx="2182">
                  <c:v>38334</c:v>
                </c:pt>
                <c:pt idx="2183">
                  <c:v>38335</c:v>
                </c:pt>
                <c:pt idx="2184">
                  <c:v>38336</c:v>
                </c:pt>
                <c:pt idx="2185">
                  <c:v>38337</c:v>
                </c:pt>
                <c:pt idx="2186">
                  <c:v>38338</c:v>
                </c:pt>
                <c:pt idx="2187">
                  <c:v>38341</c:v>
                </c:pt>
                <c:pt idx="2188">
                  <c:v>38342</c:v>
                </c:pt>
                <c:pt idx="2189">
                  <c:v>38343</c:v>
                </c:pt>
                <c:pt idx="2190">
                  <c:v>38344</c:v>
                </c:pt>
                <c:pt idx="2191">
                  <c:v>38348</c:v>
                </c:pt>
                <c:pt idx="2192">
                  <c:v>38349</c:v>
                </c:pt>
                <c:pt idx="2193">
                  <c:v>38350</c:v>
                </c:pt>
                <c:pt idx="2194">
                  <c:v>38351</c:v>
                </c:pt>
                <c:pt idx="2195">
                  <c:v>38352</c:v>
                </c:pt>
                <c:pt idx="2196">
                  <c:v>38355</c:v>
                </c:pt>
                <c:pt idx="2197">
                  <c:v>38356</c:v>
                </c:pt>
                <c:pt idx="2198">
                  <c:v>38357</c:v>
                </c:pt>
                <c:pt idx="2199">
                  <c:v>38358</c:v>
                </c:pt>
                <c:pt idx="2200">
                  <c:v>38359</c:v>
                </c:pt>
                <c:pt idx="2201">
                  <c:v>38362</c:v>
                </c:pt>
                <c:pt idx="2202">
                  <c:v>38363</c:v>
                </c:pt>
                <c:pt idx="2203">
                  <c:v>38364</c:v>
                </c:pt>
                <c:pt idx="2204">
                  <c:v>38365</c:v>
                </c:pt>
                <c:pt idx="2205">
                  <c:v>38366</c:v>
                </c:pt>
                <c:pt idx="2206">
                  <c:v>38370</c:v>
                </c:pt>
                <c:pt idx="2207">
                  <c:v>38371</c:v>
                </c:pt>
                <c:pt idx="2208">
                  <c:v>38372</c:v>
                </c:pt>
                <c:pt idx="2209">
                  <c:v>38373</c:v>
                </c:pt>
                <c:pt idx="2210">
                  <c:v>38376</c:v>
                </c:pt>
                <c:pt idx="2211">
                  <c:v>38377</c:v>
                </c:pt>
                <c:pt idx="2212">
                  <c:v>38378</c:v>
                </c:pt>
                <c:pt idx="2213">
                  <c:v>38379</c:v>
                </c:pt>
                <c:pt idx="2214">
                  <c:v>38380</c:v>
                </c:pt>
                <c:pt idx="2215">
                  <c:v>38383</c:v>
                </c:pt>
                <c:pt idx="2216">
                  <c:v>38384</c:v>
                </c:pt>
                <c:pt idx="2217">
                  <c:v>38385</c:v>
                </c:pt>
                <c:pt idx="2218">
                  <c:v>38386</c:v>
                </c:pt>
                <c:pt idx="2219">
                  <c:v>38387</c:v>
                </c:pt>
                <c:pt idx="2220">
                  <c:v>38390</c:v>
                </c:pt>
                <c:pt idx="2221">
                  <c:v>38391</c:v>
                </c:pt>
                <c:pt idx="2222">
                  <c:v>38392</c:v>
                </c:pt>
                <c:pt idx="2223">
                  <c:v>38393</c:v>
                </c:pt>
                <c:pt idx="2224">
                  <c:v>38394</c:v>
                </c:pt>
                <c:pt idx="2225">
                  <c:v>38397</c:v>
                </c:pt>
                <c:pt idx="2226">
                  <c:v>38398</c:v>
                </c:pt>
                <c:pt idx="2227">
                  <c:v>38399</c:v>
                </c:pt>
                <c:pt idx="2228">
                  <c:v>38400</c:v>
                </c:pt>
                <c:pt idx="2229">
                  <c:v>38401</c:v>
                </c:pt>
                <c:pt idx="2230">
                  <c:v>38405</c:v>
                </c:pt>
                <c:pt idx="2231">
                  <c:v>38406</c:v>
                </c:pt>
                <c:pt idx="2232">
                  <c:v>38407</c:v>
                </c:pt>
                <c:pt idx="2233">
                  <c:v>38408</c:v>
                </c:pt>
                <c:pt idx="2234">
                  <c:v>38411</c:v>
                </c:pt>
                <c:pt idx="2235">
                  <c:v>38412</c:v>
                </c:pt>
                <c:pt idx="2236">
                  <c:v>38413</c:v>
                </c:pt>
                <c:pt idx="2237">
                  <c:v>38414</c:v>
                </c:pt>
                <c:pt idx="2238">
                  <c:v>38415</c:v>
                </c:pt>
                <c:pt idx="2239">
                  <c:v>38418</c:v>
                </c:pt>
                <c:pt idx="2240">
                  <c:v>38419</c:v>
                </c:pt>
                <c:pt idx="2241">
                  <c:v>38420</c:v>
                </c:pt>
                <c:pt idx="2242">
                  <c:v>38421</c:v>
                </c:pt>
                <c:pt idx="2243">
                  <c:v>38422</c:v>
                </c:pt>
                <c:pt idx="2244">
                  <c:v>38425</c:v>
                </c:pt>
                <c:pt idx="2245">
                  <c:v>38426</c:v>
                </c:pt>
                <c:pt idx="2246">
                  <c:v>38427</c:v>
                </c:pt>
                <c:pt idx="2247">
                  <c:v>38428</c:v>
                </c:pt>
                <c:pt idx="2248">
                  <c:v>38429</c:v>
                </c:pt>
                <c:pt idx="2249">
                  <c:v>38432</c:v>
                </c:pt>
                <c:pt idx="2250">
                  <c:v>38433</c:v>
                </c:pt>
                <c:pt idx="2251">
                  <c:v>38434</c:v>
                </c:pt>
                <c:pt idx="2252">
                  <c:v>38435</c:v>
                </c:pt>
                <c:pt idx="2253">
                  <c:v>38439</c:v>
                </c:pt>
                <c:pt idx="2254">
                  <c:v>38440</c:v>
                </c:pt>
                <c:pt idx="2255">
                  <c:v>38441</c:v>
                </c:pt>
                <c:pt idx="2256">
                  <c:v>38442</c:v>
                </c:pt>
                <c:pt idx="2257">
                  <c:v>38443</c:v>
                </c:pt>
                <c:pt idx="2258">
                  <c:v>38446</c:v>
                </c:pt>
                <c:pt idx="2259">
                  <c:v>38447</c:v>
                </c:pt>
                <c:pt idx="2260">
                  <c:v>38448</c:v>
                </c:pt>
                <c:pt idx="2261">
                  <c:v>38449</c:v>
                </c:pt>
                <c:pt idx="2262">
                  <c:v>38450</c:v>
                </c:pt>
                <c:pt idx="2263">
                  <c:v>38453</c:v>
                </c:pt>
                <c:pt idx="2264">
                  <c:v>38454</c:v>
                </c:pt>
                <c:pt idx="2265">
                  <c:v>38455</c:v>
                </c:pt>
                <c:pt idx="2266">
                  <c:v>38456</c:v>
                </c:pt>
                <c:pt idx="2267">
                  <c:v>38457</c:v>
                </c:pt>
                <c:pt idx="2268">
                  <c:v>38460</c:v>
                </c:pt>
                <c:pt idx="2269">
                  <c:v>38461</c:v>
                </c:pt>
                <c:pt idx="2270">
                  <c:v>38462</c:v>
                </c:pt>
                <c:pt idx="2271">
                  <c:v>38463</c:v>
                </c:pt>
                <c:pt idx="2272">
                  <c:v>38464</c:v>
                </c:pt>
                <c:pt idx="2273">
                  <c:v>38467</c:v>
                </c:pt>
                <c:pt idx="2274">
                  <c:v>38468</c:v>
                </c:pt>
                <c:pt idx="2275">
                  <c:v>38469</c:v>
                </c:pt>
                <c:pt idx="2276">
                  <c:v>38470</c:v>
                </c:pt>
                <c:pt idx="2277">
                  <c:v>38471</c:v>
                </c:pt>
                <c:pt idx="2278">
                  <c:v>38474</c:v>
                </c:pt>
                <c:pt idx="2279">
                  <c:v>38475</c:v>
                </c:pt>
                <c:pt idx="2280">
                  <c:v>38476</c:v>
                </c:pt>
                <c:pt idx="2281">
                  <c:v>38477</c:v>
                </c:pt>
                <c:pt idx="2282">
                  <c:v>38478</c:v>
                </c:pt>
                <c:pt idx="2283">
                  <c:v>38481</c:v>
                </c:pt>
                <c:pt idx="2284">
                  <c:v>38482</c:v>
                </c:pt>
                <c:pt idx="2285">
                  <c:v>38483</c:v>
                </c:pt>
                <c:pt idx="2286">
                  <c:v>38484</c:v>
                </c:pt>
                <c:pt idx="2287">
                  <c:v>38485</c:v>
                </c:pt>
                <c:pt idx="2288">
                  <c:v>38488</c:v>
                </c:pt>
                <c:pt idx="2289">
                  <c:v>38489</c:v>
                </c:pt>
                <c:pt idx="2290">
                  <c:v>38490</c:v>
                </c:pt>
                <c:pt idx="2291">
                  <c:v>38491</c:v>
                </c:pt>
                <c:pt idx="2292">
                  <c:v>38492</c:v>
                </c:pt>
                <c:pt idx="2293">
                  <c:v>38495</c:v>
                </c:pt>
                <c:pt idx="2294">
                  <c:v>38496</c:v>
                </c:pt>
                <c:pt idx="2295">
                  <c:v>38497</c:v>
                </c:pt>
                <c:pt idx="2296">
                  <c:v>38498</c:v>
                </c:pt>
                <c:pt idx="2297">
                  <c:v>38499</c:v>
                </c:pt>
                <c:pt idx="2298">
                  <c:v>38503</c:v>
                </c:pt>
                <c:pt idx="2299">
                  <c:v>38504</c:v>
                </c:pt>
                <c:pt idx="2300">
                  <c:v>38505</c:v>
                </c:pt>
                <c:pt idx="2301">
                  <c:v>38506</c:v>
                </c:pt>
                <c:pt idx="2302">
                  <c:v>38509</c:v>
                </c:pt>
                <c:pt idx="2303">
                  <c:v>38510</c:v>
                </c:pt>
                <c:pt idx="2304">
                  <c:v>38511</c:v>
                </c:pt>
                <c:pt idx="2305">
                  <c:v>38512</c:v>
                </c:pt>
                <c:pt idx="2306">
                  <c:v>38513</c:v>
                </c:pt>
                <c:pt idx="2307">
                  <c:v>38516</c:v>
                </c:pt>
                <c:pt idx="2308">
                  <c:v>38517</c:v>
                </c:pt>
                <c:pt idx="2309">
                  <c:v>38518</c:v>
                </c:pt>
                <c:pt idx="2310">
                  <c:v>38519</c:v>
                </c:pt>
                <c:pt idx="2311">
                  <c:v>38520</c:v>
                </c:pt>
                <c:pt idx="2312">
                  <c:v>38523</c:v>
                </c:pt>
                <c:pt idx="2313">
                  <c:v>38524</c:v>
                </c:pt>
                <c:pt idx="2314">
                  <c:v>38525</c:v>
                </c:pt>
                <c:pt idx="2315">
                  <c:v>38526</c:v>
                </c:pt>
                <c:pt idx="2316">
                  <c:v>38527</c:v>
                </c:pt>
                <c:pt idx="2317">
                  <c:v>38530</c:v>
                </c:pt>
                <c:pt idx="2318">
                  <c:v>38531</c:v>
                </c:pt>
                <c:pt idx="2319">
                  <c:v>38532</c:v>
                </c:pt>
                <c:pt idx="2320">
                  <c:v>38533</c:v>
                </c:pt>
                <c:pt idx="2321">
                  <c:v>38534</c:v>
                </c:pt>
                <c:pt idx="2322">
                  <c:v>38538</c:v>
                </c:pt>
                <c:pt idx="2323">
                  <c:v>38539</c:v>
                </c:pt>
                <c:pt idx="2324">
                  <c:v>38540</c:v>
                </c:pt>
                <c:pt idx="2325">
                  <c:v>38541</c:v>
                </c:pt>
                <c:pt idx="2326">
                  <c:v>38544</c:v>
                </c:pt>
                <c:pt idx="2327">
                  <c:v>38545</c:v>
                </c:pt>
                <c:pt idx="2328">
                  <c:v>38546</c:v>
                </c:pt>
                <c:pt idx="2329">
                  <c:v>38547</c:v>
                </c:pt>
                <c:pt idx="2330">
                  <c:v>38548</c:v>
                </c:pt>
                <c:pt idx="2331">
                  <c:v>38551</c:v>
                </c:pt>
                <c:pt idx="2332">
                  <c:v>38552</c:v>
                </c:pt>
                <c:pt idx="2333">
                  <c:v>38553</c:v>
                </c:pt>
                <c:pt idx="2334">
                  <c:v>38554</c:v>
                </c:pt>
                <c:pt idx="2335">
                  <c:v>38555</c:v>
                </c:pt>
                <c:pt idx="2336">
                  <c:v>38558</c:v>
                </c:pt>
                <c:pt idx="2337">
                  <c:v>38559</c:v>
                </c:pt>
                <c:pt idx="2338">
                  <c:v>38560</c:v>
                </c:pt>
                <c:pt idx="2339">
                  <c:v>38561</c:v>
                </c:pt>
                <c:pt idx="2340">
                  <c:v>38562</c:v>
                </c:pt>
                <c:pt idx="2341">
                  <c:v>38565</c:v>
                </c:pt>
                <c:pt idx="2342">
                  <c:v>38566</c:v>
                </c:pt>
                <c:pt idx="2343">
                  <c:v>38567</c:v>
                </c:pt>
                <c:pt idx="2344">
                  <c:v>38568</c:v>
                </c:pt>
                <c:pt idx="2345">
                  <c:v>38569</c:v>
                </c:pt>
                <c:pt idx="2346">
                  <c:v>38572</c:v>
                </c:pt>
                <c:pt idx="2347">
                  <c:v>38573</c:v>
                </c:pt>
                <c:pt idx="2348">
                  <c:v>38574</c:v>
                </c:pt>
                <c:pt idx="2349">
                  <c:v>38575</c:v>
                </c:pt>
                <c:pt idx="2350">
                  <c:v>38576</c:v>
                </c:pt>
                <c:pt idx="2351">
                  <c:v>38579</c:v>
                </c:pt>
                <c:pt idx="2352">
                  <c:v>38580</c:v>
                </c:pt>
                <c:pt idx="2353">
                  <c:v>38581</c:v>
                </c:pt>
                <c:pt idx="2354">
                  <c:v>38582</c:v>
                </c:pt>
                <c:pt idx="2355">
                  <c:v>38583</c:v>
                </c:pt>
                <c:pt idx="2356">
                  <c:v>38586</c:v>
                </c:pt>
                <c:pt idx="2357">
                  <c:v>38587</c:v>
                </c:pt>
                <c:pt idx="2358">
                  <c:v>38588</c:v>
                </c:pt>
                <c:pt idx="2359">
                  <c:v>38589</c:v>
                </c:pt>
                <c:pt idx="2360">
                  <c:v>38590</c:v>
                </c:pt>
                <c:pt idx="2361">
                  <c:v>38593</c:v>
                </c:pt>
                <c:pt idx="2362">
                  <c:v>38594</c:v>
                </c:pt>
                <c:pt idx="2363">
                  <c:v>38595</c:v>
                </c:pt>
                <c:pt idx="2364">
                  <c:v>38596</c:v>
                </c:pt>
                <c:pt idx="2365">
                  <c:v>38597</c:v>
                </c:pt>
                <c:pt idx="2366">
                  <c:v>38601</c:v>
                </c:pt>
                <c:pt idx="2367">
                  <c:v>38602</c:v>
                </c:pt>
                <c:pt idx="2368">
                  <c:v>38603</c:v>
                </c:pt>
                <c:pt idx="2369">
                  <c:v>38604</c:v>
                </c:pt>
                <c:pt idx="2370">
                  <c:v>38607</c:v>
                </c:pt>
                <c:pt idx="2371">
                  <c:v>38608</c:v>
                </c:pt>
                <c:pt idx="2372">
                  <c:v>38609</c:v>
                </c:pt>
                <c:pt idx="2373">
                  <c:v>38610</c:v>
                </c:pt>
                <c:pt idx="2374">
                  <c:v>38611</c:v>
                </c:pt>
                <c:pt idx="2375">
                  <c:v>38614</c:v>
                </c:pt>
                <c:pt idx="2376">
                  <c:v>38615</c:v>
                </c:pt>
                <c:pt idx="2377">
                  <c:v>38616</c:v>
                </c:pt>
                <c:pt idx="2378">
                  <c:v>38617</c:v>
                </c:pt>
                <c:pt idx="2379">
                  <c:v>38618</c:v>
                </c:pt>
                <c:pt idx="2380">
                  <c:v>38621</c:v>
                </c:pt>
                <c:pt idx="2381">
                  <c:v>38622</c:v>
                </c:pt>
                <c:pt idx="2382">
                  <c:v>38623</c:v>
                </c:pt>
                <c:pt idx="2383">
                  <c:v>38624</c:v>
                </c:pt>
                <c:pt idx="2384">
                  <c:v>38625</c:v>
                </c:pt>
                <c:pt idx="2385">
                  <c:v>38628</c:v>
                </c:pt>
                <c:pt idx="2386">
                  <c:v>38629</c:v>
                </c:pt>
                <c:pt idx="2387">
                  <c:v>38630</c:v>
                </c:pt>
                <c:pt idx="2388">
                  <c:v>38631</c:v>
                </c:pt>
                <c:pt idx="2389">
                  <c:v>38632</c:v>
                </c:pt>
                <c:pt idx="2390">
                  <c:v>38635</c:v>
                </c:pt>
                <c:pt idx="2391">
                  <c:v>38636</c:v>
                </c:pt>
                <c:pt idx="2392">
                  <c:v>38637</c:v>
                </c:pt>
                <c:pt idx="2393">
                  <c:v>38638</c:v>
                </c:pt>
                <c:pt idx="2394">
                  <c:v>38639</c:v>
                </c:pt>
                <c:pt idx="2395">
                  <c:v>38642</c:v>
                </c:pt>
                <c:pt idx="2396">
                  <c:v>38643</c:v>
                </c:pt>
                <c:pt idx="2397">
                  <c:v>38644</c:v>
                </c:pt>
                <c:pt idx="2398">
                  <c:v>38645</c:v>
                </c:pt>
                <c:pt idx="2399">
                  <c:v>38646</c:v>
                </c:pt>
                <c:pt idx="2400">
                  <c:v>38649</c:v>
                </c:pt>
                <c:pt idx="2401">
                  <c:v>38650</c:v>
                </c:pt>
                <c:pt idx="2402">
                  <c:v>38651</c:v>
                </c:pt>
                <c:pt idx="2403">
                  <c:v>38652</c:v>
                </c:pt>
                <c:pt idx="2404">
                  <c:v>38653</c:v>
                </c:pt>
                <c:pt idx="2405">
                  <c:v>38656</c:v>
                </c:pt>
                <c:pt idx="2406">
                  <c:v>38657</c:v>
                </c:pt>
                <c:pt idx="2407">
                  <c:v>38658</c:v>
                </c:pt>
                <c:pt idx="2408">
                  <c:v>38659</c:v>
                </c:pt>
                <c:pt idx="2409">
                  <c:v>38660</c:v>
                </c:pt>
                <c:pt idx="2410">
                  <c:v>38663</c:v>
                </c:pt>
                <c:pt idx="2411">
                  <c:v>38664</c:v>
                </c:pt>
                <c:pt idx="2412">
                  <c:v>38665</c:v>
                </c:pt>
                <c:pt idx="2413">
                  <c:v>38666</c:v>
                </c:pt>
                <c:pt idx="2414">
                  <c:v>38667</c:v>
                </c:pt>
                <c:pt idx="2415">
                  <c:v>38670</c:v>
                </c:pt>
                <c:pt idx="2416">
                  <c:v>38671</c:v>
                </c:pt>
                <c:pt idx="2417">
                  <c:v>38672</c:v>
                </c:pt>
                <c:pt idx="2418">
                  <c:v>38673</c:v>
                </c:pt>
                <c:pt idx="2419">
                  <c:v>38674</c:v>
                </c:pt>
                <c:pt idx="2420">
                  <c:v>38677</c:v>
                </c:pt>
                <c:pt idx="2421">
                  <c:v>38678</c:v>
                </c:pt>
                <c:pt idx="2422">
                  <c:v>38679</c:v>
                </c:pt>
                <c:pt idx="2423">
                  <c:v>38681</c:v>
                </c:pt>
                <c:pt idx="2424">
                  <c:v>38684</c:v>
                </c:pt>
                <c:pt idx="2425">
                  <c:v>38685</c:v>
                </c:pt>
                <c:pt idx="2426">
                  <c:v>38686</c:v>
                </c:pt>
                <c:pt idx="2427">
                  <c:v>38687</c:v>
                </c:pt>
                <c:pt idx="2428">
                  <c:v>38688</c:v>
                </c:pt>
                <c:pt idx="2429">
                  <c:v>38691</c:v>
                </c:pt>
                <c:pt idx="2430">
                  <c:v>38692</c:v>
                </c:pt>
                <c:pt idx="2431">
                  <c:v>38693</c:v>
                </c:pt>
                <c:pt idx="2432">
                  <c:v>38694</c:v>
                </c:pt>
                <c:pt idx="2433">
                  <c:v>38695</c:v>
                </c:pt>
                <c:pt idx="2434">
                  <c:v>38698</c:v>
                </c:pt>
                <c:pt idx="2435">
                  <c:v>38699</c:v>
                </c:pt>
                <c:pt idx="2436">
                  <c:v>38700</c:v>
                </c:pt>
                <c:pt idx="2437">
                  <c:v>38701</c:v>
                </c:pt>
                <c:pt idx="2438">
                  <c:v>38702</c:v>
                </c:pt>
                <c:pt idx="2439">
                  <c:v>38705</c:v>
                </c:pt>
                <c:pt idx="2440">
                  <c:v>38706</c:v>
                </c:pt>
                <c:pt idx="2441">
                  <c:v>38707</c:v>
                </c:pt>
                <c:pt idx="2442">
                  <c:v>38708</c:v>
                </c:pt>
                <c:pt idx="2443">
                  <c:v>38709</c:v>
                </c:pt>
                <c:pt idx="2444">
                  <c:v>38713</c:v>
                </c:pt>
                <c:pt idx="2445">
                  <c:v>38714</c:v>
                </c:pt>
                <c:pt idx="2446">
                  <c:v>38715</c:v>
                </c:pt>
                <c:pt idx="2447">
                  <c:v>38716</c:v>
                </c:pt>
                <c:pt idx="2448">
                  <c:v>38720</c:v>
                </c:pt>
                <c:pt idx="2449">
                  <c:v>38721</c:v>
                </c:pt>
                <c:pt idx="2450">
                  <c:v>38722</c:v>
                </c:pt>
                <c:pt idx="2451">
                  <c:v>38723</c:v>
                </c:pt>
                <c:pt idx="2452">
                  <c:v>38726</c:v>
                </c:pt>
                <c:pt idx="2453">
                  <c:v>38727</c:v>
                </c:pt>
                <c:pt idx="2454">
                  <c:v>38728</c:v>
                </c:pt>
                <c:pt idx="2455">
                  <c:v>38729</c:v>
                </c:pt>
                <c:pt idx="2456">
                  <c:v>38730</c:v>
                </c:pt>
                <c:pt idx="2457">
                  <c:v>38734</c:v>
                </c:pt>
                <c:pt idx="2458">
                  <c:v>38735</c:v>
                </c:pt>
                <c:pt idx="2459">
                  <c:v>38736</c:v>
                </c:pt>
                <c:pt idx="2460">
                  <c:v>38737</c:v>
                </c:pt>
                <c:pt idx="2461">
                  <c:v>38740</c:v>
                </c:pt>
                <c:pt idx="2462">
                  <c:v>38741</c:v>
                </c:pt>
                <c:pt idx="2463">
                  <c:v>38742</c:v>
                </c:pt>
                <c:pt idx="2464">
                  <c:v>38743</c:v>
                </c:pt>
                <c:pt idx="2465">
                  <c:v>38744</c:v>
                </c:pt>
                <c:pt idx="2466">
                  <c:v>38747</c:v>
                </c:pt>
                <c:pt idx="2467">
                  <c:v>38748</c:v>
                </c:pt>
                <c:pt idx="2468">
                  <c:v>38749</c:v>
                </c:pt>
                <c:pt idx="2469">
                  <c:v>38750</c:v>
                </c:pt>
                <c:pt idx="2470">
                  <c:v>38751</c:v>
                </c:pt>
                <c:pt idx="2471">
                  <c:v>38754</c:v>
                </c:pt>
                <c:pt idx="2472">
                  <c:v>38755</c:v>
                </c:pt>
                <c:pt idx="2473">
                  <c:v>38756</c:v>
                </c:pt>
                <c:pt idx="2474">
                  <c:v>38757</c:v>
                </c:pt>
                <c:pt idx="2475">
                  <c:v>38758</c:v>
                </c:pt>
                <c:pt idx="2476">
                  <c:v>38761</c:v>
                </c:pt>
                <c:pt idx="2477">
                  <c:v>38762</c:v>
                </c:pt>
                <c:pt idx="2478">
                  <c:v>38763</c:v>
                </c:pt>
                <c:pt idx="2479">
                  <c:v>38764</c:v>
                </c:pt>
                <c:pt idx="2480">
                  <c:v>38765</c:v>
                </c:pt>
                <c:pt idx="2481">
                  <c:v>38769</c:v>
                </c:pt>
                <c:pt idx="2482">
                  <c:v>38770</c:v>
                </c:pt>
                <c:pt idx="2483">
                  <c:v>38771</c:v>
                </c:pt>
                <c:pt idx="2484">
                  <c:v>38772</c:v>
                </c:pt>
                <c:pt idx="2485">
                  <c:v>38775</c:v>
                </c:pt>
                <c:pt idx="2486">
                  <c:v>38776</c:v>
                </c:pt>
                <c:pt idx="2487">
                  <c:v>38777</c:v>
                </c:pt>
                <c:pt idx="2488">
                  <c:v>38778</c:v>
                </c:pt>
                <c:pt idx="2489">
                  <c:v>38779</c:v>
                </c:pt>
                <c:pt idx="2490">
                  <c:v>38782</c:v>
                </c:pt>
                <c:pt idx="2491">
                  <c:v>38783</c:v>
                </c:pt>
                <c:pt idx="2492">
                  <c:v>38784</c:v>
                </c:pt>
                <c:pt idx="2493">
                  <c:v>38785</c:v>
                </c:pt>
                <c:pt idx="2494">
                  <c:v>38786</c:v>
                </c:pt>
                <c:pt idx="2495">
                  <c:v>38789</c:v>
                </c:pt>
                <c:pt idx="2496">
                  <c:v>38790</c:v>
                </c:pt>
                <c:pt idx="2497">
                  <c:v>38791</c:v>
                </c:pt>
                <c:pt idx="2498">
                  <c:v>38792</c:v>
                </c:pt>
                <c:pt idx="2499">
                  <c:v>38793</c:v>
                </c:pt>
                <c:pt idx="2500">
                  <c:v>38796</c:v>
                </c:pt>
                <c:pt idx="2501">
                  <c:v>38797</c:v>
                </c:pt>
                <c:pt idx="2502">
                  <c:v>38798</c:v>
                </c:pt>
                <c:pt idx="2503">
                  <c:v>38799</c:v>
                </c:pt>
                <c:pt idx="2504">
                  <c:v>38800</c:v>
                </c:pt>
                <c:pt idx="2505">
                  <c:v>38803</c:v>
                </c:pt>
                <c:pt idx="2506">
                  <c:v>38804</c:v>
                </c:pt>
                <c:pt idx="2507">
                  <c:v>38805</c:v>
                </c:pt>
                <c:pt idx="2508">
                  <c:v>38806</c:v>
                </c:pt>
                <c:pt idx="2509">
                  <c:v>38807</c:v>
                </c:pt>
                <c:pt idx="2510">
                  <c:v>38810</c:v>
                </c:pt>
                <c:pt idx="2511">
                  <c:v>38811</c:v>
                </c:pt>
                <c:pt idx="2512">
                  <c:v>38812</c:v>
                </c:pt>
                <c:pt idx="2513">
                  <c:v>38813</c:v>
                </c:pt>
                <c:pt idx="2514">
                  <c:v>38814</c:v>
                </c:pt>
                <c:pt idx="2515">
                  <c:v>38817</c:v>
                </c:pt>
                <c:pt idx="2516">
                  <c:v>38818</c:v>
                </c:pt>
                <c:pt idx="2517">
                  <c:v>38819</c:v>
                </c:pt>
                <c:pt idx="2518">
                  <c:v>38820</c:v>
                </c:pt>
                <c:pt idx="2519">
                  <c:v>38824</c:v>
                </c:pt>
                <c:pt idx="2520">
                  <c:v>38825</c:v>
                </c:pt>
                <c:pt idx="2521">
                  <c:v>38826</c:v>
                </c:pt>
                <c:pt idx="2522">
                  <c:v>38827</c:v>
                </c:pt>
                <c:pt idx="2523">
                  <c:v>38828</c:v>
                </c:pt>
                <c:pt idx="2524">
                  <c:v>38831</c:v>
                </c:pt>
                <c:pt idx="2525">
                  <c:v>38832</c:v>
                </c:pt>
                <c:pt idx="2526">
                  <c:v>38833</c:v>
                </c:pt>
                <c:pt idx="2527">
                  <c:v>38834</c:v>
                </c:pt>
                <c:pt idx="2528">
                  <c:v>38835</c:v>
                </c:pt>
                <c:pt idx="2529">
                  <c:v>38838</c:v>
                </c:pt>
                <c:pt idx="2530">
                  <c:v>38839</c:v>
                </c:pt>
                <c:pt idx="2531">
                  <c:v>38840</c:v>
                </c:pt>
                <c:pt idx="2532">
                  <c:v>38841</c:v>
                </c:pt>
                <c:pt idx="2533">
                  <c:v>38842</c:v>
                </c:pt>
                <c:pt idx="2534">
                  <c:v>38845</c:v>
                </c:pt>
                <c:pt idx="2535">
                  <c:v>38846</c:v>
                </c:pt>
                <c:pt idx="2536">
                  <c:v>38847</c:v>
                </c:pt>
                <c:pt idx="2537">
                  <c:v>38848</c:v>
                </c:pt>
                <c:pt idx="2538">
                  <c:v>38849</c:v>
                </c:pt>
                <c:pt idx="2539">
                  <c:v>38852</c:v>
                </c:pt>
                <c:pt idx="2540">
                  <c:v>38853</c:v>
                </c:pt>
                <c:pt idx="2541">
                  <c:v>38854</c:v>
                </c:pt>
                <c:pt idx="2542">
                  <c:v>38855</c:v>
                </c:pt>
                <c:pt idx="2543">
                  <c:v>38856</c:v>
                </c:pt>
                <c:pt idx="2544">
                  <c:v>38859</c:v>
                </c:pt>
                <c:pt idx="2545">
                  <c:v>38860</c:v>
                </c:pt>
                <c:pt idx="2546">
                  <c:v>38861</c:v>
                </c:pt>
                <c:pt idx="2547">
                  <c:v>38862</c:v>
                </c:pt>
                <c:pt idx="2548">
                  <c:v>38863</c:v>
                </c:pt>
                <c:pt idx="2549">
                  <c:v>38867</c:v>
                </c:pt>
                <c:pt idx="2550">
                  <c:v>38868</c:v>
                </c:pt>
                <c:pt idx="2551">
                  <c:v>38869</c:v>
                </c:pt>
                <c:pt idx="2552">
                  <c:v>38870</c:v>
                </c:pt>
                <c:pt idx="2553">
                  <c:v>38873</c:v>
                </c:pt>
                <c:pt idx="2554">
                  <c:v>38874</c:v>
                </c:pt>
                <c:pt idx="2555">
                  <c:v>38875</c:v>
                </c:pt>
                <c:pt idx="2556">
                  <c:v>38876</c:v>
                </c:pt>
                <c:pt idx="2557">
                  <c:v>38877</c:v>
                </c:pt>
                <c:pt idx="2558">
                  <c:v>38880</c:v>
                </c:pt>
                <c:pt idx="2559">
                  <c:v>38881</c:v>
                </c:pt>
                <c:pt idx="2560">
                  <c:v>38882</c:v>
                </c:pt>
                <c:pt idx="2561">
                  <c:v>38883</c:v>
                </c:pt>
                <c:pt idx="2562">
                  <c:v>38884</c:v>
                </c:pt>
                <c:pt idx="2563">
                  <c:v>38887</c:v>
                </c:pt>
                <c:pt idx="2564">
                  <c:v>38888</c:v>
                </c:pt>
                <c:pt idx="2565">
                  <c:v>38889</c:v>
                </c:pt>
                <c:pt idx="2566">
                  <c:v>38890</c:v>
                </c:pt>
                <c:pt idx="2567">
                  <c:v>38891</c:v>
                </c:pt>
                <c:pt idx="2568">
                  <c:v>38894</c:v>
                </c:pt>
                <c:pt idx="2569">
                  <c:v>38895</c:v>
                </c:pt>
                <c:pt idx="2570">
                  <c:v>38896</c:v>
                </c:pt>
                <c:pt idx="2571">
                  <c:v>38897</c:v>
                </c:pt>
                <c:pt idx="2572">
                  <c:v>38898</c:v>
                </c:pt>
                <c:pt idx="2573">
                  <c:v>38901</c:v>
                </c:pt>
                <c:pt idx="2574">
                  <c:v>38903</c:v>
                </c:pt>
                <c:pt idx="2575">
                  <c:v>38904</c:v>
                </c:pt>
                <c:pt idx="2576">
                  <c:v>38905</c:v>
                </c:pt>
                <c:pt idx="2577">
                  <c:v>38908</c:v>
                </c:pt>
                <c:pt idx="2578">
                  <c:v>38909</c:v>
                </c:pt>
                <c:pt idx="2579">
                  <c:v>38910</c:v>
                </c:pt>
                <c:pt idx="2580">
                  <c:v>38911</c:v>
                </c:pt>
                <c:pt idx="2581">
                  <c:v>38912</c:v>
                </c:pt>
                <c:pt idx="2582">
                  <c:v>38915</c:v>
                </c:pt>
                <c:pt idx="2583">
                  <c:v>38916</c:v>
                </c:pt>
                <c:pt idx="2584">
                  <c:v>38917</c:v>
                </c:pt>
                <c:pt idx="2585">
                  <c:v>38918</c:v>
                </c:pt>
                <c:pt idx="2586">
                  <c:v>38919</c:v>
                </c:pt>
                <c:pt idx="2587">
                  <c:v>38922</c:v>
                </c:pt>
                <c:pt idx="2588">
                  <c:v>38923</c:v>
                </c:pt>
                <c:pt idx="2589">
                  <c:v>38924</c:v>
                </c:pt>
                <c:pt idx="2590">
                  <c:v>38925</c:v>
                </c:pt>
                <c:pt idx="2591">
                  <c:v>38926</c:v>
                </c:pt>
                <c:pt idx="2592">
                  <c:v>38929</c:v>
                </c:pt>
                <c:pt idx="2593">
                  <c:v>38930</c:v>
                </c:pt>
                <c:pt idx="2594">
                  <c:v>38931</c:v>
                </c:pt>
                <c:pt idx="2595">
                  <c:v>38932</c:v>
                </c:pt>
                <c:pt idx="2596">
                  <c:v>38933</c:v>
                </c:pt>
                <c:pt idx="2597">
                  <c:v>38936</c:v>
                </c:pt>
                <c:pt idx="2598">
                  <c:v>38937</c:v>
                </c:pt>
                <c:pt idx="2599">
                  <c:v>38938</c:v>
                </c:pt>
                <c:pt idx="2600">
                  <c:v>38939</c:v>
                </c:pt>
                <c:pt idx="2601">
                  <c:v>38940</c:v>
                </c:pt>
                <c:pt idx="2602">
                  <c:v>38943</c:v>
                </c:pt>
                <c:pt idx="2603">
                  <c:v>38944</c:v>
                </c:pt>
                <c:pt idx="2604">
                  <c:v>38945</c:v>
                </c:pt>
                <c:pt idx="2605">
                  <c:v>38946</c:v>
                </c:pt>
                <c:pt idx="2606">
                  <c:v>38947</c:v>
                </c:pt>
                <c:pt idx="2607">
                  <c:v>38950</c:v>
                </c:pt>
                <c:pt idx="2608">
                  <c:v>38951</c:v>
                </c:pt>
                <c:pt idx="2609">
                  <c:v>38952</c:v>
                </c:pt>
                <c:pt idx="2610">
                  <c:v>38953</c:v>
                </c:pt>
                <c:pt idx="2611">
                  <c:v>38954</c:v>
                </c:pt>
                <c:pt idx="2612">
                  <c:v>38957</c:v>
                </c:pt>
                <c:pt idx="2613">
                  <c:v>38958</c:v>
                </c:pt>
                <c:pt idx="2614">
                  <c:v>38959</c:v>
                </c:pt>
                <c:pt idx="2615">
                  <c:v>38960</c:v>
                </c:pt>
                <c:pt idx="2616">
                  <c:v>38961</c:v>
                </c:pt>
                <c:pt idx="2617">
                  <c:v>38965</c:v>
                </c:pt>
                <c:pt idx="2618">
                  <c:v>38966</c:v>
                </c:pt>
                <c:pt idx="2619">
                  <c:v>38967</c:v>
                </c:pt>
                <c:pt idx="2620">
                  <c:v>38968</c:v>
                </c:pt>
                <c:pt idx="2621">
                  <c:v>38971</c:v>
                </c:pt>
                <c:pt idx="2622">
                  <c:v>38972</c:v>
                </c:pt>
                <c:pt idx="2623">
                  <c:v>38973</c:v>
                </c:pt>
                <c:pt idx="2624">
                  <c:v>38974</c:v>
                </c:pt>
                <c:pt idx="2625">
                  <c:v>38975</c:v>
                </c:pt>
                <c:pt idx="2626">
                  <c:v>38978</c:v>
                </c:pt>
                <c:pt idx="2627">
                  <c:v>38979</c:v>
                </c:pt>
                <c:pt idx="2628">
                  <c:v>38980</c:v>
                </c:pt>
                <c:pt idx="2629">
                  <c:v>38981</c:v>
                </c:pt>
                <c:pt idx="2630">
                  <c:v>38982</c:v>
                </c:pt>
                <c:pt idx="2631">
                  <c:v>38985</c:v>
                </c:pt>
                <c:pt idx="2632">
                  <c:v>38986</c:v>
                </c:pt>
                <c:pt idx="2633">
                  <c:v>38987</c:v>
                </c:pt>
                <c:pt idx="2634">
                  <c:v>38988</c:v>
                </c:pt>
                <c:pt idx="2635">
                  <c:v>38989</c:v>
                </c:pt>
                <c:pt idx="2636">
                  <c:v>38992</c:v>
                </c:pt>
                <c:pt idx="2637">
                  <c:v>38993</c:v>
                </c:pt>
                <c:pt idx="2638">
                  <c:v>38994</c:v>
                </c:pt>
                <c:pt idx="2639">
                  <c:v>38995</c:v>
                </c:pt>
                <c:pt idx="2640">
                  <c:v>38996</c:v>
                </c:pt>
                <c:pt idx="2641">
                  <c:v>38999</c:v>
                </c:pt>
                <c:pt idx="2642">
                  <c:v>39000</c:v>
                </c:pt>
                <c:pt idx="2643">
                  <c:v>39001</c:v>
                </c:pt>
                <c:pt idx="2644">
                  <c:v>39002</c:v>
                </c:pt>
                <c:pt idx="2645">
                  <c:v>39003</c:v>
                </c:pt>
                <c:pt idx="2646">
                  <c:v>39006</c:v>
                </c:pt>
                <c:pt idx="2647">
                  <c:v>39007</c:v>
                </c:pt>
                <c:pt idx="2648">
                  <c:v>39008</c:v>
                </c:pt>
                <c:pt idx="2649">
                  <c:v>39009</c:v>
                </c:pt>
                <c:pt idx="2650">
                  <c:v>39010</c:v>
                </c:pt>
                <c:pt idx="2651">
                  <c:v>39013</c:v>
                </c:pt>
                <c:pt idx="2652">
                  <c:v>39014</c:v>
                </c:pt>
                <c:pt idx="2653">
                  <c:v>39015</c:v>
                </c:pt>
                <c:pt idx="2654">
                  <c:v>39016</c:v>
                </c:pt>
                <c:pt idx="2655">
                  <c:v>39017</c:v>
                </c:pt>
                <c:pt idx="2656">
                  <c:v>39020</c:v>
                </c:pt>
                <c:pt idx="2657">
                  <c:v>39021</c:v>
                </c:pt>
                <c:pt idx="2658">
                  <c:v>39022</c:v>
                </c:pt>
                <c:pt idx="2659">
                  <c:v>39023</c:v>
                </c:pt>
                <c:pt idx="2660">
                  <c:v>39024</c:v>
                </c:pt>
                <c:pt idx="2661">
                  <c:v>39027</c:v>
                </c:pt>
                <c:pt idx="2662">
                  <c:v>39028</c:v>
                </c:pt>
                <c:pt idx="2663">
                  <c:v>39029</c:v>
                </c:pt>
                <c:pt idx="2664">
                  <c:v>39030</c:v>
                </c:pt>
                <c:pt idx="2665">
                  <c:v>39031</c:v>
                </c:pt>
                <c:pt idx="2666">
                  <c:v>39034</c:v>
                </c:pt>
                <c:pt idx="2667">
                  <c:v>39035</c:v>
                </c:pt>
                <c:pt idx="2668">
                  <c:v>39036</c:v>
                </c:pt>
                <c:pt idx="2669">
                  <c:v>39037</c:v>
                </c:pt>
                <c:pt idx="2670">
                  <c:v>39038</c:v>
                </c:pt>
                <c:pt idx="2671">
                  <c:v>39041</c:v>
                </c:pt>
                <c:pt idx="2672">
                  <c:v>39042</c:v>
                </c:pt>
                <c:pt idx="2673">
                  <c:v>39043</c:v>
                </c:pt>
                <c:pt idx="2674">
                  <c:v>39045</c:v>
                </c:pt>
                <c:pt idx="2675">
                  <c:v>39048</c:v>
                </c:pt>
                <c:pt idx="2676">
                  <c:v>39049</c:v>
                </c:pt>
                <c:pt idx="2677">
                  <c:v>39050</c:v>
                </c:pt>
                <c:pt idx="2678">
                  <c:v>39051</c:v>
                </c:pt>
                <c:pt idx="2679">
                  <c:v>39052</c:v>
                </c:pt>
                <c:pt idx="2680">
                  <c:v>39055</c:v>
                </c:pt>
                <c:pt idx="2681">
                  <c:v>39056</c:v>
                </c:pt>
                <c:pt idx="2682">
                  <c:v>39057</c:v>
                </c:pt>
                <c:pt idx="2683">
                  <c:v>39058</c:v>
                </c:pt>
                <c:pt idx="2684">
                  <c:v>39059</c:v>
                </c:pt>
                <c:pt idx="2685">
                  <c:v>39062</c:v>
                </c:pt>
                <c:pt idx="2686">
                  <c:v>39063</c:v>
                </c:pt>
                <c:pt idx="2687">
                  <c:v>39064</c:v>
                </c:pt>
                <c:pt idx="2688">
                  <c:v>39065</c:v>
                </c:pt>
                <c:pt idx="2689">
                  <c:v>39066</c:v>
                </c:pt>
                <c:pt idx="2690">
                  <c:v>39069</c:v>
                </c:pt>
                <c:pt idx="2691">
                  <c:v>39070</c:v>
                </c:pt>
                <c:pt idx="2692">
                  <c:v>39071</c:v>
                </c:pt>
                <c:pt idx="2693">
                  <c:v>39072</c:v>
                </c:pt>
                <c:pt idx="2694">
                  <c:v>39073</c:v>
                </c:pt>
                <c:pt idx="2695">
                  <c:v>39077</c:v>
                </c:pt>
                <c:pt idx="2696">
                  <c:v>39078</c:v>
                </c:pt>
                <c:pt idx="2697">
                  <c:v>39079</c:v>
                </c:pt>
                <c:pt idx="2698">
                  <c:v>39080</c:v>
                </c:pt>
                <c:pt idx="2699">
                  <c:v>39085</c:v>
                </c:pt>
                <c:pt idx="2700">
                  <c:v>39086</c:v>
                </c:pt>
                <c:pt idx="2701">
                  <c:v>39087</c:v>
                </c:pt>
                <c:pt idx="2702">
                  <c:v>39090</c:v>
                </c:pt>
                <c:pt idx="2703">
                  <c:v>39091</c:v>
                </c:pt>
                <c:pt idx="2704">
                  <c:v>39092</c:v>
                </c:pt>
                <c:pt idx="2705">
                  <c:v>39093</c:v>
                </c:pt>
                <c:pt idx="2706">
                  <c:v>39094</c:v>
                </c:pt>
                <c:pt idx="2707">
                  <c:v>39098</c:v>
                </c:pt>
                <c:pt idx="2708">
                  <c:v>39099</c:v>
                </c:pt>
                <c:pt idx="2709">
                  <c:v>39100</c:v>
                </c:pt>
                <c:pt idx="2710">
                  <c:v>39101</c:v>
                </c:pt>
                <c:pt idx="2711">
                  <c:v>39104</c:v>
                </c:pt>
                <c:pt idx="2712">
                  <c:v>39105</c:v>
                </c:pt>
                <c:pt idx="2713">
                  <c:v>39106</c:v>
                </c:pt>
                <c:pt idx="2714">
                  <c:v>39107</c:v>
                </c:pt>
                <c:pt idx="2715">
                  <c:v>39108</c:v>
                </c:pt>
                <c:pt idx="2716">
                  <c:v>39111</c:v>
                </c:pt>
                <c:pt idx="2717">
                  <c:v>39112</c:v>
                </c:pt>
                <c:pt idx="2718">
                  <c:v>39113</c:v>
                </c:pt>
                <c:pt idx="2719">
                  <c:v>39114</c:v>
                </c:pt>
                <c:pt idx="2720">
                  <c:v>39115</c:v>
                </c:pt>
                <c:pt idx="2721">
                  <c:v>39118</c:v>
                </c:pt>
                <c:pt idx="2722">
                  <c:v>39119</c:v>
                </c:pt>
                <c:pt idx="2723">
                  <c:v>39120</c:v>
                </c:pt>
                <c:pt idx="2724">
                  <c:v>39121</c:v>
                </c:pt>
                <c:pt idx="2725">
                  <c:v>39122</c:v>
                </c:pt>
                <c:pt idx="2726">
                  <c:v>39125</c:v>
                </c:pt>
                <c:pt idx="2727">
                  <c:v>39126</c:v>
                </c:pt>
                <c:pt idx="2728">
                  <c:v>39127</c:v>
                </c:pt>
                <c:pt idx="2729">
                  <c:v>39128</c:v>
                </c:pt>
                <c:pt idx="2730">
                  <c:v>39129</c:v>
                </c:pt>
                <c:pt idx="2731">
                  <c:v>39133</c:v>
                </c:pt>
                <c:pt idx="2732">
                  <c:v>39134</c:v>
                </c:pt>
                <c:pt idx="2733">
                  <c:v>39135</c:v>
                </c:pt>
                <c:pt idx="2734">
                  <c:v>39136</c:v>
                </c:pt>
                <c:pt idx="2735">
                  <c:v>39139</c:v>
                </c:pt>
                <c:pt idx="2736">
                  <c:v>39140</c:v>
                </c:pt>
                <c:pt idx="2737">
                  <c:v>39141</c:v>
                </c:pt>
                <c:pt idx="2738">
                  <c:v>39142</c:v>
                </c:pt>
                <c:pt idx="2739">
                  <c:v>39143</c:v>
                </c:pt>
                <c:pt idx="2740">
                  <c:v>39146</c:v>
                </c:pt>
                <c:pt idx="2741">
                  <c:v>39147</c:v>
                </c:pt>
                <c:pt idx="2742">
                  <c:v>39148</c:v>
                </c:pt>
                <c:pt idx="2743">
                  <c:v>39149</c:v>
                </c:pt>
                <c:pt idx="2744">
                  <c:v>39150</c:v>
                </c:pt>
                <c:pt idx="2745">
                  <c:v>39153</c:v>
                </c:pt>
                <c:pt idx="2746">
                  <c:v>39154</c:v>
                </c:pt>
                <c:pt idx="2747">
                  <c:v>39155</c:v>
                </c:pt>
                <c:pt idx="2748">
                  <c:v>39156</c:v>
                </c:pt>
                <c:pt idx="2749">
                  <c:v>39157</c:v>
                </c:pt>
                <c:pt idx="2750">
                  <c:v>39160</c:v>
                </c:pt>
                <c:pt idx="2751">
                  <c:v>39161</c:v>
                </c:pt>
                <c:pt idx="2752">
                  <c:v>39162</c:v>
                </c:pt>
                <c:pt idx="2753">
                  <c:v>39163</c:v>
                </c:pt>
                <c:pt idx="2754">
                  <c:v>39164</c:v>
                </c:pt>
                <c:pt idx="2755">
                  <c:v>39167</c:v>
                </c:pt>
                <c:pt idx="2756">
                  <c:v>39168</c:v>
                </c:pt>
                <c:pt idx="2757">
                  <c:v>39169</c:v>
                </c:pt>
                <c:pt idx="2758">
                  <c:v>39170</c:v>
                </c:pt>
                <c:pt idx="2759">
                  <c:v>39171</c:v>
                </c:pt>
                <c:pt idx="2760">
                  <c:v>39174</c:v>
                </c:pt>
                <c:pt idx="2761">
                  <c:v>39175</c:v>
                </c:pt>
                <c:pt idx="2762">
                  <c:v>39176</c:v>
                </c:pt>
                <c:pt idx="2763">
                  <c:v>39177</c:v>
                </c:pt>
                <c:pt idx="2764">
                  <c:v>39181</c:v>
                </c:pt>
                <c:pt idx="2765">
                  <c:v>39182</c:v>
                </c:pt>
                <c:pt idx="2766">
                  <c:v>39183</c:v>
                </c:pt>
                <c:pt idx="2767">
                  <c:v>39184</c:v>
                </c:pt>
                <c:pt idx="2768">
                  <c:v>39185</c:v>
                </c:pt>
                <c:pt idx="2769">
                  <c:v>39188</c:v>
                </c:pt>
                <c:pt idx="2770">
                  <c:v>39189</c:v>
                </c:pt>
                <c:pt idx="2771">
                  <c:v>39190</c:v>
                </c:pt>
                <c:pt idx="2772">
                  <c:v>39191</c:v>
                </c:pt>
                <c:pt idx="2773">
                  <c:v>39192</c:v>
                </c:pt>
                <c:pt idx="2774">
                  <c:v>39195</c:v>
                </c:pt>
                <c:pt idx="2775">
                  <c:v>39196</c:v>
                </c:pt>
                <c:pt idx="2776">
                  <c:v>39197</c:v>
                </c:pt>
                <c:pt idx="2777">
                  <c:v>39198</c:v>
                </c:pt>
                <c:pt idx="2778">
                  <c:v>39199</c:v>
                </c:pt>
                <c:pt idx="2779">
                  <c:v>39202</c:v>
                </c:pt>
                <c:pt idx="2780">
                  <c:v>39203</c:v>
                </c:pt>
                <c:pt idx="2781">
                  <c:v>39204</c:v>
                </c:pt>
                <c:pt idx="2782">
                  <c:v>39205</c:v>
                </c:pt>
                <c:pt idx="2783">
                  <c:v>39206</c:v>
                </c:pt>
                <c:pt idx="2784">
                  <c:v>39209</c:v>
                </c:pt>
                <c:pt idx="2785">
                  <c:v>39210</c:v>
                </c:pt>
                <c:pt idx="2786">
                  <c:v>39211</c:v>
                </c:pt>
                <c:pt idx="2787">
                  <c:v>39212</c:v>
                </c:pt>
                <c:pt idx="2788">
                  <c:v>39213</c:v>
                </c:pt>
                <c:pt idx="2789">
                  <c:v>39216</c:v>
                </c:pt>
                <c:pt idx="2790">
                  <c:v>39217</c:v>
                </c:pt>
                <c:pt idx="2791">
                  <c:v>39218</c:v>
                </c:pt>
                <c:pt idx="2792">
                  <c:v>39219</c:v>
                </c:pt>
                <c:pt idx="2793">
                  <c:v>39220</c:v>
                </c:pt>
                <c:pt idx="2794">
                  <c:v>39223</c:v>
                </c:pt>
                <c:pt idx="2795">
                  <c:v>39224</c:v>
                </c:pt>
                <c:pt idx="2796">
                  <c:v>39225</c:v>
                </c:pt>
                <c:pt idx="2797">
                  <c:v>39226</c:v>
                </c:pt>
                <c:pt idx="2798">
                  <c:v>39227</c:v>
                </c:pt>
                <c:pt idx="2799">
                  <c:v>39231</c:v>
                </c:pt>
                <c:pt idx="2800">
                  <c:v>39232</c:v>
                </c:pt>
                <c:pt idx="2801">
                  <c:v>39233</c:v>
                </c:pt>
                <c:pt idx="2802">
                  <c:v>39234</c:v>
                </c:pt>
                <c:pt idx="2803">
                  <c:v>39237</c:v>
                </c:pt>
                <c:pt idx="2804">
                  <c:v>39238</c:v>
                </c:pt>
                <c:pt idx="2805">
                  <c:v>39239</c:v>
                </c:pt>
                <c:pt idx="2806">
                  <c:v>39240</c:v>
                </c:pt>
                <c:pt idx="2807">
                  <c:v>39241</c:v>
                </c:pt>
                <c:pt idx="2808">
                  <c:v>39244</c:v>
                </c:pt>
                <c:pt idx="2809">
                  <c:v>39245</c:v>
                </c:pt>
                <c:pt idx="2810">
                  <c:v>39246</c:v>
                </c:pt>
                <c:pt idx="2811">
                  <c:v>39247</c:v>
                </c:pt>
                <c:pt idx="2812">
                  <c:v>39248</c:v>
                </c:pt>
                <c:pt idx="2813">
                  <c:v>39251</c:v>
                </c:pt>
                <c:pt idx="2814">
                  <c:v>39252</c:v>
                </c:pt>
                <c:pt idx="2815">
                  <c:v>39253</c:v>
                </c:pt>
                <c:pt idx="2816">
                  <c:v>39254</c:v>
                </c:pt>
                <c:pt idx="2817">
                  <c:v>39255</c:v>
                </c:pt>
                <c:pt idx="2818">
                  <c:v>39258</c:v>
                </c:pt>
                <c:pt idx="2819">
                  <c:v>39259</c:v>
                </c:pt>
                <c:pt idx="2820">
                  <c:v>39260</c:v>
                </c:pt>
                <c:pt idx="2821">
                  <c:v>39261</c:v>
                </c:pt>
                <c:pt idx="2822">
                  <c:v>39262</c:v>
                </c:pt>
                <c:pt idx="2823">
                  <c:v>39265</c:v>
                </c:pt>
                <c:pt idx="2824">
                  <c:v>39266</c:v>
                </c:pt>
                <c:pt idx="2825">
                  <c:v>39268</c:v>
                </c:pt>
                <c:pt idx="2826">
                  <c:v>39269</c:v>
                </c:pt>
                <c:pt idx="2827">
                  <c:v>39272</c:v>
                </c:pt>
                <c:pt idx="2828">
                  <c:v>39273</c:v>
                </c:pt>
                <c:pt idx="2829">
                  <c:v>39274</c:v>
                </c:pt>
                <c:pt idx="2830">
                  <c:v>39275</c:v>
                </c:pt>
                <c:pt idx="2831">
                  <c:v>39276</c:v>
                </c:pt>
                <c:pt idx="2832">
                  <c:v>39279</c:v>
                </c:pt>
                <c:pt idx="2833">
                  <c:v>39280</c:v>
                </c:pt>
                <c:pt idx="2834">
                  <c:v>39281</c:v>
                </c:pt>
                <c:pt idx="2835">
                  <c:v>39282</c:v>
                </c:pt>
                <c:pt idx="2836">
                  <c:v>39283</c:v>
                </c:pt>
                <c:pt idx="2837">
                  <c:v>39286</c:v>
                </c:pt>
                <c:pt idx="2838">
                  <c:v>39287</c:v>
                </c:pt>
                <c:pt idx="2839">
                  <c:v>39288</c:v>
                </c:pt>
                <c:pt idx="2840">
                  <c:v>39289</c:v>
                </c:pt>
                <c:pt idx="2841">
                  <c:v>39290</c:v>
                </c:pt>
                <c:pt idx="2842">
                  <c:v>39293</c:v>
                </c:pt>
                <c:pt idx="2843">
                  <c:v>39294</c:v>
                </c:pt>
                <c:pt idx="2844">
                  <c:v>39295</c:v>
                </c:pt>
                <c:pt idx="2845">
                  <c:v>39296</c:v>
                </c:pt>
                <c:pt idx="2846">
                  <c:v>39297</c:v>
                </c:pt>
                <c:pt idx="2847">
                  <c:v>39300</c:v>
                </c:pt>
                <c:pt idx="2848">
                  <c:v>39301</c:v>
                </c:pt>
                <c:pt idx="2849">
                  <c:v>39302</c:v>
                </c:pt>
                <c:pt idx="2850">
                  <c:v>39303</c:v>
                </c:pt>
                <c:pt idx="2851">
                  <c:v>39304</c:v>
                </c:pt>
                <c:pt idx="2852">
                  <c:v>39307</c:v>
                </c:pt>
                <c:pt idx="2853">
                  <c:v>39308</c:v>
                </c:pt>
                <c:pt idx="2854">
                  <c:v>39309</c:v>
                </c:pt>
                <c:pt idx="2855">
                  <c:v>39310</c:v>
                </c:pt>
                <c:pt idx="2856">
                  <c:v>39311</c:v>
                </c:pt>
                <c:pt idx="2857">
                  <c:v>39314</c:v>
                </c:pt>
                <c:pt idx="2858">
                  <c:v>39315</c:v>
                </c:pt>
                <c:pt idx="2859">
                  <c:v>39316</c:v>
                </c:pt>
                <c:pt idx="2860">
                  <c:v>39317</c:v>
                </c:pt>
                <c:pt idx="2861">
                  <c:v>39318</c:v>
                </c:pt>
                <c:pt idx="2862">
                  <c:v>39321</c:v>
                </c:pt>
                <c:pt idx="2863">
                  <c:v>39322</c:v>
                </c:pt>
                <c:pt idx="2864">
                  <c:v>39323</c:v>
                </c:pt>
                <c:pt idx="2865">
                  <c:v>39324</c:v>
                </c:pt>
                <c:pt idx="2866">
                  <c:v>39325</c:v>
                </c:pt>
                <c:pt idx="2867">
                  <c:v>39329</c:v>
                </c:pt>
                <c:pt idx="2868">
                  <c:v>39330</c:v>
                </c:pt>
                <c:pt idx="2869">
                  <c:v>39331</c:v>
                </c:pt>
                <c:pt idx="2870">
                  <c:v>39332</c:v>
                </c:pt>
                <c:pt idx="2871">
                  <c:v>39335</c:v>
                </c:pt>
                <c:pt idx="2872">
                  <c:v>39336</c:v>
                </c:pt>
                <c:pt idx="2873">
                  <c:v>39337</c:v>
                </c:pt>
                <c:pt idx="2874">
                  <c:v>39338</c:v>
                </c:pt>
                <c:pt idx="2875">
                  <c:v>39339</c:v>
                </c:pt>
                <c:pt idx="2876">
                  <c:v>39342</c:v>
                </c:pt>
                <c:pt idx="2877">
                  <c:v>39343</c:v>
                </c:pt>
                <c:pt idx="2878">
                  <c:v>39344</c:v>
                </c:pt>
                <c:pt idx="2879">
                  <c:v>39345</c:v>
                </c:pt>
                <c:pt idx="2880">
                  <c:v>39346</c:v>
                </c:pt>
                <c:pt idx="2881">
                  <c:v>39349</c:v>
                </c:pt>
                <c:pt idx="2882">
                  <c:v>39350</c:v>
                </c:pt>
                <c:pt idx="2883">
                  <c:v>39351</c:v>
                </c:pt>
                <c:pt idx="2884">
                  <c:v>39352</c:v>
                </c:pt>
                <c:pt idx="2885">
                  <c:v>39353</c:v>
                </c:pt>
                <c:pt idx="2886">
                  <c:v>39356</c:v>
                </c:pt>
                <c:pt idx="2887">
                  <c:v>39357</c:v>
                </c:pt>
                <c:pt idx="2888">
                  <c:v>39358</c:v>
                </c:pt>
                <c:pt idx="2889">
                  <c:v>39359</c:v>
                </c:pt>
                <c:pt idx="2890">
                  <c:v>39360</c:v>
                </c:pt>
                <c:pt idx="2891">
                  <c:v>39363</c:v>
                </c:pt>
                <c:pt idx="2892">
                  <c:v>39364</c:v>
                </c:pt>
                <c:pt idx="2893">
                  <c:v>39365</c:v>
                </c:pt>
                <c:pt idx="2894">
                  <c:v>39366</c:v>
                </c:pt>
                <c:pt idx="2895">
                  <c:v>39367</c:v>
                </c:pt>
                <c:pt idx="2896">
                  <c:v>39370</c:v>
                </c:pt>
                <c:pt idx="2897">
                  <c:v>39371</c:v>
                </c:pt>
                <c:pt idx="2898">
                  <c:v>39372</c:v>
                </c:pt>
                <c:pt idx="2899">
                  <c:v>39373</c:v>
                </c:pt>
                <c:pt idx="2900">
                  <c:v>39374</c:v>
                </c:pt>
                <c:pt idx="2901">
                  <c:v>39377</c:v>
                </c:pt>
                <c:pt idx="2902">
                  <c:v>39378</c:v>
                </c:pt>
                <c:pt idx="2903">
                  <c:v>39379</c:v>
                </c:pt>
                <c:pt idx="2904">
                  <c:v>39380</c:v>
                </c:pt>
                <c:pt idx="2905">
                  <c:v>39381</c:v>
                </c:pt>
                <c:pt idx="2906">
                  <c:v>39384</c:v>
                </c:pt>
                <c:pt idx="2907">
                  <c:v>39385</c:v>
                </c:pt>
                <c:pt idx="2908">
                  <c:v>39386</c:v>
                </c:pt>
                <c:pt idx="2909">
                  <c:v>39387</c:v>
                </c:pt>
                <c:pt idx="2910">
                  <c:v>39388</c:v>
                </c:pt>
                <c:pt idx="2911">
                  <c:v>39391</c:v>
                </c:pt>
                <c:pt idx="2912">
                  <c:v>39392</c:v>
                </c:pt>
                <c:pt idx="2913">
                  <c:v>39393</c:v>
                </c:pt>
                <c:pt idx="2914">
                  <c:v>39394</c:v>
                </c:pt>
                <c:pt idx="2915">
                  <c:v>39395</c:v>
                </c:pt>
                <c:pt idx="2916">
                  <c:v>39398</c:v>
                </c:pt>
                <c:pt idx="2917">
                  <c:v>39399</c:v>
                </c:pt>
                <c:pt idx="2918">
                  <c:v>39400</c:v>
                </c:pt>
                <c:pt idx="2919">
                  <c:v>39401</c:v>
                </c:pt>
                <c:pt idx="2920">
                  <c:v>39402</c:v>
                </c:pt>
                <c:pt idx="2921">
                  <c:v>39405</c:v>
                </c:pt>
                <c:pt idx="2922">
                  <c:v>39406</c:v>
                </c:pt>
                <c:pt idx="2923">
                  <c:v>39407</c:v>
                </c:pt>
                <c:pt idx="2924">
                  <c:v>39409</c:v>
                </c:pt>
                <c:pt idx="2925">
                  <c:v>39412</c:v>
                </c:pt>
                <c:pt idx="2926">
                  <c:v>39413</c:v>
                </c:pt>
                <c:pt idx="2927">
                  <c:v>39414</c:v>
                </c:pt>
                <c:pt idx="2928">
                  <c:v>39415</c:v>
                </c:pt>
                <c:pt idx="2929">
                  <c:v>39416</c:v>
                </c:pt>
                <c:pt idx="2930">
                  <c:v>39419</c:v>
                </c:pt>
                <c:pt idx="2931">
                  <c:v>39420</c:v>
                </c:pt>
                <c:pt idx="2932">
                  <c:v>39421</c:v>
                </c:pt>
                <c:pt idx="2933">
                  <c:v>39422</c:v>
                </c:pt>
                <c:pt idx="2934">
                  <c:v>39423</c:v>
                </c:pt>
                <c:pt idx="2935">
                  <c:v>39426</c:v>
                </c:pt>
                <c:pt idx="2936">
                  <c:v>39427</c:v>
                </c:pt>
                <c:pt idx="2937">
                  <c:v>39428</c:v>
                </c:pt>
                <c:pt idx="2938">
                  <c:v>39429</c:v>
                </c:pt>
                <c:pt idx="2939">
                  <c:v>39430</c:v>
                </c:pt>
                <c:pt idx="2940">
                  <c:v>39433</c:v>
                </c:pt>
                <c:pt idx="2941">
                  <c:v>39434</c:v>
                </c:pt>
                <c:pt idx="2942">
                  <c:v>39435</c:v>
                </c:pt>
                <c:pt idx="2943">
                  <c:v>39436</c:v>
                </c:pt>
                <c:pt idx="2944">
                  <c:v>39437</c:v>
                </c:pt>
                <c:pt idx="2945">
                  <c:v>39440</c:v>
                </c:pt>
                <c:pt idx="2946">
                  <c:v>39442</c:v>
                </c:pt>
                <c:pt idx="2947">
                  <c:v>39443</c:v>
                </c:pt>
                <c:pt idx="2948">
                  <c:v>39444</c:v>
                </c:pt>
                <c:pt idx="2949">
                  <c:v>39447</c:v>
                </c:pt>
                <c:pt idx="2950">
                  <c:v>39449</c:v>
                </c:pt>
                <c:pt idx="2951">
                  <c:v>39450</c:v>
                </c:pt>
                <c:pt idx="2952">
                  <c:v>39451</c:v>
                </c:pt>
                <c:pt idx="2953">
                  <c:v>39454</c:v>
                </c:pt>
                <c:pt idx="2954">
                  <c:v>39455</c:v>
                </c:pt>
                <c:pt idx="2955">
                  <c:v>39456</c:v>
                </c:pt>
                <c:pt idx="2956">
                  <c:v>39457</c:v>
                </c:pt>
                <c:pt idx="2957">
                  <c:v>39458</c:v>
                </c:pt>
                <c:pt idx="2958">
                  <c:v>39461</c:v>
                </c:pt>
                <c:pt idx="2959">
                  <c:v>39462</c:v>
                </c:pt>
                <c:pt idx="2960">
                  <c:v>39463</c:v>
                </c:pt>
                <c:pt idx="2961">
                  <c:v>39464</c:v>
                </c:pt>
                <c:pt idx="2962">
                  <c:v>39465</c:v>
                </c:pt>
                <c:pt idx="2963">
                  <c:v>39469</c:v>
                </c:pt>
                <c:pt idx="2964">
                  <c:v>39470</c:v>
                </c:pt>
                <c:pt idx="2965">
                  <c:v>39471</c:v>
                </c:pt>
                <c:pt idx="2966">
                  <c:v>39472</c:v>
                </c:pt>
                <c:pt idx="2967">
                  <c:v>39475</c:v>
                </c:pt>
                <c:pt idx="2968">
                  <c:v>39476</c:v>
                </c:pt>
                <c:pt idx="2969">
                  <c:v>39477</c:v>
                </c:pt>
                <c:pt idx="2970">
                  <c:v>39478</c:v>
                </c:pt>
                <c:pt idx="2971">
                  <c:v>39479</c:v>
                </c:pt>
                <c:pt idx="2972">
                  <c:v>39482</c:v>
                </c:pt>
                <c:pt idx="2973">
                  <c:v>39483</c:v>
                </c:pt>
                <c:pt idx="2974">
                  <c:v>39484</c:v>
                </c:pt>
                <c:pt idx="2975">
                  <c:v>39485</c:v>
                </c:pt>
                <c:pt idx="2976">
                  <c:v>39486</c:v>
                </c:pt>
                <c:pt idx="2977">
                  <c:v>39489</c:v>
                </c:pt>
                <c:pt idx="2978">
                  <c:v>39490</c:v>
                </c:pt>
                <c:pt idx="2979">
                  <c:v>39491</c:v>
                </c:pt>
                <c:pt idx="2980">
                  <c:v>39492</c:v>
                </c:pt>
                <c:pt idx="2981">
                  <c:v>39493</c:v>
                </c:pt>
                <c:pt idx="2982">
                  <c:v>39497</c:v>
                </c:pt>
                <c:pt idx="2983">
                  <c:v>39498</c:v>
                </c:pt>
                <c:pt idx="2984">
                  <c:v>39499</c:v>
                </c:pt>
                <c:pt idx="2985">
                  <c:v>39500</c:v>
                </c:pt>
                <c:pt idx="2986">
                  <c:v>39503</c:v>
                </c:pt>
                <c:pt idx="2987">
                  <c:v>39504</c:v>
                </c:pt>
                <c:pt idx="2988">
                  <c:v>39505</c:v>
                </c:pt>
                <c:pt idx="2989">
                  <c:v>39506</c:v>
                </c:pt>
                <c:pt idx="2990">
                  <c:v>39507</c:v>
                </c:pt>
                <c:pt idx="2991">
                  <c:v>39510</c:v>
                </c:pt>
                <c:pt idx="2992">
                  <c:v>39511</c:v>
                </c:pt>
                <c:pt idx="2993">
                  <c:v>39512</c:v>
                </c:pt>
                <c:pt idx="2994">
                  <c:v>39513</c:v>
                </c:pt>
                <c:pt idx="2995">
                  <c:v>39514</c:v>
                </c:pt>
                <c:pt idx="2996">
                  <c:v>39517</c:v>
                </c:pt>
                <c:pt idx="2997">
                  <c:v>39518</c:v>
                </c:pt>
                <c:pt idx="2998">
                  <c:v>39519</c:v>
                </c:pt>
                <c:pt idx="2999">
                  <c:v>39520</c:v>
                </c:pt>
                <c:pt idx="3000">
                  <c:v>39521</c:v>
                </c:pt>
                <c:pt idx="3001">
                  <c:v>39524</c:v>
                </c:pt>
                <c:pt idx="3002">
                  <c:v>39525</c:v>
                </c:pt>
                <c:pt idx="3003">
                  <c:v>39526</c:v>
                </c:pt>
                <c:pt idx="3004">
                  <c:v>39527</c:v>
                </c:pt>
                <c:pt idx="3005">
                  <c:v>39531</c:v>
                </c:pt>
                <c:pt idx="3006">
                  <c:v>39532</c:v>
                </c:pt>
                <c:pt idx="3007">
                  <c:v>39533</c:v>
                </c:pt>
                <c:pt idx="3008">
                  <c:v>39534</c:v>
                </c:pt>
                <c:pt idx="3009">
                  <c:v>39535</c:v>
                </c:pt>
                <c:pt idx="3010">
                  <c:v>39538</c:v>
                </c:pt>
                <c:pt idx="3011">
                  <c:v>39539</c:v>
                </c:pt>
                <c:pt idx="3012">
                  <c:v>39540</c:v>
                </c:pt>
                <c:pt idx="3013">
                  <c:v>39541</c:v>
                </c:pt>
                <c:pt idx="3014">
                  <c:v>39542</c:v>
                </c:pt>
                <c:pt idx="3015">
                  <c:v>39545</c:v>
                </c:pt>
                <c:pt idx="3016">
                  <c:v>39546</c:v>
                </c:pt>
                <c:pt idx="3017">
                  <c:v>39547</c:v>
                </c:pt>
                <c:pt idx="3018">
                  <c:v>39548</c:v>
                </c:pt>
                <c:pt idx="3019">
                  <c:v>39549</c:v>
                </c:pt>
                <c:pt idx="3020">
                  <c:v>39552</c:v>
                </c:pt>
                <c:pt idx="3021">
                  <c:v>39553</c:v>
                </c:pt>
                <c:pt idx="3022">
                  <c:v>39554</c:v>
                </c:pt>
                <c:pt idx="3023">
                  <c:v>39555</c:v>
                </c:pt>
                <c:pt idx="3024">
                  <c:v>39556</c:v>
                </c:pt>
                <c:pt idx="3025">
                  <c:v>39559</c:v>
                </c:pt>
                <c:pt idx="3026">
                  <c:v>39560</c:v>
                </c:pt>
                <c:pt idx="3027">
                  <c:v>39561</c:v>
                </c:pt>
                <c:pt idx="3028">
                  <c:v>39562</c:v>
                </c:pt>
                <c:pt idx="3029">
                  <c:v>39563</c:v>
                </c:pt>
                <c:pt idx="3030">
                  <c:v>39566</c:v>
                </c:pt>
                <c:pt idx="3031">
                  <c:v>39567</c:v>
                </c:pt>
                <c:pt idx="3032">
                  <c:v>39568</c:v>
                </c:pt>
                <c:pt idx="3033">
                  <c:v>39569</c:v>
                </c:pt>
                <c:pt idx="3034">
                  <c:v>39570</c:v>
                </c:pt>
                <c:pt idx="3035">
                  <c:v>39573</c:v>
                </c:pt>
                <c:pt idx="3036">
                  <c:v>39574</c:v>
                </c:pt>
                <c:pt idx="3037">
                  <c:v>39575</c:v>
                </c:pt>
                <c:pt idx="3038">
                  <c:v>39576</c:v>
                </c:pt>
                <c:pt idx="3039">
                  <c:v>39577</c:v>
                </c:pt>
                <c:pt idx="3040">
                  <c:v>39580</c:v>
                </c:pt>
                <c:pt idx="3041">
                  <c:v>39581</c:v>
                </c:pt>
                <c:pt idx="3042">
                  <c:v>39582</c:v>
                </c:pt>
                <c:pt idx="3043">
                  <c:v>39583</c:v>
                </c:pt>
                <c:pt idx="3044">
                  <c:v>39584</c:v>
                </c:pt>
                <c:pt idx="3045">
                  <c:v>39587</c:v>
                </c:pt>
                <c:pt idx="3046">
                  <c:v>39588</c:v>
                </c:pt>
                <c:pt idx="3047">
                  <c:v>39589</c:v>
                </c:pt>
                <c:pt idx="3048">
                  <c:v>39590</c:v>
                </c:pt>
                <c:pt idx="3049">
                  <c:v>39591</c:v>
                </c:pt>
                <c:pt idx="3050">
                  <c:v>39595</c:v>
                </c:pt>
                <c:pt idx="3051">
                  <c:v>39596</c:v>
                </c:pt>
                <c:pt idx="3052">
                  <c:v>39597</c:v>
                </c:pt>
                <c:pt idx="3053">
                  <c:v>39598</c:v>
                </c:pt>
                <c:pt idx="3054">
                  <c:v>39601</c:v>
                </c:pt>
                <c:pt idx="3055">
                  <c:v>39602</c:v>
                </c:pt>
                <c:pt idx="3056">
                  <c:v>39603</c:v>
                </c:pt>
                <c:pt idx="3057">
                  <c:v>39604</c:v>
                </c:pt>
                <c:pt idx="3058">
                  <c:v>39605</c:v>
                </c:pt>
                <c:pt idx="3059">
                  <c:v>39608</c:v>
                </c:pt>
                <c:pt idx="3060">
                  <c:v>39609</c:v>
                </c:pt>
                <c:pt idx="3061">
                  <c:v>39610</c:v>
                </c:pt>
                <c:pt idx="3062">
                  <c:v>39611</c:v>
                </c:pt>
                <c:pt idx="3063">
                  <c:v>39612</c:v>
                </c:pt>
                <c:pt idx="3064">
                  <c:v>39615</c:v>
                </c:pt>
                <c:pt idx="3065">
                  <c:v>39616</c:v>
                </c:pt>
                <c:pt idx="3066">
                  <c:v>39617</c:v>
                </c:pt>
                <c:pt idx="3067">
                  <c:v>39618</c:v>
                </c:pt>
                <c:pt idx="3068">
                  <c:v>39619</c:v>
                </c:pt>
                <c:pt idx="3069">
                  <c:v>39622</c:v>
                </c:pt>
                <c:pt idx="3070">
                  <c:v>39623</c:v>
                </c:pt>
                <c:pt idx="3071">
                  <c:v>39624</c:v>
                </c:pt>
                <c:pt idx="3072">
                  <c:v>39625</c:v>
                </c:pt>
                <c:pt idx="3073">
                  <c:v>39626</c:v>
                </c:pt>
                <c:pt idx="3074">
                  <c:v>39629</c:v>
                </c:pt>
                <c:pt idx="3075">
                  <c:v>39630</c:v>
                </c:pt>
                <c:pt idx="3076">
                  <c:v>39631</c:v>
                </c:pt>
                <c:pt idx="3077">
                  <c:v>39632</c:v>
                </c:pt>
                <c:pt idx="3078">
                  <c:v>39636</c:v>
                </c:pt>
                <c:pt idx="3079">
                  <c:v>39637</c:v>
                </c:pt>
                <c:pt idx="3080">
                  <c:v>39638</c:v>
                </c:pt>
                <c:pt idx="3081">
                  <c:v>39639</c:v>
                </c:pt>
                <c:pt idx="3082">
                  <c:v>39640</c:v>
                </c:pt>
                <c:pt idx="3083">
                  <c:v>39643</c:v>
                </c:pt>
                <c:pt idx="3084">
                  <c:v>39644</c:v>
                </c:pt>
                <c:pt idx="3085">
                  <c:v>39645</c:v>
                </c:pt>
                <c:pt idx="3086">
                  <c:v>39646</c:v>
                </c:pt>
                <c:pt idx="3087">
                  <c:v>39647</c:v>
                </c:pt>
                <c:pt idx="3088">
                  <c:v>39650</c:v>
                </c:pt>
                <c:pt idx="3089">
                  <c:v>39651</c:v>
                </c:pt>
                <c:pt idx="3090">
                  <c:v>39652</c:v>
                </c:pt>
                <c:pt idx="3091">
                  <c:v>39653</c:v>
                </c:pt>
                <c:pt idx="3092">
                  <c:v>39654</c:v>
                </c:pt>
                <c:pt idx="3093">
                  <c:v>39657</c:v>
                </c:pt>
                <c:pt idx="3094">
                  <c:v>39658</c:v>
                </c:pt>
                <c:pt idx="3095">
                  <c:v>39659</c:v>
                </c:pt>
                <c:pt idx="3096">
                  <c:v>39660</c:v>
                </c:pt>
                <c:pt idx="3097">
                  <c:v>39661</c:v>
                </c:pt>
                <c:pt idx="3098">
                  <c:v>39664</c:v>
                </c:pt>
                <c:pt idx="3099">
                  <c:v>39665</c:v>
                </c:pt>
                <c:pt idx="3100">
                  <c:v>39666</c:v>
                </c:pt>
                <c:pt idx="3101">
                  <c:v>39667</c:v>
                </c:pt>
                <c:pt idx="3102">
                  <c:v>39668</c:v>
                </c:pt>
                <c:pt idx="3103">
                  <c:v>39671</c:v>
                </c:pt>
                <c:pt idx="3104">
                  <c:v>39672</c:v>
                </c:pt>
                <c:pt idx="3105">
                  <c:v>39673</c:v>
                </c:pt>
                <c:pt idx="3106">
                  <c:v>39674</c:v>
                </c:pt>
                <c:pt idx="3107">
                  <c:v>39675</c:v>
                </c:pt>
                <c:pt idx="3108">
                  <c:v>39678</c:v>
                </c:pt>
                <c:pt idx="3109">
                  <c:v>39679</c:v>
                </c:pt>
                <c:pt idx="3110">
                  <c:v>39680</c:v>
                </c:pt>
                <c:pt idx="3111">
                  <c:v>39681</c:v>
                </c:pt>
                <c:pt idx="3112">
                  <c:v>39682</c:v>
                </c:pt>
                <c:pt idx="3113">
                  <c:v>39685</c:v>
                </c:pt>
                <c:pt idx="3114">
                  <c:v>39686</c:v>
                </c:pt>
                <c:pt idx="3115">
                  <c:v>39687</c:v>
                </c:pt>
                <c:pt idx="3116">
                  <c:v>39688</c:v>
                </c:pt>
                <c:pt idx="3117">
                  <c:v>39689</c:v>
                </c:pt>
                <c:pt idx="3118">
                  <c:v>39693</c:v>
                </c:pt>
                <c:pt idx="3119">
                  <c:v>39694</c:v>
                </c:pt>
                <c:pt idx="3120">
                  <c:v>39695</c:v>
                </c:pt>
                <c:pt idx="3121">
                  <c:v>39696</c:v>
                </c:pt>
                <c:pt idx="3122">
                  <c:v>39699</c:v>
                </c:pt>
                <c:pt idx="3123">
                  <c:v>39700</c:v>
                </c:pt>
                <c:pt idx="3124">
                  <c:v>39701</c:v>
                </c:pt>
                <c:pt idx="3125">
                  <c:v>39702</c:v>
                </c:pt>
                <c:pt idx="3126">
                  <c:v>39703</c:v>
                </c:pt>
                <c:pt idx="3127">
                  <c:v>39706</c:v>
                </c:pt>
                <c:pt idx="3128">
                  <c:v>39707</c:v>
                </c:pt>
                <c:pt idx="3129">
                  <c:v>39708</c:v>
                </c:pt>
                <c:pt idx="3130">
                  <c:v>39709</c:v>
                </c:pt>
                <c:pt idx="3131">
                  <c:v>39710</c:v>
                </c:pt>
                <c:pt idx="3132">
                  <c:v>39713</c:v>
                </c:pt>
                <c:pt idx="3133">
                  <c:v>39714</c:v>
                </c:pt>
                <c:pt idx="3134">
                  <c:v>39715</c:v>
                </c:pt>
                <c:pt idx="3135">
                  <c:v>39716</c:v>
                </c:pt>
                <c:pt idx="3136">
                  <c:v>39717</c:v>
                </c:pt>
                <c:pt idx="3137">
                  <c:v>39720</c:v>
                </c:pt>
                <c:pt idx="3138">
                  <c:v>39721</c:v>
                </c:pt>
                <c:pt idx="3139">
                  <c:v>39722</c:v>
                </c:pt>
                <c:pt idx="3140">
                  <c:v>39723</c:v>
                </c:pt>
                <c:pt idx="3141">
                  <c:v>39724</c:v>
                </c:pt>
                <c:pt idx="3142">
                  <c:v>39727</c:v>
                </c:pt>
                <c:pt idx="3143">
                  <c:v>39728</c:v>
                </c:pt>
                <c:pt idx="3144">
                  <c:v>39729</c:v>
                </c:pt>
                <c:pt idx="3145">
                  <c:v>39730</c:v>
                </c:pt>
                <c:pt idx="3146">
                  <c:v>39731</c:v>
                </c:pt>
                <c:pt idx="3147">
                  <c:v>39734</c:v>
                </c:pt>
                <c:pt idx="3148">
                  <c:v>39735</c:v>
                </c:pt>
                <c:pt idx="3149">
                  <c:v>39736</c:v>
                </c:pt>
                <c:pt idx="3150">
                  <c:v>39737</c:v>
                </c:pt>
                <c:pt idx="3151">
                  <c:v>39738</c:v>
                </c:pt>
                <c:pt idx="3152">
                  <c:v>39741</c:v>
                </c:pt>
                <c:pt idx="3153">
                  <c:v>39742</c:v>
                </c:pt>
                <c:pt idx="3154">
                  <c:v>39743</c:v>
                </c:pt>
                <c:pt idx="3155">
                  <c:v>39744</c:v>
                </c:pt>
                <c:pt idx="3156">
                  <c:v>39745</c:v>
                </c:pt>
                <c:pt idx="3157">
                  <c:v>39748</c:v>
                </c:pt>
                <c:pt idx="3158">
                  <c:v>39749</c:v>
                </c:pt>
                <c:pt idx="3159">
                  <c:v>39750</c:v>
                </c:pt>
                <c:pt idx="3160">
                  <c:v>39751</c:v>
                </c:pt>
                <c:pt idx="3161">
                  <c:v>39752</c:v>
                </c:pt>
                <c:pt idx="3162">
                  <c:v>39755</c:v>
                </c:pt>
                <c:pt idx="3163">
                  <c:v>39756</c:v>
                </c:pt>
                <c:pt idx="3164">
                  <c:v>39757</c:v>
                </c:pt>
                <c:pt idx="3165">
                  <c:v>39758</c:v>
                </c:pt>
                <c:pt idx="3166">
                  <c:v>39759</c:v>
                </c:pt>
                <c:pt idx="3167">
                  <c:v>39762</c:v>
                </c:pt>
                <c:pt idx="3168">
                  <c:v>39763</c:v>
                </c:pt>
                <c:pt idx="3169">
                  <c:v>39764</c:v>
                </c:pt>
                <c:pt idx="3170">
                  <c:v>39765</c:v>
                </c:pt>
                <c:pt idx="3171">
                  <c:v>39766</c:v>
                </c:pt>
                <c:pt idx="3172">
                  <c:v>39769</c:v>
                </c:pt>
                <c:pt idx="3173">
                  <c:v>39770</c:v>
                </c:pt>
                <c:pt idx="3174">
                  <c:v>39771</c:v>
                </c:pt>
                <c:pt idx="3175">
                  <c:v>39772</c:v>
                </c:pt>
                <c:pt idx="3176">
                  <c:v>39773</c:v>
                </c:pt>
                <c:pt idx="3177">
                  <c:v>39776</c:v>
                </c:pt>
                <c:pt idx="3178">
                  <c:v>39777</c:v>
                </c:pt>
                <c:pt idx="3179">
                  <c:v>39778</c:v>
                </c:pt>
                <c:pt idx="3180">
                  <c:v>39780</c:v>
                </c:pt>
                <c:pt idx="3181">
                  <c:v>39783</c:v>
                </c:pt>
                <c:pt idx="3182">
                  <c:v>39784</c:v>
                </c:pt>
                <c:pt idx="3183">
                  <c:v>39785</c:v>
                </c:pt>
                <c:pt idx="3184">
                  <c:v>39786</c:v>
                </c:pt>
                <c:pt idx="3185">
                  <c:v>39787</c:v>
                </c:pt>
                <c:pt idx="3186">
                  <c:v>39790</c:v>
                </c:pt>
                <c:pt idx="3187">
                  <c:v>39791</c:v>
                </c:pt>
                <c:pt idx="3188">
                  <c:v>39792</c:v>
                </c:pt>
                <c:pt idx="3189">
                  <c:v>39793</c:v>
                </c:pt>
                <c:pt idx="3190">
                  <c:v>39794</c:v>
                </c:pt>
                <c:pt idx="3191">
                  <c:v>39797</c:v>
                </c:pt>
                <c:pt idx="3192">
                  <c:v>39798</c:v>
                </c:pt>
                <c:pt idx="3193">
                  <c:v>39799</c:v>
                </c:pt>
                <c:pt idx="3194">
                  <c:v>39800</c:v>
                </c:pt>
                <c:pt idx="3195">
                  <c:v>39801</c:v>
                </c:pt>
                <c:pt idx="3196">
                  <c:v>39804</c:v>
                </c:pt>
                <c:pt idx="3197">
                  <c:v>39805</c:v>
                </c:pt>
                <c:pt idx="3198">
                  <c:v>39806</c:v>
                </c:pt>
                <c:pt idx="3199">
                  <c:v>39808</c:v>
                </c:pt>
                <c:pt idx="3200">
                  <c:v>39811</c:v>
                </c:pt>
                <c:pt idx="3201">
                  <c:v>39812</c:v>
                </c:pt>
                <c:pt idx="3202">
                  <c:v>39813</c:v>
                </c:pt>
                <c:pt idx="3203">
                  <c:v>39815</c:v>
                </c:pt>
                <c:pt idx="3204">
                  <c:v>39818</c:v>
                </c:pt>
                <c:pt idx="3205">
                  <c:v>39819</c:v>
                </c:pt>
                <c:pt idx="3206">
                  <c:v>39820</c:v>
                </c:pt>
                <c:pt idx="3207">
                  <c:v>39821</c:v>
                </c:pt>
                <c:pt idx="3208">
                  <c:v>39822</c:v>
                </c:pt>
                <c:pt idx="3209">
                  <c:v>39825</c:v>
                </c:pt>
                <c:pt idx="3210">
                  <c:v>39826</c:v>
                </c:pt>
                <c:pt idx="3211">
                  <c:v>39827</c:v>
                </c:pt>
                <c:pt idx="3212">
                  <c:v>39828</c:v>
                </c:pt>
                <c:pt idx="3213">
                  <c:v>39829</c:v>
                </c:pt>
                <c:pt idx="3214">
                  <c:v>39833</c:v>
                </c:pt>
                <c:pt idx="3215">
                  <c:v>39834</c:v>
                </c:pt>
                <c:pt idx="3216">
                  <c:v>39835</c:v>
                </c:pt>
                <c:pt idx="3217">
                  <c:v>39836</c:v>
                </c:pt>
                <c:pt idx="3218">
                  <c:v>39839</c:v>
                </c:pt>
                <c:pt idx="3219">
                  <c:v>39840</c:v>
                </c:pt>
                <c:pt idx="3220">
                  <c:v>39841</c:v>
                </c:pt>
                <c:pt idx="3221">
                  <c:v>39842</c:v>
                </c:pt>
                <c:pt idx="3222">
                  <c:v>39843</c:v>
                </c:pt>
                <c:pt idx="3223">
                  <c:v>39846</c:v>
                </c:pt>
                <c:pt idx="3224">
                  <c:v>39847</c:v>
                </c:pt>
                <c:pt idx="3225">
                  <c:v>39848</c:v>
                </c:pt>
                <c:pt idx="3226">
                  <c:v>39849</c:v>
                </c:pt>
                <c:pt idx="3227">
                  <c:v>39850</c:v>
                </c:pt>
                <c:pt idx="3228">
                  <c:v>39853</c:v>
                </c:pt>
                <c:pt idx="3229">
                  <c:v>39854</c:v>
                </c:pt>
                <c:pt idx="3230">
                  <c:v>39855</c:v>
                </c:pt>
                <c:pt idx="3231">
                  <c:v>39856</c:v>
                </c:pt>
                <c:pt idx="3232">
                  <c:v>39857</c:v>
                </c:pt>
                <c:pt idx="3233">
                  <c:v>39861</c:v>
                </c:pt>
                <c:pt idx="3234">
                  <c:v>39862</c:v>
                </c:pt>
                <c:pt idx="3235">
                  <c:v>39863</c:v>
                </c:pt>
                <c:pt idx="3236">
                  <c:v>39864</c:v>
                </c:pt>
                <c:pt idx="3237">
                  <c:v>39867</c:v>
                </c:pt>
                <c:pt idx="3238">
                  <c:v>39868</c:v>
                </c:pt>
                <c:pt idx="3239">
                  <c:v>39869</c:v>
                </c:pt>
                <c:pt idx="3240">
                  <c:v>39870</c:v>
                </c:pt>
                <c:pt idx="3241">
                  <c:v>39871</c:v>
                </c:pt>
                <c:pt idx="3242">
                  <c:v>39874</c:v>
                </c:pt>
                <c:pt idx="3243">
                  <c:v>39875</c:v>
                </c:pt>
                <c:pt idx="3244">
                  <c:v>39876</c:v>
                </c:pt>
                <c:pt idx="3245">
                  <c:v>39877</c:v>
                </c:pt>
                <c:pt idx="3246">
                  <c:v>39878</c:v>
                </c:pt>
                <c:pt idx="3247">
                  <c:v>39881</c:v>
                </c:pt>
                <c:pt idx="3248">
                  <c:v>39882</c:v>
                </c:pt>
                <c:pt idx="3249">
                  <c:v>39883</c:v>
                </c:pt>
                <c:pt idx="3250">
                  <c:v>39884</c:v>
                </c:pt>
                <c:pt idx="3251">
                  <c:v>39885</c:v>
                </c:pt>
                <c:pt idx="3252">
                  <c:v>39888</c:v>
                </c:pt>
                <c:pt idx="3253">
                  <c:v>39889</c:v>
                </c:pt>
                <c:pt idx="3254">
                  <c:v>39890</c:v>
                </c:pt>
                <c:pt idx="3255">
                  <c:v>39891</c:v>
                </c:pt>
                <c:pt idx="3256">
                  <c:v>39892</c:v>
                </c:pt>
                <c:pt idx="3257">
                  <c:v>39895</c:v>
                </c:pt>
                <c:pt idx="3258">
                  <c:v>39896</c:v>
                </c:pt>
                <c:pt idx="3259">
                  <c:v>39897</c:v>
                </c:pt>
                <c:pt idx="3260">
                  <c:v>39898</c:v>
                </c:pt>
                <c:pt idx="3261">
                  <c:v>39899</c:v>
                </c:pt>
                <c:pt idx="3262">
                  <c:v>39902</c:v>
                </c:pt>
                <c:pt idx="3263">
                  <c:v>39903</c:v>
                </c:pt>
                <c:pt idx="3264">
                  <c:v>39904</c:v>
                </c:pt>
                <c:pt idx="3265">
                  <c:v>39905</c:v>
                </c:pt>
                <c:pt idx="3266">
                  <c:v>39906</c:v>
                </c:pt>
                <c:pt idx="3267">
                  <c:v>39909</c:v>
                </c:pt>
                <c:pt idx="3268">
                  <c:v>39910</c:v>
                </c:pt>
                <c:pt idx="3269">
                  <c:v>39911</c:v>
                </c:pt>
                <c:pt idx="3270">
                  <c:v>39912</c:v>
                </c:pt>
                <c:pt idx="3271">
                  <c:v>39916</c:v>
                </c:pt>
                <c:pt idx="3272">
                  <c:v>39917</c:v>
                </c:pt>
                <c:pt idx="3273">
                  <c:v>39918</c:v>
                </c:pt>
                <c:pt idx="3274">
                  <c:v>39919</c:v>
                </c:pt>
                <c:pt idx="3275">
                  <c:v>39920</c:v>
                </c:pt>
                <c:pt idx="3276">
                  <c:v>39923</c:v>
                </c:pt>
                <c:pt idx="3277">
                  <c:v>39924</c:v>
                </c:pt>
                <c:pt idx="3278">
                  <c:v>39925</c:v>
                </c:pt>
                <c:pt idx="3279">
                  <c:v>39926</c:v>
                </c:pt>
                <c:pt idx="3280">
                  <c:v>39927</c:v>
                </c:pt>
                <c:pt idx="3281">
                  <c:v>39930</c:v>
                </c:pt>
                <c:pt idx="3282">
                  <c:v>39931</c:v>
                </c:pt>
                <c:pt idx="3283">
                  <c:v>39932</c:v>
                </c:pt>
                <c:pt idx="3284">
                  <c:v>39933</c:v>
                </c:pt>
                <c:pt idx="3285">
                  <c:v>39934</c:v>
                </c:pt>
                <c:pt idx="3286">
                  <c:v>39937</c:v>
                </c:pt>
                <c:pt idx="3287">
                  <c:v>39938</c:v>
                </c:pt>
                <c:pt idx="3288">
                  <c:v>39939</c:v>
                </c:pt>
                <c:pt idx="3289">
                  <c:v>39940</c:v>
                </c:pt>
                <c:pt idx="3290">
                  <c:v>39941</c:v>
                </c:pt>
                <c:pt idx="3291">
                  <c:v>39944</c:v>
                </c:pt>
                <c:pt idx="3292">
                  <c:v>39945</c:v>
                </c:pt>
                <c:pt idx="3293">
                  <c:v>39946</c:v>
                </c:pt>
                <c:pt idx="3294">
                  <c:v>39947</c:v>
                </c:pt>
                <c:pt idx="3295">
                  <c:v>39948</c:v>
                </c:pt>
                <c:pt idx="3296">
                  <c:v>39951</c:v>
                </c:pt>
                <c:pt idx="3297">
                  <c:v>39952</c:v>
                </c:pt>
                <c:pt idx="3298">
                  <c:v>39953</c:v>
                </c:pt>
                <c:pt idx="3299">
                  <c:v>39954</c:v>
                </c:pt>
                <c:pt idx="3300">
                  <c:v>39955</c:v>
                </c:pt>
                <c:pt idx="3301">
                  <c:v>39959</c:v>
                </c:pt>
                <c:pt idx="3302">
                  <c:v>39960</c:v>
                </c:pt>
                <c:pt idx="3303">
                  <c:v>39961</c:v>
                </c:pt>
                <c:pt idx="3304">
                  <c:v>39962</c:v>
                </c:pt>
                <c:pt idx="3305">
                  <c:v>39965</c:v>
                </c:pt>
                <c:pt idx="3306">
                  <c:v>39966</c:v>
                </c:pt>
                <c:pt idx="3307">
                  <c:v>39967</c:v>
                </c:pt>
                <c:pt idx="3308">
                  <c:v>39968</c:v>
                </c:pt>
                <c:pt idx="3309">
                  <c:v>39969</c:v>
                </c:pt>
                <c:pt idx="3310">
                  <c:v>39972</c:v>
                </c:pt>
                <c:pt idx="3311">
                  <c:v>39973</c:v>
                </c:pt>
                <c:pt idx="3312">
                  <c:v>39974</c:v>
                </c:pt>
                <c:pt idx="3313">
                  <c:v>39975</c:v>
                </c:pt>
                <c:pt idx="3314">
                  <c:v>39976</c:v>
                </c:pt>
                <c:pt idx="3315">
                  <c:v>39979</c:v>
                </c:pt>
                <c:pt idx="3316">
                  <c:v>39980</c:v>
                </c:pt>
                <c:pt idx="3317">
                  <c:v>39981</c:v>
                </c:pt>
                <c:pt idx="3318">
                  <c:v>39982</c:v>
                </c:pt>
                <c:pt idx="3319">
                  <c:v>39983</c:v>
                </c:pt>
                <c:pt idx="3320">
                  <c:v>39986</c:v>
                </c:pt>
                <c:pt idx="3321">
                  <c:v>39987</c:v>
                </c:pt>
                <c:pt idx="3322">
                  <c:v>39988</c:v>
                </c:pt>
                <c:pt idx="3323">
                  <c:v>39989</c:v>
                </c:pt>
                <c:pt idx="3324">
                  <c:v>39990</c:v>
                </c:pt>
                <c:pt idx="3325">
                  <c:v>39993</c:v>
                </c:pt>
                <c:pt idx="3326">
                  <c:v>39994</c:v>
                </c:pt>
                <c:pt idx="3327">
                  <c:v>39995</c:v>
                </c:pt>
                <c:pt idx="3328">
                  <c:v>39996</c:v>
                </c:pt>
                <c:pt idx="3329">
                  <c:v>40000</c:v>
                </c:pt>
                <c:pt idx="3330">
                  <c:v>40001</c:v>
                </c:pt>
                <c:pt idx="3331">
                  <c:v>40002</c:v>
                </c:pt>
                <c:pt idx="3332">
                  <c:v>40003</c:v>
                </c:pt>
                <c:pt idx="3333">
                  <c:v>40004</c:v>
                </c:pt>
                <c:pt idx="3334">
                  <c:v>40007</c:v>
                </c:pt>
                <c:pt idx="3335">
                  <c:v>40008</c:v>
                </c:pt>
                <c:pt idx="3336">
                  <c:v>40009</c:v>
                </c:pt>
                <c:pt idx="3337">
                  <c:v>40010</c:v>
                </c:pt>
                <c:pt idx="3338">
                  <c:v>40011</c:v>
                </c:pt>
                <c:pt idx="3339">
                  <c:v>40014</c:v>
                </c:pt>
                <c:pt idx="3340">
                  <c:v>40015</c:v>
                </c:pt>
                <c:pt idx="3341">
                  <c:v>40016</c:v>
                </c:pt>
                <c:pt idx="3342">
                  <c:v>40017</c:v>
                </c:pt>
                <c:pt idx="3343">
                  <c:v>40018</c:v>
                </c:pt>
                <c:pt idx="3344">
                  <c:v>40021</c:v>
                </c:pt>
                <c:pt idx="3345">
                  <c:v>40022</c:v>
                </c:pt>
                <c:pt idx="3346">
                  <c:v>40023</c:v>
                </c:pt>
                <c:pt idx="3347">
                  <c:v>40024</c:v>
                </c:pt>
                <c:pt idx="3348">
                  <c:v>40025</c:v>
                </c:pt>
                <c:pt idx="3349">
                  <c:v>40028</c:v>
                </c:pt>
                <c:pt idx="3350">
                  <c:v>40029</c:v>
                </c:pt>
                <c:pt idx="3351">
                  <c:v>40030</c:v>
                </c:pt>
                <c:pt idx="3352">
                  <c:v>40031</c:v>
                </c:pt>
                <c:pt idx="3353">
                  <c:v>40032</c:v>
                </c:pt>
                <c:pt idx="3354">
                  <c:v>40035</c:v>
                </c:pt>
                <c:pt idx="3355">
                  <c:v>40036</c:v>
                </c:pt>
                <c:pt idx="3356">
                  <c:v>40037</c:v>
                </c:pt>
                <c:pt idx="3357">
                  <c:v>40038</c:v>
                </c:pt>
                <c:pt idx="3358">
                  <c:v>40039</c:v>
                </c:pt>
                <c:pt idx="3359">
                  <c:v>40042</c:v>
                </c:pt>
                <c:pt idx="3360">
                  <c:v>40043</c:v>
                </c:pt>
                <c:pt idx="3361">
                  <c:v>40044</c:v>
                </c:pt>
                <c:pt idx="3362">
                  <c:v>40045</c:v>
                </c:pt>
                <c:pt idx="3363">
                  <c:v>40046</c:v>
                </c:pt>
                <c:pt idx="3364">
                  <c:v>40049</c:v>
                </c:pt>
                <c:pt idx="3365">
                  <c:v>40050</c:v>
                </c:pt>
                <c:pt idx="3366">
                  <c:v>40051</c:v>
                </c:pt>
                <c:pt idx="3367">
                  <c:v>40052</c:v>
                </c:pt>
                <c:pt idx="3368">
                  <c:v>40053</c:v>
                </c:pt>
                <c:pt idx="3369">
                  <c:v>40056</c:v>
                </c:pt>
                <c:pt idx="3370">
                  <c:v>40057</c:v>
                </c:pt>
                <c:pt idx="3371">
                  <c:v>40058</c:v>
                </c:pt>
                <c:pt idx="3372">
                  <c:v>40059</c:v>
                </c:pt>
                <c:pt idx="3373">
                  <c:v>40060</c:v>
                </c:pt>
                <c:pt idx="3374">
                  <c:v>40064</c:v>
                </c:pt>
                <c:pt idx="3375">
                  <c:v>40065</c:v>
                </c:pt>
                <c:pt idx="3376">
                  <c:v>40066</c:v>
                </c:pt>
                <c:pt idx="3377">
                  <c:v>40067</c:v>
                </c:pt>
                <c:pt idx="3378">
                  <c:v>40070</c:v>
                </c:pt>
                <c:pt idx="3379">
                  <c:v>40071</c:v>
                </c:pt>
                <c:pt idx="3380">
                  <c:v>40072</c:v>
                </c:pt>
                <c:pt idx="3381">
                  <c:v>40073</c:v>
                </c:pt>
                <c:pt idx="3382">
                  <c:v>40074</c:v>
                </c:pt>
                <c:pt idx="3383">
                  <c:v>40077</c:v>
                </c:pt>
                <c:pt idx="3384">
                  <c:v>40078</c:v>
                </c:pt>
                <c:pt idx="3385">
                  <c:v>40079</c:v>
                </c:pt>
                <c:pt idx="3386">
                  <c:v>40080</c:v>
                </c:pt>
                <c:pt idx="3387">
                  <c:v>40081</c:v>
                </c:pt>
                <c:pt idx="3388">
                  <c:v>40084</c:v>
                </c:pt>
                <c:pt idx="3389">
                  <c:v>40085</c:v>
                </c:pt>
                <c:pt idx="3390">
                  <c:v>40086</c:v>
                </c:pt>
                <c:pt idx="3391">
                  <c:v>40087</c:v>
                </c:pt>
                <c:pt idx="3392">
                  <c:v>40088</c:v>
                </c:pt>
                <c:pt idx="3393">
                  <c:v>40091</c:v>
                </c:pt>
                <c:pt idx="3394">
                  <c:v>40092</c:v>
                </c:pt>
                <c:pt idx="3395">
                  <c:v>40093</c:v>
                </c:pt>
                <c:pt idx="3396">
                  <c:v>40094</c:v>
                </c:pt>
                <c:pt idx="3397">
                  <c:v>40095</c:v>
                </c:pt>
                <c:pt idx="3398">
                  <c:v>40098</c:v>
                </c:pt>
                <c:pt idx="3399">
                  <c:v>40099</c:v>
                </c:pt>
                <c:pt idx="3400">
                  <c:v>40100</c:v>
                </c:pt>
                <c:pt idx="3401">
                  <c:v>40101</c:v>
                </c:pt>
                <c:pt idx="3402">
                  <c:v>40102</c:v>
                </c:pt>
                <c:pt idx="3403">
                  <c:v>40105</c:v>
                </c:pt>
                <c:pt idx="3404">
                  <c:v>40106</c:v>
                </c:pt>
                <c:pt idx="3405">
                  <c:v>40107</c:v>
                </c:pt>
                <c:pt idx="3406">
                  <c:v>40108</c:v>
                </c:pt>
                <c:pt idx="3407">
                  <c:v>40109</c:v>
                </c:pt>
                <c:pt idx="3408">
                  <c:v>40112</c:v>
                </c:pt>
                <c:pt idx="3409">
                  <c:v>40113</c:v>
                </c:pt>
                <c:pt idx="3410">
                  <c:v>40114</c:v>
                </c:pt>
                <c:pt idx="3411">
                  <c:v>40115</c:v>
                </c:pt>
                <c:pt idx="3412">
                  <c:v>40116</c:v>
                </c:pt>
                <c:pt idx="3413">
                  <c:v>40119</c:v>
                </c:pt>
                <c:pt idx="3414">
                  <c:v>40120</c:v>
                </c:pt>
                <c:pt idx="3415">
                  <c:v>40121</c:v>
                </c:pt>
                <c:pt idx="3416">
                  <c:v>40122</c:v>
                </c:pt>
                <c:pt idx="3417">
                  <c:v>40123</c:v>
                </c:pt>
                <c:pt idx="3418">
                  <c:v>40126</c:v>
                </c:pt>
                <c:pt idx="3419">
                  <c:v>40127</c:v>
                </c:pt>
                <c:pt idx="3420">
                  <c:v>40128</c:v>
                </c:pt>
                <c:pt idx="3421">
                  <c:v>40129</c:v>
                </c:pt>
                <c:pt idx="3422">
                  <c:v>40130</c:v>
                </c:pt>
                <c:pt idx="3423">
                  <c:v>40133</c:v>
                </c:pt>
                <c:pt idx="3424">
                  <c:v>40134</c:v>
                </c:pt>
                <c:pt idx="3425">
                  <c:v>40135</c:v>
                </c:pt>
                <c:pt idx="3426">
                  <c:v>40136</c:v>
                </c:pt>
                <c:pt idx="3427">
                  <c:v>40137</c:v>
                </c:pt>
                <c:pt idx="3428">
                  <c:v>40140</c:v>
                </c:pt>
                <c:pt idx="3429">
                  <c:v>40141</c:v>
                </c:pt>
                <c:pt idx="3430">
                  <c:v>40142</c:v>
                </c:pt>
                <c:pt idx="3431">
                  <c:v>40144</c:v>
                </c:pt>
                <c:pt idx="3432">
                  <c:v>40147</c:v>
                </c:pt>
                <c:pt idx="3433">
                  <c:v>40148</c:v>
                </c:pt>
                <c:pt idx="3434">
                  <c:v>40149</c:v>
                </c:pt>
                <c:pt idx="3435">
                  <c:v>40150</c:v>
                </c:pt>
                <c:pt idx="3436">
                  <c:v>40151</c:v>
                </c:pt>
                <c:pt idx="3437">
                  <c:v>40154</c:v>
                </c:pt>
                <c:pt idx="3438">
                  <c:v>40155</c:v>
                </c:pt>
                <c:pt idx="3439">
                  <c:v>40156</c:v>
                </c:pt>
                <c:pt idx="3440">
                  <c:v>40157</c:v>
                </c:pt>
                <c:pt idx="3441">
                  <c:v>40158</c:v>
                </c:pt>
                <c:pt idx="3442">
                  <c:v>40161</c:v>
                </c:pt>
                <c:pt idx="3443">
                  <c:v>40162</c:v>
                </c:pt>
                <c:pt idx="3444">
                  <c:v>40163</c:v>
                </c:pt>
                <c:pt idx="3445">
                  <c:v>40164</c:v>
                </c:pt>
                <c:pt idx="3446">
                  <c:v>40165</c:v>
                </c:pt>
                <c:pt idx="3447">
                  <c:v>40168</c:v>
                </c:pt>
                <c:pt idx="3448">
                  <c:v>40169</c:v>
                </c:pt>
                <c:pt idx="3449">
                  <c:v>40170</c:v>
                </c:pt>
                <c:pt idx="3450">
                  <c:v>40171</c:v>
                </c:pt>
                <c:pt idx="3451">
                  <c:v>40175</c:v>
                </c:pt>
                <c:pt idx="3452">
                  <c:v>40176</c:v>
                </c:pt>
                <c:pt idx="3453">
                  <c:v>40177</c:v>
                </c:pt>
                <c:pt idx="3454">
                  <c:v>40178</c:v>
                </c:pt>
                <c:pt idx="3455">
                  <c:v>40182</c:v>
                </c:pt>
                <c:pt idx="3456">
                  <c:v>40183</c:v>
                </c:pt>
                <c:pt idx="3457">
                  <c:v>40184</c:v>
                </c:pt>
                <c:pt idx="3458">
                  <c:v>40185</c:v>
                </c:pt>
                <c:pt idx="3459">
                  <c:v>40186</c:v>
                </c:pt>
                <c:pt idx="3460">
                  <c:v>40189</c:v>
                </c:pt>
                <c:pt idx="3461">
                  <c:v>40190</c:v>
                </c:pt>
                <c:pt idx="3462">
                  <c:v>40191</c:v>
                </c:pt>
                <c:pt idx="3463">
                  <c:v>40192</c:v>
                </c:pt>
                <c:pt idx="3464">
                  <c:v>40193</c:v>
                </c:pt>
                <c:pt idx="3465">
                  <c:v>40197</c:v>
                </c:pt>
                <c:pt idx="3466">
                  <c:v>40198</c:v>
                </c:pt>
                <c:pt idx="3467">
                  <c:v>40199</c:v>
                </c:pt>
                <c:pt idx="3468">
                  <c:v>40200</c:v>
                </c:pt>
                <c:pt idx="3469">
                  <c:v>40203</c:v>
                </c:pt>
                <c:pt idx="3470">
                  <c:v>40204</c:v>
                </c:pt>
                <c:pt idx="3471">
                  <c:v>40205</c:v>
                </c:pt>
                <c:pt idx="3472">
                  <c:v>40206</c:v>
                </c:pt>
                <c:pt idx="3473">
                  <c:v>40207</c:v>
                </c:pt>
                <c:pt idx="3474">
                  <c:v>40210</c:v>
                </c:pt>
                <c:pt idx="3475">
                  <c:v>40211</c:v>
                </c:pt>
                <c:pt idx="3476">
                  <c:v>40212</c:v>
                </c:pt>
                <c:pt idx="3477">
                  <c:v>40213</c:v>
                </c:pt>
                <c:pt idx="3478">
                  <c:v>40214</c:v>
                </c:pt>
                <c:pt idx="3479">
                  <c:v>40217</c:v>
                </c:pt>
                <c:pt idx="3480">
                  <c:v>40218</c:v>
                </c:pt>
                <c:pt idx="3481">
                  <c:v>40219</c:v>
                </c:pt>
                <c:pt idx="3482">
                  <c:v>40220</c:v>
                </c:pt>
                <c:pt idx="3483">
                  <c:v>40221</c:v>
                </c:pt>
                <c:pt idx="3484">
                  <c:v>40225</c:v>
                </c:pt>
                <c:pt idx="3485">
                  <c:v>40226</c:v>
                </c:pt>
                <c:pt idx="3486">
                  <c:v>40227</c:v>
                </c:pt>
                <c:pt idx="3487">
                  <c:v>40228</c:v>
                </c:pt>
                <c:pt idx="3488">
                  <c:v>40231</c:v>
                </c:pt>
                <c:pt idx="3489">
                  <c:v>40232</c:v>
                </c:pt>
                <c:pt idx="3490">
                  <c:v>40233</c:v>
                </c:pt>
                <c:pt idx="3491">
                  <c:v>40234</c:v>
                </c:pt>
                <c:pt idx="3492">
                  <c:v>40235</c:v>
                </c:pt>
                <c:pt idx="3493">
                  <c:v>40238</c:v>
                </c:pt>
                <c:pt idx="3494">
                  <c:v>40239</c:v>
                </c:pt>
                <c:pt idx="3495">
                  <c:v>40240</c:v>
                </c:pt>
                <c:pt idx="3496">
                  <c:v>40241</c:v>
                </c:pt>
                <c:pt idx="3497">
                  <c:v>40242</c:v>
                </c:pt>
                <c:pt idx="3498">
                  <c:v>40245</c:v>
                </c:pt>
                <c:pt idx="3499">
                  <c:v>40246</c:v>
                </c:pt>
                <c:pt idx="3500">
                  <c:v>40247</c:v>
                </c:pt>
                <c:pt idx="3501">
                  <c:v>40248</c:v>
                </c:pt>
                <c:pt idx="3502">
                  <c:v>40249</c:v>
                </c:pt>
                <c:pt idx="3503">
                  <c:v>40252</c:v>
                </c:pt>
                <c:pt idx="3504">
                  <c:v>40253</c:v>
                </c:pt>
                <c:pt idx="3505">
                  <c:v>40254</c:v>
                </c:pt>
                <c:pt idx="3506">
                  <c:v>40255</c:v>
                </c:pt>
                <c:pt idx="3507">
                  <c:v>40256</c:v>
                </c:pt>
                <c:pt idx="3508">
                  <c:v>40259</c:v>
                </c:pt>
                <c:pt idx="3509">
                  <c:v>40260</c:v>
                </c:pt>
                <c:pt idx="3510">
                  <c:v>40261</c:v>
                </c:pt>
                <c:pt idx="3511">
                  <c:v>40262</c:v>
                </c:pt>
                <c:pt idx="3512">
                  <c:v>40263</c:v>
                </c:pt>
                <c:pt idx="3513">
                  <c:v>40266</c:v>
                </c:pt>
                <c:pt idx="3514">
                  <c:v>40267</c:v>
                </c:pt>
                <c:pt idx="3515">
                  <c:v>40268</c:v>
                </c:pt>
                <c:pt idx="3516">
                  <c:v>40269</c:v>
                </c:pt>
                <c:pt idx="3517">
                  <c:v>40273</c:v>
                </c:pt>
                <c:pt idx="3518">
                  <c:v>40274</c:v>
                </c:pt>
                <c:pt idx="3519">
                  <c:v>40275</c:v>
                </c:pt>
                <c:pt idx="3520">
                  <c:v>40276</c:v>
                </c:pt>
                <c:pt idx="3521">
                  <c:v>40277</c:v>
                </c:pt>
                <c:pt idx="3522">
                  <c:v>40280</c:v>
                </c:pt>
                <c:pt idx="3523">
                  <c:v>40281</c:v>
                </c:pt>
                <c:pt idx="3524">
                  <c:v>40282</c:v>
                </c:pt>
                <c:pt idx="3525">
                  <c:v>40283</c:v>
                </c:pt>
                <c:pt idx="3526">
                  <c:v>40284</c:v>
                </c:pt>
                <c:pt idx="3527">
                  <c:v>40287</c:v>
                </c:pt>
                <c:pt idx="3528">
                  <c:v>40288</c:v>
                </c:pt>
                <c:pt idx="3529">
                  <c:v>40289</c:v>
                </c:pt>
                <c:pt idx="3530">
                  <c:v>40290</c:v>
                </c:pt>
                <c:pt idx="3531">
                  <c:v>40291</c:v>
                </c:pt>
                <c:pt idx="3532">
                  <c:v>40294</c:v>
                </c:pt>
                <c:pt idx="3533">
                  <c:v>40295</c:v>
                </c:pt>
                <c:pt idx="3534">
                  <c:v>40296</c:v>
                </c:pt>
                <c:pt idx="3535">
                  <c:v>40297</c:v>
                </c:pt>
                <c:pt idx="3536">
                  <c:v>40298</c:v>
                </c:pt>
                <c:pt idx="3537">
                  <c:v>40301</c:v>
                </c:pt>
                <c:pt idx="3538">
                  <c:v>40302</c:v>
                </c:pt>
                <c:pt idx="3539">
                  <c:v>40303</c:v>
                </c:pt>
                <c:pt idx="3540">
                  <c:v>40304</c:v>
                </c:pt>
                <c:pt idx="3541">
                  <c:v>40305</c:v>
                </c:pt>
                <c:pt idx="3542">
                  <c:v>40308</c:v>
                </c:pt>
                <c:pt idx="3543">
                  <c:v>40309</c:v>
                </c:pt>
                <c:pt idx="3544">
                  <c:v>40310</c:v>
                </c:pt>
                <c:pt idx="3545">
                  <c:v>40311</c:v>
                </c:pt>
                <c:pt idx="3546">
                  <c:v>40312</c:v>
                </c:pt>
                <c:pt idx="3547">
                  <c:v>40315</c:v>
                </c:pt>
                <c:pt idx="3548">
                  <c:v>40316</c:v>
                </c:pt>
                <c:pt idx="3549">
                  <c:v>40317</c:v>
                </c:pt>
                <c:pt idx="3550">
                  <c:v>40318</c:v>
                </c:pt>
                <c:pt idx="3551">
                  <c:v>40319</c:v>
                </c:pt>
                <c:pt idx="3552">
                  <c:v>40322</c:v>
                </c:pt>
                <c:pt idx="3553">
                  <c:v>40323</c:v>
                </c:pt>
                <c:pt idx="3554">
                  <c:v>40324</c:v>
                </c:pt>
                <c:pt idx="3555">
                  <c:v>40325</c:v>
                </c:pt>
                <c:pt idx="3556">
                  <c:v>40326</c:v>
                </c:pt>
                <c:pt idx="3557">
                  <c:v>40330</c:v>
                </c:pt>
                <c:pt idx="3558">
                  <c:v>40331</c:v>
                </c:pt>
                <c:pt idx="3559">
                  <c:v>40332</c:v>
                </c:pt>
                <c:pt idx="3560">
                  <c:v>40333</c:v>
                </c:pt>
                <c:pt idx="3561">
                  <c:v>40336</c:v>
                </c:pt>
                <c:pt idx="3562">
                  <c:v>40337</c:v>
                </c:pt>
                <c:pt idx="3563">
                  <c:v>40338</c:v>
                </c:pt>
                <c:pt idx="3564">
                  <c:v>40339</c:v>
                </c:pt>
                <c:pt idx="3565">
                  <c:v>40340</c:v>
                </c:pt>
                <c:pt idx="3566">
                  <c:v>40343</c:v>
                </c:pt>
                <c:pt idx="3567">
                  <c:v>40344</c:v>
                </c:pt>
                <c:pt idx="3568">
                  <c:v>40345</c:v>
                </c:pt>
                <c:pt idx="3569">
                  <c:v>40346</c:v>
                </c:pt>
                <c:pt idx="3570">
                  <c:v>40347</c:v>
                </c:pt>
                <c:pt idx="3571">
                  <c:v>40350</c:v>
                </c:pt>
                <c:pt idx="3572">
                  <c:v>40351</c:v>
                </c:pt>
                <c:pt idx="3573">
                  <c:v>40352</c:v>
                </c:pt>
                <c:pt idx="3574">
                  <c:v>40353</c:v>
                </c:pt>
                <c:pt idx="3575">
                  <c:v>40354</c:v>
                </c:pt>
                <c:pt idx="3576">
                  <c:v>40357</c:v>
                </c:pt>
                <c:pt idx="3577">
                  <c:v>40358</c:v>
                </c:pt>
                <c:pt idx="3578">
                  <c:v>40359</c:v>
                </c:pt>
                <c:pt idx="3579">
                  <c:v>40360</c:v>
                </c:pt>
                <c:pt idx="3580">
                  <c:v>40361</c:v>
                </c:pt>
                <c:pt idx="3581">
                  <c:v>40365</c:v>
                </c:pt>
                <c:pt idx="3582">
                  <c:v>40366</c:v>
                </c:pt>
                <c:pt idx="3583">
                  <c:v>40367</c:v>
                </c:pt>
                <c:pt idx="3584">
                  <c:v>40368</c:v>
                </c:pt>
                <c:pt idx="3585">
                  <c:v>40371</c:v>
                </c:pt>
                <c:pt idx="3586">
                  <c:v>40372</c:v>
                </c:pt>
                <c:pt idx="3587">
                  <c:v>40373</c:v>
                </c:pt>
                <c:pt idx="3588">
                  <c:v>40374</c:v>
                </c:pt>
                <c:pt idx="3589">
                  <c:v>40375</c:v>
                </c:pt>
                <c:pt idx="3590">
                  <c:v>40378</c:v>
                </c:pt>
                <c:pt idx="3591">
                  <c:v>40379</c:v>
                </c:pt>
                <c:pt idx="3592">
                  <c:v>40380</c:v>
                </c:pt>
                <c:pt idx="3593">
                  <c:v>40381</c:v>
                </c:pt>
                <c:pt idx="3594">
                  <c:v>40382</c:v>
                </c:pt>
                <c:pt idx="3595">
                  <c:v>40385</c:v>
                </c:pt>
                <c:pt idx="3596">
                  <c:v>40386</c:v>
                </c:pt>
                <c:pt idx="3597">
                  <c:v>40387</c:v>
                </c:pt>
                <c:pt idx="3598">
                  <c:v>40388</c:v>
                </c:pt>
                <c:pt idx="3599">
                  <c:v>40389</c:v>
                </c:pt>
                <c:pt idx="3600">
                  <c:v>40392</c:v>
                </c:pt>
                <c:pt idx="3601">
                  <c:v>40393</c:v>
                </c:pt>
                <c:pt idx="3602">
                  <c:v>40394</c:v>
                </c:pt>
                <c:pt idx="3603">
                  <c:v>40395</c:v>
                </c:pt>
                <c:pt idx="3604">
                  <c:v>40396</c:v>
                </c:pt>
                <c:pt idx="3605">
                  <c:v>40399</c:v>
                </c:pt>
                <c:pt idx="3606">
                  <c:v>40400</c:v>
                </c:pt>
                <c:pt idx="3607">
                  <c:v>40401</c:v>
                </c:pt>
                <c:pt idx="3608">
                  <c:v>40402</c:v>
                </c:pt>
                <c:pt idx="3609">
                  <c:v>40403</c:v>
                </c:pt>
                <c:pt idx="3610">
                  <c:v>40406</c:v>
                </c:pt>
                <c:pt idx="3611">
                  <c:v>40407</c:v>
                </c:pt>
                <c:pt idx="3612">
                  <c:v>40408</c:v>
                </c:pt>
                <c:pt idx="3613">
                  <c:v>40409</c:v>
                </c:pt>
                <c:pt idx="3614">
                  <c:v>40410</c:v>
                </c:pt>
                <c:pt idx="3615">
                  <c:v>40413</c:v>
                </c:pt>
                <c:pt idx="3616">
                  <c:v>40414</c:v>
                </c:pt>
                <c:pt idx="3617">
                  <c:v>40415</c:v>
                </c:pt>
                <c:pt idx="3618">
                  <c:v>40416</c:v>
                </c:pt>
                <c:pt idx="3619">
                  <c:v>40417</c:v>
                </c:pt>
                <c:pt idx="3620">
                  <c:v>40420</c:v>
                </c:pt>
                <c:pt idx="3621">
                  <c:v>40421</c:v>
                </c:pt>
                <c:pt idx="3622">
                  <c:v>40422</c:v>
                </c:pt>
                <c:pt idx="3623">
                  <c:v>40423</c:v>
                </c:pt>
                <c:pt idx="3624">
                  <c:v>40424</c:v>
                </c:pt>
                <c:pt idx="3625">
                  <c:v>40428</c:v>
                </c:pt>
                <c:pt idx="3626">
                  <c:v>40429</c:v>
                </c:pt>
                <c:pt idx="3627">
                  <c:v>40430</c:v>
                </c:pt>
                <c:pt idx="3628">
                  <c:v>40431</c:v>
                </c:pt>
                <c:pt idx="3629">
                  <c:v>40434</c:v>
                </c:pt>
                <c:pt idx="3630">
                  <c:v>40435</c:v>
                </c:pt>
                <c:pt idx="3631">
                  <c:v>40436</c:v>
                </c:pt>
                <c:pt idx="3632">
                  <c:v>40437</c:v>
                </c:pt>
                <c:pt idx="3633">
                  <c:v>40438</c:v>
                </c:pt>
                <c:pt idx="3634">
                  <c:v>40441</c:v>
                </c:pt>
                <c:pt idx="3635">
                  <c:v>40442</c:v>
                </c:pt>
                <c:pt idx="3636">
                  <c:v>40443</c:v>
                </c:pt>
                <c:pt idx="3637">
                  <c:v>40444</c:v>
                </c:pt>
                <c:pt idx="3638">
                  <c:v>40445</c:v>
                </c:pt>
                <c:pt idx="3639">
                  <c:v>40448</c:v>
                </c:pt>
                <c:pt idx="3640">
                  <c:v>40449</c:v>
                </c:pt>
                <c:pt idx="3641">
                  <c:v>40450</c:v>
                </c:pt>
                <c:pt idx="3642">
                  <c:v>40451</c:v>
                </c:pt>
                <c:pt idx="3643">
                  <c:v>40452</c:v>
                </c:pt>
                <c:pt idx="3644">
                  <c:v>40455</c:v>
                </c:pt>
                <c:pt idx="3645">
                  <c:v>40456</c:v>
                </c:pt>
                <c:pt idx="3646">
                  <c:v>40457</c:v>
                </c:pt>
                <c:pt idx="3647">
                  <c:v>40458</c:v>
                </c:pt>
                <c:pt idx="3648">
                  <c:v>40459</c:v>
                </c:pt>
                <c:pt idx="3649">
                  <c:v>40462</c:v>
                </c:pt>
                <c:pt idx="3650">
                  <c:v>40463</c:v>
                </c:pt>
                <c:pt idx="3651">
                  <c:v>40464</c:v>
                </c:pt>
                <c:pt idx="3652">
                  <c:v>40465</c:v>
                </c:pt>
                <c:pt idx="3653">
                  <c:v>40466</c:v>
                </c:pt>
                <c:pt idx="3654">
                  <c:v>40469</c:v>
                </c:pt>
                <c:pt idx="3655">
                  <c:v>40470</c:v>
                </c:pt>
                <c:pt idx="3656">
                  <c:v>40471</c:v>
                </c:pt>
                <c:pt idx="3657">
                  <c:v>40472</c:v>
                </c:pt>
                <c:pt idx="3658">
                  <c:v>40473</c:v>
                </c:pt>
                <c:pt idx="3659">
                  <c:v>40476</c:v>
                </c:pt>
                <c:pt idx="3660">
                  <c:v>40477</c:v>
                </c:pt>
                <c:pt idx="3661">
                  <c:v>40478</c:v>
                </c:pt>
                <c:pt idx="3662">
                  <c:v>40479</c:v>
                </c:pt>
                <c:pt idx="3663">
                  <c:v>40480</c:v>
                </c:pt>
                <c:pt idx="3664">
                  <c:v>40483</c:v>
                </c:pt>
                <c:pt idx="3665">
                  <c:v>40484</c:v>
                </c:pt>
                <c:pt idx="3666">
                  <c:v>40485</c:v>
                </c:pt>
                <c:pt idx="3667">
                  <c:v>40486</c:v>
                </c:pt>
                <c:pt idx="3668">
                  <c:v>40487</c:v>
                </c:pt>
                <c:pt idx="3669">
                  <c:v>40490</c:v>
                </c:pt>
                <c:pt idx="3670">
                  <c:v>40491</c:v>
                </c:pt>
                <c:pt idx="3671">
                  <c:v>40492</c:v>
                </c:pt>
                <c:pt idx="3672">
                  <c:v>40493</c:v>
                </c:pt>
                <c:pt idx="3673">
                  <c:v>40494</c:v>
                </c:pt>
                <c:pt idx="3674">
                  <c:v>40497</c:v>
                </c:pt>
                <c:pt idx="3675">
                  <c:v>40498</c:v>
                </c:pt>
                <c:pt idx="3676">
                  <c:v>40499</c:v>
                </c:pt>
                <c:pt idx="3677">
                  <c:v>40500</c:v>
                </c:pt>
                <c:pt idx="3678">
                  <c:v>40501</c:v>
                </c:pt>
                <c:pt idx="3679">
                  <c:v>40504</c:v>
                </c:pt>
                <c:pt idx="3680">
                  <c:v>40505</c:v>
                </c:pt>
                <c:pt idx="3681">
                  <c:v>40506</c:v>
                </c:pt>
                <c:pt idx="3682">
                  <c:v>40508</c:v>
                </c:pt>
                <c:pt idx="3683">
                  <c:v>40511</c:v>
                </c:pt>
                <c:pt idx="3684">
                  <c:v>40512</c:v>
                </c:pt>
                <c:pt idx="3685">
                  <c:v>40513</c:v>
                </c:pt>
                <c:pt idx="3686">
                  <c:v>40514</c:v>
                </c:pt>
                <c:pt idx="3687">
                  <c:v>40515</c:v>
                </c:pt>
                <c:pt idx="3688">
                  <c:v>40518</c:v>
                </c:pt>
                <c:pt idx="3689">
                  <c:v>40519</c:v>
                </c:pt>
                <c:pt idx="3690">
                  <c:v>40520</c:v>
                </c:pt>
                <c:pt idx="3691">
                  <c:v>40521</c:v>
                </c:pt>
                <c:pt idx="3692">
                  <c:v>40522</c:v>
                </c:pt>
                <c:pt idx="3693">
                  <c:v>40525</c:v>
                </c:pt>
                <c:pt idx="3694">
                  <c:v>40526</c:v>
                </c:pt>
                <c:pt idx="3695">
                  <c:v>40527</c:v>
                </c:pt>
                <c:pt idx="3696">
                  <c:v>40528</c:v>
                </c:pt>
                <c:pt idx="3697">
                  <c:v>40529</c:v>
                </c:pt>
                <c:pt idx="3698">
                  <c:v>40532</c:v>
                </c:pt>
                <c:pt idx="3699">
                  <c:v>40533</c:v>
                </c:pt>
                <c:pt idx="3700">
                  <c:v>40534</c:v>
                </c:pt>
                <c:pt idx="3701">
                  <c:v>40535</c:v>
                </c:pt>
                <c:pt idx="3702">
                  <c:v>40539</c:v>
                </c:pt>
                <c:pt idx="3703">
                  <c:v>40540</c:v>
                </c:pt>
                <c:pt idx="3704">
                  <c:v>40541</c:v>
                </c:pt>
                <c:pt idx="3705">
                  <c:v>40542</c:v>
                </c:pt>
                <c:pt idx="3706">
                  <c:v>40543</c:v>
                </c:pt>
                <c:pt idx="3707">
                  <c:v>40546</c:v>
                </c:pt>
                <c:pt idx="3708">
                  <c:v>40547</c:v>
                </c:pt>
                <c:pt idx="3709">
                  <c:v>40548</c:v>
                </c:pt>
                <c:pt idx="3710">
                  <c:v>40549</c:v>
                </c:pt>
                <c:pt idx="3711">
                  <c:v>40550</c:v>
                </c:pt>
                <c:pt idx="3712">
                  <c:v>40553</c:v>
                </c:pt>
                <c:pt idx="3713">
                  <c:v>40554</c:v>
                </c:pt>
                <c:pt idx="3714">
                  <c:v>40555</c:v>
                </c:pt>
                <c:pt idx="3715">
                  <c:v>40556</c:v>
                </c:pt>
                <c:pt idx="3716">
                  <c:v>40557</c:v>
                </c:pt>
                <c:pt idx="3717">
                  <c:v>40561</c:v>
                </c:pt>
                <c:pt idx="3718">
                  <c:v>40562</c:v>
                </c:pt>
                <c:pt idx="3719">
                  <c:v>40563</c:v>
                </c:pt>
                <c:pt idx="3720">
                  <c:v>40564</c:v>
                </c:pt>
                <c:pt idx="3721">
                  <c:v>40567</c:v>
                </c:pt>
                <c:pt idx="3722">
                  <c:v>40568</c:v>
                </c:pt>
                <c:pt idx="3723">
                  <c:v>40569</c:v>
                </c:pt>
                <c:pt idx="3724">
                  <c:v>40570</c:v>
                </c:pt>
                <c:pt idx="3725">
                  <c:v>40571</c:v>
                </c:pt>
                <c:pt idx="3726">
                  <c:v>40574</c:v>
                </c:pt>
                <c:pt idx="3727">
                  <c:v>40575</c:v>
                </c:pt>
                <c:pt idx="3728">
                  <c:v>40576</c:v>
                </c:pt>
                <c:pt idx="3729">
                  <c:v>40577</c:v>
                </c:pt>
                <c:pt idx="3730">
                  <c:v>40578</c:v>
                </c:pt>
                <c:pt idx="3731">
                  <c:v>40581</c:v>
                </c:pt>
                <c:pt idx="3732">
                  <c:v>40582</c:v>
                </c:pt>
                <c:pt idx="3733">
                  <c:v>40583</c:v>
                </c:pt>
                <c:pt idx="3734">
                  <c:v>40584</c:v>
                </c:pt>
                <c:pt idx="3735">
                  <c:v>40585</c:v>
                </c:pt>
                <c:pt idx="3736">
                  <c:v>40588</c:v>
                </c:pt>
                <c:pt idx="3737">
                  <c:v>40589</c:v>
                </c:pt>
                <c:pt idx="3738">
                  <c:v>40590</c:v>
                </c:pt>
                <c:pt idx="3739">
                  <c:v>40591</c:v>
                </c:pt>
                <c:pt idx="3740">
                  <c:v>40592</c:v>
                </c:pt>
                <c:pt idx="3741">
                  <c:v>40596</c:v>
                </c:pt>
                <c:pt idx="3742">
                  <c:v>40597</c:v>
                </c:pt>
                <c:pt idx="3743">
                  <c:v>40598</c:v>
                </c:pt>
                <c:pt idx="3744">
                  <c:v>40599</c:v>
                </c:pt>
                <c:pt idx="3745">
                  <c:v>40602</c:v>
                </c:pt>
                <c:pt idx="3746">
                  <c:v>40603</c:v>
                </c:pt>
                <c:pt idx="3747">
                  <c:v>40604</c:v>
                </c:pt>
                <c:pt idx="3748">
                  <c:v>40605</c:v>
                </c:pt>
                <c:pt idx="3749">
                  <c:v>40606</c:v>
                </c:pt>
                <c:pt idx="3750">
                  <c:v>40609</c:v>
                </c:pt>
                <c:pt idx="3751">
                  <c:v>40610</c:v>
                </c:pt>
                <c:pt idx="3752">
                  <c:v>40611</c:v>
                </c:pt>
                <c:pt idx="3753">
                  <c:v>40612</c:v>
                </c:pt>
                <c:pt idx="3754">
                  <c:v>40613</c:v>
                </c:pt>
                <c:pt idx="3755">
                  <c:v>40616</c:v>
                </c:pt>
                <c:pt idx="3756">
                  <c:v>40617</c:v>
                </c:pt>
                <c:pt idx="3757">
                  <c:v>40618</c:v>
                </c:pt>
                <c:pt idx="3758">
                  <c:v>40619</c:v>
                </c:pt>
                <c:pt idx="3759">
                  <c:v>40620</c:v>
                </c:pt>
                <c:pt idx="3760">
                  <c:v>40623</c:v>
                </c:pt>
                <c:pt idx="3761">
                  <c:v>40624</c:v>
                </c:pt>
                <c:pt idx="3762">
                  <c:v>40625</c:v>
                </c:pt>
                <c:pt idx="3763">
                  <c:v>40626</c:v>
                </c:pt>
                <c:pt idx="3764">
                  <c:v>40627</c:v>
                </c:pt>
                <c:pt idx="3765">
                  <c:v>40630</c:v>
                </c:pt>
                <c:pt idx="3766">
                  <c:v>40631</c:v>
                </c:pt>
                <c:pt idx="3767">
                  <c:v>40632</c:v>
                </c:pt>
                <c:pt idx="3768">
                  <c:v>40633</c:v>
                </c:pt>
                <c:pt idx="3769">
                  <c:v>40634</c:v>
                </c:pt>
                <c:pt idx="3770">
                  <c:v>40637</c:v>
                </c:pt>
                <c:pt idx="3771">
                  <c:v>40638</c:v>
                </c:pt>
                <c:pt idx="3772">
                  <c:v>40639</c:v>
                </c:pt>
                <c:pt idx="3773">
                  <c:v>40640</c:v>
                </c:pt>
                <c:pt idx="3774">
                  <c:v>40641</c:v>
                </c:pt>
                <c:pt idx="3775">
                  <c:v>40644</c:v>
                </c:pt>
                <c:pt idx="3776">
                  <c:v>40645</c:v>
                </c:pt>
                <c:pt idx="3777">
                  <c:v>40646</c:v>
                </c:pt>
                <c:pt idx="3778">
                  <c:v>40647</c:v>
                </c:pt>
                <c:pt idx="3779">
                  <c:v>40648</c:v>
                </c:pt>
                <c:pt idx="3780">
                  <c:v>40651</c:v>
                </c:pt>
                <c:pt idx="3781">
                  <c:v>40652</c:v>
                </c:pt>
                <c:pt idx="3782">
                  <c:v>40653</c:v>
                </c:pt>
                <c:pt idx="3783">
                  <c:v>40654</c:v>
                </c:pt>
                <c:pt idx="3784">
                  <c:v>40658</c:v>
                </c:pt>
                <c:pt idx="3785">
                  <c:v>40659</c:v>
                </c:pt>
                <c:pt idx="3786">
                  <c:v>40660</c:v>
                </c:pt>
                <c:pt idx="3787">
                  <c:v>40661</c:v>
                </c:pt>
                <c:pt idx="3788">
                  <c:v>40662</c:v>
                </c:pt>
                <c:pt idx="3789">
                  <c:v>40665</c:v>
                </c:pt>
                <c:pt idx="3790">
                  <c:v>40666</c:v>
                </c:pt>
                <c:pt idx="3791">
                  <c:v>40667</c:v>
                </c:pt>
                <c:pt idx="3792">
                  <c:v>40668</c:v>
                </c:pt>
                <c:pt idx="3793">
                  <c:v>40669</c:v>
                </c:pt>
                <c:pt idx="3794">
                  <c:v>40672</c:v>
                </c:pt>
                <c:pt idx="3795">
                  <c:v>40673</c:v>
                </c:pt>
                <c:pt idx="3796">
                  <c:v>40674</c:v>
                </c:pt>
                <c:pt idx="3797">
                  <c:v>40675</c:v>
                </c:pt>
                <c:pt idx="3798">
                  <c:v>40676</c:v>
                </c:pt>
                <c:pt idx="3799">
                  <c:v>40679</c:v>
                </c:pt>
                <c:pt idx="3800">
                  <c:v>40680</c:v>
                </c:pt>
                <c:pt idx="3801">
                  <c:v>40681</c:v>
                </c:pt>
                <c:pt idx="3802">
                  <c:v>40682</c:v>
                </c:pt>
                <c:pt idx="3803">
                  <c:v>40683</c:v>
                </c:pt>
                <c:pt idx="3804">
                  <c:v>40686</c:v>
                </c:pt>
                <c:pt idx="3805">
                  <c:v>40687</c:v>
                </c:pt>
                <c:pt idx="3806">
                  <c:v>40688</c:v>
                </c:pt>
                <c:pt idx="3807">
                  <c:v>40689</c:v>
                </c:pt>
                <c:pt idx="3808">
                  <c:v>40690</c:v>
                </c:pt>
                <c:pt idx="3809">
                  <c:v>40694</c:v>
                </c:pt>
                <c:pt idx="3810">
                  <c:v>40695</c:v>
                </c:pt>
                <c:pt idx="3811">
                  <c:v>40696</c:v>
                </c:pt>
                <c:pt idx="3812">
                  <c:v>40697</c:v>
                </c:pt>
                <c:pt idx="3813">
                  <c:v>40700</c:v>
                </c:pt>
                <c:pt idx="3814">
                  <c:v>40701</c:v>
                </c:pt>
                <c:pt idx="3815">
                  <c:v>40702</c:v>
                </c:pt>
                <c:pt idx="3816">
                  <c:v>40703</c:v>
                </c:pt>
                <c:pt idx="3817">
                  <c:v>40704</c:v>
                </c:pt>
                <c:pt idx="3818">
                  <c:v>40707</c:v>
                </c:pt>
                <c:pt idx="3819">
                  <c:v>40708</c:v>
                </c:pt>
                <c:pt idx="3820">
                  <c:v>40709</c:v>
                </c:pt>
                <c:pt idx="3821">
                  <c:v>40710</c:v>
                </c:pt>
                <c:pt idx="3822">
                  <c:v>40711</c:v>
                </c:pt>
                <c:pt idx="3823">
                  <c:v>40714</c:v>
                </c:pt>
                <c:pt idx="3824">
                  <c:v>40715</c:v>
                </c:pt>
                <c:pt idx="3825">
                  <c:v>40716</c:v>
                </c:pt>
                <c:pt idx="3826">
                  <c:v>40717</c:v>
                </c:pt>
                <c:pt idx="3827">
                  <c:v>40718</c:v>
                </c:pt>
                <c:pt idx="3828">
                  <c:v>40721</c:v>
                </c:pt>
                <c:pt idx="3829">
                  <c:v>40722</c:v>
                </c:pt>
                <c:pt idx="3830">
                  <c:v>40723</c:v>
                </c:pt>
                <c:pt idx="3831">
                  <c:v>40724</c:v>
                </c:pt>
                <c:pt idx="3832">
                  <c:v>40725</c:v>
                </c:pt>
                <c:pt idx="3833">
                  <c:v>40729</c:v>
                </c:pt>
                <c:pt idx="3834">
                  <c:v>40730</c:v>
                </c:pt>
                <c:pt idx="3835">
                  <c:v>40731</c:v>
                </c:pt>
                <c:pt idx="3836">
                  <c:v>40732</c:v>
                </c:pt>
                <c:pt idx="3837">
                  <c:v>40735</c:v>
                </c:pt>
                <c:pt idx="3838">
                  <c:v>40736</c:v>
                </c:pt>
                <c:pt idx="3839">
                  <c:v>40737</c:v>
                </c:pt>
                <c:pt idx="3840">
                  <c:v>40738</c:v>
                </c:pt>
                <c:pt idx="3841">
                  <c:v>40739</c:v>
                </c:pt>
                <c:pt idx="3842">
                  <c:v>40742</c:v>
                </c:pt>
                <c:pt idx="3843">
                  <c:v>40743</c:v>
                </c:pt>
                <c:pt idx="3844">
                  <c:v>40744</c:v>
                </c:pt>
                <c:pt idx="3845">
                  <c:v>40745</c:v>
                </c:pt>
                <c:pt idx="3846">
                  <c:v>40746</c:v>
                </c:pt>
                <c:pt idx="3847">
                  <c:v>40749</c:v>
                </c:pt>
                <c:pt idx="3848">
                  <c:v>40750</c:v>
                </c:pt>
                <c:pt idx="3849">
                  <c:v>40751</c:v>
                </c:pt>
                <c:pt idx="3850">
                  <c:v>40752</c:v>
                </c:pt>
                <c:pt idx="3851">
                  <c:v>40753</c:v>
                </c:pt>
                <c:pt idx="3852">
                  <c:v>40756</c:v>
                </c:pt>
                <c:pt idx="3853">
                  <c:v>40757</c:v>
                </c:pt>
                <c:pt idx="3854">
                  <c:v>40758</c:v>
                </c:pt>
                <c:pt idx="3855">
                  <c:v>40759</c:v>
                </c:pt>
                <c:pt idx="3856">
                  <c:v>40760</c:v>
                </c:pt>
                <c:pt idx="3857">
                  <c:v>40763</c:v>
                </c:pt>
                <c:pt idx="3858">
                  <c:v>40764</c:v>
                </c:pt>
                <c:pt idx="3859">
                  <c:v>40765</c:v>
                </c:pt>
                <c:pt idx="3860">
                  <c:v>40766</c:v>
                </c:pt>
                <c:pt idx="3861">
                  <c:v>40767</c:v>
                </c:pt>
                <c:pt idx="3862">
                  <c:v>40770</c:v>
                </c:pt>
                <c:pt idx="3863">
                  <c:v>40771</c:v>
                </c:pt>
                <c:pt idx="3864">
                  <c:v>40772</c:v>
                </c:pt>
                <c:pt idx="3865">
                  <c:v>40773</c:v>
                </c:pt>
                <c:pt idx="3866">
                  <c:v>40774</c:v>
                </c:pt>
                <c:pt idx="3867">
                  <c:v>40777</c:v>
                </c:pt>
                <c:pt idx="3868">
                  <c:v>40778</c:v>
                </c:pt>
                <c:pt idx="3869">
                  <c:v>40779</c:v>
                </c:pt>
                <c:pt idx="3870">
                  <c:v>40780</c:v>
                </c:pt>
                <c:pt idx="3871">
                  <c:v>40781</c:v>
                </c:pt>
                <c:pt idx="3872">
                  <c:v>40784</c:v>
                </c:pt>
                <c:pt idx="3873">
                  <c:v>40785</c:v>
                </c:pt>
                <c:pt idx="3874">
                  <c:v>40786</c:v>
                </c:pt>
                <c:pt idx="3875">
                  <c:v>40787</c:v>
                </c:pt>
                <c:pt idx="3876">
                  <c:v>40788</c:v>
                </c:pt>
                <c:pt idx="3877">
                  <c:v>40792</c:v>
                </c:pt>
                <c:pt idx="3878">
                  <c:v>40793</c:v>
                </c:pt>
                <c:pt idx="3879">
                  <c:v>40794</c:v>
                </c:pt>
                <c:pt idx="3880">
                  <c:v>40795</c:v>
                </c:pt>
                <c:pt idx="3881">
                  <c:v>40798</c:v>
                </c:pt>
                <c:pt idx="3882">
                  <c:v>40799</c:v>
                </c:pt>
                <c:pt idx="3883">
                  <c:v>40800</c:v>
                </c:pt>
                <c:pt idx="3884">
                  <c:v>40801</c:v>
                </c:pt>
                <c:pt idx="3885">
                  <c:v>40802</c:v>
                </c:pt>
                <c:pt idx="3886">
                  <c:v>40805</c:v>
                </c:pt>
                <c:pt idx="3887">
                  <c:v>40806</c:v>
                </c:pt>
                <c:pt idx="3888">
                  <c:v>40807</c:v>
                </c:pt>
                <c:pt idx="3889">
                  <c:v>40808</c:v>
                </c:pt>
                <c:pt idx="3890">
                  <c:v>40809</c:v>
                </c:pt>
                <c:pt idx="3891">
                  <c:v>40812</c:v>
                </c:pt>
                <c:pt idx="3892">
                  <c:v>40813</c:v>
                </c:pt>
                <c:pt idx="3893">
                  <c:v>40814</c:v>
                </c:pt>
                <c:pt idx="3894">
                  <c:v>40815</c:v>
                </c:pt>
                <c:pt idx="3895">
                  <c:v>40816</c:v>
                </c:pt>
                <c:pt idx="3896">
                  <c:v>40819</c:v>
                </c:pt>
                <c:pt idx="3897">
                  <c:v>40820</c:v>
                </c:pt>
                <c:pt idx="3898">
                  <c:v>40821</c:v>
                </c:pt>
                <c:pt idx="3899">
                  <c:v>40822</c:v>
                </c:pt>
                <c:pt idx="3900">
                  <c:v>40823</c:v>
                </c:pt>
                <c:pt idx="3901">
                  <c:v>40826</c:v>
                </c:pt>
                <c:pt idx="3902">
                  <c:v>40827</c:v>
                </c:pt>
                <c:pt idx="3903">
                  <c:v>40828</c:v>
                </c:pt>
                <c:pt idx="3904">
                  <c:v>40829</c:v>
                </c:pt>
                <c:pt idx="3905">
                  <c:v>40830</c:v>
                </c:pt>
                <c:pt idx="3906">
                  <c:v>40833</c:v>
                </c:pt>
                <c:pt idx="3907">
                  <c:v>40834</c:v>
                </c:pt>
                <c:pt idx="3908">
                  <c:v>40835</c:v>
                </c:pt>
                <c:pt idx="3909">
                  <c:v>40836</c:v>
                </c:pt>
                <c:pt idx="3910">
                  <c:v>40837</c:v>
                </c:pt>
                <c:pt idx="3911">
                  <c:v>40840</c:v>
                </c:pt>
                <c:pt idx="3912">
                  <c:v>40841</c:v>
                </c:pt>
                <c:pt idx="3913">
                  <c:v>40842</c:v>
                </c:pt>
                <c:pt idx="3914">
                  <c:v>40843</c:v>
                </c:pt>
                <c:pt idx="3915">
                  <c:v>40844</c:v>
                </c:pt>
                <c:pt idx="3916">
                  <c:v>40847</c:v>
                </c:pt>
                <c:pt idx="3917">
                  <c:v>40848</c:v>
                </c:pt>
                <c:pt idx="3918">
                  <c:v>40849</c:v>
                </c:pt>
                <c:pt idx="3919">
                  <c:v>40850</c:v>
                </c:pt>
                <c:pt idx="3920">
                  <c:v>40851</c:v>
                </c:pt>
                <c:pt idx="3921">
                  <c:v>40854</c:v>
                </c:pt>
                <c:pt idx="3922">
                  <c:v>40855</c:v>
                </c:pt>
                <c:pt idx="3923">
                  <c:v>40856</c:v>
                </c:pt>
                <c:pt idx="3924">
                  <c:v>40857</c:v>
                </c:pt>
                <c:pt idx="3925">
                  <c:v>40858</c:v>
                </c:pt>
                <c:pt idx="3926">
                  <c:v>40861</c:v>
                </c:pt>
                <c:pt idx="3927">
                  <c:v>40862</c:v>
                </c:pt>
                <c:pt idx="3928">
                  <c:v>40863</c:v>
                </c:pt>
                <c:pt idx="3929">
                  <c:v>40864</c:v>
                </c:pt>
                <c:pt idx="3930">
                  <c:v>40865</c:v>
                </c:pt>
                <c:pt idx="3931">
                  <c:v>40868</c:v>
                </c:pt>
                <c:pt idx="3932">
                  <c:v>40869</c:v>
                </c:pt>
                <c:pt idx="3933">
                  <c:v>40870</c:v>
                </c:pt>
                <c:pt idx="3934">
                  <c:v>40872</c:v>
                </c:pt>
                <c:pt idx="3935">
                  <c:v>40875</c:v>
                </c:pt>
                <c:pt idx="3936">
                  <c:v>40876</c:v>
                </c:pt>
                <c:pt idx="3937">
                  <c:v>40877</c:v>
                </c:pt>
                <c:pt idx="3938">
                  <c:v>40878</c:v>
                </c:pt>
                <c:pt idx="3939">
                  <c:v>40879</c:v>
                </c:pt>
                <c:pt idx="3940">
                  <c:v>40882</c:v>
                </c:pt>
                <c:pt idx="3941">
                  <c:v>40883</c:v>
                </c:pt>
                <c:pt idx="3942">
                  <c:v>40884</c:v>
                </c:pt>
                <c:pt idx="3943">
                  <c:v>40885</c:v>
                </c:pt>
                <c:pt idx="3944">
                  <c:v>40886</c:v>
                </c:pt>
                <c:pt idx="3945">
                  <c:v>40889</c:v>
                </c:pt>
                <c:pt idx="3946">
                  <c:v>40890</c:v>
                </c:pt>
                <c:pt idx="3947">
                  <c:v>40891</c:v>
                </c:pt>
                <c:pt idx="3948">
                  <c:v>40892</c:v>
                </c:pt>
                <c:pt idx="3949">
                  <c:v>40893</c:v>
                </c:pt>
                <c:pt idx="3950">
                  <c:v>40896</c:v>
                </c:pt>
                <c:pt idx="3951">
                  <c:v>40897</c:v>
                </c:pt>
                <c:pt idx="3952">
                  <c:v>40898</c:v>
                </c:pt>
                <c:pt idx="3953">
                  <c:v>40899</c:v>
                </c:pt>
                <c:pt idx="3954">
                  <c:v>40900</c:v>
                </c:pt>
                <c:pt idx="3955">
                  <c:v>40904</c:v>
                </c:pt>
                <c:pt idx="3956">
                  <c:v>40905</c:v>
                </c:pt>
                <c:pt idx="3957">
                  <c:v>40906</c:v>
                </c:pt>
                <c:pt idx="3958">
                  <c:v>40907</c:v>
                </c:pt>
                <c:pt idx="3959">
                  <c:v>40911</c:v>
                </c:pt>
                <c:pt idx="3960">
                  <c:v>40912</c:v>
                </c:pt>
                <c:pt idx="3961">
                  <c:v>40913</c:v>
                </c:pt>
                <c:pt idx="3962">
                  <c:v>40914</c:v>
                </c:pt>
                <c:pt idx="3963">
                  <c:v>40917</c:v>
                </c:pt>
                <c:pt idx="3964">
                  <c:v>40918</c:v>
                </c:pt>
                <c:pt idx="3965">
                  <c:v>40919</c:v>
                </c:pt>
                <c:pt idx="3966">
                  <c:v>40920</c:v>
                </c:pt>
                <c:pt idx="3967">
                  <c:v>40921</c:v>
                </c:pt>
                <c:pt idx="3968">
                  <c:v>40925</c:v>
                </c:pt>
                <c:pt idx="3969">
                  <c:v>40926</c:v>
                </c:pt>
                <c:pt idx="3970">
                  <c:v>40927</c:v>
                </c:pt>
                <c:pt idx="3971">
                  <c:v>40928</c:v>
                </c:pt>
                <c:pt idx="3972">
                  <c:v>40931</c:v>
                </c:pt>
                <c:pt idx="3973">
                  <c:v>40932</c:v>
                </c:pt>
                <c:pt idx="3974">
                  <c:v>40933</c:v>
                </c:pt>
                <c:pt idx="3975">
                  <c:v>40934</c:v>
                </c:pt>
                <c:pt idx="3976">
                  <c:v>40935</c:v>
                </c:pt>
                <c:pt idx="3977">
                  <c:v>40938</c:v>
                </c:pt>
                <c:pt idx="3978">
                  <c:v>40939</c:v>
                </c:pt>
                <c:pt idx="3979">
                  <c:v>40940</c:v>
                </c:pt>
                <c:pt idx="3980">
                  <c:v>40941</c:v>
                </c:pt>
                <c:pt idx="3981">
                  <c:v>40942</c:v>
                </c:pt>
                <c:pt idx="3982">
                  <c:v>40945</c:v>
                </c:pt>
                <c:pt idx="3983">
                  <c:v>40946</c:v>
                </c:pt>
                <c:pt idx="3984">
                  <c:v>40947</c:v>
                </c:pt>
                <c:pt idx="3985">
                  <c:v>40948</c:v>
                </c:pt>
                <c:pt idx="3986">
                  <c:v>40949</c:v>
                </c:pt>
                <c:pt idx="3987">
                  <c:v>40952</c:v>
                </c:pt>
                <c:pt idx="3988">
                  <c:v>40953</c:v>
                </c:pt>
                <c:pt idx="3989">
                  <c:v>40954</c:v>
                </c:pt>
                <c:pt idx="3990">
                  <c:v>40955</c:v>
                </c:pt>
                <c:pt idx="3991">
                  <c:v>40956</c:v>
                </c:pt>
                <c:pt idx="3992">
                  <c:v>40960</c:v>
                </c:pt>
                <c:pt idx="3993">
                  <c:v>40961</c:v>
                </c:pt>
                <c:pt idx="3994">
                  <c:v>40962</c:v>
                </c:pt>
                <c:pt idx="3995">
                  <c:v>40963</c:v>
                </c:pt>
                <c:pt idx="3996">
                  <c:v>40966</c:v>
                </c:pt>
                <c:pt idx="3997">
                  <c:v>40967</c:v>
                </c:pt>
                <c:pt idx="3998">
                  <c:v>40968</c:v>
                </c:pt>
                <c:pt idx="3999">
                  <c:v>40969</c:v>
                </c:pt>
                <c:pt idx="4000">
                  <c:v>40970</c:v>
                </c:pt>
                <c:pt idx="4001">
                  <c:v>40973</c:v>
                </c:pt>
                <c:pt idx="4002">
                  <c:v>40974</c:v>
                </c:pt>
                <c:pt idx="4003">
                  <c:v>40975</c:v>
                </c:pt>
                <c:pt idx="4004">
                  <c:v>40976</c:v>
                </c:pt>
                <c:pt idx="4005">
                  <c:v>40977</c:v>
                </c:pt>
                <c:pt idx="4006">
                  <c:v>40980</c:v>
                </c:pt>
                <c:pt idx="4007">
                  <c:v>40981</c:v>
                </c:pt>
                <c:pt idx="4008">
                  <c:v>40982</c:v>
                </c:pt>
                <c:pt idx="4009">
                  <c:v>40983</c:v>
                </c:pt>
                <c:pt idx="4010">
                  <c:v>40984</c:v>
                </c:pt>
                <c:pt idx="4011">
                  <c:v>40987</c:v>
                </c:pt>
                <c:pt idx="4012">
                  <c:v>40988</c:v>
                </c:pt>
                <c:pt idx="4013">
                  <c:v>40989</c:v>
                </c:pt>
                <c:pt idx="4014">
                  <c:v>40990</c:v>
                </c:pt>
                <c:pt idx="4015">
                  <c:v>40991</c:v>
                </c:pt>
                <c:pt idx="4016">
                  <c:v>40994</c:v>
                </c:pt>
                <c:pt idx="4017">
                  <c:v>40995</c:v>
                </c:pt>
                <c:pt idx="4018">
                  <c:v>40996</c:v>
                </c:pt>
                <c:pt idx="4019">
                  <c:v>40997</c:v>
                </c:pt>
                <c:pt idx="4020">
                  <c:v>40998</c:v>
                </c:pt>
                <c:pt idx="4021">
                  <c:v>41001</c:v>
                </c:pt>
                <c:pt idx="4022">
                  <c:v>41002</c:v>
                </c:pt>
                <c:pt idx="4023">
                  <c:v>41003</c:v>
                </c:pt>
                <c:pt idx="4024">
                  <c:v>41004</c:v>
                </c:pt>
                <c:pt idx="4025">
                  <c:v>41008</c:v>
                </c:pt>
                <c:pt idx="4026">
                  <c:v>41009</c:v>
                </c:pt>
                <c:pt idx="4027">
                  <c:v>41010</c:v>
                </c:pt>
                <c:pt idx="4028">
                  <c:v>41011</c:v>
                </c:pt>
                <c:pt idx="4029">
                  <c:v>41012</c:v>
                </c:pt>
                <c:pt idx="4030">
                  <c:v>41015</c:v>
                </c:pt>
                <c:pt idx="4031">
                  <c:v>41016</c:v>
                </c:pt>
                <c:pt idx="4032">
                  <c:v>41017</c:v>
                </c:pt>
                <c:pt idx="4033">
                  <c:v>41018</c:v>
                </c:pt>
                <c:pt idx="4034">
                  <c:v>41019</c:v>
                </c:pt>
                <c:pt idx="4035">
                  <c:v>41022</c:v>
                </c:pt>
                <c:pt idx="4036">
                  <c:v>41023</c:v>
                </c:pt>
                <c:pt idx="4037">
                  <c:v>41024</c:v>
                </c:pt>
                <c:pt idx="4038">
                  <c:v>41025</c:v>
                </c:pt>
                <c:pt idx="4039">
                  <c:v>41026</c:v>
                </c:pt>
                <c:pt idx="4040">
                  <c:v>41029</c:v>
                </c:pt>
                <c:pt idx="4041">
                  <c:v>41030</c:v>
                </c:pt>
                <c:pt idx="4042">
                  <c:v>41031</c:v>
                </c:pt>
                <c:pt idx="4043">
                  <c:v>41032</c:v>
                </c:pt>
                <c:pt idx="4044">
                  <c:v>41033</c:v>
                </c:pt>
                <c:pt idx="4045">
                  <c:v>41036</c:v>
                </c:pt>
                <c:pt idx="4046">
                  <c:v>41037</c:v>
                </c:pt>
                <c:pt idx="4047">
                  <c:v>41038</c:v>
                </c:pt>
                <c:pt idx="4048">
                  <c:v>41039</c:v>
                </c:pt>
                <c:pt idx="4049">
                  <c:v>41040</c:v>
                </c:pt>
                <c:pt idx="4050">
                  <c:v>41043</c:v>
                </c:pt>
                <c:pt idx="4051">
                  <c:v>41044</c:v>
                </c:pt>
                <c:pt idx="4052">
                  <c:v>41045</c:v>
                </c:pt>
                <c:pt idx="4053">
                  <c:v>41046</c:v>
                </c:pt>
                <c:pt idx="4054">
                  <c:v>41047</c:v>
                </c:pt>
                <c:pt idx="4055">
                  <c:v>41050</c:v>
                </c:pt>
                <c:pt idx="4056">
                  <c:v>41051</c:v>
                </c:pt>
                <c:pt idx="4057">
                  <c:v>41052</c:v>
                </c:pt>
                <c:pt idx="4058">
                  <c:v>41053</c:v>
                </c:pt>
                <c:pt idx="4059">
                  <c:v>41054</c:v>
                </c:pt>
                <c:pt idx="4060">
                  <c:v>41058</c:v>
                </c:pt>
                <c:pt idx="4061">
                  <c:v>41059</c:v>
                </c:pt>
                <c:pt idx="4062">
                  <c:v>41060</c:v>
                </c:pt>
                <c:pt idx="4063">
                  <c:v>41061</c:v>
                </c:pt>
                <c:pt idx="4064">
                  <c:v>41064</c:v>
                </c:pt>
                <c:pt idx="4065">
                  <c:v>41065</c:v>
                </c:pt>
                <c:pt idx="4066">
                  <c:v>41066</c:v>
                </c:pt>
                <c:pt idx="4067">
                  <c:v>41067</c:v>
                </c:pt>
                <c:pt idx="4068">
                  <c:v>41068</c:v>
                </c:pt>
                <c:pt idx="4069">
                  <c:v>41071</c:v>
                </c:pt>
                <c:pt idx="4070">
                  <c:v>41072</c:v>
                </c:pt>
                <c:pt idx="4071">
                  <c:v>41073</c:v>
                </c:pt>
                <c:pt idx="4072">
                  <c:v>41074</c:v>
                </c:pt>
                <c:pt idx="4073">
                  <c:v>41075</c:v>
                </c:pt>
                <c:pt idx="4074">
                  <c:v>41078</c:v>
                </c:pt>
                <c:pt idx="4075">
                  <c:v>41079</c:v>
                </c:pt>
                <c:pt idx="4076">
                  <c:v>41080</c:v>
                </c:pt>
                <c:pt idx="4077">
                  <c:v>41081</c:v>
                </c:pt>
                <c:pt idx="4078">
                  <c:v>41082</c:v>
                </c:pt>
                <c:pt idx="4079">
                  <c:v>41085</c:v>
                </c:pt>
                <c:pt idx="4080">
                  <c:v>41086</c:v>
                </c:pt>
                <c:pt idx="4081">
                  <c:v>41087</c:v>
                </c:pt>
                <c:pt idx="4082">
                  <c:v>41088</c:v>
                </c:pt>
                <c:pt idx="4083">
                  <c:v>41089</c:v>
                </c:pt>
                <c:pt idx="4084">
                  <c:v>41092</c:v>
                </c:pt>
                <c:pt idx="4085">
                  <c:v>41093</c:v>
                </c:pt>
                <c:pt idx="4086">
                  <c:v>41095</c:v>
                </c:pt>
                <c:pt idx="4087">
                  <c:v>41096</c:v>
                </c:pt>
                <c:pt idx="4088">
                  <c:v>41099</c:v>
                </c:pt>
                <c:pt idx="4089">
                  <c:v>41100</c:v>
                </c:pt>
                <c:pt idx="4090">
                  <c:v>41101</c:v>
                </c:pt>
                <c:pt idx="4091">
                  <c:v>41102</c:v>
                </c:pt>
                <c:pt idx="4092">
                  <c:v>41103</c:v>
                </c:pt>
                <c:pt idx="4093">
                  <c:v>41106</c:v>
                </c:pt>
                <c:pt idx="4094">
                  <c:v>41107</c:v>
                </c:pt>
                <c:pt idx="4095">
                  <c:v>41108</c:v>
                </c:pt>
                <c:pt idx="4096">
                  <c:v>41109</c:v>
                </c:pt>
                <c:pt idx="4097">
                  <c:v>41110</c:v>
                </c:pt>
                <c:pt idx="4098">
                  <c:v>41113</c:v>
                </c:pt>
                <c:pt idx="4099">
                  <c:v>41114</c:v>
                </c:pt>
                <c:pt idx="4100">
                  <c:v>41115</c:v>
                </c:pt>
                <c:pt idx="4101">
                  <c:v>41116</c:v>
                </c:pt>
                <c:pt idx="4102">
                  <c:v>41117</c:v>
                </c:pt>
                <c:pt idx="4103">
                  <c:v>41120</c:v>
                </c:pt>
                <c:pt idx="4104">
                  <c:v>41121</c:v>
                </c:pt>
                <c:pt idx="4105">
                  <c:v>41122</c:v>
                </c:pt>
                <c:pt idx="4106">
                  <c:v>41123</c:v>
                </c:pt>
                <c:pt idx="4107">
                  <c:v>41124</c:v>
                </c:pt>
                <c:pt idx="4108">
                  <c:v>41127</c:v>
                </c:pt>
                <c:pt idx="4109">
                  <c:v>41128</c:v>
                </c:pt>
                <c:pt idx="4110">
                  <c:v>41129</c:v>
                </c:pt>
                <c:pt idx="4111">
                  <c:v>41130</c:v>
                </c:pt>
                <c:pt idx="4112">
                  <c:v>41131</c:v>
                </c:pt>
                <c:pt idx="4113">
                  <c:v>41134</c:v>
                </c:pt>
                <c:pt idx="4114">
                  <c:v>41135</c:v>
                </c:pt>
                <c:pt idx="4115">
                  <c:v>41136</c:v>
                </c:pt>
                <c:pt idx="4116">
                  <c:v>41137</c:v>
                </c:pt>
                <c:pt idx="4117">
                  <c:v>41138</c:v>
                </c:pt>
                <c:pt idx="4118">
                  <c:v>41141</c:v>
                </c:pt>
                <c:pt idx="4119">
                  <c:v>41142</c:v>
                </c:pt>
                <c:pt idx="4120">
                  <c:v>41143</c:v>
                </c:pt>
                <c:pt idx="4121">
                  <c:v>41144</c:v>
                </c:pt>
                <c:pt idx="4122">
                  <c:v>41145</c:v>
                </c:pt>
                <c:pt idx="4123">
                  <c:v>41148</c:v>
                </c:pt>
                <c:pt idx="4124">
                  <c:v>41149</c:v>
                </c:pt>
                <c:pt idx="4125">
                  <c:v>41150</c:v>
                </c:pt>
                <c:pt idx="4126">
                  <c:v>41151</c:v>
                </c:pt>
                <c:pt idx="4127">
                  <c:v>41152</c:v>
                </c:pt>
                <c:pt idx="4128">
                  <c:v>41156</c:v>
                </c:pt>
                <c:pt idx="4129">
                  <c:v>41157</c:v>
                </c:pt>
                <c:pt idx="4130">
                  <c:v>41158</c:v>
                </c:pt>
                <c:pt idx="4131">
                  <c:v>41159</c:v>
                </c:pt>
                <c:pt idx="4132">
                  <c:v>41162</c:v>
                </c:pt>
                <c:pt idx="4133">
                  <c:v>41163</c:v>
                </c:pt>
                <c:pt idx="4134">
                  <c:v>41164</c:v>
                </c:pt>
                <c:pt idx="4135">
                  <c:v>41165</c:v>
                </c:pt>
                <c:pt idx="4136">
                  <c:v>41166</c:v>
                </c:pt>
                <c:pt idx="4137">
                  <c:v>41169</c:v>
                </c:pt>
                <c:pt idx="4138">
                  <c:v>41170</c:v>
                </c:pt>
                <c:pt idx="4139">
                  <c:v>41171</c:v>
                </c:pt>
                <c:pt idx="4140">
                  <c:v>41172</c:v>
                </c:pt>
                <c:pt idx="4141">
                  <c:v>41173</c:v>
                </c:pt>
                <c:pt idx="4142">
                  <c:v>41176</c:v>
                </c:pt>
                <c:pt idx="4143">
                  <c:v>41177</c:v>
                </c:pt>
                <c:pt idx="4144">
                  <c:v>41178</c:v>
                </c:pt>
                <c:pt idx="4145">
                  <c:v>41179</c:v>
                </c:pt>
                <c:pt idx="4146">
                  <c:v>41180</c:v>
                </c:pt>
                <c:pt idx="4147">
                  <c:v>41183</c:v>
                </c:pt>
                <c:pt idx="4148">
                  <c:v>41184</c:v>
                </c:pt>
                <c:pt idx="4149">
                  <c:v>41185</c:v>
                </c:pt>
                <c:pt idx="4150">
                  <c:v>41186</c:v>
                </c:pt>
                <c:pt idx="4151">
                  <c:v>41187</c:v>
                </c:pt>
                <c:pt idx="4152">
                  <c:v>41190</c:v>
                </c:pt>
                <c:pt idx="4153">
                  <c:v>41191</c:v>
                </c:pt>
                <c:pt idx="4154">
                  <c:v>41192</c:v>
                </c:pt>
                <c:pt idx="4155">
                  <c:v>41193</c:v>
                </c:pt>
                <c:pt idx="4156">
                  <c:v>41194</c:v>
                </c:pt>
                <c:pt idx="4157">
                  <c:v>41197</c:v>
                </c:pt>
                <c:pt idx="4158">
                  <c:v>41198</c:v>
                </c:pt>
                <c:pt idx="4159">
                  <c:v>41199</c:v>
                </c:pt>
                <c:pt idx="4160">
                  <c:v>41200</c:v>
                </c:pt>
                <c:pt idx="4161">
                  <c:v>41201</c:v>
                </c:pt>
                <c:pt idx="4162">
                  <c:v>41204</c:v>
                </c:pt>
                <c:pt idx="4163">
                  <c:v>41205</c:v>
                </c:pt>
                <c:pt idx="4164">
                  <c:v>41206</c:v>
                </c:pt>
                <c:pt idx="4165">
                  <c:v>41207</c:v>
                </c:pt>
                <c:pt idx="4166">
                  <c:v>41208</c:v>
                </c:pt>
                <c:pt idx="4167">
                  <c:v>41213</c:v>
                </c:pt>
                <c:pt idx="4168">
                  <c:v>41214</c:v>
                </c:pt>
                <c:pt idx="4169">
                  <c:v>41215</c:v>
                </c:pt>
                <c:pt idx="4170">
                  <c:v>41218</c:v>
                </c:pt>
                <c:pt idx="4171">
                  <c:v>41219</c:v>
                </c:pt>
                <c:pt idx="4172">
                  <c:v>41220</c:v>
                </c:pt>
                <c:pt idx="4173">
                  <c:v>41221</c:v>
                </c:pt>
                <c:pt idx="4174">
                  <c:v>41222</c:v>
                </c:pt>
                <c:pt idx="4175">
                  <c:v>41225</c:v>
                </c:pt>
                <c:pt idx="4176">
                  <c:v>41226</c:v>
                </c:pt>
                <c:pt idx="4177">
                  <c:v>41227</c:v>
                </c:pt>
                <c:pt idx="4178">
                  <c:v>41228</c:v>
                </c:pt>
                <c:pt idx="4179">
                  <c:v>41229</c:v>
                </c:pt>
                <c:pt idx="4180">
                  <c:v>41232</c:v>
                </c:pt>
                <c:pt idx="4181">
                  <c:v>41233</c:v>
                </c:pt>
                <c:pt idx="4182">
                  <c:v>41234</c:v>
                </c:pt>
                <c:pt idx="4183">
                  <c:v>41236</c:v>
                </c:pt>
                <c:pt idx="4184">
                  <c:v>41239</c:v>
                </c:pt>
                <c:pt idx="4185">
                  <c:v>41240</c:v>
                </c:pt>
                <c:pt idx="4186">
                  <c:v>41241</c:v>
                </c:pt>
                <c:pt idx="4187">
                  <c:v>41242</c:v>
                </c:pt>
                <c:pt idx="4188">
                  <c:v>41243</c:v>
                </c:pt>
                <c:pt idx="4189">
                  <c:v>41246</c:v>
                </c:pt>
                <c:pt idx="4190">
                  <c:v>41247</c:v>
                </c:pt>
                <c:pt idx="4191">
                  <c:v>41248</c:v>
                </c:pt>
                <c:pt idx="4192">
                  <c:v>41249</c:v>
                </c:pt>
                <c:pt idx="4193">
                  <c:v>41250</c:v>
                </c:pt>
                <c:pt idx="4194">
                  <c:v>41253</c:v>
                </c:pt>
                <c:pt idx="4195">
                  <c:v>41254</c:v>
                </c:pt>
                <c:pt idx="4196">
                  <c:v>41255</c:v>
                </c:pt>
                <c:pt idx="4197">
                  <c:v>41256</c:v>
                </c:pt>
                <c:pt idx="4198">
                  <c:v>41257</c:v>
                </c:pt>
                <c:pt idx="4199">
                  <c:v>41260</c:v>
                </c:pt>
                <c:pt idx="4200">
                  <c:v>41261</c:v>
                </c:pt>
                <c:pt idx="4201">
                  <c:v>41262</c:v>
                </c:pt>
                <c:pt idx="4202">
                  <c:v>41263</c:v>
                </c:pt>
                <c:pt idx="4203">
                  <c:v>41264</c:v>
                </c:pt>
                <c:pt idx="4204">
                  <c:v>41267</c:v>
                </c:pt>
                <c:pt idx="4205">
                  <c:v>41269</c:v>
                </c:pt>
                <c:pt idx="4206">
                  <c:v>41270</c:v>
                </c:pt>
                <c:pt idx="4207">
                  <c:v>41271</c:v>
                </c:pt>
                <c:pt idx="4208">
                  <c:v>41274</c:v>
                </c:pt>
                <c:pt idx="4209">
                  <c:v>41276</c:v>
                </c:pt>
                <c:pt idx="4210">
                  <c:v>41277</c:v>
                </c:pt>
                <c:pt idx="4211">
                  <c:v>41278</c:v>
                </c:pt>
                <c:pt idx="4212">
                  <c:v>41281</c:v>
                </c:pt>
                <c:pt idx="4213">
                  <c:v>41282</c:v>
                </c:pt>
                <c:pt idx="4214">
                  <c:v>41283</c:v>
                </c:pt>
                <c:pt idx="4215">
                  <c:v>41284</c:v>
                </c:pt>
                <c:pt idx="4216">
                  <c:v>41285</c:v>
                </c:pt>
                <c:pt idx="4217">
                  <c:v>41288</c:v>
                </c:pt>
                <c:pt idx="4218">
                  <c:v>41289</c:v>
                </c:pt>
                <c:pt idx="4219">
                  <c:v>41290</c:v>
                </c:pt>
                <c:pt idx="4220">
                  <c:v>41291</c:v>
                </c:pt>
                <c:pt idx="4221">
                  <c:v>41292</c:v>
                </c:pt>
                <c:pt idx="4222">
                  <c:v>41296</c:v>
                </c:pt>
                <c:pt idx="4223">
                  <c:v>41297</c:v>
                </c:pt>
                <c:pt idx="4224">
                  <c:v>41298</c:v>
                </c:pt>
                <c:pt idx="4225">
                  <c:v>41299</c:v>
                </c:pt>
                <c:pt idx="4226">
                  <c:v>41302</c:v>
                </c:pt>
                <c:pt idx="4227">
                  <c:v>41303</c:v>
                </c:pt>
                <c:pt idx="4228">
                  <c:v>41304</c:v>
                </c:pt>
                <c:pt idx="4229">
                  <c:v>41305</c:v>
                </c:pt>
                <c:pt idx="4230">
                  <c:v>41306</c:v>
                </c:pt>
                <c:pt idx="4231">
                  <c:v>41309</c:v>
                </c:pt>
                <c:pt idx="4232">
                  <c:v>41310</c:v>
                </c:pt>
                <c:pt idx="4233">
                  <c:v>41311</c:v>
                </c:pt>
                <c:pt idx="4234">
                  <c:v>41312</c:v>
                </c:pt>
                <c:pt idx="4235">
                  <c:v>41313</c:v>
                </c:pt>
                <c:pt idx="4236">
                  <c:v>41316</c:v>
                </c:pt>
                <c:pt idx="4237">
                  <c:v>41317</c:v>
                </c:pt>
                <c:pt idx="4238">
                  <c:v>41318</c:v>
                </c:pt>
                <c:pt idx="4239">
                  <c:v>41319</c:v>
                </c:pt>
                <c:pt idx="4240">
                  <c:v>41320</c:v>
                </c:pt>
                <c:pt idx="4241">
                  <c:v>41324</c:v>
                </c:pt>
                <c:pt idx="4242">
                  <c:v>41325</c:v>
                </c:pt>
                <c:pt idx="4243">
                  <c:v>41326</c:v>
                </c:pt>
                <c:pt idx="4244">
                  <c:v>41327</c:v>
                </c:pt>
                <c:pt idx="4245">
                  <c:v>41330</c:v>
                </c:pt>
                <c:pt idx="4246">
                  <c:v>41331</c:v>
                </c:pt>
                <c:pt idx="4247">
                  <c:v>41332</c:v>
                </c:pt>
                <c:pt idx="4248">
                  <c:v>41333</c:v>
                </c:pt>
                <c:pt idx="4249">
                  <c:v>41334</c:v>
                </c:pt>
                <c:pt idx="4250">
                  <c:v>41337</c:v>
                </c:pt>
                <c:pt idx="4251">
                  <c:v>41338</c:v>
                </c:pt>
                <c:pt idx="4252">
                  <c:v>41339</c:v>
                </c:pt>
                <c:pt idx="4253">
                  <c:v>41340</c:v>
                </c:pt>
                <c:pt idx="4254">
                  <c:v>41341</c:v>
                </c:pt>
                <c:pt idx="4255">
                  <c:v>41344</c:v>
                </c:pt>
                <c:pt idx="4256">
                  <c:v>41345</c:v>
                </c:pt>
                <c:pt idx="4257">
                  <c:v>41346</c:v>
                </c:pt>
                <c:pt idx="4258">
                  <c:v>41347</c:v>
                </c:pt>
                <c:pt idx="4259">
                  <c:v>41348</c:v>
                </c:pt>
                <c:pt idx="4260">
                  <c:v>41351</c:v>
                </c:pt>
                <c:pt idx="4261">
                  <c:v>41352</c:v>
                </c:pt>
                <c:pt idx="4262">
                  <c:v>41353</c:v>
                </c:pt>
                <c:pt idx="4263">
                  <c:v>41354</c:v>
                </c:pt>
                <c:pt idx="4264">
                  <c:v>41355</c:v>
                </c:pt>
                <c:pt idx="4265">
                  <c:v>41358</c:v>
                </c:pt>
                <c:pt idx="4266">
                  <c:v>41359</c:v>
                </c:pt>
                <c:pt idx="4267">
                  <c:v>41360</c:v>
                </c:pt>
                <c:pt idx="4268">
                  <c:v>41361</c:v>
                </c:pt>
                <c:pt idx="4269">
                  <c:v>41365</c:v>
                </c:pt>
                <c:pt idx="4270">
                  <c:v>41366</c:v>
                </c:pt>
                <c:pt idx="4271">
                  <c:v>41367</c:v>
                </c:pt>
                <c:pt idx="4272">
                  <c:v>41368</c:v>
                </c:pt>
                <c:pt idx="4273">
                  <c:v>41369</c:v>
                </c:pt>
                <c:pt idx="4274">
                  <c:v>41372</c:v>
                </c:pt>
                <c:pt idx="4275">
                  <c:v>41373</c:v>
                </c:pt>
                <c:pt idx="4276">
                  <c:v>41374</c:v>
                </c:pt>
                <c:pt idx="4277">
                  <c:v>41375</c:v>
                </c:pt>
                <c:pt idx="4278">
                  <c:v>41376</c:v>
                </c:pt>
                <c:pt idx="4279">
                  <c:v>41379</c:v>
                </c:pt>
                <c:pt idx="4280">
                  <c:v>41380</c:v>
                </c:pt>
                <c:pt idx="4281">
                  <c:v>41381</c:v>
                </c:pt>
                <c:pt idx="4282">
                  <c:v>41382</c:v>
                </c:pt>
                <c:pt idx="4283">
                  <c:v>41383</c:v>
                </c:pt>
                <c:pt idx="4284">
                  <c:v>41386</c:v>
                </c:pt>
                <c:pt idx="4285">
                  <c:v>41387</c:v>
                </c:pt>
                <c:pt idx="4286">
                  <c:v>41388</c:v>
                </c:pt>
                <c:pt idx="4287">
                  <c:v>41389</c:v>
                </c:pt>
                <c:pt idx="4288">
                  <c:v>41390</c:v>
                </c:pt>
                <c:pt idx="4289">
                  <c:v>41393</c:v>
                </c:pt>
                <c:pt idx="4290">
                  <c:v>41394</c:v>
                </c:pt>
                <c:pt idx="4291">
                  <c:v>41395</c:v>
                </c:pt>
                <c:pt idx="4292">
                  <c:v>41396</c:v>
                </c:pt>
                <c:pt idx="4293">
                  <c:v>41397</c:v>
                </c:pt>
                <c:pt idx="4294">
                  <c:v>41400</c:v>
                </c:pt>
                <c:pt idx="4295">
                  <c:v>41401</c:v>
                </c:pt>
                <c:pt idx="4296">
                  <c:v>41402</c:v>
                </c:pt>
                <c:pt idx="4297">
                  <c:v>41403</c:v>
                </c:pt>
                <c:pt idx="4298">
                  <c:v>41404</c:v>
                </c:pt>
                <c:pt idx="4299">
                  <c:v>41407</c:v>
                </c:pt>
                <c:pt idx="4300">
                  <c:v>41408</c:v>
                </c:pt>
                <c:pt idx="4301">
                  <c:v>41409</c:v>
                </c:pt>
                <c:pt idx="4302">
                  <c:v>41410</c:v>
                </c:pt>
                <c:pt idx="4303">
                  <c:v>41411</c:v>
                </c:pt>
                <c:pt idx="4304">
                  <c:v>41414</c:v>
                </c:pt>
                <c:pt idx="4305">
                  <c:v>41415</c:v>
                </c:pt>
                <c:pt idx="4306">
                  <c:v>41416</c:v>
                </c:pt>
                <c:pt idx="4307">
                  <c:v>41417</c:v>
                </c:pt>
                <c:pt idx="4308">
                  <c:v>41418</c:v>
                </c:pt>
                <c:pt idx="4309">
                  <c:v>41422</c:v>
                </c:pt>
                <c:pt idx="4310">
                  <c:v>41423</c:v>
                </c:pt>
                <c:pt idx="4311">
                  <c:v>41424</c:v>
                </c:pt>
                <c:pt idx="4312">
                  <c:v>41425</c:v>
                </c:pt>
                <c:pt idx="4313">
                  <c:v>41428</c:v>
                </c:pt>
                <c:pt idx="4314">
                  <c:v>41429</c:v>
                </c:pt>
                <c:pt idx="4315">
                  <c:v>41430</c:v>
                </c:pt>
                <c:pt idx="4316">
                  <c:v>41431</c:v>
                </c:pt>
                <c:pt idx="4317">
                  <c:v>41432</c:v>
                </c:pt>
                <c:pt idx="4318">
                  <c:v>41435</c:v>
                </c:pt>
                <c:pt idx="4319">
                  <c:v>41436</c:v>
                </c:pt>
                <c:pt idx="4320">
                  <c:v>41437</c:v>
                </c:pt>
                <c:pt idx="4321">
                  <c:v>41438</c:v>
                </c:pt>
                <c:pt idx="4322">
                  <c:v>41439</c:v>
                </c:pt>
                <c:pt idx="4323">
                  <c:v>41442</c:v>
                </c:pt>
                <c:pt idx="4324">
                  <c:v>41443</c:v>
                </c:pt>
                <c:pt idx="4325">
                  <c:v>41444</c:v>
                </c:pt>
                <c:pt idx="4326">
                  <c:v>41445</c:v>
                </c:pt>
                <c:pt idx="4327">
                  <c:v>41446</c:v>
                </c:pt>
                <c:pt idx="4328">
                  <c:v>41449</c:v>
                </c:pt>
                <c:pt idx="4329">
                  <c:v>41450</c:v>
                </c:pt>
                <c:pt idx="4330">
                  <c:v>41451</c:v>
                </c:pt>
                <c:pt idx="4331">
                  <c:v>41452</c:v>
                </c:pt>
                <c:pt idx="4332">
                  <c:v>41453</c:v>
                </c:pt>
                <c:pt idx="4333">
                  <c:v>41456</c:v>
                </c:pt>
                <c:pt idx="4334">
                  <c:v>41457</c:v>
                </c:pt>
                <c:pt idx="4335">
                  <c:v>41458</c:v>
                </c:pt>
                <c:pt idx="4336">
                  <c:v>41460</c:v>
                </c:pt>
                <c:pt idx="4337">
                  <c:v>41463</c:v>
                </c:pt>
                <c:pt idx="4338">
                  <c:v>41464</c:v>
                </c:pt>
                <c:pt idx="4339">
                  <c:v>41465</c:v>
                </c:pt>
                <c:pt idx="4340">
                  <c:v>41466</c:v>
                </c:pt>
                <c:pt idx="4341">
                  <c:v>41467</c:v>
                </c:pt>
                <c:pt idx="4342">
                  <c:v>41470</c:v>
                </c:pt>
                <c:pt idx="4343">
                  <c:v>41471</c:v>
                </c:pt>
                <c:pt idx="4344">
                  <c:v>41472</c:v>
                </c:pt>
                <c:pt idx="4345">
                  <c:v>41473</c:v>
                </c:pt>
                <c:pt idx="4346">
                  <c:v>41474</c:v>
                </c:pt>
                <c:pt idx="4347">
                  <c:v>41477</c:v>
                </c:pt>
                <c:pt idx="4348">
                  <c:v>41478</c:v>
                </c:pt>
                <c:pt idx="4349">
                  <c:v>41479</c:v>
                </c:pt>
                <c:pt idx="4350">
                  <c:v>41480</c:v>
                </c:pt>
                <c:pt idx="4351">
                  <c:v>41481</c:v>
                </c:pt>
                <c:pt idx="4352">
                  <c:v>41484</c:v>
                </c:pt>
                <c:pt idx="4353">
                  <c:v>41485</c:v>
                </c:pt>
                <c:pt idx="4354">
                  <c:v>41486</c:v>
                </c:pt>
                <c:pt idx="4355">
                  <c:v>41487</c:v>
                </c:pt>
                <c:pt idx="4356">
                  <c:v>41488</c:v>
                </c:pt>
                <c:pt idx="4357">
                  <c:v>41491</c:v>
                </c:pt>
                <c:pt idx="4358">
                  <c:v>41492</c:v>
                </c:pt>
                <c:pt idx="4359">
                  <c:v>41493</c:v>
                </c:pt>
                <c:pt idx="4360">
                  <c:v>41494</c:v>
                </c:pt>
                <c:pt idx="4361">
                  <c:v>41495</c:v>
                </c:pt>
                <c:pt idx="4362">
                  <c:v>41498</c:v>
                </c:pt>
                <c:pt idx="4363">
                  <c:v>41499</c:v>
                </c:pt>
                <c:pt idx="4364">
                  <c:v>41500</c:v>
                </c:pt>
                <c:pt idx="4365">
                  <c:v>41501</c:v>
                </c:pt>
                <c:pt idx="4366">
                  <c:v>41502</c:v>
                </c:pt>
                <c:pt idx="4367">
                  <c:v>41505</c:v>
                </c:pt>
                <c:pt idx="4368">
                  <c:v>41506</c:v>
                </c:pt>
                <c:pt idx="4369">
                  <c:v>41507</c:v>
                </c:pt>
                <c:pt idx="4370">
                  <c:v>41508</c:v>
                </c:pt>
                <c:pt idx="4371">
                  <c:v>41509</c:v>
                </c:pt>
                <c:pt idx="4372">
                  <c:v>41512</c:v>
                </c:pt>
                <c:pt idx="4373">
                  <c:v>41513</c:v>
                </c:pt>
                <c:pt idx="4374">
                  <c:v>41514</c:v>
                </c:pt>
                <c:pt idx="4375">
                  <c:v>41515</c:v>
                </c:pt>
                <c:pt idx="4376">
                  <c:v>41516</c:v>
                </c:pt>
                <c:pt idx="4377">
                  <c:v>41520</c:v>
                </c:pt>
                <c:pt idx="4378">
                  <c:v>41521</c:v>
                </c:pt>
                <c:pt idx="4379">
                  <c:v>41522</c:v>
                </c:pt>
                <c:pt idx="4380">
                  <c:v>41523</c:v>
                </c:pt>
                <c:pt idx="4381">
                  <c:v>41526</c:v>
                </c:pt>
                <c:pt idx="4382">
                  <c:v>41527</c:v>
                </c:pt>
                <c:pt idx="4383">
                  <c:v>41528</c:v>
                </c:pt>
                <c:pt idx="4384">
                  <c:v>41529</c:v>
                </c:pt>
                <c:pt idx="4385">
                  <c:v>41530</c:v>
                </c:pt>
                <c:pt idx="4386">
                  <c:v>41533</c:v>
                </c:pt>
                <c:pt idx="4387">
                  <c:v>41534</c:v>
                </c:pt>
                <c:pt idx="4388">
                  <c:v>41535</c:v>
                </c:pt>
                <c:pt idx="4389">
                  <c:v>41536</c:v>
                </c:pt>
                <c:pt idx="4390">
                  <c:v>41537</c:v>
                </c:pt>
                <c:pt idx="4391">
                  <c:v>41540</c:v>
                </c:pt>
                <c:pt idx="4392">
                  <c:v>41541</c:v>
                </c:pt>
                <c:pt idx="4393">
                  <c:v>41542</c:v>
                </c:pt>
                <c:pt idx="4394">
                  <c:v>41543</c:v>
                </c:pt>
                <c:pt idx="4395">
                  <c:v>41544</c:v>
                </c:pt>
                <c:pt idx="4396">
                  <c:v>41547</c:v>
                </c:pt>
                <c:pt idx="4397">
                  <c:v>41548</c:v>
                </c:pt>
                <c:pt idx="4398">
                  <c:v>41549</c:v>
                </c:pt>
                <c:pt idx="4399">
                  <c:v>41550</c:v>
                </c:pt>
                <c:pt idx="4400">
                  <c:v>41551</c:v>
                </c:pt>
                <c:pt idx="4401">
                  <c:v>41554</c:v>
                </c:pt>
                <c:pt idx="4402">
                  <c:v>41555</c:v>
                </c:pt>
                <c:pt idx="4403">
                  <c:v>41556</c:v>
                </c:pt>
                <c:pt idx="4404">
                  <c:v>41557</c:v>
                </c:pt>
                <c:pt idx="4405">
                  <c:v>41558</c:v>
                </c:pt>
                <c:pt idx="4406">
                  <c:v>41561</c:v>
                </c:pt>
                <c:pt idx="4407">
                  <c:v>41562</c:v>
                </c:pt>
                <c:pt idx="4408">
                  <c:v>41563</c:v>
                </c:pt>
                <c:pt idx="4409">
                  <c:v>41564</c:v>
                </c:pt>
                <c:pt idx="4410">
                  <c:v>41565</c:v>
                </c:pt>
                <c:pt idx="4411">
                  <c:v>41568</c:v>
                </c:pt>
                <c:pt idx="4412">
                  <c:v>41569</c:v>
                </c:pt>
                <c:pt idx="4413">
                  <c:v>41570</c:v>
                </c:pt>
                <c:pt idx="4414">
                  <c:v>41571</c:v>
                </c:pt>
                <c:pt idx="4415">
                  <c:v>41572</c:v>
                </c:pt>
                <c:pt idx="4416">
                  <c:v>41575</c:v>
                </c:pt>
                <c:pt idx="4417">
                  <c:v>41576</c:v>
                </c:pt>
                <c:pt idx="4418">
                  <c:v>41577</c:v>
                </c:pt>
                <c:pt idx="4419">
                  <c:v>41578</c:v>
                </c:pt>
                <c:pt idx="4420">
                  <c:v>41579</c:v>
                </c:pt>
                <c:pt idx="4421">
                  <c:v>41582</c:v>
                </c:pt>
                <c:pt idx="4422">
                  <c:v>41583</c:v>
                </c:pt>
                <c:pt idx="4423">
                  <c:v>41584</c:v>
                </c:pt>
                <c:pt idx="4424">
                  <c:v>41585</c:v>
                </c:pt>
                <c:pt idx="4425">
                  <c:v>41586</c:v>
                </c:pt>
                <c:pt idx="4426">
                  <c:v>41589</c:v>
                </c:pt>
                <c:pt idx="4427">
                  <c:v>41590</c:v>
                </c:pt>
                <c:pt idx="4428">
                  <c:v>41591</c:v>
                </c:pt>
                <c:pt idx="4429">
                  <c:v>41592</c:v>
                </c:pt>
                <c:pt idx="4430">
                  <c:v>41593</c:v>
                </c:pt>
                <c:pt idx="4431">
                  <c:v>41596</c:v>
                </c:pt>
                <c:pt idx="4432">
                  <c:v>41597</c:v>
                </c:pt>
                <c:pt idx="4433">
                  <c:v>41598</c:v>
                </c:pt>
                <c:pt idx="4434">
                  <c:v>41599</c:v>
                </c:pt>
                <c:pt idx="4435">
                  <c:v>41600</c:v>
                </c:pt>
                <c:pt idx="4436">
                  <c:v>41603</c:v>
                </c:pt>
                <c:pt idx="4437">
                  <c:v>41604</c:v>
                </c:pt>
                <c:pt idx="4438">
                  <c:v>41605</c:v>
                </c:pt>
                <c:pt idx="4439">
                  <c:v>41607</c:v>
                </c:pt>
                <c:pt idx="4440">
                  <c:v>41610</c:v>
                </c:pt>
                <c:pt idx="4441">
                  <c:v>41611</c:v>
                </c:pt>
                <c:pt idx="4442">
                  <c:v>41612</c:v>
                </c:pt>
                <c:pt idx="4443">
                  <c:v>41613</c:v>
                </c:pt>
                <c:pt idx="4444">
                  <c:v>41614</c:v>
                </c:pt>
                <c:pt idx="4445">
                  <c:v>41617</c:v>
                </c:pt>
                <c:pt idx="4446">
                  <c:v>41618</c:v>
                </c:pt>
                <c:pt idx="4447">
                  <c:v>41619</c:v>
                </c:pt>
                <c:pt idx="4448">
                  <c:v>41620</c:v>
                </c:pt>
                <c:pt idx="4449">
                  <c:v>41621</c:v>
                </c:pt>
                <c:pt idx="4450">
                  <c:v>41624</c:v>
                </c:pt>
                <c:pt idx="4451">
                  <c:v>41625</c:v>
                </c:pt>
                <c:pt idx="4452">
                  <c:v>41626</c:v>
                </c:pt>
                <c:pt idx="4453">
                  <c:v>41627</c:v>
                </c:pt>
                <c:pt idx="4454">
                  <c:v>41628</c:v>
                </c:pt>
                <c:pt idx="4455">
                  <c:v>41631</c:v>
                </c:pt>
                <c:pt idx="4456">
                  <c:v>41632</c:v>
                </c:pt>
                <c:pt idx="4457">
                  <c:v>41634</c:v>
                </c:pt>
                <c:pt idx="4458">
                  <c:v>41635</c:v>
                </c:pt>
                <c:pt idx="4459">
                  <c:v>41638</c:v>
                </c:pt>
                <c:pt idx="4460">
                  <c:v>41639</c:v>
                </c:pt>
                <c:pt idx="4461">
                  <c:v>41641</c:v>
                </c:pt>
                <c:pt idx="4462">
                  <c:v>41642</c:v>
                </c:pt>
                <c:pt idx="4463">
                  <c:v>41645</c:v>
                </c:pt>
                <c:pt idx="4464">
                  <c:v>41646</c:v>
                </c:pt>
                <c:pt idx="4465">
                  <c:v>41647</c:v>
                </c:pt>
                <c:pt idx="4466">
                  <c:v>41648</c:v>
                </c:pt>
                <c:pt idx="4467">
                  <c:v>41649</c:v>
                </c:pt>
                <c:pt idx="4468">
                  <c:v>41652</c:v>
                </c:pt>
                <c:pt idx="4469">
                  <c:v>41653</c:v>
                </c:pt>
                <c:pt idx="4470">
                  <c:v>41654</c:v>
                </c:pt>
                <c:pt idx="4471">
                  <c:v>41655</c:v>
                </c:pt>
                <c:pt idx="4472">
                  <c:v>41656</c:v>
                </c:pt>
                <c:pt idx="4473">
                  <c:v>41660</c:v>
                </c:pt>
                <c:pt idx="4474">
                  <c:v>41661</c:v>
                </c:pt>
                <c:pt idx="4475">
                  <c:v>41662</c:v>
                </c:pt>
                <c:pt idx="4476">
                  <c:v>41663</c:v>
                </c:pt>
                <c:pt idx="4477">
                  <c:v>41666</c:v>
                </c:pt>
                <c:pt idx="4478">
                  <c:v>41667</c:v>
                </c:pt>
                <c:pt idx="4479">
                  <c:v>41668</c:v>
                </c:pt>
                <c:pt idx="4480">
                  <c:v>41669</c:v>
                </c:pt>
                <c:pt idx="4481">
                  <c:v>41670</c:v>
                </c:pt>
                <c:pt idx="4482">
                  <c:v>41673</c:v>
                </c:pt>
                <c:pt idx="4483">
                  <c:v>41674</c:v>
                </c:pt>
                <c:pt idx="4484">
                  <c:v>41675</c:v>
                </c:pt>
                <c:pt idx="4485">
                  <c:v>41676</c:v>
                </c:pt>
                <c:pt idx="4486">
                  <c:v>41677</c:v>
                </c:pt>
                <c:pt idx="4487">
                  <c:v>41680</c:v>
                </c:pt>
                <c:pt idx="4488">
                  <c:v>41681</c:v>
                </c:pt>
                <c:pt idx="4489">
                  <c:v>41682</c:v>
                </c:pt>
                <c:pt idx="4490">
                  <c:v>41683</c:v>
                </c:pt>
                <c:pt idx="4491">
                  <c:v>41684</c:v>
                </c:pt>
                <c:pt idx="4492">
                  <c:v>41688</c:v>
                </c:pt>
                <c:pt idx="4493">
                  <c:v>41689</c:v>
                </c:pt>
                <c:pt idx="4494">
                  <c:v>41690</c:v>
                </c:pt>
                <c:pt idx="4495">
                  <c:v>41691</c:v>
                </c:pt>
                <c:pt idx="4496">
                  <c:v>41694</c:v>
                </c:pt>
                <c:pt idx="4497">
                  <c:v>41695</c:v>
                </c:pt>
                <c:pt idx="4498">
                  <c:v>41696</c:v>
                </c:pt>
                <c:pt idx="4499">
                  <c:v>41697</c:v>
                </c:pt>
                <c:pt idx="4500">
                  <c:v>41698</c:v>
                </c:pt>
                <c:pt idx="4501">
                  <c:v>41701</c:v>
                </c:pt>
                <c:pt idx="4502">
                  <c:v>41702</c:v>
                </c:pt>
                <c:pt idx="4503">
                  <c:v>41703</c:v>
                </c:pt>
                <c:pt idx="4504">
                  <c:v>41704</c:v>
                </c:pt>
                <c:pt idx="4505">
                  <c:v>41705</c:v>
                </c:pt>
                <c:pt idx="4506">
                  <c:v>41708</c:v>
                </c:pt>
                <c:pt idx="4507">
                  <c:v>41709</c:v>
                </c:pt>
                <c:pt idx="4508">
                  <c:v>41710</c:v>
                </c:pt>
                <c:pt idx="4509">
                  <c:v>41711</c:v>
                </c:pt>
                <c:pt idx="4510">
                  <c:v>41712</c:v>
                </c:pt>
                <c:pt idx="4511">
                  <c:v>41715</c:v>
                </c:pt>
                <c:pt idx="4512">
                  <c:v>41716</c:v>
                </c:pt>
                <c:pt idx="4513">
                  <c:v>41717</c:v>
                </c:pt>
                <c:pt idx="4514">
                  <c:v>41718</c:v>
                </c:pt>
                <c:pt idx="4515">
                  <c:v>41719</c:v>
                </c:pt>
                <c:pt idx="4516">
                  <c:v>41722</c:v>
                </c:pt>
                <c:pt idx="4517">
                  <c:v>41723</c:v>
                </c:pt>
                <c:pt idx="4518">
                  <c:v>41724</c:v>
                </c:pt>
                <c:pt idx="4519">
                  <c:v>41725</c:v>
                </c:pt>
                <c:pt idx="4520">
                  <c:v>41726</c:v>
                </c:pt>
                <c:pt idx="4521">
                  <c:v>41729</c:v>
                </c:pt>
                <c:pt idx="4522">
                  <c:v>41730</c:v>
                </c:pt>
                <c:pt idx="4523">
                  <c:v>41731</c:v>
                </c:pt>
                <c:pt idx="4524">
                  <c:v>41732</c:v>
                </c:pt>
                <c:pt idx="4525">
                  <c:v>41733</c:v>
                </c:pt>
                <c:pt idx="4526">
                  <c:v>41736</c:v>
                </c:pt>
                <c:pt idx="4527">
                  <c:v>41737</c:v>
                </c:pt>
                <c:pt idx="4528">
                  <c:v>41738</c:v>
                </c:pt>
                <c:pt idx="4529">
                  <c:v>41739</c:v>
                </c:pt>
                <c:pt idx="4530">
                  <c:v>41740</c:v>
                </c:pt>
                <c:pt idx="4531">
                  <c:v>41743</c:v>
                </c:pt>
                <c:pt idx="4532">
                  <c:v>41744</c:v>
                </c:pt>
                <c:pt idx="4533">
                  <c:v>41745</c:v>
                </c:pt>
                <c:pt idx="4534">
                  <c:v>41746</c:v>
                </c:pt>
                <c:pt idx="4535">
                  <c:v>41750</c:v>
                </c:pt>
                <c:pt idx="4536">
                  <c:v>41751</c:v>
                </c:pt>
                <c:pt idx="4537">
                  <c:v>41752</c:v>
                </c:pt>
                <c:pt idx="4538">
                  <c:v>41753</c:v>
                </c:pt>
                <c:pt idx="4539">
                  <c:v>41754</c:v>
                </c:pt>
                <c:pt idx="4540">
                  <c:v>41757</c:v>
                </c:pt>
                <c:pt idx="4541">
                  <c:v>41758</c:v>
                </c:pt>
                <c:pt idx="4542">
                  <c:v>41759</c:v>
                </c:pt>
                <c:pt idx="4543">
                  <c:v>41760</c:v>
                </c:pt>
                <c:pt idx="4544">
                  <c:v>41761</c:v>
                </c:pt>
                <c:pt idx="4545">
                  <c:v>41764</c:v>
                </c:pt>
                <c:pt idx="4546">
                  <c:v>41765</c:v>
                </c:pt>
                <c:pt idx="4547">
                  <c:v>41766</c:v>
                </c:pt>
                <c:pt idx="4548">
                  <c:v>41767</c:v>
                </c:pt>
                <c:pt idx="4549">
                  <c:v>41768</c:v>
                </c:pt>
                <c:pt idx="4550">
                  <c:v>41771</c:v>
                </c:pt>
                <c:pt idx="4551">
                  <c:v>41772</c:v>
                </c:pt>
                <c:pt idx="4552">
                  <c:v>41773</c:v>
                </c:pt>
                <c:pt idx="4553">
                  <c:v>41774</c:v>
                </c:pt>
                <c:pt idx="4554">
                  <c:v>41775</c:v>
                </c:pt>
                <c:pt idx="4555">
                  <c:v>41778</c:v>
                </c:pt>
                <c:pt idx="4556">
                  <c:v>41779</c:v>
                </c:pt>
                <c:pt idx="4557">
                  <c:v>41780</c:v>
                </c:pt>
                <c:pt idx="4558">
                  <c:v>41781</c:v>
                </c:pt>
                <c:pt idx="4559">
                  <c:v>41782</c:v>
                </c:pt>
                <c:pt idx="4560">
                  <c:v>41786</c:v>
                </c:pt>
                <c:pt idx="4561">
                  <c:v>41787</c:v>
                </c:pt>
                <c:pt idx="4562">
                  <c:v>41788</c:v>
                </c:pt>
                <c:pt idx="4563">
                  <c:v>41789</c:v>
                </c:pt>
                <c:pt idx="4564">
                  <c:v>41792</c:v>
                </c:pt>
                <c:pt idx="4565">
                  <c:v>41793</c:v>
                </c:pt>
                <c:pt idx="4566">
                  <c:v>41794</c:v>
                </c:pt>
                <c:pt idx="4567">
                  <c:v>41795</c:v>
                </c:pt>
                <c:pt idx="4568">
                  <c:v>41796</c:v>
                </c:pt>
                <c:pt idx="4569">
                  <c:v>41799</c:v>
                </c:pt>
                <c:pt idx="4570">
                  <c:v>41800</c:v>
                </c:pt>
                <c:pt idx="4571">
                  <c:v>41801</c:v>
                </c:pt>
                <c:pt idx="4572">
                  <c:v>41802</c:v>
                </c:pt>
                <c:pt idx="4573">
                  <c:v>41803</c:v>
                </c:pt>
                <c:pt idx="4574">
                  <c:v>41806</c:v>
                </c:pt>
                <c:pt idx="4575">
                  <c:v>41807</c:v>
                </c:pt>
                <c:pt idx="4576">
                  <c:v>41808</c:v>
                </c:pt>
                <c:pt idx="4577">
                  <c:v>41809</c:v>
                </c:pt>
                <c:pt idx="4578">
                  <c:v>41810</c:v>
                </c:pt>
                <c:pt idx="4579">
                  <c:v>41813</c:v>
                </c:pt>
                <c:pt idx="4580">
                  <c:v>41814</c:v>
                </c:pt>
                <c:pt idx="4581">
                  <c:v>41815</c:v>
                </c:pt>
                <c:pt idx="4582">
                  <c:v>41816</c:v>
                </c:pt>
                <c:pt idx="4583">
                  <c:v>41817</c:v>
                </c:pt>
                <c:pt idx="4584">
                  <c:v>41820</c:v>
                </c:pt>
                <c:pt idx="4585">
                  <c:v>41821</c:v>
                </c:pt>
                <c:pt idx="4586">
                  <c:v>41822</c:v>
                </c:pt>
                <c:pt idx="4587">
                  <c:v>41823</c:v>
                </c:pt>
                <c:pt idx="4588">
                  <c:v>41827</c:v>
                </c:pt>
                <c:pt idx="4589">
                  <c:v>41828</c:v>
                </c:pt>
                <c:pt idx="4590">
                  <c:v>41829</c:v>
                </c:pt>
                <c:pt idx="4591">
                  <c:v>41830</c:v>
                </c:pt>
                <c:pt idx="4592">
                  <c:v>41831</c:v>
                </c:pt>
                <c:pt idx="4593">
                  <c:v>41834</c:v>
                </c:pt>
                <c:pt idx="4594">
                  <c:v>41835</c:v>
                </c:pt>
                <c:pt idx="4595">
                  <c:v>41836</c:v>
                </c:pt>
                <c:pt idx="4596">
                  <c:v>41837</c:v>
                </c:pt>
                <c:pt idx="4597">
                  <c:v>41838</c:v>
                </c:pt>
                <c:pt idx="4598">
                  <c:v>41841</c:v>
                </c:pt>
                <c:pt idx="4599">
                  <c:v>41842</c:v>
                </c:pt>
                <c:pt idx="4600">
                  <c:v>41843</c:v>
                </c:pt>
                <c:pt idx="4601">
                  <c:v>41844</c:v>
                </c:pt>
                <c:pt idx="4602">
                  <c:v>41845</c:v>
                </c:pt>
                <c:pt idx="4603">
                  <c:v>41848</c:v>
                </c:pt>
                <c:pt idx="4604">
                  <c:v>41849</c:v>
                </c:pt>
                <c:pt idx="4605">
                  <c:v>41850</c:v>
                </c:pt>
                <c:pt idx="4606">
                  <c:v>41851</c:v>
                </c:pt>
                <c:pt idx="4607">
                  <c:v>41852</c:v>
                </c:pt>
                <c:pt idx="4608">
                  <c:v>41855</c:v>
                </c:pt>
                <c:pt idx="4609">
                  <c:v>41856</c:v>
                </c:pt>
                <c:pt idx="4610">
                  <c:v>41857</c:v>
                </c:pt>
                <c:pt idx="4611">
                  <c:v>41858</c:v>
                </c:pt>
                <c:pt idx="4612">
                  <c:v>41859</c:v>
                </c:pt>
                <c:pt idx="4613">
                  <c:v>41862</c:v>
                </c:pt>
                <c:pt idx="4614">
                  <c:v>41863</c:v>
                </c:pt>
                <c:pt idx="4615">
                  <c:v>41864</c:v>
                </c:pt>
                <c:pt idx="4616">
                  <c:v>41865</c:v>
                </c:pt>
                <c:pt idx="4617">
                  <c:v>41866</c:v>
                </c:pt>
                <c:pt idx="4618">
                  <c:v>41869</c:v>
                </c:pt>
                <c:pt idx="4619">
                  <c:v>41870</c:v>
                </c:pt>
                <c:pt idx="4620">
                  <c:v>41871</c:v>
                </c:pt>
                <c:pt idx="4621">
                  <c:v>41872</c:v>
                </c:pt>
                <c:pt idx="4622">
                  <c:v>41873</c:v>
                </c:pt>
                <c:pt idx="4623">
                  <c:v>41876</c:v>
                </c:pt>
                <c:pt idx="4624">
                  <c:v>41877</c:v>
                </c:pt>
                <c:pt idx="4625">
                  <c:v>41878</c:v>
                </c:pt>
                <c:pt idx="4626">
                  <c:v>41879</c:v>
                </c:pt>
                <c:pt idx="4627">
                  <c:v>41880</c:v>
                </c:pt>
                <c:pt idx="4628">
                  <c:v>41884</c:v>
                </c:pt>
                <c:pt idx="4629">
                  <c:v>41885</c:v>
                </c:pt>
                <c:pt idx="4630">
                  <c:v>41886</c:v>
                </c:pt>
                <c:pt idx="4631">
                  <c:v>41887</c:v>
                </c:pt>
                <c:pt idx="4632">
                  <c:v>41890</c:v>
                </c:pt>
                <c:pt idx="4633">
                  <c:v>41891</c:v>
                </c:pt>
                <c:pt idx="4634">
                  <c:v>41892</c:v>
                </c:pt>
                <c:pt idx="4635">
                  <c:v>41893</c:v>
                </c:pt>
                <c:pt idx="4636">
                  <c:v>41894</c:v>
                </c:pt>
                <c:pt idx="4637">
                  <c:v>41897</c:v>
                </c:pt>
                <c:pt idx="4638">
                  <c:v>41898</c:v>
                </c:pt>
                <c:pt idx="4639">
                  <c:v>41899</c:v>
                </c:pt>
                <c:pt idx="4640">
                  <c:v>41900</c:v>
                </c:pt>
                <c:pt idx="4641">
                  <c:v>41901</c:v>
                </c:pt>
                <c:pt idx="4642">
                  <c:v>41904</c:v>
                </c:pt>
                <c:pt idx="4643">
                  <c:v>41905</c:v>
                </c:pt>
                <c:pt idx="4644">
                  <c:v>41906</c:v>
                </c:pt>
                <c:pt idx="4645">
                  <c:v>41907</c:v>
                </c:pt>
                <c:pt idx="4646">
                  <c:v>41908</c:v>
                </c:pt>
                <c:pt idx="4647">
                  <c:v>41911</c:v>
                </c:pt>
                <c:pt idx="4648">
                  <c:v>41912</c:v>
                </c:pt>
                <c:pt idx="4649">
                  <c:v>41913</c:v>
                </c:pt>
                <c:pt idx="4650">
                  <c:v>41914</c:v>
                </c:pt>
                <c:pt idx="4651">
                  <c:v>41915</c:v>
                </c:pt>
                <c:pt idx="4652">
                  <c:v>41918</c:v>
                </c:pt>
                <c:pt idx="4653">
                  <c:v>41919</c:v>
                </c:pt>
                <c:pt idx="4654">
                  <c:v>41920</c:v>
                </c:pt>
                <c:pt idx="4655">
                  <c:v>41921</c:v>
                </c:pt>
                <c:pt idx="4656">
                  <c:v>41922</c:v>
                </c:pt>
                <c:pt idx="4657">
                  <c:v>41925</c:v>
                </c:pt>
                <c:pt idx="4658">
                  <c:v>41926</c:v>
                </c:pt>
                <c:pt idx="4659">
                  <c:v>41927</c:v>
                </c:pt>
                <c:pt idx="4660">
                  <c:v>41928</c:v>
                </c:pt>
                <c:pt idx="4661">
                  <c:v>41929</c:v>
                </c:pt>
                <c:pt idx="4662">
                  <c:v>41932</c:v>
                </c:pt>
                <c:pt idx="4663">
                  <c:v>41933</c:v>
                </c:pt>
                <c:pt idx="4664">
                  <c:v>41934</c:v>
                </c:pt>
                <c:pt idx="4665">
                  <c:v>41935</c:v>
                </c:pt>
                <c:pt idx="4666">
                  <c:v>41936</c:v>
                </c:pt>
                <c:pt idx="4667">
                  <c:v>41939</c:v>
                </c:pt>
                <c:pt idx="4668">
                  <c:v>41940</c:v>
                </c:pt>
                <c:pt idx="4669">
                  <c:v>41941</c:v>
                </c:pt>
                <c:pt idx="4670">
                  <c:v>41942</c:v>
                </c:pt>
                <c:pt idx="4671">
                  <c:v>41943</c:v>
                </c:pt>
                <c:pt idx="4672">
                  <c:v>41946</c:v>
                </c:pt>
                <c:pt idx="4673">
                  <c:v>41947</c:v>
                </c:pt>
                <c:pt idx="4674">
                  <c:v>41948</c:v>
                </c:pt>
                <c:pt idx="4675">
                  <c:v>41949</c:v>
                </c:pt>
                <c:pt idx="4676">
                  <c:v>41950</c:v>
                </c:pt>
                <c:pt idx="4677">
                  <c:v>41953</c:v>
                </c:pt>
                <c:pt idx="4678">
                  <c:v>41954</c:v>
                </c:pt>
                <c:pt idx="4679">
                  <c:v>41955</c:v>
                </c:pt>
                <c:pt idx="4680">
                  <c:v>41956</c:v>
                </c:pt>
                <c:pt idx="4681">
                  <c:v>41957</c:v>
                </c:pt>
                <c:pt idx="4682">
                  <c:v>41960</c:v>
                </c:pt>
                <c:pt idx="4683">
                  <c:v>41961</c:v>
                </c:pt>
                <c:pt idx="4684">
                  <c:v>41962</c:v>
                </c:pt>
                <c:pt idx="4685">
                  <c:v>41963</c:v>
                </c:pt>
                <c:pt idx="4686">
                  <c:v>41964</c:v>
                </c:pt>
                <c:pt idx="4687">
                  <c:v>41967</c:v>
                </c:pt>
                <c:pt idx="4688">
                  <c:v>41968</c:v>
                </c:pt>
                <c:pt idx="4689">
                  <c:v>41969</c:v>
                </c:pt>
                <c:pt idx="4690">
                  <c:v>41971</c:v>
                </c:pt>
                <c:pt idx="4691">
                  <c:v>41974</c:v>
                </c:pt>
                <c:pt idx="4692">
                  <c:v>41975</c:v>
                </c:pt>
                <c:pt idx="4693">
                  <c:v>41976</c:v>
                </c:pt>
                <c:pt idx="4694">
                  <c:v>41977</c:v>
                </c:pt>
                <c:pt idx="4695">
                  <c:v>41978</c:v>
                </c:pt>
                <c:pt idx="4696">
                  <c:v>41981</c:v>
                </c:pt>
                <c:pt idx="4697">
                  <c:v>41982</c:v>
                </c:pt>
                <c:pt idx="4698">
                  <c:v>41983</c:v>
                </c:pt>
                <c:pt idx="4699">
                  <c:v>41984</c:v>
                </c:pt>
                <c:pt idx="4700">
                  <c:v>41985</c:v>
                </c:pt>
              </c:numCache>
            </c:numRef>
          </c:cat>
          <c:val>
            <c:numRef>
              <c:f>'TS Data'!$B$8:$B$4708</c:f>
              <c:numCache>
                <c:formatCode>General</c:formatCode>
                <c:ptCount val="4701"/>
                <c:pt idx="0">
                  <c:v>1.38</c:v>
                </c:pt>
                <c:pt idx="1">
                  <c:v>1.34</c:v>
                </c:pt>
                <c:pt idx="2">
                  <c:v>1.2</c:v>
                </c:pt>
                <c:pt idx="3">
                  <c:v>1.1200000000000001</c:v>
                </c:pt>
                <c:pt idx="4">
                  <c:v>1.22</c:v>
                </c:pt>
                <c:pt idx="5">
                  <c:v>1.2</c:v>
                </c:pt>
                <c:pt idx="6">
                  <c:v>1.18</c:v>
                </c:pt>
                <c:pt idx="7">
                  <c:v>1.17</c:v>
                </c:pt>
                <c:pt idx="8">
                  <c:v>1.21</c:v>
                </c:pt>
                <c:pt idx="9">
                  <c:v>1.3</c:v>
                </c:pt>
                <c:pt idx="10">
                  <c:v>1.32</c:v>
                </c:pt>
                <c:pt idx="11">
                  <c:v>1.29</c:v>
                </c:pt>
                <c:pt idx="12">
                  <c:v>1.24</c:v>
                </c:pt>
                <c:pt idx="13">
                  <c:v>1.32</c:v>
                </c:pt>
                <c:pt idx="14">
                  <c:v>1.37</c:v>
                </c:pt>
                <c:pt idx="15">
                  <c:v>1.33</c:v>
                </c:pt>
                <c:pt idx="16">
                  <c:v>1.26</c:v>
                </c:pt>
                <c:pt idx="17">
                  <c:v>1.27</c:v>
                </c:pt>
                <c:pt idx="18">
                  <c:v>1.26</c:v>
                </c:pt>
                <c:pt idx="19">
                  <c:v>1.28</c:v>
                </c:pt>
                <c:pt idx="20">
                  <c:v>1.3</c:v>
                </c:pt>
                <c:pt idx="21">
                  <c:v>1.26</c:v>
                </c:pt>
                <c:pt idx="22">
                  <c:v>1.23</c:v>
                </c:pt>
                <c:pt idx="23">
                  <c:v>1.26</c:v>
                </c:pt>
                <c:pt idx="24">
                  <c:v>1.26</c:v>
                </c:pt>
                <c:pt idx="25">
                  <c:v>1.25</c:v>
                </c:pt>
                <c:pt idx="26">
                  <c:v>1.21</c:v>
                </c:pt>
                <c:pt idx="27">
                  <c:v>1.17</c:v>
                </c:pt>
                <c:pt idx="28">
                  <c:v>1.1499999999999999</c:v>
                </c:pt>
                <c:pt idx="29">
                  <c:v>1.23</c:v>
                </c:pt>
                <c:pt idx="30">
                  <c:v>1.23</c:v>
                </c:pt>
                <c:pt idx="31">
                  <c:v>1.21</c:v>
                </c:pt>
                <c:pt idx="32">
                  <c:v>1.1499999999999999</c:v>
                </c:pt>
                <c:pt idx="33">
                  <c:v>1.18</c:v>
                </c:pt>
                <c:pt idx="34">
                  <c:v>1.17</c:v>
                </c:pt>
                <c:pt idx="35">
                  <c:v>1.1399999999999999</c:v>
                </c:pt>
                <c:pt idx="36">
                  <c:v>1.1299999999999999</c:v>
                </c:pt>
                <c:pt idx="37">
                  <c:v>1.1299999999999999</c:v>
                </c:pt>
                <c:pt idx="38">
                  <c:v>1.1599999999999999</c:v>
                </c:pt>
                <c:pt idx="39">
                  <c:v>1.1200000000000001</c:v>
                </c:pt>
                <c:pt idx="40">
                  <c:v>1.1000000000000001</c:v>
                </c:pt>
                <c:pt idx="41">
                  <c:v>1.06</c:v>
                </c:pt>
                <c:pt idx="42">
                  <c:v>1.08</c:v>
                </c:pt>
                <c:pt idx="43">
                  <c:v>1.06</c:v>
                </c:pt>
                <c:pt idx="44">
                  <c:v>1.03</c:v>
                </c:pt>
                <c:pt idx="45">
                  <c:v>0.96</c:v>
                </c:pt>
                <c:pt idx="46">
                  <c:v>0.85</c:v>
                </c:pt>
                <c:pt idx="47">
                  <c:v>0.86</c:v>
                </c:pt>
                <c:pt idx="48">
                  <c:v>0.91</c:v>
                </c:pt>
                <c:pt idx="49">
                  <c:v>0.93</c:v>
                </c:pt>
                <c:pt idx="50">
                  <c:v>0.91</c:v>
                </c:pt>
                <c:pt idx="51">
                  <c:v>0.91</c:v>
                </c:pt>
                <c:pt idx="52">
                  <c:v>0.88</c:v>
                </c:pt>
                <c:pt idx="53">
                  <c:v>0.76</c:v>
                </c:pt>
                <c:pt idx="54">
                  <c:v>0.88</c:v>
                </c:pt>
                <c:pt idx="55">
                  <c:v>0.91</c:v>
                </c:pt>
                <c:pt idx="56">
                  <c:v>0.89</c:v>
                </c:pt>
                <c:pt idx="57">
                  <c:v>0.88</c:v>
                </c:pt>
                <c:pt idx="58">
                  <c:v>0.83</c:v>
                </c:pt>
                <c:pt idx="59">
                  <c:v>0.83</c:v>
                </c:pt>
                <c:pt idx="60">
                  <c:v>0.77</c:v>
                </c:pt>
                <c:pt idx="61">
                  <c:v>0.68</c:v>
                </c:pt>
                <c:pt idx="62">
                  <c:v>0.72</c:v>
                </c:pt>
                <c:pt idx="63">
                  <c:v>0.73</c:v>
                </c:pt>
                <c:pt idx="64">
                  <c:v>0.74</c:v>
                </c:pt>
                <c:pt idx="65">
                  <c:v>0.75</c:v>
                </c:pt>
                <c:pt idx="66">
                  <c:v>0.8</c:v>
                </c:pt>
                <c:pt idx="67">
                  <c:v>0.8</c:v>
                </c:pt>
                <c:pt idx="68">
                  <c:v>0.79</c:v>
                </c:pt>
                <c:pt idx="69">
                  <c:v>0.75</c:v>
                </c:pt>
                <c:pt idx="70">
                  <c:v>0.68</c:v>
                </c:pt>
                <c:pt idx="71">
                  <c:v>0.66</c:v>
                </c:pt>
                <c:pt idx="72">
                  <c:v>0.68</c:v>
                </c:pt>
                <c:pt idx="73">
                  <c:v>0.69</c:v>
                </c:pt>
                <c:pt idx="74">
                  <c:v>0.67</c:v>
                </c:pt>
                <c:pt idx="75">
                  <c:v>0.71</c:v>
                </c:pt>
                <c:pt idx="76">
                  <c:v>0.75</c:v>
                </c:pt>
                <c:pt idx="77">
                  <c:v>0.79</c:v>
                </c:pt>
                <c:pt idx="78">
                  <c:v>0.79</c:v>
                </c:pt>
                <c:pt idx="79">
                  <c:v>0.79</c:v>
                </c:pt>
                <c:pt idx="80">
                  <c:v>0.76</c:v>
                </c:pt>
                <c:pt idx="81">
                  <c:v>0.75</c:v>
                </c:pt>
                <c:pt idx="82">
                  <c:v>0.77</c:v>
                </c:pt>
                <c:pt idx="83">
                  <c:v>0.74</c:v>
                </c:pt>
                <c:pt idx="84">
                  <c:v>0.72</c:v>
                </c:pt>
                <c:pt idx="85">
                  <c:v>0.83</c:v>
                </c:pt>
                <c:pt idx="86">
                  <c:v>0.85</c:v>
                </c:pt>
                <c:pt idx="87">
                  <c:v>0.83</c:v>
                </c:pt>
                <c:pt idx="88">
                  <c:v>0.81</c:v>
                </c:pt>
                <c:pt idx="89">
                  <c:v>0.82</c:v>
                </c:pt>
                <c:pt idx="90">
                  <c:v>0.8</c:v>
                </c:pt>
                <c:pt idx="91">
                  <c:v>0.78</c:v>
                </c:pt>
                <c:pt idx="92">
                  <c:v>0.83</c:v>
                </c:pt>
                <c:pt idx="93">
                  <c:v>0.82</c:v>
                </c:pt>
                <c:pt idx="94">
                  <c:v>0.82</c:v>
                </c:pt>
                <c:pt idx="95">
                  <c:v>0.84</c:v>
                </c:pt>
                <c:pt idx="96">
                  <c:v>0.88</c:v>
                </c:pt>
                <c:pt idx="97">
                  <c:v>0.82</c:v>
                </c:pt>
                <c:pt idx="98">
                  <c:v>0.82</c:v>
                </c:pt>
                <c:pt idx="99">
                  <c:v>0.79</c:v>
                </c:pt>
                <c:pt idx="100">
                  <c:v>0.79</c:v>
                </c:pt>
                <c:pt idx="101">
                  <c:v>0.77</c:v>
                </c:pt>
                <c:pt idx="102">
                  <c:v>0.77</c:v>
                </c:pt>
                <c:pt idx="103">
                  <c:v>0.78</c:v>
                </c:pt>
                <c:pt idx="104">
                  <c:v>0.77</c:v>
                </c:pt>
                <c:pt idx="105">
                  <c:v>0.79</c:v>
                </c:pt>
                <c:pt idx="106">
                  <c:v>0.81</c:v>
                </c:pt>
                <c:pt idx="107">
                  <c:v>0.86</c:v>
                </c:pt>
                <c:pt idx="108">
                  <c:v>0.86</c:v>
                </c:pt>
                <c:pt idx="109">
                  <c:v>0.9</c:v>
                </c:pt>
                <c:pt idx="110">
                  <c:v>0.86</c:v>
                </c:pt>
                <c:pt idx="111">
                  <c:v>0.9</c:v>
                </c:pt>
                <c:pt idx="112">
                  <c:v>1</c:v>
                </c:pt>
                <c:pt idx="113">
                  <c:v>0.99</c:v>
                </c:pt>
                <c:pt idx="114">
                  <c:v>0.95</c:v>
                </c:pt>
                <c:pt idx="115">
                  <c:v>0.91</c:v>
                </c:pt>
                <c:pt idx="116">
                  <c:v>0.91</c:v>
                </c:pt>
                <c:pt idx="117">
                  <c:v>0.91</c:v>
                </c:pt>
                <c:pt idx="118">
                  <c:v>0.89</c:v>
                </c:pt>
                <c:pt idx="119">
                  <c:v>0.82</c:v>
                </c:pt>
                <c:pt idx="120">
                  <c:v>0.91</c:v>
                </c:pt>
                <c:pt idx="121">
                  <c:v>0.94</c:v>
                </c:pt>
                <c:pt idx="122">
                  <c:v>0.92</c:v>
                </c:pt>
                <c:pt idx="123">
                  <c:v>0.93</c:v>
                </c:pt>
                <c:pt idx="124">
                  <c:v>0.87</c:v>
                </c:pt>
                <c:pt idx="125">
                  <c:v>0.94</c:v>
                </c:pt>
                <c:pt idx="126">
                  <c:v>0.85</c:v>
                </c:pt>
                <c:pt idx="127">
                  <c:v>0.86</c:v>
                </c:pt>
                <c:pt idx="128">
                  <c:v>0.9</c:v>
                </c:pt>
                <c:pt idx="129">
                  <c:v>0.9</c:v>
                </c:pt>
                <c:pt idx="130">
                  <c:v>0.88</c:v>
                </c:pt>
                <c:pt idx="131">
                  <c:v>0.92</c:v>
                </c:pt>
                <c:pt idx="132">
                  <c:v>0.92</c:v>
                </c:pt>
                <c:pt idx="133">
                  <c:v>0.91</c:v>
                </c:pt>
                <c:pt idx="134">
                  <c:v>0.89</c:v>
                </c:pt>
                <c:pt idx="135">
                  <c:v>0.88</c:v>
                </c:pt>
                <c:pt idx="136">
                  <c:v>0.87</c:v>
                </c:pt>
                <c:pt idx="137">
                  <c:v>0.85</c:v>
                </c:pt>
                <c:pt idx="138">
                  <c:v>0.86</c:v>
                </c:pt>
                <c:pt idx="139">
                  <c:v>0.85</c:v>
                </c:pt>
                <c:pt idx="140">
                  <c:v>0.84</c:v>
                </c:pt>
                <c:pt idx="141">
                  <c:v>0.82</c:v>
                </c:pt>
                <c:pt idx="142">
                  <c:v>0.81</c:v>
                </c:pt>
                <c:pt idx="143">
                  <c:v>0.79</c:v>
                </c:pt>
                <c:pt idx="144">
                  <c:v>0.76</c:v>
                </c:pt>
                <c:pt idx="145">
                  <c:v>0.75</c:v>
                </c:pt>
                <c:pt idx="146">
                  <c:v>0.76</c:v>
                </c:pt>
                <c:pt idx="147">
                  <c:v>0.81</c:v>
                </c:pt>
                <c:pt idx="148">
                  <c:v>0.84</c:v>
                </c:pt>
                <c:pt idx="149">
                  <c:v>0.82</c:v>
                </c:pt>
                <c:pt idx="150">
                  <c:v>0.79</c:v>
                </c:pt>
                <c:pt idx="151">
                  <c:v>0.76</c:v>
                </c:pt>
                <c:pt idx="152">
                  <c:v>0.77</c:v>
                </c:pt>
                <c:pt idx="153">
                  <c:v>0.76</c:v>
                </c:pt>
                <c:pt idx="154">
                  <c:v>0.74</c:v>
                </c:pt>
                <c:pt idx="155">
                  <c:v>0.74</c:v>
                </c:pt>
                <c:pt idx="156">
                  <c:v>0.72</c:v>
                </c:pt>
                <c:pt idx="157">
                  <c:v>0.73</c:v>
                </c:pt>
                <c:pt idx="158">
                  <c:v>0.8</c:v>
                </c:pt>
                <c:pt idx="159">
                  <c:v>0.79</c:v>
                </c:pt>
                <c:pt idx="160">
                  <c:v>0.77</c:v>
                </c:pt>
                <c:pt idx="161">
                  <c:v>0.8</c:v>
                </c:pt>
                <c:pt idx="162">
                  <c:v>0.79</c:v>
                </c:pt>
                <c:pt idx="163">
                  <c:v>0.83</c:v>
                </c:pt>
                <c:pt idx="164">
                  <c:v>0.82</c:v>
                </c:pt>
                <c:pt idx="165">
                  <c:v>0.89</c:v>
                </c:pt>
                <c:pt idx="166">
                  <c:v>0.85</c:v>
                </c:pt>
                <c:pt idx="167">
                  <c:v>0.89</c:v>
                </c:pt>
                <c:pt idx="168">
                  <c:v>0.84</c:v>
                </c:pt>
                <c:pt idx="169">
                  <c:v>0.81</c:v>
                </c:pt>
                <c:pt idx="170">
                  <c:v>0.83</c:v>
                </c:pt>
                <c:pt idx="171">
                  <c:v>0.83</c:v>
                </c:pt>
                <c:pt idx="172">
                  <c:v>0.78</c:v>
                </c:pt>
                <c:pt idx="173">
                  <c:v>0.76</c:v>
                </c:pt>
                <c:pt idx="174">
                  <c:v>0.77</c:v>
                </c:pt>
                <c:pt idx="175">
                  <c:v>0.75</c:v>
                </c:pt>
                <c:pt idx="176">
                  <c:v>0.71</c:v>
                </c:pt>
                <c:pt idx="177">
                  <c:v>0.75</c:v>
                </c:pt>
                <c:pt idx="178">
                  <c:v>0.76</c:v>
                </c:pt>
                <c:pt idx="179">
                  <c:v>0.74</c:v>
                </c:pt>
                <c:pt idx="180">
                  <c:v>0.76</c:v>
                </c:pt>
                <c:pt idx="181">
                  <c:v>0.75</c:v>
                </c:pt>
                <c:pt idx="182">
                  <c:v>0.71</c:v>
                </c:pt>
                <c:pt idx="183">
                  <c:v>0.73</c:v>
                </c:pt>
                <c:pt idx="184">
                  <c:v>0.77</c:v>
                </c:pt>
                <c:pt idx="185">
                  <c:v>0.83</c:v>
                </c:pt>
                <c:pt idx="186">
                  <c:v>0.84</c:v>
                </c:pt>
                <c:pt idx="187">
                  <c:v>0.79</c:v>
                </c:pt>
                <c:pt idx="188">
                  <c:v>0.81</c:v>
                </c:pt>
                <c:pt idx="189">
                  <c:v>0.8</c:v>
                </c:pt>
                <c:pt idx="190">
                  <c:v>0.91</c:v>
                </c:pt>
                <c:pt idx="191">
                  <c:v>0.87</c:v>
                </c:pt>
                <c:pt idx="192">
                  <c:v>1.06</c:v>
                </c:pt>
                <c:pt idx="193">
                  <c:v>1.0900000000000001</c:v>
                </c:pt>
                <c:pt idx="194">
                  <c:v>1.1100000000000001</c:v>
                </c:pt>
                <c:pt idx="195">
                  <c:v>1.23</c:v>
                </c:pt>
                <c:pt idx="196">
                  <c:v>1.33</c:v>
                </c:pt>
                <c:pt idx="197">
                  <c:v>1.33</c:v>
                </c:pt>
                <c:pt idx="198">
                  <c:v>1.47</c:v>
                </c:pt>
                <c:pt idx="199">
                  <c:v>1.38</c:v>
                </c:pt>
                <c:pt idx="200">
                  <c:v>1.52</c:v>
                </c:pt>
                <c:pt idx="201">
                  <c:v>1.36</c:v>
                </c:pt>
                <c:pt idx="202">
                  <c:v>1.4</c:v>
                </c:pt>
                <c:pt idx="203">
                  <c:v>1.42</c:v>
                </c:pt>
                <c:pt idx="204">
                  <c:v>1.41</c:v>
                </c:pt>
                <c:pt idx="205">
                  <c:v>1.45</c:v>
                </c:pt>
                <c:pt idx="206">
                  <c:v>1.44</c:v>
                </c:pt>
                <c:pt idx="207">
                  <c:v>1.41</c:v>
                </c:pt>
                <c:pt idx="208">
                  <c:v>1.34</c:v>
                </c:pt>
                <c:pt idx="209">
                  <c:v>1.26</c:v>
                </c:pt>
                <c:pt idx="210">
                  <c:v>1.21</c:v>
                </c:pt>
                <c:pt idx="211">
                  <c:v>1.31</c:v>
                </c:pt>
                <c:pt idx="212">
                  <c:v>1.48</c:v>
                </c:pt>
                <c:pt idx="213">
                  <c:v>1.49</c:v>
                </c:pt>
                <c:pt idx="214">
                  <c:v>1.43</c:v>
                </c:pt>
                <c:pt idx="215">
                  <c:v>1.42</c:v>
                </c:pt>
                <c:pt idx="216">
                  <c:v>1.38</c:v>
                </c:pt>
                <c:pt idx="217">
                  <c:v>1.33</c:v>
                </c:pt>
                <c:pt idx="218">
                  <c:v>1.3</c:v>
                </c:pt>
                <c:pt idx="219">
                  <c:v>1.27</c:v>
                </c:pt>
                <c:pt idx="220">
                  <c:v>1.35</c:v>
                </c:pt>
                <c:pt idx="221">
                  <c:v>1.3</c:v>
                </c:pt>
                <c:pt idx="222">
                  <c:v>1.27</c:v>
                </c:pt>
                <c:pt idx="223">
                  <c:v>1.26</c:v>
                </c:pt>
                <c:pt idx="224">
                  <c:v>1.25</c:v>
                </c:pt>
                <c:pt idx="225">
                  <c:v>1.2</c:v>
                </c:pt>
                <c:pt idx="226">
                  <c:v>1.1200000000000001</c:v>
                </c:pt>
                <c:pt idx="227">
                  <c:v>1.0900000000000001</c:v>
                </c:pt>
                <c:pt idx="228">
                  <c:v>1.1399999999999999</c:v>
                </c:pt>
                <c:pt idx="229">
                  <c:v>1.1100000000000001</c:v>
                </c:pt>
                <c:pt idx="230">
                  <c:v>1.08</c:v>
                </c:pt>
                <c:pt idx="231">
                  <c:v>1.07</c:v>
                </c:pt>
                <c:pt idx="232">
                  <c:v>0.95</c:v>
                </c:pt>
                <c:pt idx="233">
                  <c:v>1.05</c:v>
                </c:pt>
                <c:pt idx="234">
                  <c:v>0.96</c:v>
                </c:pt>
                <c:pt idx="235">
                  <c:v>0.94</c:v>
                </c:pt>
                <c:pt idx="236">
                  <c:v>1.03</c:v>
                </c:pt>
                <c:pt idx="237">
                  <c:v>1.21</c:v>
                </c:pt>
                <c:pt idx="238">
                  <c:v>1.2</c:v>
                </c:pt>
                <c:pt idx="239">
                  <c:v>1.2</c:v>
                </c:pt>
                <c:pt idx="240">
                  <c:v>1.17</c:v>
                </c:pt>
                <c:pt idx="241">
                  <c:v>1.23</c:v>
                </c:pt>
                <c:pt idx="242">
                  <c:v>1.19</c:v>
                </c:pt>
                <c:pt idx="243">
                  <c:v>1.17</c:v>
                </c:pt>
                <c:pt idx="244">
                  <c:v>1.23</c:v>
                </c:pt>
                <c:pt idx="245">
                  <c:v>1.25</c:v>
                </c:pt>
                <c:pt idx="246">
                  <c:v>1.22</c:v>
                </c:pt>
                <c:pt idx="247">
                  <c:v>1.32</c:v>
                </c:pt>
                <c:pt idx="248">
                  <c:v>1.4</c:v>
                </c:pt>
                <c:pt idx="249">
                  <c:v>1.39</c:v>
                </c:pt>
                <c:pt idx="250">
                  <c:v>1.43</c:v>
                </c:pt>
                <c:pt idx="251">
                  <c:v>1.36</c:v>
                </c:pt>
                <c:pt idx="252">
                  <c:v>1.43</c:v>
                </c:pt>
                <c:pt idx="253">
                  <c:v>1.37</c:v>
                </c:pt>
                <c:pt idx="254">
                  <c:v>1.3</c:v>
                </c:pt>
                <c:pt idx="255">
                  <c:v>1.3</c:v>
                </c:pt>
                <c:pt idx="256">
                  <c:v>1.35</c:v>
                </c:pt>
                <c:pt idx="257">
                  <c:v>1.29</c:v>
                </c:pt>
                <c:pt idx="258">
                  <c:v>1.18</c:v>
                </c:pt>
                <c:pt idx="259">
                  <c:v>1.1399999999999999</c:v>
                </c:pt>
                <c:pt idx="260">
                  <c:v>1.3</c:v>
                </c:pt>
                <c:pt idx="261">
                  <c:v>1.27</c:v>
                </c:pt>
                <c:pt idx="262">
                  <c:v>1.26</c:v>
                </c:pt>
                <c:pt idx="263">
                  <c:v>1.31</c:v>
                </c:pt>
                <c:pt idx="264">
                  <c:v>1.32</c:v>
                </c:pt>
                <c:pt idx="265">
                  <c:v>1.42</c:v>
                </c:pt>
                <c:pt idx="266">
                  <c:v>1.42</c:v>
                </c:pt>
                <c:pt idx="267">
                  <c:v>1.46</c:v>
                </c:pt>
                <c:pt idx="268">
                  <c:v>1.5</c:v>
                </c:pt>
                <c:pt idx="269">
                  <c:v>1.37</c:v>
                </c:pt>
                <c:pt idx="270">
                  <c:v>1.4</c:v>
                </c:pt>
                <c:pt idx="271">
                  <c:v>1.42</c:v>
                </c:pt>
                <c:pt idx="272">
                  <c:v>1.41</c:v>
                </c:pt>
                <c:pt idx="273">
                  <c:v>1.36</c:v>
                </c:pt>
                <c:pt idx="274">
                  <c:v>1.27</c:v>
                </c:pt>
                <c:pt idx="275">
                  <c:v>1.26</c:v>
                </c:pt>
                <c:pt idx="276">
                  <c:v>1.3</c:v>
                </c:pt>
                <c:pt idx="277">
                  <c:v>1.33</c:v>
                </c:pt>
                <c:pt idx="278">
                  <c:v>1.34</c:v>
                </c:pt>
                <c:pt idx="279">
                  <c:v>1.35</c:v>
                </c:pt>
                <c:pt idx="280">
                  <c:v>1.38</c:v>
                </c:pt>
                <c:pt idx="281">
                  <c:v>1.3</c:v>
                </c:pt>
                <c:pt idx="282">
                  <c:v>1.31</c:v>
                </c:pt>
                <c:pt idx="283">
                  <c:v>1.32</c:v>
                </c:pt>
                <c:pt idx="284">
                  <c:v>1.33</c:v>
                </c:pt>
                <c:pt idx="285">
                  <c:v>1.33</c:v>
                </c:pt>
                <c:pt idx="286">
                  <c:v>1.34</c:v>
                </c:pt>
                <c:pt idx="287">
                  <c:v>1.38</c:v>
                </c:pt>
                <c:pt idx="288">
                  <c:v>1.35</c:v>
                </c:pt>
                <c:pt idx="289">
                  <c:v>1.31</c:v>
                </c:pt>
                <c:pt idx="290">
                  <c:v>1.35</c:v>
                </c:pt>
                <c:pt idx="291">
                  <c:v>1.33</c:v>
                </c:pt>
                <c:pt idx="292">
                  <c:v>1.36</c:v>
                </c:pt>
                <c:pt idx="293">
                  <c:v>1.35</c:v>
                </c:pt>
                <c:pt idx="294">
                  <c:v>1.29</c:v>
                </c:pt>
                <c:pt idx="295">
                  <c:v>1.33</c:v>
                </c:pt>
                <c:pt idx="296">
                  <c:v>1.34</c:v>
                </c:pt>
                <c:pt idx="297">
                  <c:v>1.45</c:v>
                </c:pt>
                <c:pt idx="298">
                  <c:v>1.46</c:v>
                </c:pt>
                <c:pt idx="299">
                  <c:v>1.42</c:v>
                </c:pt>
                <c:pt idx="300">
                  <c:v>1.45</c:v>
                </c:pt>
                <c:pt idx="301">
                  <c:v>1.64</c:v>
                </c:pt>
                <c:pt idx="302">
                  <c:v>1.54</c:v>
                </c:pt>
                <c:pt idx="303">
                  <c:v>1.55</c:v>
                </c:pt>
                <c:pt idx="304">
                  <c:v>1.55</c:v>
                </c:pt>
                <c:pt idx="305">
                  <c:v>1.51</c:v>
                </c:pt>
                <c:pt idx="306">
                  <c:v>1.44</c:v>
                </c:pt>
                <c:pt idx="307">
                  <c:v>1.47</c:v>
                </c:pt>
                <c:pt idx="308">
                  <c:v>1.42</c:v>
                </c:pt>
                <c:pt idx="309">
                  <c:v>1.41</c:v>
                </c:pt>
                <c:pt idx="310">
                  <c:v>1.4</c:v>
                </c:pt>
                <c:pt idx="311">
                  <c:v>1.57</c:v>
                </c:pt>
                <c:pt idx="312">
                  <c:v>1.66</c:v>
                </c:pt>
                <c:pt idx="313">
                  <c:v>1.83</c:v>
                </c:pt>
                <c:pt idx="314">
                  <c:v>1.79</c:v>
                </c:pt>
                <c:pt idx="315">
                  <c:v>1.83</c:v>
                </c:pt>
                <c:pt idx="316">
                  <c:v>2.02</c:v>
                </c:pt>
                <c:pt idx="317">
                  <c:v>2.1</c:v>
                </c:pt>
                <c:pt idx="318">
                  <c:v>2.0499999999999998</c:v>
                </c:pt>
                <c:pt idx="319">
                  <c:v>1.95</c:v>
                </c:pt>
                <c:pt idx="320">
                  <c:v>1.95</c:v>
                </c:pt>
                <c:pt idx="321">
                  <c:v>2.0699999999999998</c:v>
                </c:pt>
                <c:pt idx="322">
                  <c:v>2.1</c:v>
                </c:pt>
                <c:pt idx="323">
                  <c:v>2.0499999999999998</c:v>
                </c:pt>
                <c:pt idx="324">
                  <c:v>1.98</c:v>
                </c:pt>
                <c:pt idx="325">
                  <c:v>1.99</c:v>
                </c:pt>
                <c:pt idx="326">
                  <c:v>1.98</c:v>
                </c:pt>
                <c:pt idx="327">
                  <c:v>2.0099999999999998</c:v>
                </c:pt>
                <c:pt idx="328">
                  <c:v>2.2799999999999998</c:v>
                </c:pt>
                <c:pt idx="329">
                  <c:v>2.35</c:v>
                </c:pt>
                <c:pt idx="330">
                  <c:v>2.2999999999999998</c:v>
                </c:pt>
                <c:pt idx="331">
                  <c:v>2.2200000000000002</c:v>
                </c:pt>
                <c:pt idx="332">
                  <c:v>2.27</c:v>
                </c:pt>
                <c:pt idx="333">
                  <c:v>2.29</c:v>
                </c:pt>
                <c:pt idx="334">
                  <c:v>2.2400000000000002</c:v>
                </c:pt>
                <c:pt idx="335">
                  <c:v>2.25</c:v>
                </c:pt>
                <c:pt idx="336">
                  <c:v>2.2200000000000002</c:v>
                </c:pt>
                <c:pt idx="337">
                  <c:v>2.12</c:v>
                </c:pt>
                <c:pt idx="338">
                  <c:v>2.1</c:v>
                </c:pt>
                <c:pt idx="339">
                  <c:v>2.0699999999999998</c:v>
                </c:pt>
                <c:pt idx="340">
                  <c:v>2.02</c:v>
                </c:pt>
                <c:pt idx="341">
                  <c:v>2.1800000000000002</c:v>
                </c:pt>
                <c:pt idx="342">
                  <c:v>2.2999999999999998</c:v>
                </c:pt>
                <c:pt idx="343">
                  <c:v>2.39</c:v>
                </c:pt>
                <c:pt idx="344">
                  <c:v>2.3199999999999998</c:v>
                </c:pt>
                <c:pt idx="345">
                  <c:v>2.3199999999999998</c:v>
                </c:pt>
                <c:pt idx="346">
                  <c:v>2.36</c:v>
                </c:pt>
                <c:pt idx="347">
                  <c:v>2.33</c:v>
                </c:pt>
                <c:pt idx="348">
                  <c:v>2.33</c:v>
                </c:pt>
                <c:pt idx="349">
                  <c:v>2.34</c:v>
                </c:pt>
                <c:pt idx="350">
                  <c:v>2.48</c:v>
                </c:pt>
                <c:pt idx="351">
                  <c:v>2.4900000000000002</c:v>
                </c:pt>
                <c:pt idx="352">
                  <c:v>2.54</c:v>
                </c:pt>
                <c:pt idx="353">
                  <c:v>2.61</c:v>
                </c:pt>
                <c:pt idx="354">
                  <c:v>2.84</c:v>
                </c:pt>
                <c:pt idx="355">
                  <c:v>2.95</c:v>
                </c:pt>
                <c:pt idx="356">
                  <c:v>3.15</c:v>
                </c:pt>
                <c:pt idx="357">
                  <c:v>3.33</c:v>
                </c:pt>
                <c:pt idx="358">
                  <c:v>3.46</c:v>
                </c:pt>
                <c:pt idx="359">
                  <c:v>3.37</c:v>
                </c:pt>
                <c:pt idx="360">
                  <c:v>3.01</c:v>
                </c:pt>
                <c:pt idx="361">
                  <c:v>3.2</c:v>
                </c:pt>
                <c:pt idx="362">
                  <c:v>3.05</c:v>
                </c:pt>
                <c:pt idx="363">
                  <c:v>3.11</c:v>
                </c:pt>
                <c:pt idx="364">
                  <c:v>3.21</c:v>
                </c:pt>
                <c:pt idx="365">
                  <c:v>3.35</c:v>
                </c:pt>
                <c:pt idx="366">
                  <c:v>3.17</c:v>
                </c:pt>
                <c:pt idx="367">
                  <c:v>3.22</c:v>
                </c:pt>
                <c:pt idx="368">
                  <c:v>3.13</c:v>
                </c:pt>
                <c:pt idx="369">
                  <c:v>3.14</c:v>
                </c:pt>
                <c:pt idx="370">
                  <c:v>3.17</c:v>
                </c:pt>
                <c:pt idx="371">
                  <c:v>3.13</c:v>
                </c:pt>
                <c:pt idx="372">
                  <c:v>3.2</c:v>
                </c:pt>
                <c:pt idx="373">
                  <c:v>3.44</c:v>
                </c:pt>
                <c:pt idx="374">
                  <c:v>3.45</c:v>
                </c:pt>
                <c:pt idx="375">
                  <c:v>3.64</c:v>
                </c:pt>
                <c:pt idx="376">
                  <c:v>3.48</c:v>
                </c:pt>
                <c:pt idx="377">
                  <c:v>3.55</c:v>
                </c:pt>
                <c:pt idx="378">
                  <c:v>3.47</c:v>
                </c:pt>
                <c:pt idx="379">
                  <c:v>3.3</c:v>
                </c:pt>
                <c:pt idx="380">
                  <c:v>3.2</c:v>
                </c:pt>
                <c:pt idx="381">
                  <c:v>3.19</c:v>
                </c:pt>
                <c:pt idx="382">
                  <c:v>3.22</c:v>
                </c:pt>
                <c:pt idx="383">
                  <c:v>3.04</c:v>
                </c:pt>
                <c:pt idx="384">
                  <c:v>3.03</c:v>
                </c:pt>
                <c:pt idx="385">
                  <c:v>3.05</c:v>
                </c:pt>
                <c:pt idx="386">
                  <c:v>3.2</c:v>
                </c:pt>
                <c:pt idx="387">
                  <c:v>3.31</c:v>
                </c:pt>
                <c:pt idx="388">
                  <c:v>3.16</c:v>
                </c:pt>
                <c:pt idx="389">
                  <c:v>2.97</c:v>
                </c:pt>
                <c:pt idx="390">
                  <c:v>2.38</c:v>
                </c:pt>
                <c:pt idx="391">
                  <c:v>2.7</c:v>
                </c:pt>
                <c:pt idx="392">
                  <c:v>2.58</c:v>
                </c:pt>
                <c:pt idx="393">
                  <c:v>2.61</c:v>
                </c:pt>
                <c:pt idx="394">
                  <c:v>2.74</c:v>
                </c:pt>
                <c:pt idx="395">
                  <c:v>2.88</c:v>
                </c:pt>
                <c:pt idx="396">
                  <c:v>3.19</c:v>
                </c:pt>
                <c:pt idx="397">
                  <c:v>3.35</c:v>
                </c:pt>
                <c:pt idx="398">
                  <c:v>3.3</c:v>
                </c:pt>
                <c:pt idx="399">
                  <c:v>3.09</c:v>
                </c:pt>
                <c:pt idx="400">
                  <c:v>3.04</c:v>
                </c:pt>
                <c:pt idx="401">
                  <c:v>2.88</c:v>
                </c:pt>
                <c:pt idx="402">
                  <c:v>2.72</c:v>
                </c:pt>
                <c:pt idx="403">
                  <c:v>2.86</c:v>
                </c:pt>
                <c:pt idx="404">
                  <c:v>2.99</c:v>
                </c:pt>
                <c:pt idx="405">
                  <c:v>3.25</c:v>
                </c:pt>
                <c:pt idx="406">
                  <c:v>3.23</c:v>
                </c:pt>
                <c:pt idx="407">
                  <c:v>3.16</c:v>
                </c:pt>
                <c:pt idx="408">
                  <c:v>3.35</c:v>
                </c:pt>
                <c:pt idx="409">
                  <c:v>3.3</c:v>
                </c:pt>
                <c:pt idx="410">
                  <c:v>3.03</c:v>
                </c:pt>
                <c:pt idx="411">
                  <c:v>3.18</c:v>
                </c:pt>
                <c:pt idx="412">
                  <c:v>3.18</c:v>
                </c:pt>
                <c:pt idx="413">
                  <c:v>3.2</c:v>
                </c:pt>
                <c:pt idx="414">
                  <c:v>3.38</c:v>
                </c:pt>
                <c:pt idx="415">
                  <c:v>3.31</c:v>
                </c:pt>
                <c:pt idx="416">
                  <c:v>3.37</c:v>
                </c:pt>
                <c:pt idx="417">
                  <c:v>3.36</c:v>
                </c:pt>
                <c:pt idx="418">
                  <c:v>3.52</c:v>
                </c:pt>
                <c:pt idx="419">
                  <c:v>3.73</c:v>
                </c:pt>
                <c:pt idx="420">
                  <c:v>3.71</c:v>
                </c:pt>
                <c:pt idx="421">
                  <c:v>3.68</c:v>
                </c:pt>
                <c:pt idx="422">
                  <c:v>3.66</c:v>
                </c:pt>
                <c:pt idx="423">
                  <c:v>3.72</c:v>
                </c:pt>
                <c:pt idx="424">
                  <c:v>3.62</c:v>
                </c:pt>
                <c:pt idx="425">
                  <c:v>3.77</c:v>
                </c:pt>
                <c:pt idx="426">
                  <c:v>3.72</c:v>
                </c:pt>
                <c:pt idx="427">
                  <c:v>3.63</c:v>
                </c:pt>
                <c:pt idx="428">
                  <c:v>3.87</c:v>
                </c:pt>
                <c:pt idx="429">
                  <c:v>4.03</c:v>
                </c:pt>
                <c:pt idx="430">
                  <c:v>4.07</c:v>
                </c:pt>
                <c:pt idx="431">
                  <c:v>4.03</c:v>
                </c:pt>
                <c:pt idx="432">
                  <c:v>4.13</c:v>
                </c:pt>
                <c:pt idx="433">
                  <c:v>4.3099999999999996</c:v>
                </c:pt>
                <c:pt idx="434">
                  <c:v>4.4400000000000004</c:v>
                </c:pt>
                <c:pt idx="435">
                  <c:v>4.33</c:v>
                </c:pt>
                <c:pt idx="436">
                  <c:v>4.1399999999999997</c:v>
                </c:pt>
                <c:pt idx="437">
                  <c:v>3.93</c:v>
                </c:pt>
                <c:pt idx="438">
                  <c:v>4</c:v>
                </c:pt>
                <c:pt idx="439">
                  <c:v>3.99</c:v>
                </c:pt>
                <c:pt idx="440">
                  <c:v>4.0199999999999996</c:v>
                </c:pt>
                <c:pt idx="441">
                  <c:v>3.87</c:v>
                </c:pt>
                <c:pt idx="442">
                  <c:v>3.91</c:v>
                </c:pt>
                <c:pt idx="443">
                  <c:v>4.1100000000000003</c:v>
                </c:pt>
                <c:pt idx="444">
                  <c:v>4.1900000000000004</c:v>
                </c:pt>
                <c:pt idx="445">
                  <c:v>4.08</c:v>
                </c:pt>
                <c:pt idx="446">
                  <c:v>4.08</c:v>
                </c:pt>
                <c:pt idx="447">
                  <c:v>4.03</c:v>
                </c:pt>
                <c:pt idx="448">
                  <c:v>3.99</c:v>
                </c:pt>
                <c:pt idx="449">
                  <c:v>3.89</c:v>
                </c:pt>
                <c:pt idx="450">
                  <c:v>3.86</c:v>
                </c:pt>
                <c:pt idx="451">
                  <c:v>3.74</c:v>
                </c:pt>
                <c:pt idx="452">
                  <c:v>3.75</c:v>
                </c:pt>
                <c:pt idx="453">
                  <c:v>3.63</c:v>
                </c:pt>
                <c:pt idx="454">
                  <c:v>3.87</c:v>
                </c:pt>
                <c:pt idx="455">
                  <c:v>3.96</c:v>
                </c:pt>
                <c:pt idx="456">
                  <c:v>4.12</c:v>
                </c:pt>
                <c:pt idx="457">
                  <c:v>4.05</c:v>
                </c:pt>
                <c:pt idx="458">
                  <c:v>3.98</c:v>
                </c:pt>
                <c:pt idx="459">
                  <c:v>3.89</c:v>
                </c:pt>
                <c:pt idx="460">
                  <c:v>4.0199999999999996</c:v>
                </c:pt>
                <c:pt idx="461">
                  <c:v>3.99</c:v>
                </c:pt>
                <c:pt idx="462">
                  <c:v>4.04</c:v>
                </c:pt>
                <c:pt idx="463">
                  <c:v>4.07</c:v>
                </c:pt>
                <c:pt idx="464">
                  <c:v>4.07</c:v>
                </c:pt>
                <c:pt idx="465">
                  <c:v>4.05</c:v>
                </c:pt>
                <c:pt idx="466">
                  <c:v>4.0199999999999996</c:v>
                </c:pt>
                <c:pt idx="467">
                  <c:v>3.97</c:v>
                </c:pt>
                <c:pt idx="468">
                  <c:v>4</c:v>
                </c:pt>
                <c:pt idx="469">
                  <c:v>4.01</c:v>
                </c:pt>
                <c:pt idx="470">
                  <c:v>3.96</c:v>
                </c:pt>
                <c:pt idx="471">
                  <c:v>3.85</c:v>
                </c:pt>
                <c:pt idx="472">
                  <c:v>3.86</c:v>
                </c:pt>
                <c:pt idx="473">
                  <c:v>4.26</c:v>
                </c:pt>
                <c:pt idx="474">
                  <c:v>4.57</c:v>
                </c:pt>
                <c:pt idx="475">
                  <c:v>4.57</c:v>
                </c:pt>
                <c:pt idx="476">
                  <c:v>4.5599999999999996</c:v>
                </c:pt>
                <c:pt idx="477">
                  <c:v>4.4800000000000004</c:v>
                </c:pt>
                <c:pt idx="478">
                  <c:v>4.71</c:v>
                </c:pt>
                <c:pt idx="479">
                  <c:v>5.04</c:v>
                </c:pt>
                <c:pt idx="480">
                  <c:v>5.49</c:v>
                </c:pt>
                <c:pt idx="481">
                  <c:v>5.47</c:v>
                </c:pt>
                <c:pt idx="482">
                  <c:v>5.27</c:v>
                </c:pt>
                <c:pt idx="483">
                  <c:v>5.12</c:v>
                </c:pt>
                <c:pt idx="484">
                  <c:v>5.21</c:v>
                </c:pt>
                <c:pt idx="485">
                  <c:v>5.31</c:v>
                </c:pt>
                <c:pt idx="486">
                  <c:v>5.24</c:v>
                </c:pt>
                <c:pt idx="487">
                  <c:v>5.39</c:v>
                </c:pt>
                <c:pt idx="488">
                  <c:v>5.24</c:v>
                </c:pt>
                <c:pt idx="489">
                  <c:v>5.2</c:v>
                </c:pt>
                <c:pt idx="490">
                  <c:v>5.19</c:v>
                </c:pt>
                <c:pt idx="491">
                  <c:v>5.43</c:v>
                </c:pt>
                <c:pt idx="492">
                  <c:v>5.52</c:v>
                </c:pt>
                <c:pt idx="493">
                  <c:v>5.56</c:v>
                </c:pt>
                <c:pt idx="494">
                  <c:v>5.66</c:v>
                </c:pt>
                <c:pt idx="495">
                  <c:v>5.82</c:v>
                </c:pt>
                <c:pt idx="496">
                  <c:v>5.78</c:v>
                </c:pt>
                <c:pt idx="497">
                  <c:v>6.11</c:v>
                </c:pt>
                <c:pt idx="498">
                  <c:v>6.49</c:v>
                </c:pt>
                <c:pt idx="499">
                  <c:v>6.4</c:v>
                </c:pt>
                <c:pt idx="500">
                  <c:v>6.19</c:v>
                </c:pt>
                <c:pt idx="501">
                  <c:v>5.83</c:v>
                </c:pt>
                <c:pt idx="502">
                  <c:v>6.08</c:v>
                </c:pt>
                <c:pt idx="503">
                  <c:v>7.16</c:v>
                </c:pt>
                <c:pt idx="504">
                  <c:v>7.06</c:v>
                </c:pt>
                <c:pt idx="505">
                  <c:v>7.18</c:v>
                </c:pt>
                <c:pt idx="506">
                  <c:v>7.39</c:v>
                </c:pt>
                <c:pt idx="507">
                  <c:v>8.02</c:v>
                </c:pt>
                <c:pt idx="508">
                  <c:v>7.59</c:v>
                </c:pt>
                <c:pt idx="509">
                  <c:v>7.86</c:v>
                </c:pt>
                <c:pt idx="510">
                  <c:v>7.71</c:v>
                </c:pt>
                <c:pt idx="511">
                  <c:v>7.4</c:v>
                </c:pt>
                <c:pt idx="512">
                  <c:v>7.01</c:v>
                </c:pt>
                <c:pt idx="513">
                  <c:v>7.17</c:v>
                </c:pt>
                <c:pt idx="514">
                  <c:v>7.01</c:v>
                </c:pt>
                <c:pt idx="515">
                  <c:v>7.41</c:v>
                </c:pt>
                <c:pt idx="516">
                  <c:v>7.39</c:v>
                </c:pt>
                <c:pt idx="517">
                  <c:v>7.43</c:v>
                </c:pt>
                <c:pt idx="518">
                  <c:v>7.41</c:v>
                </c:pt>
                <c:pt idx="519">
                  <c:v>7.55</c:v>
                </c:pt>
                <c:pt idx="520">
                  <c:v>7.3</c:v>
                </c:pt>
                <c:pt idx="521">
                  <c:v>7.19</c:v>
                </c:pt>
                <c:pt idx="522">
                  <c:v>7.2</c:v>
                </c:pt>
                <c:pt idx="523">
                  <c:v>7.36</c:v>
                </c:pt>
                <c:pt idx="524">
                  <c:v>7.14</c:v>
                </c:pt>
                <c:pt idx="525">
                  <c:v>7.23</c:v>
                </c:pt>
                <c:pt idx="526">
                  <c:v>7.75</c:v>
                </c:pt>
                <c:pt idx="527">
                  <c:v>7.52</c:v>
                </c:pt>
                <c:pt idx="528">
                  <c:v>7.38</c:v>
                </c:pt>
                <c:pt idx="529">
                  <c:v>7.29</c:v>
                </c:pt>
                <c:pt idx="530">
                  <c:v>7.38</c:v>
                </c:pt>
                <c:pt idx="531">
                  <c:v>7.3</c:v>
                </c:pt>
                <c:pt idx="532">
                  <c:v>7.31</c:v>
                </c:pt>
                <c:pt idx="533">
                  <c:v>7.15</c:v>
                </c:pt>
                <c:pt idx="534">
                  <c:v>6.77</c:v>
                </c:pt>
                <c:pt idx="535">
                  <c:v>7.2</c:v>
                </c:pt>
                <c:pt idx="536">
                  <c:v>6.88</c:v>
                </c:pt>
                <c:pt idx="537">
                  <c:v>6.84</c:v>
                </c:pt>
                <c:pt idx="538">
                  <c:v>6.52</c:v>
                </c:pt>
                <c:pt idx="539">
                  <c:v>6.55</c:v>
                </c:pt>
                <c:pt idx="540">
                  <c:v>6.38</c:v>
                </c:pt>
                <c:pt idx="541">
                  <c:v>6.41</c:v>
                </c:pt>
                <c:pt idx="542">
                  <c:v>6.56</c:v>
                </c:pt>
                <c:pt idx="543">
                  <c:v>6.84</c:v>
                </c:pt>
                <c:pt idx="544">
                  <c:v>7.37</c:v>
                </c:pt>
                <c:pt idx="545">
                  <c:v>7.15</c:v>
                </c:pt>
                <c:pt idx="546">
                  <c:v>7.2</c:v>
                </c:pt>
                <c:pt idx="547">
                  <c:v>7.11</c:v>
                </c:pt>
                <c:pt idx="548">
                  <c:v>7.2</c:v>
                </c:pt>
                <c:pt idx="549">
                  <c:v>7.62</c:v>
                </c:pt>
                <c:pt idx="550">
                  <c:v>8.16</c:v>
                </c:pt>
                <c:pt idx="551">
                  <c:v>7.98</c:v>
                </c:pt>
                <c:pt idx="552">
                  <c:v>8.08</c:v>
                </c:pt>
                <c:pt idx="553">
                  <c:v>8.7200000000000006</c:v>
                </c:pt>
                <c:pt idx="554">
                  <c:v>9.25</c:v>
                </c:pt>
                <c:pt idx="555">
                  <c:v>9.3000000000000007</c:v>
                </c:pt>
                <c:pt idx="556">
                  <c:v>9.52</c:v>
                </c:pt>
                <c:pt idx="557">
                  <c:v>9.2899999999999991</c:v>
                </c:pt>
                <c:pt idx="558">
                  <c:v>9.65</c:v>
                </c:pt>
                <c:pt idx="559">
                  <c:v>9.84</c:v>
                </c:pt>
                <c:pt idx="560">
                  <c:v>10.62</c:v>
                </c:pt>
                <c:pt idx="561">
                  <c:v>10.8</c:v>
                </c:pt>
                <c:pt idx="562">
                  <c:v>12.45</c:v>
                </c:pt>
                <c:pt idx="563">
                  <c:v>11.94</c:v>
                </c:pt>
                <c:pt idx="564">
                  <c:v>11.64</c:v>
                </c:pt>
                <c:pt idx="565">
                  <c:v>11.5</c:v>
                </c:pt>
                <c:pt idx="566">
                  <c:v>11.41</c:v>
                </c:pt>
                <c:pt idx="567">
                  <c:v>11.77</c:v>
                </c:pt>
                <c:pt idx="568">
                  <c:v>11.66</c:v>
                </c:pt>
                <c:pt idx="569">
                  <c:v>11.36</c:v>
                </c:pt>
                <c:pt idx="570">
                  <c:v>11.67</c:v>
                </c:pt>
                <c:pt idx="571">
                  <c:v>11.61</c:v>
                </c:pt>
                <c:pt idx="572">
                  <c:v>12.27</c:v>
                </c:pt>
                <c:pt idx="573">
                  <c:v>11.81</c:v>
                </c:pt>
                <c:pt idx="574">
                  <c:v>12.11</c:v>
                </c:pt>
                <c:pt idx="575">
                  <c:v>11.84</c:v>
                </c:pt>
                <c:pt idx="576">
                  <c:v>11.38</c:v>
                </c:pt>
                <c:pt idx="577">
                  <c:v>11.82</c:v>
                </c:pt>
                <c:pt idx="578">
                  <c:v>11.45</c:v>
                </c:pt>
                <c:pt idx="579">
                  <c:v>10.85</c:v>
                </c:pt>
                <c:pt idx="580">
                  <c:v>11.42</c:v>
                </c:pt>
                <c:pt idx="581">
                  <c:v>11.37</c:v>
                </c:pt>
                <c:pt idx="582">
                  <c:v>10.8</c:v>
                </c:pt>
                <c:pt idx="583">
                  <c:v>10.64</c:v>
                </c:pt>
                <c:pt idx="584">
                  <c:v>10.48</c:v>
                </c:pt>
                <c:pt idx="585">
                  <c:v>10.92</c:v>
                </c:pt>
                <c:pt idx="586">
                  <c:v>11.45</c:v>
                </c:pt>
                <c:pt idx="587">
                  <c:v>11.75</c:v>
                </c:pt>
                <c:pt idx="588">
                  <c:v>11.42</c:v>
                </c:pt>
                <c:pt idx="589">
                  <c:v>11.92</c:v>
                </c:pt>
                <c:pt idx="590">
                  <c:v>11.59</c:v>
                </c:pt>
                <c:pt idx="591">
                  <c:v>11.47</c:v>
                </c:pt>
                <c:pt idx="592">
                  <c:v>11.5</c:v>
                </c:pt>
                <c:pt idx="593">
                  <c:v>12.16</c:v>
                </c:pt>
                <c:pt idx="594">
                  <c:v>11.91</c:v>
                </c:pt>
                <c:pt idx="595">
                  <c:v>12.19</c:v>
                </c:pt>
                <c:pt idx="596">
                  <c:v>11.92</c:v>
                </c:pt>
                <c:pt idx="597">
                  <c:v>12.21</c:v>
                </c:pt>
                <c:pt idx="598">
                  <c:v>12.19</c:v>
                </c:pt>
                <c:pt idx="599">
                  <c:v>12.11</c:v>
                </c:pt>
                <c:pt idx="600">
                  <c:v>11.38</c:v>
                </c:pt>
                <c:pt idx="601">
                  <c:v>10.38</c:v>
                </c:pt>
                <c:pt idx="602">
                  <c:v>8.6199999999999992</c:v>
                </c:pt>
                <c:pt idx="603">
                  <c:v>9.0299999999999994</c:v>
                </c:pt>
                <c:pt idx="604">
                  <c:v>9.7200000000000006</c:v>
                </c:pt>
                <c:pt idx="605">
                  <c:v>9.4</c:v>
                </c:pt>
                <c:pt idx="606">
                  <c:v>9.42</c:v>
                </c:pt>
                <c:pt idx="607">
                  <c:v>10.58</c:v>
                </c:pt>
                <c:pt idx="608">
                  <c:v>10</c:v>
                </c:pt>
                <c:pt idx="609">
                  <c:v>9.98</c:v>
                </c:pt>
                <c:pt idx="610">
                  <c:v>9.98</c:v>
                </c:pt>
                <c:pt idx="611">
                  <c:v>10.48</c:v>
                </c:pt>
                <c:pt idx="612">
                  <c:v>10.55</c:v>
                </c:pt>
                <c:pt idx="613">
                  <c:v>11.67</c:v>
                </c:pt>
                <c:pt idx="614">
                  <c:v>11.26</c:v>
                </c:pt>
                <c:pt idx="615">
                  <c:v>11.3</c:v>
                </c:pt>
                <c:pt idx="616">
                  <c:v>12.04</c:v>
                </c:pt>
                <c:pt idx="617">
                  <c:v>12.87</c:v>
                </c:pt>
                <c:pt idx="618">
                  <c:v>14.73</c:v>
                </c:pt>
                <c:pt idx="619">
                  <c:v>14.41</c:v>
                </c:pt>
                <c:pt idx="620">
                  <c:v>15.12</c:v>
                </c:pt>
                <c:pt idx="621">
                  <c:v>15.99</c:v>
                </c:pt>
                <c:pt idx="622">
                  <c:v>16.440000000000001</c:v>
                </c:pt>
                <c:pt idx="623">
                  <c:v>16.190000000000001</c:v>
                </c:pt>
                <c:pt idx="624">
                  <c:v>14.12</c:v>
                </c:pt>
                <c:pt idx="625">
                  <c:v>15.88</c:v>
                </c:pt>
                <c:pt idx="626">
                  <c:v>15.73</c:v>
                </c:pt>
                <c:pt idx="627">
                  <c:v>15.6</c:v>
                </c:pt>
                <c:pt idx="628">
                  <c:v>14.3</c:v>
                </c:pt>
                <c:pt idx="629">
                  <c:v>13.1</c:v>
                </c:pt>
                <c:pt idx="630">
                  <c:v>13.2</c:v>
                </c:pt>
                <c:pt idx="631">
                  <c:v>14.3</c:v>
                </c:pt>
                <c:pt idx="632">
                  <c:v>13.74</c:v>
                </c:pt>
                <c:pt idx="633">
                  <c:v>13.98</c:v>
                </c:pt>
                <c:pt idx="634">
                  <c:v>14.92</c:v>
                </c:pt>
                <c:pt idx="635">
                  <c:v>14.45</c:v>
                </c:pt>
                <c:pt idx="636">
                  <c:v>14.69</c:v>
                </c:pt>
                <c:pt idx="637">
                  <c:v>14.44</c:v>
                </c:pt>
                <c:pt idx="638">
                  <c:v>14.97</c:v>
                </c:pt>
                <c:pt idx="639">
                  <c:v>15.27</c:v>
                </c:pt>
                <c:pt idx="640">
                  <c:v>15.27</c:v>
                </c:pt>
                <c:pt idx="641">
                  <c:v>15.99</c:v>
                </c:pt>
                <c:pt idx="642">
                  <c:v>15.47</c:v>
                </c:pt>
                <c:pt idx="643">
                  <c:v>15.84</c:v>
                </c:pt>
                <c:pt idx="644">
                  <c:v>16.399999999999999</c:v>
                </c:pt>
                <c:pt idx="645">
                  <c:v>16.36</c:v>
                </c:pt>
                <c:pt idx="646">
                  <c:v>18.18</c:v>
                </c:pt>
                <c:pt idx="647">
                  <c:v>17.77</c:v>
                </c:pt>
                <c:pt idx="648">
                  <c:v>18.920000000000002</c:v>
                </c:pt>
                <c:pt idx="649">
                  <c:v>18.96</c:v>
                </c:pt>
                <c:pt idx="650">
                  <c:v>19.2</c:v>
                </c:pt>
                <c:pt idx="651">
                  <c:v>20.59</c:v>
                </c:pt>
                <c:pt idx="652">
                  <c:v>22.07</c:v>
                </c:pt>
                <c:pt idx="653">
                  <c:v>20.62</c:v>
                </c:pt>
                <c:pt idx="654">
                  <c:v>21.66</c:v>
                </c:pt>
                <c:pt idx="655">
                  <c:v>21</c:v>
                </c:pt>
                <c:pt idx="656">
                  <c:v>21.66</c:v>
                </c:pt>
                <c:pt idx="657">
                  <c:v>22.09</c:v>
                </c:pt>
                <c:pt idx="658">
                  <c:v>23.77</c:v>
                </c:pt>
                <c:pt idx="659">
                  <c:v>23.23</c:v>
                </c:pt>
                <c:pt idx="660">
                  <c:v>23.88</c:v>
                </c:pt>
                <c:pt idx="661">
                  <c:v>27.68</c:v>
                </c:pt>
                <c:pt idx="662">
                  <c:v>26.28</c:v>
                </c:pt>
                <c:pt idx="663">
                  <c:v>26.23</c:v>
                </c:pt>
                <c:pt idx="664">
                  <c:v>27.12</c:v>
                </c:pt>
                <c:pt idx="665">
                  <c:v>24</c:v>
                </c:pt>
                <c:pt idx="666">
                  <c:v>25.78</c:v>
                </c:pt>
                <c:pt idx="667">
                  <c:v>24.63</c:v>
                </c:pt>
                <c:pt idx="668">
                  <c:v>22.97</c:v>
                </c:pt>
                <c:pt idx="669">
                  <c:v>23.72</c:v>
                </c:pt>
                <c:pt idx="670">
                  <c:v>23.82</c:v>
                </c:pt>
                <c:pt idx="671">
                  <c:v>24.81</c:v>
                </c:pt>
                <c:pt idx="672">
                  <c:v>24.73</c:v>
                </c:pt>
                <c:pt idx="673">
                  <c:v>24.09</c:v>
                </c:pt>
                <c:pt idx="674">
                  <c:v>24.46</c:v>
                </c:pt>
                <c:pt idx="675">
                  <c:v>23.91</c:v>
                </c:pt>
                <c:pt idx="676">
                  <c:v>24.75</c:v>
                </c:pt>
                <c:pt idx="677">
                  <c:v>25.64</c:v>
                </c:pt>
                <c:pt idx="678">
                  <c:v>25.69</c:v>
                </c:pt>
                <c:pt idx="679">
                  <c:v>26.54</c:v>
                </c:pt>
                <c:pt idx="680">
                  <c:v>30.94</c:v>
                </c:pt>
                <c:pt idx="681">
                  <c:v>30.62</c:v>
                </c:pt>
                <c:pt idx="682">
                  <c:v>31.25</c:v>
                </c:pt>
                <c:pt idx="683">
                  <c:v>30.89</c:v>
                </c:pt>
                <c:pt idx="684">
                  <c:v>34.44</c:v>
                </c:pt>
                <c:pt idx="685">
                  <c:v>33.75</c:v>
                </c:pt>
                <c:pt idx="686">
                  <c:v>30.58</c:v>
                </c:pt>
                <c:pt idx="687">
                  <c:v>29.62</c:v>
                </c:pt>
                <c:pt idx="688">
                  <c:v>31</c:v>
                </c:pt>
                <c:pt idx="689">
                  <c:v>32.229999999999997</c:v>
                </c:pt>
                <c:pt idx="690">
                  <c:v>36.380000000000003</c:v>
                </c:pt>
                <c:pt idx="691">
                  <c:v>40</c:v>
                </c:pt>
                <c:pt idx="692">
                  <c:v>42.95</c:v>
                </c:pt>
                <c:pt idx="693">
                  <c:v>51.92</c:v>
                </c:pt>
                <c:pt idx="694">
                  <c:v>50.25</c:v>
                </c:pt>
                <c:pt idx="695">
                  <c:v>46</c:v>
                </c:pt>
                <c:pt idx="696">
                  <c:v>42.99</c:v>
                </c:pt>
                <c:pt idx="697">
                  <c:v>39.619999999999997</c:v>
                </c:pt>
                <c:pt idx="698">
                  <c:v>40.380000000000003</c:v>
                </c:pt>
                <c:pt idx="699">
                  <c:v>35.9</c:v>
                </c:pt>
                <c:pt idx="700">
                  <c:v>33.119999999999997</c:v>
                </c:pt>
                <c:pt idx="701">
                  <c:v>35.75</c:v>
                </c:pt>
                <c:pt idx="702">
                  <c:v>39</c:v>
                </c:pt>
                <c:pt idx="703">
                  <c:v>43.91</c:v>
                </c:pt>
                <c:pt idx="704">
                  <c:v>41.98</c:v>
                </c:pt>
                <c:pt idx="705">
                  <c:v>45.97</c:v>
                </c:pt>
                <c:pt idx="706">
                  <c:v>44.28</c:v>
                </c:pt>
                <c:pt idx="707">
                  <c:v>41.95</c:v>
                </c:pt>
                <c:pt idx="708">
                  <c:v>40.369999999999997</c:v>
                </c:pt>
                <c:pt idx="709">
                  <c:v>44.76</c:v>
                </c:pt>
                <c:pt idx="710">
                  <c:v>42.12</c:v>
                </c:pt>
                <c:pt idx="711">
                  <c:v>43.19</c:v>
                </c:pt>
                <c:pt idx="712">
                  <c:v>39.659999999999997</c:v>
                </c:pt>
                <c:pt idx="713">
                  <c:v>35.19</c:v>
                </c:pt>
                <c:pt idx="714">
                  <c:v>35.590000000000003</c:v>
                </c:pt>
                <c:pt idx="715">
                  <c:v>39.619999999999997</c:v>
                </c:pt>
                <c:pt idx="716">
                  <c:v>37.75</c:v>
                </c:pt>
                <c:pt idx="717">
                  <c:v>33.340000000000003</c:v>
                </c:pt>
                <c:pt idx="718">
                  <c:v>32.409999999999997</c:v>
                </c:pt>
                <c:pt idx="719">
                  <c:v>32.22</c:v>
                </c:pt>
                <c:pt idx="720">
                  <c:v>33.83</c:v>
                </c:pt>
                <c:pt idx="721">
                  <c:v>36.44</c:v>
                </c:pt>
                <c:pt idx="722">
                  <c:v>38.22</c:v>
                </c:pt>
                <c:pt idx="723">
                  <c:v>37.549999999999997</c:v>
                </c:pt>
                <c:pt idx="724">
                  <c:v>38.840000000000003</c:v>
                </c:pt>
                <c:pt idx="725">
                  <c:v>38.380000000000003</c:v>
                </c:pt>
                <c:pt idx="726">
                  <c:v>40.03</c:v>
                </c:pt>
                <c:pt idx="727">
                  <c:v>38.299999999999997</c:v>
                </c:pt>
                <c:pt idx="728">
                  <c:v>38.36</c:v>
                </c:pt>
                <c:pt idx="729">
                  <c:v>37.880000000000003</c:v>
                </c:pt>
                <c:pt idx="730">
                  <c:v>39.950000000000003</c:v>
                </c:pt>
                <c:pt idx="731">
                  <c:v>42.61</c:v>
                </c:pt>
                <c:pt idx="732">
                  <c:v>41.83</c:v>
                </c:pt>
                <c:pt idx="733">
                  <c:v>43.41</c:v>
                </c:pt>
                <c:pt idx="734">
                  <c:v>44.75</c:v>
                </c:pt>
                <c:pt idx="735">
                  <c:v>44</c:v>
                </c:pt>
                <c:pt idx="736">
                  <c:v>44.86</c:v>
                </c:pt>
                <c:pt idx="737">
                  <c:v>43.72</c:v>
                </c:pt>
                <c:pt idx="738">
                  <c:v>43.03</c:v>
                </c:pt>
                <c:pt idx="739">
                  <c:v>43.83</c:v>
                </c:pt>
                <c:pt idx="740">
                  <c:v>42.5</c:v>
                </c:pt>
                <c:pt idx="741">
                  <c:v>41.25</c:v>
                </c:pt>
                <c:pt idx="742">
                  <c:v>38.880000000000003</c:v>
                </c:pt>
                <c:pt idx="743">
                  <c:v>40.119999999999997</c:v>
                </c:pt>
                <c:pt idx="744">
                  <c:v>44.75</c:v>
                </c:pt>
                <c:pt idx="745">
                  <c:v>42.84</c:v>
                </c:pt>
                <c:pt idx="746">
                  <c:v>44</c:v>
                </c:pt>
                <c:pt idx="747">
                  <c:v>43.08</c:v>
                </c:pt>
                <c:pt idx="748">
                  <c:v>42.09</c:v>
                </c:pt>
                <c:pt idx="749">
                  <c:v>44.94</c:v>
                </c:pt>
                <c:pt idx="750">
                  <c:v>54.78</c:v>
                </c:pt>
                <c:pt idx="751">
                  <c:v>53.72</c:v>
                </c:pt>
                <c:pt idx="752">
                  <c:v>52.11</c:v>
                </c:pt>
                <c:pt idx="753">
                  <c:v>51.67</c:v>
                </c:pt>
                <c:pt idx="754">
                  <c:v>51.75</c:v>
                </c:pt>
                <c:pt idx="755">
                  <c:v>50.73</c:v>
                </c:pt>
                <c:pt idx="756">
                  <c:v>50.75</c:v>
                </c:pt>
                <c:pt idx="757">
                  <c:v>47.75</c:v>
                </c:pt>
                <c:pt idx="758">
                  <c:v>48.66</c:v>
                </c:pt>
                <c:pt idx="759">
                  <c:v>47.3</c:v>
                </c:pt>
                <c:pt idx="760">
                  <c:v>40.92</c:v>
                </c:pt>
                <c:pt idx="761">
                  <c:v>42.75</c:v>
                </c:pt>
                <c:pt idx="762">
                  <c:v>43.72</c:v>
                </c:pt>
                <c:pt idx="763">
                  <c:v>46</c:v>
                </c:pt>
                <c:pt idx="764">
                  <c:v>46.92</c:v>
                </c:pt>
                <c:pt idx="765">
                  <c:v>48.06</c:v>
                </c:pt>
                <c:pt idx="766">
                  <c:v>46.12</c:v>
                </c:pt>
                <c:pt idx="767">
                  <c:v>43.38</c:v>
                </c:pt>
                <c:pt idx="768">
                  <c:v>43.75</c:v>
                </c:pt>
                <c:pt idx="769">
                  <c:v>43.67</c:v>
                </c:pt>
                <c:pt idx="770">
                  <c:v>40.64</c:v>
                </c:pt>
                <c:pt idx="771">
                  <c:v>39.81</c:v>
                </c:pt>
                <c:pt idx="772">
                  <c:v>40.33</c:v>
                </c:pt>
                <c:pt idx="773">
                  <c:v>37.97</c:v>
                </c:pt>
                <c:pt idx="774">
                  <c:v>36.86</c:v>
                </c:pt>
                <c:pt idx="775">
                  <c:v>38.92</c:v>
                </c:pt>
                <c:pt idx="776">
                  <c:v>43.5</c:v>
                </c:pt>
                <c:pt idx="777">
                  <c:v>42.48</c:v>
                </c:pt>
                <c:pt idx="778">
                  <c:v>40.090000000000003</c:v>
                </c:pt>
                <c:pt idx="779">
                  <c:v>39.340000000000003</c:v>
                </c:pt>
                <c:pt idx="780">
                  <c:v>40.450000000000003</c:v>
                </c:pt>
                <c:pt idx="781">
                  <c:v>39.200000000000003</c:v>
                </c:pt>
                <c:pt idx="782">
                  <c:v>39.56</c:v>
                </c:pt>
                <c:pt idx="783">
                  <c:v>37.880000000000003</c:v>
                </c:pt>
                <c:pt idx="784">
                  <c:v>37.83</c:v>
                </c:pt>
                <c:pt idx="785">
                  <c:v>34.47</c:v>
                </c:pt>
                <c:pt idx="786">
                  <c:v>31.73</c:v>
                </c:pt>
                <c:pt idx="787">
                  <c:v>35.22</c:v>
                </c:pt>
                <c:pt idx="788">
                  <c:v>33.340000000000003</c:v>
                </c:pt>
                <c:pt idx="789">
                  <c:v>37</c:v>
                </c:pt>
                <c:pt idx="790">
                  <c:v>34.549999999999997</c:v>
                </c:pt>
                <c:pt idx="791">
                  <c:v>35.619999999999997</c:v>
                </c:pt>
                <c:pt idx="792">
                  <c:v>33.840000000000003</c:v>
                </c:pt>
                <c:pt idx="793">
                  <c:v>36.86</c:v>
                </c:pt>
                <c:pt idx="794">
                  <c:v>37.97</c:v>
                </c:pt>
                <c:pt idx="795">
                  <c:v>35.83</c:v>
                </c:pt>
                <c:pt idx="796">
                  <c:v>36.590000000000003</c:v>
                </c:pt>
                <c:pt idx="797">
                  <c:v>36.19</c:v>
                </c:pt>
                <c:pt idx="798">
                  <c:v>33.81</c:v>
                </c:pt>
                <c:pt idx="799">
                  <c:v>29.81</c:v>
                </c:pt>
                <c:pt idx="800">
                  <c:v>31.31</c:v>
                </c:pt>
                <c:pt idx="801">
                  <c:v>35.409999999999997</c:v>
                </c:pt>
                <c:pt idx="802">
                  <c:v>35.56</c:v>
                </c:pt>
                <c:pt idx="803">
                  <c:v>36.11</c:v>
                </c:pt>
                <c:pt idx="804">
                  <c:v>39.72</c:v>
                </c:pt>
                <c:pt idx="805">
                  <c:v>38.119999999999997</c:v>
                </c:pt>
                <c:pt idx="806">
                  <c:v>38.880000000000003</c:v>
                </c:pt>
                <c:pt idx="807">
                  <c:v>37.75</c:v>
                </c:pt>
                <c:pt idx="808">
                  <c:v>36.72</c:v>
                </c:pt>
                <c:pt idx="809">
                  <c:v>39.119999999999997</c:v>
                </c:pt>
                <c:pt idx="810">
                  <c:v>40</c:v>
                </c:pt>
                <c:pt idx="811">
                  <c:v>43.06</c:v>
                </c:pt>
                <c:pt idx="812">
                  <c:v>44.31</c:v>
                </c:pt>
                <c:pt idx="813">
                  <c:v>44.53</c:v>
                </c:pt>
                <c:pt idx="814">
                  <c:v>43.78</c:v>
                </c:pt>
                <c:pt idx="815">
                  <c:v>41.77</c:v>
                </c:pt>
                <c:pt idx="816">
                  <c:v>41.11</c:v>
                </c:pt>
                <c:pt idx="817">
                  <c:v>40</c:v>
                </c:pt>
                <c:pt idx="818">
                  <c:v>37.56</c:v>
                </c:pt>
                <c:pt idx="819">
                  <c:v>39.229999999999997</c:v>
                </c:pt>
                <c:pt idx="820">
                  <c:v>39.86</c:v>
                </c:pt>
                <c:pt idx="821">
                  <c:v>38.61</c:v>
                </c:pt>
                <c:pt idx="822">
                  <c:v>37.56</c:v>
                </c:pt>
                <c:pt idx="823">
                  <c:v>37.380000000000003</c:v>
                </c:pt>
                <c:pt idx="824">
                  <c:v>35.53</c:v>
                </c:pt>
                <c:pt idx="825">
                  <c:v>37.97</c:v>
                </c:pt>
                <c:pt idx="826">
                  <c:v>36.28</c:v>
                </c:pt>
                <c:pt idx="827">
                  <c:v>36.44</c:v>
                </c:pt>
                <c:pt idx="828">
                  <c:v>33.58</c:v>
                </c:pt>
                <c:pt idx="829">
                  <c:v>32.83</c:v>
                </c:pt>
                <c:pt idx="830">
                  <c:v>35.75</c:v>
                </c:pt>
                <c:pt idx="831">
                  <c:v>34.25</c:v>
                </c:pt>
                <c:pt idx="832">
                  <c:v>34.11</c:v>
                </c:pt>
                <c:pt idx="833">
                  <c:v>33.08</c:v>
                </c:pt>
                <c:pt idx="834">
                  <c:v>31.34</c:v>
                </c:pt>
                <c:pt idx="835">
                  <c:v>30.25</c:v>
                </c:pt>
                <c:pt idx="836">
                  <c:v>32.090000000000003</c:v>
                </c:pt>
                <c:pt idx="837">
                  <c:v>31.73</c:v>
                </c:pt>
                <c:pt idx="838">
                  <c:v>30.3</c:v>
                </c:pt>
                <c:pt idx="839">
                  <c:v>31.88</c:v>
                </c:pt>
                <c:pt idx="840">
                  <c:v>32.020000000000003</c:v>
                </c:pt>
                <c:pt idx="841">
                  <c:v>32.090000000000003</c:v>
                </c:pt>
                <c:pt idx="842">
                  <c:v>33.200000000000003</c:v>
                </c:pt>
                <c:pt idx="843">
                  <c:v>33.619999999999997</c:v>
                </c:pt>
                <c:pt idx="844">
                  <c:v>34.72</c:v>
                </c:pt>
                <c:pt idx="845">
                  <c:v>36.270000000000003</c:v>
                </c:pt>
                <c:pt idx="846">
                  <c:v>34.799999999999997</c:v>
                </c:pt>
                <c:pt idx="847">
                  <c:v>36.25</c:v>
                </c:pt>
                <c:pt idx="848">
                  <c:v>38.03</c:v>
                </c:pt>
                <c:pt idx="849">
                  <c:v>38.229999999999997</c:v>
                </c:pt>
                <c:pt idx="850">
                  <c:v>39.64</c:v>
                </c:pt>
                <c:pt idx="851">
                  <c:v>38.17</c:v>
                </c:pt>
                <c:pt idx="852">
                  <c:v>37.25</c:v>
                </c:pt>
                <c:pt idx="853">
                  <c:v>35.950000000000003</c:v>
                </c:pt>
                <c:pt idx="854">
                  <c:v>36.880000000000003</c:v>
                </c:pt>
                <c:pt idx="855">
                  <c:v>35.83</c:v>
                </c:pt>
                <c:pt idx="856">
                  <c:v>35.39</c:v>
                </c:pt>
                <c:pt idx="857">
                  <c:v>38.75</c:v>
                </c:pt>
                <c:pt idx="858">
                  <c:v>38.75</c:v>
                </c:pt>
                <c:pt idx="859">
                  <c:v>38.36</c:v>
                </c:pt>
                <c:pt idx="860">
                  <c:v>40.67</c:v>
                </c:pt>
                <c:pt idx="861">
                  <c:v>42.62</c:v>
                </c:pt>
                <c:pt idx="862">
                  <c:v>40.19</c:v>
                </c:pt>
                <c:pt idx="863">
                  <c:v>41.3</c:v>
                </c:pt>
                <c:pt idx="864">
                  <c:v>40.590000000000003</c:v>
                </c:pt>
                <c:pt idx="865">
                  <c:v>40.86</c:v>
                </c:pt>
                <c:pt idx="866">
                  <c:v>40.78</c:v>
                </c:pt>
                <c:pt idx="867">
                  <c:v>42.09</c:v>
                </c:pt>
                <c:pt idx="868">
                  <c:v>42.39</c:v>
                </c:pt>
                <c:pt idx="869">
                  <c:v>44.88</c:v>
                </c:pt>
                <c:pt idx="870">
                  <c:v>43.44</c:v>
                </c:pt>
                <c:pt idx="871">
                  <c:v>45.83</c:v>
                </c:pt>
                <c:pt idx="872">
                  <c:v>45.34</c:v>
                </c:pt>
                <c:pt idx="873">
                  <c:v>46.17</c:v>
                </c:pt>
                <c:pt idx="874">
                  <c:v>44.83</c:v>
                </c:pt>
                <c:pt idx="875">
                  <c:v>44.88</c:v>
                </c:pt>
                <c:pt idx="876">
                  <c:v>43.86</c:v>
                </c:pt>
                <c:pt idx="877">
                  <c:v>42.8</c:v>
                </c:pt>
                <c:pt idx="878">
                  <c:v>43.33</c:v>
                </c:pt>
                <c:pt idx="879">
                  <c:v>43.94</c:v>
                </c:pt>
                <c:pt idx="880">
                  <c:v>47.56</c:v>
                </c:pt>
                <c:pt idx="881">
                  <c:v>48.03</c:v>
                </c:pt>
                <c:pt idx="882">
                  <c:v>45.34</c:v>
                </c:pt>
                <c:pt idx="883">
                  <c:v>43.47</c:v>
                </c:pt>
                <c:pt idx="884">
                  <c:v>41.89</c:v>
                </c:pt>
                <c:pt idx="885">
                  <c:v>43.34</c:v>
                </c:pt>
                <c:pt idx="886">
                  <c:v>42.39</c:v>
                </c:pt>
                <c:pt idx="887">
                  <c:v>42.59</c:v>
                </c:pt>
                <c:pt idx="888">
                  <c:v>43.72</c:v>
                </c:pt>
                <c:pt idx="889">
                  <c:v>45.04</c:v>
                </c:pt>
                <c:pt idx="890">
                  <c:v>45.48</c:v>
                </c:pt>
                <c:pt idx="891">
                  <c:v>44.53</c:v>
                </c:pt>
                <c:pt idx="892">
                  <c:v>44.69</c:v>
                </c:pt>
                <c:pt idx="893">
                  <c:v>44.8</c:v>
                </c:pt>
                <c:pt idx="894">
                  <c:v>43.55</c:v>
                </c:pt>
                <c:pt idx="895">
                  <c:v>43.75</c:v>
                </c:pt>
                <c:pt idx="896">
                  <c:v>44.77</c:v>
                </c:pt>
                <c:pt idx="897">
                  <c:v>45.17</c:v>
                </c:pt>
                <c:pt idx="898">
                  <c:v>44.5</c:v>
                </c:pt>
                <c:pt idx="899">
                  <c:v>45.16</c:v>
                </c:pt>
                <c:pt idx="900">
                  <c:v>45.53</c:v>
                </c:pt>
                <c:pt idx="901">
                  <c:v>45.86</c:v>
                </c:pt>
                <c:pt idx="902">
                  <c:v>49.3</c:v>
                </c:pt>
                <c:pt idx="903">
                  <c:v>48.64</c:v>
                </c:pt>
                <c:pt idx="904">
                  <c:v>49.42</c:v>
                </c:pt>
                <c:pt idx="905">
                  <c:v>48.28</c:v>
                </c:pt>
                <c:pt idx="906">
                  <c:v>49.23</c:v>
                </c:pt>
                <c:pt idx="907">
                  <c:v>51.25</c:v>
                </c:pt>
                <c:pt idx="908">
                  <c:v>53.14</c:v>
                </c:pt>
                <c:pt idx="909">
                  <c:v>51.55</c:v>
                </c:pt>
                <c:pt idx="910">
                  <c:v>53.47</c:v>
                </c:pt>
                <c:pt idx="911">
                  <c:v>54.69</c:v>
                </c:pt>
                <c:pt idx="912">
                  <c:v>56.7</c:v>
                </c:pt>
                <c:pt idx="913">
                  <c:v>55.3</c:v>
                </c:pt>
                <c:pt idx="914">
                  <c:v>57.75</c:v>
                </c:pt>
                <c:pt idx="915">
                  <c:v>56.72</c:v>
                </c:pt>
                <c:pt idx="916">
                  <c:v>56.53</c:v>
                </c:pt>
                <c:pt idx="917">
                  <c:v>53.19</c:v>
                </c:pt>
                <c:pt idx="918">
                  <c:v>57.22</c:v>
                </c:pt>
                <c:pt idx="919">
                  <c:v>61.45</c:v>
                </c:pt>
                <c:pt idx="920">
                  <c:v>63.25</c:v>
                </c:pt>
                <c:pt idx="921">
                  <c:v>70.2</c:v>
                </c:pt>
                <c:pt idx="922">
                  <c:v>87</c:v>
                </c:pt>
                <c:pt idx="923">
                  <c:v>79.91</c:v>
                </c:pt>
                <c:pt idx="924">
                  <c:v>85</c:v>
                </c:pt>
                <c:pt idx="925">
                  <c:v>88.38</c:v>
                </c:pt>
                <c:pt idx="926">
                  <c:v>87.77</c:v>
                </c:pt>
                <c:pt idx="927">
                  <c:v>83.28</c:v>
                </c:pt>
                <c:pt idx="928">
                  <c:v>81.88</c:v>
                </c:pt>
                <c:pt idx="929">
                  <c:v>85.25</c:v>
                </c:pt>
                <c:pt idx="930">
                  <c:v>87.5</c:v>
                </c:pt>
                <c:pt idx="931">
                  <c:v>92.38</c:v>
                </c:pt>
                <c:pt idx="932">
                  <c:v>101.39</c:v>
                </c:pt>
                <c:pt idx="933">
                  <c:v>104.83</c:v>
                </c:pt>
                <c:pt idx="934">
                  <c:v>100.66</c:v>
                </c:pt>
                <c:pt idx="935">
                  <c:v>103.75</c:v>
                </c:pt>
                <c:pt idx="936">
                  <c:v>97.56</c:v>
                </c:pt>
                <c:pt idx="937">
                  <c:v>100.92</c:v>
                </c:pt>
                <c:pt idx="938">
                  <c:v>104.02</c:v>
                </c:pt>
                <c:pt idx="939">
                  <c:v>108.17</c:v>
                </c:pt>
                <c:pt idx="940">
                  <c:v>118.75</c:v>
                </c:pt>
                <c:pt idx="941">
                  <c:v>110.75</c:v>
                </c:pt>
                <c:pt idx="942">
                  <c:v>102.62</c:v>
                </c:pt>
                <c:pt idx="943">
                  <c:v>92.05</c:v>
                </c:pt>
                <c:pt idx="944">
                  <c:v>101.81</c:v>
                </c:pt>
                <c:pt idx="945">
                  <c:v>109.02</c:v>
                </c:pt>
                <c:pt idx="946">
                  <c:v>99.34</c:v>
                </c:pt>
                <c:pt idx="947">
                  <c:v>89.39</c:v>
                </c:pt>
                <c:pt idx="948">
                  <c:v>86.72</c:v>
                </c:pt>
                <c:pt idx="949">
                  <c:v>88.25</c:v>
                </c:pt>
                <c:pt idx="950">
                  <c:v>85.3</c:v>
                </c:pt>
                <c:pt idx="951">
                  <c:v>91</c:v>
                </c:pt>
                <c:pt idx="952">
                  <c:v>87.98</c:v>
                </c:pt>
                <c:pt idx="953">
                  <c:v>87.98</c:v>
                </c:pt>
                <c:pt idx="954">
                  <c:v>81.08</c:v>
                </c:pt>
                <c:pt idx="955">
                  <c:v>86.39</c:v>
                </c:pt>
                <c:pt idx="956">
                  <c:v>82.14</c:v>
                </c:pt>
                <c:pt idx="957">
                  <c:v>84.34</c:v>
                </c:pt>
                <c:pt idx="958">
                  <c:v>78.38</c:v>
                </c:pt>
                <c:pt idx="959">
                  <c:v>80.52</c:v>
                </c:pt>
                <c:pt idx="960">
                  <c:v>79.34</c:v>
                </c:pt>
                <c:pt idx="961">
                  <c:v>82</c:v>
                </c:pt>
                <c:pt idx="962">
                  <c:v>90.06</c:v>
                </c:pt>
                <c:pt idx="963">
                  <c:v>88.38</c:v>
                </c:pt>
                <c:pt idx="964">
                  <c:v>88.5</c:v>
                </c:pt>
                <c:pt idx="965">
                  <c:v>93.28</c:v>
                </c:pt>
                <c:pt idx="966">
                  <c:v>90.58</c:v>
                </c:pt>
                <c:pt idx="967">
                  <c:v>91.25</c:v>
                </c:pt>
                <c:pt idx="968">
                  <c:v>85.67</c:v>
                </c:pt>
                <c:pt idx="969">
                  <c:v>82.88</c:v>
                </c:pt>
                <c:pt idx="970">
                  <c:v>85</c:v>
                </c:pt>
                <c:pt idx="971">
                  <c:v>80.78</c:v>
                </c:pt>
                <c:pt idx="972">
                  <c:v>81.59</c:v>
                </c:pt>
                <c:pt idx="973">
                  <c:v>78.06</c:v>
                </c:pt>
                <c:pt idx="974">
                  <c:v>76.91</c:v>
                </c:pt>
                <c:pt idx="975">
                  <c:v>83.1</c:v>
                </c:pt>
                <c:pt idx="976">
                  <c:v>84.03</c:v>
                </c:pt>
                <c:pt idx="977">
                  <c:v>82.59</c:v>
                </c:pt>
                <c:pt idx="978">
                  <c:v>80.97</c:v>
                </c:pt>
                <c:pt idx="979">
                  <c:v>79.84</c:v>
                </c:pt>
                <c:pt idx="980">
                  <c:v>79.25</c:v>
                </c:pt>
                <c:pt idx="981">
                  <c:v>77.47</c:v>
                </c:pt>
                <c:pt idx="982">
                  <c:v>79</c:v>
                </c:pt>
                <c:pt idx="983">
                  <c:v>85.78</c:v>
                </c:pt>
                <c:pt idx="984">
                  <c:v>85.69</c:v>
                </c:pt>
                <c:pt idx="985">
                  <c:v>88.5</c:v>
                </c:pt>
                <c:pt idx="986">
                  <c:v>91.62</c:v>
                </c:pt>
                <c:pt idx="987">
                  <c:v>89.03</c:v>
                </c:pt>
                <c:pt idx="988">
                  <c:v>87.91</c:v>
                </c:pt>
                <c:pt idx="989">
                  <c:v>84.38</c:v>
                </c:pt>
                <c:pt idx="990">
                  <c:v>79.25</c:v>
                </c:pt>
                <c:pt idx="991">
                  <c:v>85.09</c:v>
                </c:pt>
                <c:pt idx="992">
                  <c:v>85.56</c:v>
                </c:pt>
                <c:pt idx="993">
                  <c:v>86.01</c:v>
                </c:pt>
                <c:pt idx="994">
                  <c:v>95.88</c:v>
                </c:pt>
                <c:pt idx="995">
                  <c:v>98.59</c:v>
                </c:pt>
                <c:pt idx="996">
                  <c:v>95.5</c:v>
                </c:pt>
                <c:pt idx="997">
                  <c:v>97</c:v>
                </c:pt>
                <c:pt idx="998">
                  <c:v>100.38</c:v>
                </c:pt>
                <c:pt idx="999">
                  <c:v>97.5</c:v>
                </c:pt>
                <c:pt idx="1000">
                  <c:v>88.53</c:v>
                </c:pt>
                <c:pt idx="1001">
                  <c:v>84.75</c:v>
                </c:pt>
                <c:pt idx="1002">
                  <c:v>85.69</c:v>
                </c:pt>
                <c:pt idx="1003">
                  <c:v>80.06</c:v>
                </c:pt>
                <c:pt idx="1004">
                  <c:v>83.69</c:v>
                </c:pt>
                <c:pt idx="1005">
                  <c:v>82.78</c:v>
                </c:pt>
                <c:pt idx="1006">
                  <c:v>77</c:v>
                </c:pt>
                <c:pt idx="1007">
                  <c:v>75.56</c:v>
                </c:pt>
                <c:pt idx="1008">
                  <c:v>70.97</c:v>
                </c:pt>
                <c:pt idx="1009">
                  <c:v>66.75</c:v>
                </c:pt>
                <c:pt idx="1010">
                  <c:v>68.09</c:v>
                </c:pt>
                <c:pt idx="1011">
                  <c:v>68.06</c:v>
                </c:pt>
                <c:pt idx="1012">
                  <c:v>58</c:v>
                </c:pt>
                <c:pt idx="1013">
                  <c:v>57.19</c:v>
                </c:pt>
                <c:pt idx="1014">
                  <c:v>63.34</c:v>
                </c:pt>
                <c:pt idx="1015">
                  <c:v>62.94</c:v>
                </c:pt>
                <c:pt idx="1016">
                  <c:v>61.56</c:v>
                </c:pt>
                <c:pt idx="1017">
                  <c:v>56.94</c:v>
                </c:pt>
                <c:pt idx="1018">
                  <c:v>62.25</c:v>
                </c:pt>
                <c:pt idx="1019">
                  <c:v>59.56</c:v>
                </c:pt>
                <c:pt idx="1020">
                  <c:v>62.16</c:v>
                </c:pt>
                <c:pt idx="1021">
                  <c:v>65.12</c:v>
                </c:pt>
                <c:pt idx="1022">
                  <c:v>65.44</c:v>
                </c:pt>
                <c:pt idx="1023">
                  <c:v>61.28</c:v>
                </c:pt>
                <c:pt idx="1024">
                  <c:v>61.03</c:v>
                </c:pt>
                <c:pt idx="1025">
                  <c:v>62.09</c:v>
                </c:pt>
                <c:pt idx="1026">
                  <c:v>62.84</c:v>
                </c:pt>
                <c:pt idx="1027">
                  <c:v>60.38</c:v>
                </c:pt>
                <c:pt idx="1028">
                  <c:v>58.72</c:v>
                </c:pt>
                <c:pt idx="1029">
                  <c:v>59.45</c:v>
                </c:pt>
                <c:pt idx="1030">
                  <c:v>62.66</c:v>
                </c:pt>
                <c:pt idx="1031">
                  <c:v>62.84</c:v>
                </c:pt>
                <c:pt idx="1032">
                  <c:v>65</c:v>
                </c:pt>
                <c:pt idx="1033">
                  <c:v>67.81</c:v>
                </c:pt>
                <c:pt idx="1034">
                  <c:v>68.91</c:v>
                </c:pt>
                <c:pt idx="1035">
                  <c:v>66</c:v>
                </c:pt>
                <c:pt idx="1036">
                  <c:v>60.16</c:v>
                </c:pt>
                <c:pt idx="1037">
                  <c:v>63.12</c:v>
                </c:pt>
                <c:pt idx="1038">
                  <c:v>59.16</c:v>
                </c:pt>
                <c:pt idx="1039">
                  <c:v>61.38</c:v>
                </c:pt>
                <c:pt idx="1040">
                  <c:v>57.5</c:v>
                </c:pt>
                <c:pt idx="1041">
                  <c:v>56.03</c:v>
                </c:pt>
                <c:pt idx="1042">
                  <c:v>58.5</c:v>
                </c:pt>
                <c:pt idx="1043">
                  <c:v>56.53</c:v>
                </c:pt>
                <c:pt idx="1044">
                  <c:v>60.03</c:v>
                </c:pt>
                <c:pt idx="1045">
                  <c:v>67.25</c:v>
                </c:pt>
                <c:pt idx="1046">
                  <c:v>68.66</c:v>
                </c:pt>
                <c:pt idx="1047">
                  <c:v>67.53</c:v>
                </c:pt>
                <c:pt idx="1048">
                  <c:v>72.25</c:v>
                </c:pt>
                <c:pt idx="1049">
                  <c:v>72</c:v>
                </c:pt>
                <c:pt idx="1050">
                  <c:v>71.59</c:v>
                </c:pt>
                <c:pt idx="1051">
                  <c:v>68.72</c:v>
                </c:pt>
                <c:pt idx="1052">
                  <c:v>69.75</c:v>
                </c:pt>
                <c:pt idx="1053">
                  <c:v>69.75</c:v>
                </c:pt>
                <c:pt idx="1054">
                  <c:v>69.84</c:v>
                </c:pt>
                <c:pt idx="1055">
                  <c:v>70.47</c:v>
                </c:pt>
                <c:pt idx="1056">
                  <c:v>69.53</c:v>
                </c:pt>
                <c:pt idx="1057">
                  <c:v>74</c:v>
                </c:pt>
                <c:pt idx="1058">
                  <c:v>71.41</c:v>
                </c:pt>
                <c:pt idx="1059">
                  <c:v>65.84</c:v>
                </c:pt>
                <c:pt idx="1060">
                  <c:v>62.66</c:v>
                </c:pt>
                <c:pt idx="1061">
                  <c:v>59.66</c:v>
                </c:pt>
                <c:pt idx="1062">
                  <c:v>62.97</c:v>
                </c:pt>
                <c:pt idx="1063">
                  <c:v>61.78</c:v>
                </c:pt>
                <c:pt idx="1064">
                  <c:v>59.66</c:v>
                </c:pt>
                <c:pt idx="1065">
                  <c:v>61.94</c:v>
                </c:pt>
                <c:pt idx="1066">
                  <c:v>63.94</c:v>
                </c:pt>
                <c:pt idx="1067">
                  <c:v>60.41</c:v>
                </c:pt>
                <c:pt idx="1068">
                  <c:v>61.19</c:v>
                </c:pt>
                <c:pt idx="1069">
                  <c:v>58.25</c:v>
                </c:pt>
                <c:pt idx="1070">
                  <c:v>55</c:v>
                </c:pt>
                <c:pt idx="1071">
                  <c:v>52.75</c:v>
                </c:pt>
                <c:pt idx="1072">
                  <c:v>62.47</c:v>
                </c:pt>
                <c:pt idx="1073">
                  <c:v>61.28</c:v>
                </c:pt>
                <c:pt idx="1074">
                  <c:v>64</c:v>
                </c:pt>
                <c:pt idx="1075">
                  <c:v>65.81</c:v>
                </c:pt>
                <c:pt idx="1076">
                  <c:v>64.97</c:v>
                </c:pt>
                <c:pt idx="1077">
                  <c:v>67</c:v>
                </c:pt>
                <c:pt idx="1078">
                  <c:v>69.91</c:v>
                </c:pt>
                <c:pt idx="1079">
                  <c:v>69.16</c:v>
                </c:pt>
                <c:pt idx="1080">
                  <c:v>66.28</c:v>
                </c:pt>
                <c:pt idx="1081">
                  <c:v>69</c:v>
                </c:pt>
                <c:pt idx="1082">
                  <c:v>67.97</c:v>
                </c:pt>
                <c:pt idx="1083">
                  <c:v>67.03</c:v>
                </c:pt>
                <c:pt idx="1084">
                  <c:v>63.38</c:v>
                </c:pt>
                <c:pt idx="1085">
                  <c:v>64.34</c:v>
                </c:pt>
                <c:pt idx="1086">
                  <c:v>63.72</c:v>
                </c:pt>
                <c:pt idx="1087">
                  <c:v>63.56</c:v>
                </c:pt>
                <c:pt idx="1088">
                  <c:v>65.59</c:v>
                </c:pt>
                <c:pt idx="1089">
                  <c:v>66.97</c:v>
                </c:pt>
                <c:pt idx="1090">
                  <c:v>68.25</c:v>
                </c:pt>
                <c:pt idx="1091">
                  <c:v>67.06</c:v>
                </c:pt>
                <c:pt idx="1092">
                  <c:v>66.34</c:v>
                </c:pt>
                <c:pt idx="1093">
                  <c:v>64.66</c:v>
                </c:pt>
                <c:pt idx="1094">
                  <c:v>64.31</c:v>
                </c:pt>
                <c:pt idx="1095">
                  <c:v>66.19</c:v>
                </c:pt>
                <c:pt idx="1096">
                  <c:v>66.16</c:v>
                </c:pt>
                <c:pt idx="1097">
                  <c:v>67</c:v>
                </c:pt>
                <c:pt idx="1098">
                  <c:v>65.56</c:v>
                </c:pt>
                <c:pt idx="1099">
                  <c:v>62.59</c:v>
                </c:pt>
                <c:pt idx="1100">
                  <c:v>65.22</c:v>
                </c:pt>
                <c:pt idx="1101">
                  <c:v>63.75</c:v>
                </c:pt>
                <c:pt idx="1102">
                  <c:v>66.91</c:v>
                </c:pt>
                <c:pt idx="1103">
                  <c:v>69.91</c:v>
                </c:pt>
                <c:pt idx="1104">
                  <c:v>67.12</c:v>
                </c:pt>
                <c:pt idx="1105">
                  <c:v>61.03</c:v>
                </c:pt>
                <c:pt idx="1106">
                  <c:v>60.5</c:v>
                </c:pt>
                <c:pt idx="1107">
                  <c:v>61.62</c:v>
                </c:pt>
                <c:pt idx="1108">
                  <c:v>60.75</c:v>
                </c:pt>
                <c:pt idx="1109">
                  <c:v>56.97</c:v>
                </c:pt>
                <c:pt idx="1110">
                  <c:v>58.56</c:v>
                </c:pt>
                <c:pt idx="1111">
                  <c:v>56.03</c:v>
                </c:pt>
                <c:pt idx="1112">
                  <c:v>53.47</c:v>
                </c:pt>
                <c:pt idx="1113">
                  <c:v>52.06</c:v>
                </c:pt>
                <c:pt idx="1114">
                  <c:v>53.16</c:v>
                </c:pt>
                <c:pt idx="1115">
                  <c:v>53.5</c:v>
                </c:pt>
                <c:pt idx="1116">
                  <c:v>53.19</c:v>
                </c:pt>
                <c:pt idx="1117">
                  <c:v>53.47</c:v>
                </c:pt>
                <c:pt idx="1118">
                  <c:v>52.94</c:v>
                </c:pt>
                <c:pt idx="1119">
                  <c:v>52.53</c:v>
                </c:pt>
                <c:pt idx="1120">
                  <c:v>54.03</c:v>
                </c:pt>
                <c:pt idx="1121">
                  <c:v>54.84</c:v>
                </c:pt>
                <c:pt idx="1122">
                  <c:v>54.06</c:v>
                </c:pt>
                <c:pt idx="1123">
                  <c:v>55.72</c:v>
                </c:pt>
                <c:pt idx="1124">
                  <c:v>52.75</c:v>
                </c:pt>
                <c:pt idx="1125">
                  <c:v>51.22</c:v>
                </c:pt>
                <c:pt idx="1126">
                  <c:v>45.19</c:v>
                </c:pt>
                <c:pt idx="1127">
                  <c:v>47.84</c:v>
                </c:pt>
                <c:pt idx="1128">
                  <c:v>45.5</c:v>
                </c:pt>
                <c:pt idx="1129">
                  <c:v>43.03</c:v>
                </c:pt>
                <c:pt idx="1130">
                  <c:v>42</c:v>
                </c:pt>
                <c:pt idx="1131">
                  <c:v>43.97</c:v>
                </c:pt>
                <c:pt idx="1132">
                  <c:v>42.34</c:v>
                </c:pt>
                <c:pt idx="1133">
                  <c:v>40.619999999999997</c:v>
                </c:pt>
                <c:pt idx="1134">
                  <c:v>42.88</c:v>
                </c:pt>
                <c:pt idx="1135">
                  <c:v>41.34</c:v>
                </c:pt>
                <c:pt idx="1136">
                  <c:v>32.69</c:v>
                </c:pt>
                <c:pt idx="1137">
                  <c:v>28.31</c:v>
                </c:pt>
                <c:pt idx="1138">
                  <c:v>30</c:v>
                </c:pt>
                <c:pt idx="1139">
                  <c:v>27.62</c:v>
                </c:pt>
                <c:pt idx="1140">
                  <c:v>24.47</c:v>
                </c:pt>
                <c:pt idx="1141">
                  <c:v>26.38</c:v>
                </c:pt>
                <c:pt idx="1142">
                  <c:v>29.78</c:v>
                </c:pt>
                <c:pt idx="1143">
                  <c:v>29.5</c:v>
                </c:pt>
                <c:pt idx="1144">
                  <c:v>29.81</c:v>
                </c:pt>
                <c:pt idx="1145">
                  <c:v>29.31</c:v>
                </c:pt>
                <c:pt idx="1146">
                  <c:v>27.78</c:v>
                </c:pt>
                <c:pt idx="1147">
                  <c:v>28</c:v>
                </c:pt>
                <c:pt idx="1148">
                  <c:v>27.62</c:v>
                </c:pt>
                <c:pt idx="1149">
                  <c:v>26.31</c:v>
                </c:pt>
                <c:pt idx="1150">
                  <c:v>29.31</c:v>
                </c:pt>
                <c:pt idx="1151">
                  <c:v>32.18</c:v>
                </c:pt>
                <c:pt idx="1152">
                  <c:v>33.72</c:v>
                </c:pt>
                <c:pt idx="1153">
                  <c:v>34.380000000000003</c:v>
                </c:pt>
                <c:pt idx="1154">
                  <c:v>32.81</c:v>
                </c:pt>
                <c:pt idx="1155">
                  <c:v>34.25</c:v>
                </c:pt>
                <c:pt idx="1156">
                  <c:v>32.5</c:v>
                </c:pt>
                <c:pt idx="1157">
                  <c:v>29.41</c:v>
                </c:pt>
                <c:pt idx="1158">
                  <c:v>28.22</c:v>
                </c:pt>
                <c:pt idx="1159">
                  <c:v>27.66</c:v>
                </c:pt>
                <c:pt idx="1160">
                  <c:v>29.72</c:v>
                </c:pt>
                <c:pt idx="1161">
                  <c:v>28.56</c:v>
                </c:pt>
                <c:pt idx="1162">
                  <c:v>26.47</c:v>
                </c:pt>
                <c:pt idx="1163">
                  <c:v>25.62</c:v>
                </c:pt>
                <c:pt idx="1164">
                  <c:v>24.44</c:v>
                </c:pt>
                <c:pt idx="1165">
                  <c:v>20.84</c:v>
                </c:pt>
                <c:pt idx="1166">
                  <c:v>19.09</c:v>
                </c:pt>
                <c:pt idx="1167">
                  <c:v>20.440000000000001</c:v>
                </c:pt>
                <c:pt idx="1168">
                  <c:v>20.059999999999999</c:v>
                </c:pt>
                <c:pt idx="1169">
                  <c:v>18.48</c:v>
                </c:pt>
                <c:pt idx="1170">
                  <c:v>19.53</c:v>
                </c:pt>
                <c:pt idx="1171">
                  <c:v>19.809999999999999</c:v>
                </c:pt>
                <c:pt idx="1172">
                  <c:v>19.47</c:v>
                </c:pt>
                <c:pt idx="1173">
                  <c:v>18.97</c:v>
                </c:pt>
                <c:pt idx="1174">
                  <c:v>21.94</c:v>
                </c:pt>
                <c:pt idx="1175">
                  <c:v>18.75</c:v>
                </c:pt>
                <c:pt idx="1176">
                  <c:v>17.47</c:v>
                </c:pt>
                <c:pt idx="1177">
                  <c:v>17.47</c:v>
                </c:pt>
                <c:pt idx="1178">
                  <c:v>16.940000000000001</c:v>
                </c:pt>
                <c:pt idx="1179">
                  <c:v>17.91</c:v>
                </c:pt>
                <c:pt idx="1180">
                  <c:v>17.440000000000001</c:v>
                </c:pt>
                <c:pt idx="1181">
                  <c:v>16</c:v>
                </c:pt>
                <c:pt idx="1182">
                  <c:v>16.5</c:v>
                </c:pt>
                <c:pt idx="1183">
                  <c:v>16</c:v>
                </c:pt>
                <c:pt idx="1184">
                  <c:v>14</c:v>
                </c:pt>
                <c:pt idx="1185">
                  <c:v>13.97</c:v>
                </c:pt>
                <c:pt idx="1186">
                  <c:v>12.81</c:v>
                </c:pt>
                <c:pt idx="1187">
                  <c:v>14.78</c:v>
                </c:pt>
                <c:pt idx="1188">
                  <c:v>15.59</c:v>
                </c:pt>
                <c:pt idx="1189">
                  <c:v>14.88</c:v>
                </c:pt>
                <c:pt idx="1190">
                  <c:v>15.5</c:v>
                </c:pt>
                <c:pt idx="1191">
                  <c:v>15.03</c:v>
                </c:pt>
                <c:pt idx="1192">
                  <c:v>14.09</c:v>
                </c:pt>
                <c:pt idx="1193">
                  <c:v>15.47</c:v>
                </c:pt>
                <c:pt idx="1194">
                  <c:v>14.78</c:v>
                </c:pt>
                <c:pt idx="1195">
                  <c:v>14.25</c:v>
                </c:pt>
                <c:pt idx="1196">
                  <c:v>13.59</c:v>
                </c:pt>
                <c:pt idx="1197">
                  <c:v>15.06</c:v>
                </c:pt>
                <c:pt idx="1198">
                  <c:v>15.25</c:v>
                </c:pt>
                <c:pt idx="1199">
                  <c:v>12.94</c:v>
                </c:pt>
                <c:pt idx="1200">
                  <c:v>13.28</c:v>
                </c:pt>
                <c:pt idx="1201">
                  <c:v>13.69</c:v>
                </c:pt>
                <c:pt idx="1202">
                  <c:v>15.12</c:v>
                </c:pt>
                <c:pt idx="1203">
                  <c:v>17.22</c:v>
                </c:pt>
                <c:pt idx="1204">
                  <c:v>16.91</c:v>
                </c:pt>
                <c:pt idx="1205">
                  <c:v>17.34</c:v>
                </c:pt>
                <c:pt idx="1206">
                  <c:v>19.48</c:v>
                </c:pt>
                <c:pt idx="1207">
                  <c:v>21.44</c:v>
                </c:pt>
                <c:pt idx="1208">
                  <c:v>19.59</c:v>
                </c:pt>
                <c:pt idx="1209">
                  <c:v>18.84</c:v>
                </c:pt>
                <c:pt idx="1210">
                  <c:v>19.940000000000001</c:v>
                </c:pt>
                <c:pt idx="1211">
                  <c:v>19.84</c:v>
                </c:pt>
                <c:pt idx="1212">
                  <c:v>18.66</c:v>
                </c:pt>
                <c:pt idx="1213">
                  <c:v>18.03</c:v>
                </c:pt>
                <c:pt idx="1214">
                  <c:v>16.5</c:v>
                </c:pt>
                <c:pt idx="1215">
                  <c:v>17.53</c:v>
                </c:pt>
                <c:pt idx="1216">
                  <c:v>18.190000000000001</c:v>
                </c:pt>
                <c:pt idx="1217">
                  <c:v>16.72</c:v>
                </c:pt>
                <c:pt idx="1218">
                  <c:v>15.09</c:v>
                </c:pt>
                <c:pt idx="1219">
                  <c:v>13.97</c:v>
                </c:pt>
                <c:pt idx="1220">
                  <c:v>14.25</c:v>
                </c:pt>
                <c:pt idx="1221">
                  <c:v>13.56</c:v>
                </c:pt>
                <c:pt idx="1222">
                  <c:v>14.25</c:v>
                </c:pt>
                <c:pt idx="1223">
                  <c:v>15.66</c:v>
                </c:pt>
                <c:pt idx="1224">
                  <c:v>14.09</c:v>
                </c:pt>
                <c:pt idx="1225">
                  <c:v>13.28</c:v>
                </c:pt>
                <c:pt idx="1226">
                  <c:v>13.06</c:v>
                </c:pt>
                <c:pt idx="1227">
                  <c:v>12</c:v>
                </c:pt>
                <c:pt idx="1228">
                  <c:v>12.72</c:v>
                </c:pt>
                <c:pt idx="1229">
                  <c:v>12.88</c:v>
                </c:pt>
                <c:pt idx="1230">
                  <c:v>11.72</c:v>
                </c:pt>
                <c:pt idx="1231">
                  <c:v>11.91</c:v>
                </c:pt>
                <c:pt idx="1232">
                  <c:v>12.22</c:v>
                </c:pt>
                <c:pt idx="1233">
                  <c:v>10.84</c:v>
                </c:pt>
                <c:pt idx="1234">
                  <c:v>11.09</c:v>
                </c:pt>
                <c:pt idx="1235">
                  <c:v>11.19</c:v>
                </c:pt>
                <c:pt idx="1236">
                  <c:v>10.47</c:v>
                </c:pt>
                <c:pt idx="1237">
                  <c:v>8.84</c:v>
                </c:pt>
                <c:pt idx="1238">
                  <c:v>8.5</c:v>
                </c:pt>
                <c:pt idx="1239">
                  <c:v>8.19</c:v>
                </c:pt>
                <c:pt idx="1240">
                  <c:v>8.0299999999999994</c:v>
                </c:pt>
                <c:pt idx="1241">
                  <c:v>7.66</c:v>
                </c:pt>
                <c:pt idx="1242">
                  <c:v>7.5</c:v>
                </c:pt>
                <c:pt idx="1243">
                  <c:v>6.78</c:v>
                </c:pt>
                <c:pt idx="1244">
                  <c:v>7.47</c:v>
                </c:pt>
                <c:pt idx="1245">
                  <c:v>6.97</c:v>
                </c:pt>
                <c:pt idx="1246">
                  <c:v>6.84</c:v>
                </c:pt>
                <c:pt idx="1247">
                  <c:v>7.44</c:v>
                </c:pt>
                <c:pt idx="1248">
                  <c:v>7.22</c:v>
                </c:pt>
                <c:pt idx="1249">
                  <c:v>7.09</c:v>
                </c:pt>
                <c:pt idx="1250">
                  <c:v>7.78</c:v>
                </c:pt>
                <c:pt idx="1251">
                  <c:v>7.47</c:v>
                </c:pt>
                <c:pt idx="1252">
                  <c:v>7.5</c:v>
                </c:pt>
                <c:pt idx="1253">
                  <c:v>7.88</c:v>
                </c:pt>
                <c:pt idx="1254">
                  <c:v>7</c:v>
                </c:pt>
                <c:pt idx="1255">
                  <c:v>5.69</c:v>
                </c:pt>
                <c:pt idx="1256">
                  <c:v>6.22</c:v>
                </c:pt>
                <c:pt idx="1257">
                  <c:v>7.62</c:v>
                </c:pt>
                <c:pt idx="1258">
                  <c:v>7.41</c:v>
                </c:pt>
                <c:pt idx="1259">
                  <c:v>7.82</c:v>
                </c:pt>
                <c:pt idx="1260">
                  <c:v>8.01</c:v>
                </c:pt>
                <c:pt idx="1261">
                  <c:v>7.93</c:v>
                </c:pt>
                <c:pt idx="1262">
                  <c:v>8.48</c:v>
                </c:pt>
                <c:pt idx="1263">
                  <c:v>8.81</c:v>
                </c:pt>
                <c:pt idx="1264">
                  <c:v>8.65</c:v>
                </c:pt>
                <c:pt idx="1265">
                  <c:v>9.31</c:v>
                </c:pt>
                <c:pt idx="1266">
                  <c:v>9.98</c:v>
                </c:pt>
                <c:pt idx="1267">
                  <c:v>9.93</c:v>
                </c:pt>
                <c:pt idx="1268">
                  <c:v>8.98</c:v>
                </c:pt>
                <c:pt idx="1269">
                  <c:v>9.01</c:v>
                </c:pt>
                <c:pt idx="1270">
                  <c:v>9.34</c:v>
                </c:pt>
                <c:pt idx="1271">
                  <c:v>9.1300000000000008</c:v>
                </c:pt>
                <c:pt idx="1272">
                  <c:v>9.75</c:v>
                </c:pt>
                <c:pt idx="1273">
                  <c:v>10.09</c:v>
                </c:pt>
                <c:pt idx="1274">
                  <c:v>11.15</c:v>
                </c:pt>
                <c:pt idx="1275">
                  <c:v>11.46</c:v>
                </c:pt>
                <c:pt idx="1276">
                  <c:v>10.41</c:v>
                </c:pt>
                <c:pt idx="1277">
                  <c:v>10.06</c:v>
                </c:pt>
                <c:pt idx="1278">
                  <c:v>9.99</c:v>
                </c:pt>
                <c:pt idx="1279">
                  <c:v>9.8699999999999992</c:v>
                </c:pt>
                <c:pt idx="1280">
                  <c:v>9.43</c:v>
                </c:pt>
                <c:pt idx="1281">
                  <c:v>9.11</c:v>
                </c:pt>
                <c:pt idx="1282">
                  <c:v>8.9</c:v>
                </c:pt>
                <c:pt idx="1283">
                  <c:v>8.5500000000000007</c:v>
                </c:pt>
                <c:pt idx="1284">
                  <c:v>9.0299999999999994</c:v>
                </c:pt>
                <c:pt idx="1285">
                  <c:v>9.69</c:v>
                </c:pt>
                <c:pt idx="1286">
                  <c:v>9.93</c:v>
                </c:pt>
                <c:pt idx="1287">
                  <c:v>9.68</c:v>
                </c:pt>
                <c:pt idx="1288">
                  <c:v>10.75</c:v>
                </c:pt>
                <c:pt idx="1289">
                  <c:v>11.06</c:v>
                </c:pt>
                <c:pt idx="1290">
                  <c:v>10.220000000000001</c:v>
                </c:pt>
                <c:pt idx="1291">
                  <c:v>10.77</c:v>
                </c:pt>
                <c:pt idx="1292">
                  <c:v>10.46</c:v>
                </c:pt>
                <c:pt idx="1293">
                  <c:v>9.4</c:v>
                </c:pt>
                <c:pt idx="1294">
                  <c:v>8.84</c:v>
                </c:pt>
                <c:pt idx="1295">
                  <c:v>9.06</c:v>
                </c:pt>
                <c:pt idx="1296">
                  <c:v>9.73</c:v>
                </c:pt>
                <c:pt idx="1297">
                  <c:v>9.89</c:v>
                </c:pt>
                <c:pt idx="1298">
                  <c:v>10</c:v>
                </c:pt>
                <c:pt idx="1299">
                  <c:v>9.84</c:v>
                </c:pt>
                <c:pt idx="1300">
                  <c:v>9.7100000000000009</c:v>
                </c:pt>
                <c:pt idx="1301">
                  <c:v>9.27</c:v>
                </c:pt>
                <c:pt idx="1302">
                  <c:v>8.93</c:v>
                </c:pt>
                <c:pt idx="1303">
                  <c:v>9.06</c:v>
                </c:pt>
                <c:pt idx="1304">
                  <c:v>8.57</c:v>
                </c:pt>
                <c:pt idx="1305">
                  <c:v>8.23</c:v>
                </c:pt>
                <c:pt idx="1306">
                  <c:v>8.01</c:v>
                </c:pt>
                <c:pt idx="1307">
                  <c:v>7.66</c:v>
                </c:pt>
                <c:pt idx="1308">
                  <c:v>7.78</c:v>
                </c:pt>
                <c:pt idx="1309">
                  <c:v>9.24</c:v>
                </c:pt>
                <c:pt idx="1310">
                  <c:v>8.9</c:v>
                </c:pt>
                <c:pt idx="1311">
                  <c:v>8.65</c:v>
                </c:pt>
                <c:pt idx="1312">
                  <c:v>9.89</c:v>
                </c:pt>
                <c:pt idx="1313">
                  <c:v>9.57</c:v>
                </c:pt>
                <c:pt idx="1314">
                  <c:v>9.36</c:v>
                </c:pt>
                <c:pt idx="1315">
                  <c:v>9.69</c:v>
                </c:pt>
                <c:pt idx="1316">
                  <c:v>9.99</c:v>
                </c:pt>
                <c:pt idx="1317">
                  <c:v>10.02</c:v>
                </c:pt>
                <c:pt idx="1318">
                  <c:v>9.9</c:v>
                </c:pt>
                <c:pt idx="1319">
                  <c:v>9.6</c:v>
                </c:pt>
                <c:pt idx="1320">
                  <c:v>8.94</c:v>
                </c:pt>
                <c:pt idx="1321">
                  <c:v>9.2799999999999994</c:v>
                </c:pt>
                <c:pt idx="1322">
                  <c:v>8.91</c:v>
                </c:pt>
                <c:pt idx="1323">
                  <c:v>8.52</c:v>
                </c:pt>
                <c:pt idx="1324">
                  <c:v>9.31</c:v>
                </c:pt>
                <c:pt idx="1325">
                  <c:v>9.1199999999999992</c:v>
                </c:pt>
                <c:pt idx="1326">
                  <c:v>9.01</c:v>
                </c:pt>
                <c:pt idx="1327">
                  <c:v>9.24</c:v>
                </c:pt>
                <c:pt idx="1328">
                  <c:v>8.52</c:v>
                </c:pt>
                <c:pt idx="1329">
                  <c:v>8.7200000000000006</c:v>
                </c:pt>
                <c:pt idx="1330">
                  <c:v>8.9700000000000006</c:v>
                </c:pt>
                <c:pt idx="1331">
                  <c:v>8.7799999999999994</c:v>
                </c:pt>
                <c:pt idx="1332">
                  <c:v>8.48</c:v>
                </c:pt>
                <c:pt idx="1333">
                  <c:v>8.44</c:v>
                </c:pt>
                <c:pt idx="1334">
                  <c:v>8.74</c:v>
                </c:pt>
                <c:pt idx="1335">
                  <c:v>9.01</c:v>
                </c:pt>
                <c:pt idx="1336">
                  <c:v>8.9</c:v>
                </c:pt>
                <c:pt idx="1337">
                  <c:v>8.81</c:v>
                </c:pt>
                <c:pt idx="1338">
                  <c:v>9.15</c:v>
                </c:pt>
                <c:pt idx="1339">
                  <c:v>9.23</c:v>
                </c:pt>
                <c:pt idx="1340">
                  <c:v>8.94</c:v>
                </c:pt>
                <c:pt idx="1341">
                  <c:v>8.69</c:v>
                </c:pt>
                <c:pt idx="1342">
                  <c:v>8.65</c:v>
                </c:pt>
                <c:pt idx="1343">
                  <c:v>8.27</c:v>
                </c:pt>
                <c:pt idx="1344">
                  <c:v>8.14</c:v>
                </c:pt>
                <c:pt idx="1345">
                  <c:v>7.71</c:v>
                </c:pt>
                <c:pt idx="1346">
                  <c:v>7.82</c:v>
                </c:pt>
                <c:pt idx="1347">
                  <c:v>7.49</c:v>
                </c:pt>
                <c:pt idx="1348">
                  <c:v>7.13</c:v>
                </c:pt>
                <c:pt idx="1349">
                  <c:v>7.39</c:v>
                </c:pt>
                <c:pt idx="1350">
                  <c:v>7.03</c:v>
                </c:pt>
                <c:pt idx="1351">
                  <c:v>7.23</c:v>
                </c:pt>
                <c:pt idx="1352">
                  <c:v>6.51</c:v>
                </c:pt>
                <c:pt idx="1353">
                  <c:v>6.7</c:v>
                </c:pt>
                <c:pt idx="1354">
                  <c:v>6.63</c:v>
                </c:pt>
                <c:pt idx="1355">
                  <c:v>7.05</c:v>
                </c:pt>
                <c:pt idx="1356">
                  <c:v>6.71</c:v>
                </c:pt>
                <c:pt idx="1357">
                  <c:v>6.5</c:v>
                </c:pt>
                <c:pt idx="1358">
                  <c:v>6.07</c:v>
                </c:pt>
                <c:pt idx="1359">
                  <c:v>5.66</c:v>
                </c:pt>
                <c:pt idx="1360">
                  <c:v>5.93</c:v>
                </c:pt>
                <c:pt idx="1361">
                  <c:v>5.85</c:v>
                </c:pt>
                <c:pt idx="1362">
                  <c:v>5.32</c:v>
                </c:pt>
                <c:pt idx="1363">
                  <c:v>5.55</c:v>
                </c:pt>
                <c:pt idx="1364">
                  <c:v>5.38</c:v>
                </c:pt>
                <c:pt idx="1365">
                  <c:v>5.87</c:v>
                </c:pt>
                <c:pt idx="1366">
                  <c:v>5.44</c:v>
                </c:pt>
                <c:pt idx="1367">
                  <c:v>5.05</c:v>
                </c:pt>
                <c:pt idx="1368">
                  <c:v>5.03</c:v>
                </c:pt>
                <c:pt idx="1369">
                  <c:v>4.99</c:v>
                </c:pt>
                <c:pt idx="1370">
                  <c:v>4.34</c:v>
                </c:pt>
                <c:pt idx="1371">
                  <c:v>4.62</c:v>
                </c:pt>
                <c:pt idx="1372">
                  <c:v>4.6399999999999997</c:v>
                </c:pt>
                <c:pt idx="1373">
                  <c:v>4.05</c:v>
                </c:pt>
                <c:pt idx="1374">
                  <c:v>4.55</c:v>
                </c:pt>
                <c:pt idx="1375">
                  <c:v>4.41</c:v>
                </c:pt>
                <c:pt idx="1376">
                  <c:v>4.55</c:v>
                </c:pt>
                <c:pt idx="1377">
                  <c:v>4.62</c:v>
                </c:pt>
                <c:pt idx="1378">
                  <c:v>4.95</c:v>
                </c:pt>
                <c:pt idx="1379">
                  <c:v>5.34</c:v>
                </c:pt>
                <c:pt idx="1380">
                  <c:v>5.18</c:v>
                </c:pt>
                <c:pt idx="1381">
                  <c:v>5.24</c:v>
                </c:pt>
                <c:pt idx="1382">
                  <c:v>5.08</c:v>
                </c:pt>
                <c:pt idx="1383">
                  <c:v>5.47</c:v>
                </c:pt>
                <c:pt idx="1384">
                  <c:v>6.25</c:v>
                </c:pt>
                <c:pt idx="1385">
                  <c:v>6.04</c:v>
                </c:pt>
                <c:pt idx="1386">
                  <c:v>6.03</c:v>
                </c:pt>
                <c:pt idx="1387">
                  <c:v>6.25</c:v>
                </c:pt>
                <c:pt idx="1388">
                  <c:v>5.68</c:v>
                </c:pt>
                <c:pt idx="1389">
                  <c:v>5.64</c:v>
                </c:pt>
                <c:pt idx="1390">
                  <c:v>5.68</c:v>
                </c:pt>
                <c:pt idx="1391">
                  <c:v>5.89</c:v>
                </c:pt>
                <c:pt idx="1392">
                  <c:v>5.79</c:v>
                </c:pt>
                <c:pt idx="1393">
                  <c:v>5.97</c:v>
                </c:pt>
                <c:pt idx="1394">
                  <c:v>6.12</c:v>
                </c:pt>
                <c:pt idx="1395">
                  <c:v>6.03</c:v>
                </c:pt>
                <c:pt idx="1396">
                  <c:v>5.65</c:v>
                </c:pt>
                <c:pt idx="1397">
                  <c:v>5.55</c:v>
                </c:pt>
                <c:pt idx="1398">
                  <c:v>5.44</c:v>
                </c:pt>
                <c:pt idx="1399">
                  <c:v>5.6</c:v>
                </c:pt>
                <c:pt idx="1400">
                  <c:v>5.48</c:v>
                </c:pt>
                <c:pt idx="1401">
                  <c:v>5.99</c:v>
                </c:pt>
                <c:pt idx="1402">
                  <c:v>6.49</c:v>
                </c:pt>
                <c:pt idx="1403">
                  <c:v>6.72</c:v>
                </c:pt>
                <c:pt idx="1404">
                  <c:v>6.56</c:v>
                </c:pt>
                <c:pt idx="1405">
                  <c:v>6.86</c:v>
                </c:pt>
                <c:pt idx="1406">
                  <c:v>6.85</c:v>
                </c:pt>
                <c:pt idx="1407">
                  <c:v>6.99</c:v>
                </c:pt>
                <c:pt idx="1408">
                  <c:v>7.61</c:v>
                </c:pt>
                <c:pt idx="1409">
                  <c:v>7.41</c:v>
                </c:pt>
                <c:pt idx="1410">
                  <c:v>7.74</c:v>
                </c:pt>
                <c:pt idx="1411">
                  <c:v>8.14</c:v>
                </c:pt>
                <c:pt idx="1412">
                  <c:v>7.45</c:v>
                </c:pt>
                <c:pt idx="1413">
                  <c:v>7.47</c:v>
                </c:pt>
                <c:pt idx="1414">
                  <c:v>7.86</c:v>
                </c:pt>
                <c:pt idx="1415">
                  <c:v>9.0299999999999994</c:v>
                </c:pt>
                <c:pt idx="1416">
                  <c:v>8.6999999999999993</c:v>
                </c:pt>
                <c:pt idx="1417">
                  <c:v>8.1</c:v>
                </c:pt>
                <c:pt idx="1418">
                  <c:v>8.35</c:v>
                </c:pt>
                <c:pt idx="1419">
                  <c:v>7.78</c:v>
                </c:pt>
                <c:pt idx="1420">
                  <c:v>7.91</c:v>
                </c:pt>
                <c:pt idx="1421">
                  <c:v>8.48</c:v>
                </c:pt>
                <c:pt idx="1422">
                  <c:v>8.5299999999999994</c:v>
                </c:pt>
                <c:pt idx="1423">
                  <c:v>9.51</c:v>
                </c:pt>
                <c:pt idx="1424">
                  <c:v>8.84</c:v>
                </c:pt>
                <c:pt idx="1425">
                  <c:v>8.91</c:v>
                </c:pt>
                <c:pt idx="1426">
                  <c:v>9.2100000000000009</c:v>
                </c:pt>
                <c:pt idx="1427">
                  <c:v>9.57</c:v>
                </c:pt>
                <c:pt idx="1428">
                  <c:v>8.7899999999999991</c:v>
                </c:pt>
                <c:pt idx="1429">
                  <c:v>8.6</c:v>
                </c:pt>
                <c:pt idx="1430">
                  <c:v>8.93</c:v>
                </c:pt>
                <c:pt idx="1431">
                  <c:v>9.19</c:v>
                </c:pt>
                <c:pt idx="1432">
                  <c:v>8.85</c:v>
                </c:pt>
                <c:pt idx="1433">
                  <c:v>8.11</c:v>
                </c:pt>
                <c:pt idx="1434">
                  <c:v>8.4600000000000009</c:v>
                </c:pt>
                <c:pt idx="1435">
                  <c:v>8.34</c:v>
                </c:pt>
                <c:pt idx="1436">
                  <c:v>8.76</c:v>
                </c:pt>
                <c:pt idx="1437">
                  <c:v>8.89</c:v>
                </c:pt>
                <c:pt idx="1438">
                  <c:v>9.15</c:v>
                </c:pt>
                <c:pt idx="1439">
                  <c:v>8.8699999999999992</c:v>
                </c:pt>
                <c:pt idx="1440">
                  <c:v>9.31</c:v>
                </c:pt>
                <c:pt idx="1441">
                  <c:v>9.56</c:v>
                </c:pt>
                <c:pt idx="1442">
                  <c:v>9.4499999999999993</c:v>
                </c:pt>
                <c:pt idx="1443">
                  <c:v>9.86</c:v>
                </c:pt>
                <c:pt idx="1444">
                  <c:v>9.77</c:v>
                </c:pt>
                <c:pt idx="1445">
                  <c:v>10.119999999999999</c:v>
                </c:pt>
                <c:pt idx="1446">
                  <c:v>10.24</c:v>
                </c:pt>
                <c:pt idx="1447">
                  <c:v>10.08</c:v>
                </c:pt>
                <c:pt idx="1448">
                  <c:v>9.51</c:v>
                </c:pt>
                <c:pt idx="1449">
                  <c:v>9.73</c:v>
                </c:pt>
                <c:pt idx="1450">
                  <c:v>8.94</c:v>
                </c:pt>
                <c:pt idx="1451">
                  <c:v>10.06</c:v>
                </c:pt>
                <c:pt idx="1452">
                  <c:v>9.6</c:v>
                </c:pt>
                <c:pt idx="1453">
                  <c:v>9.2100000000000009</c:v>
                </c:pt>
                <c:pt idx="1454">
                  <c:v>9.2200000000000006</c:v>
                </c:pt>
                <c:pt idx="1455">
                  <c:v>9.1</c:v>
                </c:pt>
                <c:pt idx="1456">
                  <c:v>9.34</c:v>
                </c:pt>
                <c:pt idx="1457">
                  <c:v>9.35</c:v>
                </c:pt>
                <c:pt idx="1458">
                  <c:v>9.09</c:v>
                </c:pt>
                <c:pt idx="1459">
                  <c:v>8.6</c:v>
                </c:pt>
                <c:pt idx="1460">
                  <c:v>8.6199999999999992</c:v>
                </c:pt>
                <c:pt idx="1461">
                  <c:v>8.34</c:v>
                </c:pt>
                <c:pt idx="1462">
                  <c:v>7.88</c:v>
                </c:pt>
                <c:pt idx="1463">
                  <c:v>7.89</c:v>
                </c:pt>
                <c:pt idx="1464">
                  <c:v>7.95</c:v>
                </c:pt>
                <c:pt idx="1465">
                  <c:v>7.68</c:v>
                </c:pt>
                <c:pt idx="1466">
                  <c:v>8.32</c:v>
                </c:pt>
                <c:pt idx="1467">
                  <c:v>8.27</c:v>
                </c:pt>
                <c:pt idx="1468">
                  <c:v>8.16</c:v>
                </c:pt>
                <c:pt idx="1469">
                  <c:v>8.4</c:v>
                </c:pt>
                <c:pt idx="1470">
                  <c:v>8.2799999999999994</c:v>
                </c:pt>
                <c:pt idx="1471">
                  <c:v>7.84</c:v>
                </c:pt>
                <c:pt idx="1472">
                  <c:v>7.22</c:v>
                </c:pt>
                <c:pt idx="1473">
                  <c:v>7.64</c:v>
                </c:pt>
                <c:pt idx="1474">
                  <c:v>7.22</c:v>
                </c:pt>
                <c:pt idx="1475">
                  <c:v>7.23</c:v>
                </c:pt>
                <c:pt idx="1476">
                  <c:v>7.5</c:v>
                </c:pt>
                <c:pt idx="1477">
                  <c:v>7.47</c:v>
                </c:pt>
                <c:pt idx="1478">
                  <c:v>7.28</c:v>
                </c:pt>
                <c:pt idx="1479">
                  <c:v>7.23</c:v>
                </c:pt>
                <c:pt idx="1480">
                  <c:v>8.31</c:v>
                </c:pt>
                <c:pt idx="1481">
                  <c:v>8.9</c:v>
                </c:pt>
                <c:pt idx="1482">
                  <c:v>9.1</c:v>
                </c:pt>
                <c:pt idx="1483">
                  <c:v>9.1300000000000008</c:v>
                </c:pt>
                <c:pt idx="1484">
                  <c:v>8.9700000000000006</c:v>
                </c:pt>
                <c:pt idx="1485">
                  <c:v>9.4700000000000006</c:v>
                </c:pt>
                <c:pt idx="1486">
                  <c:v>10.25</c:v>
                </c:pt>
                <c:pt idx="1487">
                  <c:v>9.68</c:v>
                </c:pt>
                <c:pt idx="1488">
                  <c:v>9.61</c:v>
                </c:pt>
                <c:pt idx="1489">
                  <c:v>9.61</c:v>
                </c:pt>
                <c:pt idx="1490">
                  <c:v>9.36</c:v>
                </c:pt>
                <c:pt idx="1491">
                  <c:v>9.6</c:v>
                </c:pt>
                <c:pt idx="1492">
                  <c:v>9.5500000000000007</c:v>
                </c:pt>
                <c:pt idx="1493">
                  <c:v>9.1</c:v>
                </c:pt>
                <c:pt idx="1494">
                  <c:v>9.3000000000000007</c:v>
                </c:pt>
                <c:pt idx="1495">
                  <c:v>9.2200000000000006</c:v>
                </c:pt>
                <c:pt idx="1496">
                  <c:v>8.91</c:v>
                </c:pt>
                <c:pt idx="1497">
                  <c:v>8.85</c:v>
                </c:pt>
                <c:pt idx="1498">
                  <c:v>8.93</c:v>
                </c:pt>
                <c:pt idx="1499">
                  <c:v>9.23</c:v>
                </c:pt>
                <c:pt idx="1500">
                  <c:v>9.34</c:v>
                </c:pt>
                <c:pt idx="1501">
                  <c:v>9.02</c:v>
                </c:pt>
                <c:pt idx="1502">
                  <c:v>8.91</c:v>
                </c:pt>
                <c:pt idx="1503">
                  <c:v>8.83</c:v>
                </c:pt>
                <c:pt idx="1504">
                  <c:v>9.09</c:v>
                </c:pt>
                <c:pt idx="1505">
                  <c:v>9.42</c:v>
                </c:pt>
                <c:pt idx="1506">
                  <c:v>9.23</c:v>
                </c:pt>
                <c:pt idx="1507">
                  <c:v>9.2200000000000006</c:v>
                </c:pt>
                <c:pt idx="1508">
                  <c:v>7.72</c:v>
                </c:pt>
                <c:pt idx="1509">
                  <c:v>7.86</c:v>
                </c:pt>
                <c:pt idx="1510">
                  <c:v>7.7</c:v>
                </c:pt>
                <c:pt idx="1511">
                  <c:v>7.7</c:v>
                </c:pt>
                <c:pt idx="1512">
                  <c:v>7.95</c:v>
                </c:pt>
                <c:pt idx="1513">
                  <c:v>7.53</c:v>
                </c:pt>
                <c:pt idx="1514">
                  <c:v>7.38</c:v>
                </c:pt>
                <c:pt idx="1515">
                  <c:v>7.07</c:v>
                </c:pt>
                <c:pt idx="1516">
                  <c:v>7.09</c:v>
                </c:pt>
                <c:pt idx="1517">
                  <c:v>7.3</c:v>
                </c:pt>
                <c:pt idx="1518">
                  <c:v>7.18</c:v>
                </c:pt>
                <c:pt idx="1519">
                  <c:v>7.25</c:v>
                </c:pt>
                <c:pt idx="1520">
                  <c:v>7.11</c:v>
                </c:pt>
                <c:pt idx="1521">
                  <c:v>7.38</c:v>
                </c:pt>
                <c:pt idx="1522">
                  <c:v>7.82</c:v>
                </c:pt>
                <c:pt idx="1523">
                  <c:v>7.5</c:v>
                </c:pt>
                <c:pt idx="1524">
                  <c:v>7.39</c:v>
                </c:pt>
                <c:pt idx="1525">
                  <c:v>7.3</c:v>
                </c:pt>
                <c:pt idx="1526">
                  <c:v>7.37</c:v>
                </c:pt>
                <c:pt idx="1527">
                  <c:v>8.16</c:v>
                </c:pt>
                <c:pt idx="1528">
                  <c:v>8.19</c:v>
                </c:pt>
                <c:pt idx="1529">
                  <c:v>7.73</c:v>
                </c:pt>
                <c:pt idx="1530">
                  <c:v>7.99</c:v>
                </c:pt>
                <c:pt idx="1531">
                  <c:v>8.77</c:v>
                </c:pt>
                <c:pt idx="1532">
                  <c:v>8.89</c:v>
                </c:pt>
                <c:pt idx="1533">
                  <c:v>9.02</c:v>
                </c:pt>
                <c:pt idx="1534">
                  <c:v>9</c:v>
                </c:pt>
                <c:pt idx="1535">
                  <c:v>8.59</c:v>
                </c:pt>
                <c:pt idx="1536">
                  <c:v>8.36</c:v>
                </c:pt>
                <c:pt idx="1537">
                  <c:v>8.14</c:v>
                </c:pt>
                <c:pt idx="1538">
                  <c:v>8.5500000000000007</c:v>
                </c:pt>
                <c:pt idx="1539">
                  <c:v>8.51</c:v>
                </c:pt>
                <c:pt idx="1540">
                  <c:v>8.27</c:v>
                </c:pt>
                <c:pt idx="1541">
                  <c:v>8.2899999999999991</c:v>
                </c:pt>
                <c:pt idx="1542">
                  <c:v>8.2100000000000009</c:v>
                </c:pt>
                <c:pt idx="1543">
                  <c:v>8.01</c:v>
                </c:pt>
                <c:pt idx="1544">
                  <c:v>7.84</c:v>
                </c:pt>
                <c:pt idx="1545">
                  <c:v>8</c:v>
                </c:pt>
                <c:pt idx="1546">
                  <c:v>8.01</c:v>
                </c:pt>
                <c:pt idx="1547">
                  <c:v>7.99</c:v>
                </c:pt>
                <c:pt idx="1548">
                  <c:v>7.93</c:v>
                </c:pt>
                <c:pt idx="1549">
                  <c:v>7.92</c:v>
                </c:pt>
                <c:pt idx="1550">
                  <c:v>7.93</c:v>
                </c:pt>
                <c:pt idx="1551">
                  <c:v>7.91</c:v>
                </c:pt>
                <c:pt idx="1552">
                  <c:v>7.99</c:v>
                </c:pt>
                <c:pt idx="1553">
                  <c:v>7.98</c:v>
                </c:pt>
                <c:pt idx="1554">
                  <c:v>8.39</c:v>
                </c:pt>
                <c:pt idx="1555">
                  <c:v>8.32</c:v>
                </c:pt>
                <c:pt idx="1556">
                  <c:v>8.01</c:v>
                </c:pt>
                <c:pt idx="1557">
                  <c:v>7.82</c:v>
                </c:pt>
                <c:pt idx="1558">
                  <c:v>7.74</c:v>
                </c:pt>
                <c:pt idx="1559">
                  <c:v>7.54</c:v>
                </c:pt>
                <c:pt idx="1560">
                  <c:v>6.86</c:v>
                </c:pt>
                <c:pt idx="1561">
                  <c:v>7.09</c:v>
                </c:pt>
                <c:pt idx="1562">
                  <c:v>7.09</c:v>
                </c:pt>
                <c:pt idx="1563">
                  <c:v>7.38</c:v>
                </c:pt>
                <c:pt idx="1564">
                  <c:v>6.82</c:v>
                </c:pt>
                <c:pt idx="1565">
                  <c:v>5.94</c:v>
                </c:pt>
                <c:pt idx="1566">
                  <c:v>6.39</c:v>
                </c:pt>
                <c:pt idx="1567">
                  <c:v>6.81</c:v>
                </c:pt>
                <c:pt idx="1568">
                  <c:v>6.45</c:v>
                </c:pt>
                <c:pt idx="1569">
                  <c:v>6.35</c:v>
                </c:pt>
                <c:pt idx="1570">
                  <c:v>6.09</c:v>
                </c:pt>
                <c:pt idx="1571">
                  <c:v>6.46</c:v>
                </c:pt>
                <c:pt idx="1572">
                  <c:v>6.47</c:v>
                </c:pt>
                <c:pt idx="1573">
                  <c:v>6.53</c:v>
                </c:pt>
                <c:pt idx="1574">
                  <c:v>6.88</c:v>
                </c:pt>
                <c:pt idx="1575">
                  <c:v>7.13</c:v>
                </c:pt>
                <c:pt idx="1576">
                  <c:v>6.79</c:v>
                </c:pt>
                <c:pt idx="1577">
                  <c:v>6.68</c:v>
                </c:pt>
                <c:pt idx="1578">
                  <c:v>6.66</c:v>
                </c:pt>
                <c:pt idx="1579">
                  <c:v>6.33</c:v>
                </c:pt>
                <c:pt idx="1580">
                  <c:v>6.79</c:v>
                </c:pt>
                <c:pt idx="1581">
                  <c:v>6.08</c:v>
                </c:pt>
                <c:pt idx="1582">
                  <c:v>6.35</c:v>
                </c:pt>
                <c:pt idx="1583">
                  <c:v>6.59</c:v>
                </c:pt>
                <c:pt idx="1584">
                  <c:v>6.7</c:v>
                </c:pt>
                <c:pt idx="1585">
                  <c:v>6.59</c:v>
                </c:pt>
                <c:pt idx="1586">
                  <c:v>6.08</c:v>
                </c:pt>
                <c:pt idx="1587">
                  <c:v>5.79</c:v>
                </c:pt>
                <c:pt idx="1588">
                  <c:v>5.45</c:v>
                </c:pt>
                <c:pt idx="1589">
                  <c:v>5.75</c:v>
                </c:pt>
                <c:pt idx="1590">
                  <c:v>5.72</c:v>
                </c:pt>
                <c:pt idx="1591">
                  <c:v>5.98</c:v>
                </c:pt>
                <c:pt idx="1592">
                  <c:v>5.98</c:v>
                </c:pt>
                <c:pt idx="1593">
                  <c:v>5.99</c:v>
                </c:pt>
                <c:pt idx="1594">
                  <c:v>5.59</c:v>
                </c:pt>
                <c:pt idx="1595">
                  <c:v>5.86</c:v>
                </c:pt>
                <c:pt idx="1596">
                  <c:v>6.11</c:v>
                </c:pt>
                <c:pt idx="1597">
                  <c:v>6.05</c:v>
                </c:pt>
                <c:pt idx="1598">
                  <c:v>6.74</c:v>
                </c:pt>
                <c:pt idx="1599">
                  <c:v>6.55</c:v>
                </c:pt>
                <c:pt idx="1600">
                  <c:v>6.45</c:v>
                </c:pt>
                <c:pt idx="1601">
                  <c:v>6.4</c:v>
                </c:pt>
                <c:pt idx="1602">
                  <c:v>6.01</c:v>
                </c:pt>
                <c:pt idx="1603">
                  <c:v>5.66</c:v>
                </c:pt>
                <c:pt idx="1604">
                  <c:v>5.35</c:v>
                </c:pt>
                <c:pt idx="1605">
                  <c:v>4.57</c:v>
                </c:pt>
                <c:pt idx="1606">
                  <c:v>5.12</c:v>
                </c:pt>
                <c:pt idx="1607">
                  <c:v>5.14</c:v>
                </c:pt>
                <c:pt idx="1608">
                  <c:v>4.8600000000000003</c:v>
                </c:pt>
                <c:pt idx="1609">
                  <c:v>4.8899999999999997</c:v>
                </c:pt>
                <c:pt idx="1610">
                  <c:v>4.59</c:v>
                </c:pt>
                <c:pt idx="1611">
                  <c:v>4.97</c:v>
                </c:pt>
                <c:pt idx="1612">
                  <c:v>5.07</c:v>
                </c:pt>
                <c:pt idx="1613">
                  <c:v>5.23</c:v>
                </c:pt>
                <c:pt idx="1614">
                  <c:v>5.36</c:v>
                </c:pt>
                <c:pt idx="1615">
                  <c:v>5.18</c:v>
                </c:pt>
                <c:pt idx="1616">
                  <c:v>5.23</c:v>
                </c:pt>
                <c:pt idx="1617">
                  <c:v>5.09</c:v>
                </c:pt>
                <c:pt idx="1618">
                  <c:v>5.01</c:v>
                </c:pt>
                <c:pt idx="1619">
                  <c:v>5</c:v>
                </c:pt>
                <c:pt idx="1620">
                  <c:v>4.75</c:v>
                </c:pt>
                <c:pt idx="1621">
                  <c:v>4.88</c:v>
                </c:pt>
                <c:pt idx="1622">
                  <c:v>4.54</c:v>
                </c:pt>
                <c:pt idx="1623">
                  <c:v>4.5</c:v>
                </c:pt>
                <c:pt idx="1624">
                  <c:v>4.95</c:v>
                </c:pt>
                <c:pt idx="1625">
                  <c:v>5.3</c:v>
                </c:pt>
                <c:pt idx="1626">
                  <c:v>5.29</c:v>
                </c:pt>
                <c:pt idx="1627">
                  <c:v>4.78</c:v>
                </c:pt>
                <c:pt idx="1628">
                  <c:v>4.8499999999999996</c:v>
                </c:pt>
                <c:pt idx="1629">
                  <c:v>4.74</c:v>
                </c:pt>
                <c:pt idx="1630">
                  <c:v>4.7</c:v>
                </c:pt>
                <c:pt idx="1631">
                  <c:v>4.67</c:v>
                </c:pt>
                <c:pt idx="1632">
                  <c:v>4.54</c:v>
                </c:pt>
                <c:pt idx="1633">
                  <c:v>4.75</c:v>
                </c:pt>
                <c:pt idx="1634">
                  <c:v>4.99</c:v>
                </c:pt>
                <c:pt idx="1635">
                  <c:v>6.14</c:v>
                </c:pt>
                <c:pt idx="1636">
                  <c:v>6.68</c:v>
                </c:pt>
                <c:pt idx="1637">
                  <c:v>7.13</c:v>
                </c:pt>
                <c:pt idx="1638">
                  <c:v>7.21</c:v>
                </c:pt>
                <c:pt idx="1639">
                  <c:v>7.34</c:v>
                </c:pt>
                <c:pt idx="1640">
                  <c:v>7.34</c:v>
                </c:pt>
                <c:pt idx="1641">
                  <c:v>7.51</c:v>
                </c:pt>
                <c:pt idx="1642">
                  <c:v>7.48</c:v>
                </c:pt>
                <c:pt idx="1643">
                  <c:v>7.43</c:v>
                </c:pt>
                <c:pt idx="1644">
                  <c:v>7.53</c:v>
                </c:pt>
                <c:pt idx="1645">
                  <c:v>7.53</c:v>
                </c:pt>
                <c:pt idx="1646">
                  <c:v>7.46</c:v>
                </c:pt>
                <c:pt idx="1647">
                  <c:v>7.33</c:v>
                </c:pt>
                <c:pt idx="1648">
                  <c:v>7.15</c:v>
                </c:pt>
                <c:pt idx="1649">
                  <c:v>7.49</c:v>
                </c:pt>
                <c:pt idx="1650">
                  <c:v>7.46</c:v>
                </c:pt>
                <c:pt idx="1651">
                  <c:v>7.57</c:v>
                </c:pt>
                <c:pt idx="1652">
                  <c:v>8.39</c:v>
                </c:pt>
                <c:pt idx="1653">
                  <c:v>8.52</c:v>
                </c:pt>
                <c:pt idx="1654">
                  <c:v>8.69</c:v>
                </c:pt>
                <c:pt idx="1655">
                  <c:v>7.8</c:v>
                </c:pt>
                <c:pt idx="1656">
                  <c:v>7.84</c:v>
                </c:pt>
                <c:pt idx="1657">
                  <c:v>7.46</c:v>
                </c:pt>
                <c:pt idx="1658">
                  <c:v>7.74</c:v>
                </c:pt>
                <c:pt idx="1659">
                  <c:v>7.72</c:v>
                </c:pt>
                <c:pt idx="1660">
                  <c:v>8.35</c:v>
                </c:pt>
                <c:pt idx="1661">
                  <c:v>8.73</c:v>
                </c:pt>
                <c:pt idx="1662">
                  <c:v>8.8800000000000008</c:v>
                </c:pt>
                <c:pt idx="1663">
                  <c:v>8.3800000000000008</c:v>
                </c:pt>
                <c:pt idx="1664">
                  <c:v>9</c:v>
                </c:pt>
                <c:pt idx="1665">
                  <c:v>9.15</c:v>
                </c:pt>
                <c:pt idx="1666">
                  <c:v>9.1999999999999993</c:v>
                </c:pt>
                <c:pt idx="1667">
                  <c:v>9.19</c:v>
                </c:pt>
                <c:pt idx="1668">
                  <c:v>9.06</c:v>
                </c:pt>
                <c:pt idx="1669">
                  <c:v>9.19</c:v>
                </c:pt>
                <c:pt idx="1670">
                  <c:v>9.14</c:v>
                </c:pt>
                <c:pt idx="1671">
                  <c:v>9.02</c:v>
                </c:pt>
                <c:pt idx="1672">
                  <c:v>8.68</c:v>
                </c:pt>
                <c:pt idx="1673">
                  <c:v>8.3699999999999992</c:v>
                </c:pt>
                <c:pt idx="1674">
                  <c:v>8.27</c:v>
                </c:pt>
                <c:pt idx="1675">
                  <c:v>8.3699999999999992</c:v>
                </c:pt>
                <c:pt idx="1676">
                  <c:v>7.87</c:v>
                </c:pt>
                <c:pt idx="1677">
                  <c:v>8.14</c:v>
                </c:pt>
                <c:pt idx="1678">
                  <c:v>8.23</c:v>
                </c:pt>
                <c:pt idx="1679">
                  <c:v>8.84</c:v>
                </c:pt>
                <c:pt idx="1680">
                  <c:v>8.6999999999999993</c:v>
                </c:pt>
                <c:pt idx="1681">
                  <c:v>8.65</c:v>
                </c:pt>
                <c:pt idx="1682">
                  <c:v>8.76</c:v>
                </c:pt>
                <c:pt idx="1683">
                  <c:v>8.4</c:v>
                </c:pt>
                <c:pt idx="1684">
                  <c:v>8.35</c:v>
                </c:pt>
                <c:pt idx="1685">
                  <c:v>8.5399999999999991</c:v>
                </c:pt>
                <c:pt idx="1686">
                  <c:v>8.86</c:v>
                </c:pt>
                <c:pt idx="1687">
                  <c:v>8.69</c:v>
                </c:pt>
                <c:pt idx="1688">
                  <c:v>8.48</c:v>
                </c:pt>
                <c:pt idx="1689">
                  <c:v>8.2899999999999991</c:v>
                </c:pt>
                <c:pt idx="1690">
                  <c:v>8.24</c:v>
                </c:pt>
                <c:pt idx="1691">
                  <c:v>8.18</c:v>
                </c:pt>
                <c:pt idx="1692">
                  <c:v>8.8000000000000007</c:v>
                </c:pt>
                <c:pt idx="1693">
                  <c:v>9.0500000000000007</c:v>
                </c:pt>
                <c:pt idx="1694">
                  <c:v>9.4700000000000006</c:v>
                </c:pt>
                <c:pt idx="1695">
                  <c:v>9.57</c:v>
                </c:pt>
                <c:pt idx="1696">
                  <c:v>9.3800000000000008</c:v>
                </c:pt>
                <c:pt idx="1697">
                  <c:v>9.7200000000000006</c:v>
                </c:pt>
                <c:pt idx="1698">
                  <c:v>10</c:v>
                </c:pt>
                <c:pt idx="1699">
                  <c:v>9.84</c:v>
                </c:pt>
                <c:pt idx="1700">
                  <c:v>9.85</c:v>
                </c:pt>
                <c:pt idx="1701">
                  <c:v>9.7899999999999991</c:v>
                </c:pt>
                <c:pt idx="1702">
                  <c:v>9.3800000000000008</c:v>
                </c:pt>
                <c:pt idx="1703">
                  <c:v>9.19</c:v>
                </c:pt>
                <c:pt idx="1704">
                  <c:v>8.9600000000000009</c:v>
                </c:pt>
                <c:pt idx="1705">
                  <c:v>9.24</c:v>
                </c:pt>
                <c:pt idx="1706">
                  <c:v>9.5399999999999991</c:v>
                </c:pt>
                <c:pt idx="1707">
                  <c:v>9.39</c:v>
                </c:pt>
                <c:pt idx="1708">
                  <c:v>9.06</c:v>
                </c:pt>
                <c:pt idx="1709">
                  <c:v>9.31</c:v>
                </c:pt>
                <c:pt idx="1710">
                  <c:v>9.41</c:v>
                </c:pt>
                <c:pt idx="1711">
                  <c:v>9.0500000000000007</c:v>
                </c:pt>
                <c:pt idx="1712">
                  <c:v>9.1</c:v>
                </c:pt>
                <c:pt idx="1713">
                  <c:v>8.98</c:v>
                </c:pt>
                <c:pt idx="1714">
                  <c:v>8.8800000000000008</c:v>
                </c:pt>
                <c:pt idx="1715">
                  <c:v>8.9</c:v>
                </c:pt>
                <c:pt idx="1716">
                  <c:v>8.9700000000000006</c:v>
                </c:pt>
                <c:pt idx="1717">
                  <c:v>8.77</c:v>
                </c:pt>
                <c:pt idx="1718">
                  <c:v>8.9600000000000009</c:v>
                </c:pt>
                <c:pt idx="1719">
                  <c:v>9.15</c:v>
                </c:pt>
                <c:pt idx="1720">
                  <c:v>9.09</c:v>
                </c:pt>
                <c:pt idx="1721">
                  <c:v>9.02</c:v>
                </c:pt>
                <c:pt idx="1722">
                  <c:v>9.4499999999999993</c:v>
                </c:pt>
                <c:pt idx="1723">
                  <c:v>9.74</c:v>
                </c:pt>
                <c:pt idx="1724">
                  <c:v>9.69</c:v>
                </c:pt>
                <c:pt idx="1725">
                  <c:v>9.86</c:v>
                </c:pt>
                <c:pt idx="1726">
                  <c:v>9.91</c:v>
                </c:pt>
                <c:pt idx="1727">
                  <c:v>9.84</c:v>
                </c:pt>
                <c:pt idx="1728">
                  <c:v>10</c:v>
                </c:pt>
                <c:pt idx="1729">
                  <c:v>9.85</c:v>
                </c:pt>
                <c:pt idx="1730">
                  <c:v>10.039999999999999</c:v>
                </c:pt>
                <c:pt idx="1731">
                  <c:v>10.43</c:v>
                </c:pt>
                <c:pt idx="1732">
                  <c:v>9.9600000000000009</c:v>
                </c:pt>
                <c:pt idx="1733">
                  <c:v>9.94</c:v>
                </c:pt>
                <c:pt idx="1734">
                  <c:v>9.9499999999999993</c:v>
                </c:pt>
                <c:pt idx="1735">
                  <c:v>9.7200000000000006</c:v>
                </c:pt>
                <c:pt idx="1736">
                  <c:v>9.81</c:v>
                </c:pt>
                <c:pt idx="1737">
                  <c:v>9.6</c:v>
                </c:pt>
                <c:pt idx="1738">
                  <c:v>9.48</c:v>
                </c:pt>
                <c:pt idx="1739">
                  <c:v>9.6</c:v>
                </c:pt>
                <c:pt idx="1740">
                  <c:v>10.119999999999999</c:v>
                </c:pt>
                <c:pt idx="1741">
                  <c:v>10.35</c:v>
                </c:pt>
                <c:pt idx="1742">
                  <c:v>11.19</c:v>
                </c:pt>
                <c:pt idx="1743">
                  <c:v>10.98</c:v>
                </c:pt>
                <c:pt idx="1744">
                  <c:v>11.1</c:v>
                </c:pt>
                <c:pt idx="1745">
                  <c:v>11.43</c:v>
                </c:pt>
                <c:pt idx="1746">
                  <c:v>11.98</c:v>
                </c:pt>
                <c:pt idx="1747">
                  <c:v>11.68</c:v>
                </c:pt>
                <c:pt idx="1748">
                  <c:v>11.81</c:v>
                </c:pt>
                <c:pt idx="1749">
                  <c:v>12.38</c:v>
                </c:pt>
                <c:pt idx="1750">
                  <c:v>12.2</c:v>
                </c:pt>
                <c:pt idx="1751">
                  <c:v>12.19</c:v>
                </c:pt>
                <c:pt idx="1752">
                  <c:v>12.01</c:v>
                </c:pt>
                <c:pt idx="1753">
                  <c:v>11.4</c:v>
                </c:pt>
                <c:pt idx="1754">
                  <c:v>11.87</c:v>
                </c:pt>
                <c:pt idx="1755">
                  <c:v>12.17</c:v>
                </c:pt>
                <c:pt idx="1756">
                  <c:v>12.02</c:v>
                </c:pt>
                <c:pt idx="1757">
                  <c:v>12</c:v>
                </c:pt>
                <c:pt idx="1758">
                  <c:v>11.9</c:v>
                </c:pt>
                <c:pt idx="1759">
                  <c:v>11.44</c:v>
                </c:pt>
                <c:pt idx="1760">
                  <c:v>12.14</c:v>
                </c:pt>
                <c:pt idx="1761">
                  <c:v>12.22</c:v>
                </c:pt>
                <c:pt idx="1762">
                  <c:v>12.18</c:v>
                </c:pt>
                <c:pt idx="1763">
                  <c:v>12.4</c:v>
                </c:pt>
                <c:pt idx="1764">
                  <c:v>12.34</c:v>
                </c:pt>
                <c:pt idx="1765">
                  <c:v>12.55</c:v>
                </c:pt>
                <c:pt idx="1766">
                  <c:v>12.7</c:v>
                </c:pt>
                <c:pt idx="1767">
                  <c:v>12.83</c:v>
                </c:pt>
                <c:pt idx="1768">
                  <c:v>12.8</c:v>
                </c:pt>
                <c:pt idx="1769">
                  <c:v>12.73</c:v>
                </c:pt>
                <c:pt idx="1770">
                  <c:v>12.48</c:v>
                </c:pt>
                <c:pt idx="1771">
                  <c:v>12.65</c:v>
                </c:pt>
                <c:pt idx="1772">
                  <c:v>12.51</c:v>
                </c:pt>
                <c:pt idx="1773">
                  <c:v>12.39</c:v>
                </c:pt>
                <c:pt idx="1774">
                  <c:v>12.27</c:v>
                </c:pt>
                <c:pt idx="1775">
                  <c:v>12.57</c:v>
                </c:pt>
                <c:pt idx="1776">
                  <c:v>12.52</c:v>
                </c:pt>
                <c:pt idx="1777">
                  <c:v>12.57</c:v>
                </c:pt>
                <c:pt idx="1778">
                  <c:v>12.38</c:v>
                </c:pt>
                <c:pt idx="1779">
                  <c:v>12.54</c:v>
                </c:pt>
                <c:pt idx="1780">
                  <c:v>12.52</c:v>
                </c:pt>
                <c:pt idx="1781">
                  <c:v>13.09</c:v>
                </c:pt>
                <c:pt idx="1782">
                  <c:v>13.61</c:v>
                </c:pt>
                <c:pt idx="1783">
                  <c:v>13.55</c:v>
                </c:pt>
                <c:pt idx="1784">
                  <c:v>13.76</c:v>
                </c:pt>
                <c:pt idx="1785">
                  <c:v>13.88</c:v>
                </c:pt>
                <c:pt idx="1786">
                  <c:v>12.98</c:v>
                </c:pt>
                <c:pt idx="1787">
                  <c:v>13.29</c:v>
                </c:pt>
                <c:pt idx="1788">
                  <c:v>13.09</c:v>
                </c:pt>
                <c:pt idx="1789">
                  <c:v>13.45</c:v>
                </c:pt>
                <c:pt idx="1790">
                  <c:v>14.24</c:v>
                </c:pt>
                <c:pt idx="1791">
                  <c:v>14.98</c:v>
                </c:pt>
                <c:pt idx="1792">
                  <c:v>14.95</c:v>
                </c:pt>
                <c:pt idx="1793">
                  <c:v>15.07</c:v>
                </c:pt>
                <c:pt idx="1794">
                  <c:v>14.92</c:v>
                </c:pt>
                <c:pt idx="1795">
                  <c:v>14.33</c:v>
                </c:pt>
                <c:pt idx="1796">
                  <c:v>14.27</c:v>
                </c:pt>
                <c:pt idx="1797">
                  <c:v>14.8</c:v>
                </c:pt>
                <c:pt idx="1798">
                  <c:v>14.69</c:v>
                </c:pt>
                <c:pt idx="1799">
                  <c:v>13.98</c:v>
                </c:pt>
                <c:pt idx="1800">
                  <c:v>13.75</c:v>
                </c:pt>
                <c:pt idx="1801">
                  <c:v>13.95</c:v>
                </c:pt>
                <c:pt idx="1802">
                  <c:v>14.8</c:v>
                </c:pt>
                <c:pt idx="1803">
                  <c:v>14.85</c:v>
                </c:pt>
                <c:pt idx="1804">
                  <c:v>14.36</c:v>
                </c:pt>
                <c:pt idx="1805">
                  <c:v>15.33</c:v>
                </c:pt>
                <c:pt idx="1806">
                  <c:v>15.71</c:v>
                </c:pt>
                <c:pt idx="1807">
                  <c:v>16.149999999999999</c:v>
                </c:pt>
                <c:pt idx="1808">
                  <c:v>15.81</c:v>
                </c:pt>
                <c:pt idx="1809">
                  <c:v>16.07</c:v>
                </c:pt>
                <c:pt idx="1810">
                  <c:v>15.76</c:v>
                </c:pt>
                <c:pt idx="1811">
                  <c:v>15.68</c:v>
                </c:pt>
                <c:pt idx="1812">
                  <c:v>15.68</c:v>
                </c:pt>
                <c:pt idx="1813">
                  <c:v>16.45</c:v>
                </c:pt>
                <c:pt idx="1814">
                  <c:v>16.11</c:v>
                </c:pt>
                <c:pt idx="1815">
                  <c:v>16.350000000000001</c:v>
                </c:pt>
                <c:pt idx="1816">
                  <c:v>16.82</c:v>
                </c:pt>
                <c:pt idx="1817">
                  <c:v>17.170000000000002</c:v>
                </c:pt>
                <c:pt idx="1818">
                  <c:v>17.350000000000001</c:v>
                </c:pt>
                <c:pt idx="1819">
                  <c:v>17.64</c:v>
                </c:pt>
                <c:pt idx="1820">
                  <c:v>17.55</c:v>
                </c:pt>
                <c:pt idx="1821">
                  <c:v>17.649999999999999</c:v>
                </c:pt>
                <c:pt idx="1822">
                  <c:v>16.28</c:v>
                </c:pt>
                <c:pt idx="1823">
                  <c:v>16.09</c:v>
                </c:pt>
                <c:pt idx="1824">
                  <c:v>16.100000000000001</c:v>
                </c:pt>
                <c:pt idx="1825">
                  <c:v>16.18</c:v>
                </c:pt>
                <c:pt idx="1826">
                  <c:v>15.93</c:v>
                </c:pt>
                <c:pt idx="1827">
                  <c:v>15.31</c:v>
                </c:pt>
                <c:pt idx="1828">
                  <c:v>14.95</c:v>
                </c:pt>
                <c:pt idx="1829">
                  <c:v>15.52</c:v>
                </c:pt>
                <c:pt idx="1830">
                  <c:v>15.62</c:v>
                </c:pt>
                <c:pt idx="1831">
                  <c:v>16.059999999999999</c:v>
                </c:pt>
                <c:pt idx="1832">
                  <c:v>16.600000000000001</c:v>
                </c:pt>
                <c:pt idx="1833">
                  <c:v>16.399999999999999</c:v>
                </c:pt>
                <c:pt idx="1834">
                  <c:v>16.28</c:v>
                </c:pt>
                <c:pt idx="1835">
                  <c:v>15.78</c:v>
                </c:pt>
                <c:pt idx="1836">
                  <c:v>15.4</c:v>
                </c:pt>
                <c:pt idx="1837">
                  <c:v>15.56</c:v>
                </c:pt>
                <c:pt idx="1838">
                  <c:v>15.73</c:v>
                </c:pt>
                <c:pt idx="1839">
                  <c:v>15.39</c:v>
                </c:pt>
                <c:pt idx="1840">
                  <c:v>14.91</c:v>
                </c:pt>
                <c:pt idx="1841">
                  <c:v>14.73</c:v>
                </c:pt>
                <c:pt idx="1842">
                  <c:v>14.44</c:v>
                </c:pt>
                <c:pt idx="1843">
                  <c:v>14.5</c:v>
                </c:pt>
                <c:pt idx="1844">
                  <c:v>14.45</c:v>
                </c:pt>
                <c:pt idx="1845">
                  <c:v>14.93</c:v>
                </c:pt>
                <c:pt idx="1846">
                  <c:v>14.77</c:v>
                </c:pt>
                <c:pt idx="1847">
                  <c:v>14.89</c:v>
                </c:pt>
                <c:pt idx="1848">
                  <c:v>14.94</c:v>
                </c:pt>
                <c:pt idx="1849">
                  <c:v>15.65</c:v>
                </c:pt>
                <c:pt idx="1850">
                  <c:v>16.010000000000002</c:v>
                </c:pt>
                <c:pt idx="1851">
                  <c:v>15.99</c:v>
                </c:pt>
                <c:pt idx="1852">
                  <c:v>16.41</c:v>
                </c:pt>
                <c:pt idx="1853">
                  <c:v>15.91</c:v>
                </c:pt>
                <c:pt idx="1854">
                  <c:v>16.03</c:v>
                </c:pt>
                <c:pt idx="1855">
                  <c:v>16.03</c:v>
                </c:pt>
                <c:pt idx="1856">
                  <c:v>16.2</c:v>
                </c:pt>
                <c:pt idx="1857">
                  <c:v>16.170000000000002</c:v>
                </c:pt>
                <c:pt idx="1858">
                  <c:v>16.690000000000001</c:v>
                </c:pt>
                <c:pt idx="1859">
                  <c:v>17.09</c:v>
                </c:pt>
                <c:pt idx="1860">
                  <c:v>16.78</c:v>
                </c:pt>
                <c:pt idx="1861">
                  <c:v>17.420000000000002</c:v>
                </c:pt>
                <c:pt idx="1862">
                  <c:v>17.440000000000001</c:v>
                </c:pt>
                <c:pt idx="1863">
                  <c:v>17.77</c:v>
                </c:pt>
                <c:pt idx="1864">
                  <c:v>17.5</c:v>
                </c:pt>
                <c:pt idx="1865">
                  <c:v>17.22</c:v>
                </c:pt>
                <c:pt idx="1866">
                  <c:v>17.3</c:v>
                </c:pt>
                <c:pt idx="1867">
                  <c:v>17.41</c:v>
                </c:pt>
                <c:pt idx="1868">
                  <c:v>17.32</c:v>
                </c:pt>
                <c:pt idx="1869">
                  <c:v>17.91</c:v>
                </c:pt>
                <c:pt idx="1870">
                  <c:v>18</c:v>
                </c:pt>
                <c:pt idx="1871">
                  <c:v>18.79</c:v>
                </c:pt>
                <c:pt idx="1872">
                  <c:v>18.62</c:v>
                </c:pt>
                <c:pt idx="1873">
                  <c:v>18.29</c:v>
                </c:pt>
                <c:pt idx="1874">
                  <c:v>18.91</c:v>
                </c:pt>
                <c:pt idx="1875">
                  <c:v>18.309999999999999</c:v>
                </c:pt>
                <c:pt idx="1876">
                  <c:v>18.260000000000002</c:v>
                </c:pt>
                <c:pt idx="1877">
                  <c:v>17.54</c:v>
                </c:pt>
                <c:pt idx="1878">
                  <c:v>18.09</c:v>
                </c:pt>
                <c:pt idx="1879">
                  <c:v>17.690000000000001</c:v>
                </c:pt>
                <c:pt idx="1880">
                  <c:v>18.2</c:v>
                </c:pt>
                <c:pt idx="1881">
                  <c:v>18.95</c:v>
                </c:pt>
                <c:pt idx="1882">
                  <c:v>19.62</c:v>
                </c:pt>
                <c:pt idx="1883">
                  <c:v>19.89</c:v>
                </c:pt>
                <c:pt idx="1884">
                  <c:v>19.47</c:v>
                </c:pt>
                <c:pt idx="1885">
                  <c:v>19.399999999999999</c:v>
                </c:pt>
                <c:pt idx="1886">
                  <c:v>21.38</c:v>
                </c:pt>
                <c:pt idx="1887">
                  <c:v>21.58</c:v>
                </c:pt>
                <c:pt idx="1888">
                  <c:v>21.45</c:v>
                </c:pt>
                <c:pt idx="1889">
                  <c:v>21.15</c:v>
                </c:pt>
                <c:pt idx="1890">
                  <c:v>20.72</c:v>
                </c:pt>
                <c:pt idx="1891">
                  <c:v>21.1</c:v>
                </c:pt>
                <c:pt idx="1892">
                  <c:v>21.12</c:v>
                </c:pt>
                <c:pt idx="1893">
                  <c:v>21.18</c:v>
                </c:pt>
                <c:pt idx="1894">
                  <c:v>21.41</c:v>
                </c:pt>
                <c:pt idx="1895">
                  <c:v>20.89</c:v>
                </c:pt>
                <c:pt idx="1896">
                  <c:v>20.2</c:v>
                </c:pt>
                <c:pt idx="1897">
                  <c:v>20.260000000000002</c:v>
                </c:pt>
                <c:pt idx="1898">
                  <c:v>20.58</c:v>
                </c:pt>
                <c:pt idx="1899">
                  <c:v>21.51</c:v>
                </c:pt>
                <c:pt idx="1900">
                  <c:v>21.54</c:v>
                </c:pt>
                <c:pt idx="1901">
                  <c:v>21.86</c:v>
                </c:pt>
                <c:pt idx="1902">
                  <c:v>21.85</c:v>
                </c:pt>
                <c:pt idx="1903">
                  <c:v>21.97</c:v>
                </c:pt>
                <c:pt idx="1904">
                  <c:v>21.72</c:v>
                </c:pt>
                <c:pt idx="1905">
                  <c:v>22.02</c:v>
                </c:pt>
                <c:pt idx="1906">
                  <c:v>21.49</c:v>
                </c:pt>
                <c:pt idx="1907">
                  <c:v>21.17</c:v>
                </c:pt>
                <c:pt idx="1908">
                  <c:v>20.62</c:v>
                </c:pt>
                <c:pt idx="1909">
                  <c:v>20.309999999999999</c:v>
                </c:pt>
                <c:pt idx="1910">
                  <c:v>21.26</c:v>
                </c:pt>
                <c:pt idx="1911">
                  <c:v>21.65</c:v>
                </c:pt>
                <c:pt idx="1912">
                  <c:v>20.82</c:v>
                </c:pt>
                <c:pt idx="1913">
                  <c:v>20.18</c:v>
                </c:pt>
                <c:pt idx="1914">
                  <c:v>19</c:v>
                </c:pt>
                <c:pt idx="1915">
                  <c:v>19.64</c:v>
                </c:pt>
                <c:pt idx="1916">
                  <c:v>19.34</c:v>
                </c:pt>
                <c:pt idx="1917">
                  <c:v>19.739999999999998</c:v>
                </c:pt>
                <c:pt idx="1918">
                  <c:v>20.89</c:v>
                </c:pt>
                <c:pt idx="1919">
                  <c:v>21.02</c:v>
                </c:pt>
                <c:pt idx="1920">
                  <c:v>21.54</c:v>
                </c:pt>
                <c:pt idx="1921">
                  <c:v>21.5</c:v>
                </c:pt>
                <c:pt idx="1922">
                  <c:v>22.1</c:v>
                </c:pt>
                <c:pt idx="1923">
                  <c:v>21.75</c:v>
                </c:pt>
                <c:pt idx="1924">
                  <c:v>21.25</c:v>
                </c:pt>
                <c:pt idx="1925">
                  <c:v>21.57</c:v>
                </c:pt>
                <c:pt idx="1926">
                  <c:v>21.42</c:v>
                </c:pt>
                <c:pt idx="1927">
                  <c:v>21.39</c:v>
                </c:pt>
                <c:pt idx="1928">
                  <c:v>20.78</c:v>
                </c:pt>
                <c:pt idx="1929">
                  <c:v>20.58</c:v>
                </c:pt>
                <c:pt idx="1930">
                  <c:v>21.39</c:v>
                </c:pt>
                <c:pt idx="1931">
                  <c:v>21.49</c:v>
                </c:pt>
                <c:pt idx="1932">
                  <c:v>21.12</c:v>
                </c:pt>
                <c:pt idx="1933">
                  <c:v>20.350000000000001</c:v>
                </c:pt>
                <c:pt idx="1934">
                  <c:v>20.36</c:v>
                </c:pt>
                <c:pt idx="1935">
                  <c:v>20.94</c:v>
                </c:pt>
                <c:pt idx="1936">
                  <c:v>21.06</c:v>
                </c:pt>
                <c:pt idx="1937">
                  <c:v>21.3</c:v>
                </c:pt>
                <c:pt idx="1938">
                  <c:v>21.84</c:v>
                </c:pt>
                <c:pt idx="1939">
                  <c:v>22.39</c:v>
                </c:pt>
                <c:pt idx="1940">
                  <c:v>22.15</c:v>
                </c:pt>
                <c:pt idx="1941">
                  <c:v>22.49</c:v>
                </c:pt>
                <c:pt idx="1942">
                  <c:v>22.47</c:v>
                </c:pt>
                <c:pt idx="1943">
                  <c:v>22.51</c:v>
                </c:pt>
                <c:pt idx="1944">
                  <c:v>22.7</c:v>
                </c:pt>
                <c:pt idx="1945">
                  <c:v>23.45</c:v>
                </c:pt>
                <c:pt idx="1946">
                  <c:v>23.62</c:v>
                </c:pt>
                <c:pt idx="1947">
                  <c:v>23.83</c:v>
                </c:pt>
                <c:pt idx="1948">
                  <c:v>24.29</c:v>
                </c:pt>
                <c:pt idx="1949">
                  <c:v>24.06</c:v>
                </c:pt>
                <c:pt idx="1950">
                  <c:v>24.87</c:v>
                </c:pt>
                <c:pt idx="1951">
                  <c:v>24.4</c:v>
                </c:pt>
                <c:pt idx="1952">
                  <c:v>24.19</c:v>
                </c:pt>
                <c:pt idx="1953">
                  <c:v>24.05</c:v>
                </c:pt>
                <c:pt idx="1954">
                  <c:v>24.06</c:v>
                </c:pt>
                <c:pt idx="1955">
                  <c:v>23.83</c:v>
                </c:pt>
                <c:pt idx="1956">
                  <c:v>23.69</c:v>
                </c:pt>
                <c:pt idx="1957">
                  <c:v>23.59</c:v>
                </c:pt>
                <c:pt idx="1958">
                  <c:v>23.55</c:v>
                </c:pt>
                <c:pt idx="1959">
                  <c:v>24.08</c:v>
                </c:pt>
                <c:pt idx="1960">
                  <c:v>23.52</c:v>
                </c:pt>
                <c:pt idx="1961">
                  <c:v>23.09</c:v>
                </c:pt>
                <c:pt idx="1962">
                  <c:v>23.05</c:v>
                </c:pt>
                <c:pt idx="1963">
                  <c:v>23.49</c:v>
                </c:pt>
                <c:pt idx="1964">
                  <c:v>23.35</c:v>
                </c:pt>
                <c:pt idx="1965">
                  <c:v>22.75</c:v>
                </c:pt>
                <c:pt idx="1966">
                  <c:v>22.48</c:v>
                </c:pt>
                <c:pt idx="1967">
                  <c:v>23.05</c:v>
                </c:pt>
                <c:pt idx="1968">
                  <c:v>23.25</c:v>
                </c:pt>
                <c:pt idx="1969">
                  <c:v>23.46</c:v>
                </c:pt>
                <c:pt idx="1970">
                  <c:v>23.44</c:v>
                </c:pt>
                <c:pt idx="1971">
                  <c:v>23.93</c:v>
                </c:pt>
                <c:pt idx="1972">
                  <c:v>23.76</c:v>
                </c:pt>
                <c:pt idx="1973">
                  <c:v>23.2</c:v>
                </c:pt>
                <c:pt idx="1974">
                  <c:v>23.28</c:v>
                </c:pt>
                <c:pt idx="1975">
                  <c:v>23.05</c:v>
                </c:pt>
                <c:pt idx="1976">
                  <c:v>23</c:v>
                </c:pt>
                <c:pt idx="1977">
                  <c:v>23.25</c:v>
                </c:pt>
                <c:pt idx="1978">
                  <c:v>22.45</c:v>
                </c:pt>
                <c:pt idx="1979">
                  <c:v>21.88</c:v>
                </c:pt>
                <c:pt idx="1980">
                  <c:v>21.67</c:v>
                </c:pt>
                <c:pt idx="1981">
                  <c:v>21.77</c:v>
                </c:pt>
                <c:pt idx="1982">
                  <c:v>22.17</c:v>
                </c:pt>
                <c:pt idx="1983">
                  <c:v>22.04</c:v>
                </c:pt>
                <c:pt idx="1984">
                  <c:v>21.5</c:v>
                </c:pt>
                <c:pt idx="1985">
                  <c:v>21.68</c:v>
                </c:pt>
                <c:pt idx="1986">
                  <c:v>22.07</c:v>
                </c:pt>
                <c:pt idx="1987">
                  <c:v>22.2</c:v>
                </c:pt>
                <c:pt idx="1988">
                  <c:v>21.92</c:v>
                </c:pt>
                <c:pt idx="1989">
                  <c:v>21.67</c:v>
                </c:pt>
                <c:pt idx="1990">
                  <c:v>20.85</c:v>
                </c:pt>
                <c:pt idx="1991">
                  <c:v>20.83</c:v>
                </c:pt>
                <c:pt idx="1992">
                  <c:v>21.51</c:v>
                </c:pt>
                <c:pt idx="1993">
                  <c:v>20.88</c:v>
                </c:pt>
                <c:pt idx="1994">
                  <c:v>21.28</c:v>
                </c:pt>
                <c:pt idx="1995">
                  <c:v>22.42</c:v>
                </c:pt>
                <c:pt idx="1996">
                  <c:v>22.52</c:v>
                </c:pt>
                <c:pt idx="1997">
                  <c:v>22.88</c:v>
                </c:pt>
                <c:pt idx="1998">
                  <c:v>22.24</c:v>
                </c:pt>
                <c:pt idx="1999">
                  <c:v>22.04</c:v>
                </c:pt>
                <c:pt idx="2000">
                  <c:v>22.25</c:v>
                </c:pt>
                <c:pt idx="2001">
                  <c:v>23.47</c:v>
                </c:pt>
                <c:pt idx="2002">
                  <c:v>23.57</c:v>
                </c:pt>
                <c:pt idx="2003">
                  <c:v>23.84</c:v>
                </c:pt>
                <c:pt idx="2004">
                  <c:v>24.4</c:v>
                </c:pt>
                <c:pt idx="2005">
                  <c:v>24.24</c:v>
                </c:pt>
                <c:pt idx="2006">
                  <c:v>24.73</c:v>
                </c:pt>
                <c:pt idx="2007">
                  <c:v>25.08</c:v>
                </c:pt>
                <c:pt idx="2008">
                  <c:v>25</c:v>
                </c:pt>
                <c:pt idx="2009">
                  <c:v>24.39</c:v>
                </c:pt>
                <c:pt idx="2010">
                  <c:v>24.17</c:v>
                </c:pt>
                <c:pt idx="2011">
                  <c:v>28.1</c:v>
                </c:pt>
                <c:pt idx="2012">
                  <c:v>27.57</c:v>
                </c:pt>
                <c:pt idx="2013">
                  <c:v>27.07</c:v>
                </c:pt>
                <c:pt idx="2014">
                  <c:v>27.34</c:v>
                </c:pt>
                <c:pt idx="2015">
                  <c:v>26.95</c:v>
                </c:pt>
                <c:pt idx="2016">
                  <c:v>27.07</c:v>
                </c:pt>
                <c:pt idx="2017">
                  <c:v>27.84</c:v>
                </c:pt>
                <c:pt idx="2018">
                  <c:v>26.77</c:v>
                </c:pt>
                <c:pt idx="2019">
                  <c:v>27.29</c:v>
                </c:pt>
                <c:pt idx="2020">
                  <c:v>28.8</c:v>
                </c:pt>
                <c:pt idx="2021">
                  <c:v>28.38</c:v>
                </c:pt>
                <c:pt idx="2022">
                  <c:v>28.5</c:v>
                </c:pt>
                <c:pt idx="2023">
                  <c:v>28.77</c:v>
                </c:pt>
                <c:pt idx="2024">
                  <c:v>27.92</c:v>
                </c:pt>
                <c:pt idx="2025">
                  <c:v>27.35</c:v>
                </c:pt>
                <c:pt idx="2026">
                  <c:v>25.26</c:v>
                </c:pt>
                <c:pt idx="2027">
                  <c:v>26.15</c:v>
                </c:pt>
                <c:pt idx="2028">
                  <c:v>26.42</c:v>
                </c:pt>
                <c:pt idx="2029">
                  <c:v>26.58</c:v>
                </c:pt>
                <c:pt idx="2030">
                  <c:v>26.18</c:v>
                </c:pt>
                <c:pt idx="2031">
                  <c:v>26.4</c:v>
                </c:pt>
                <c:pt idx="2032">
                  <c:v>25.67</c:v>
                </c:pt>
                <c:pt idx="2033">
                  <c:v>26.76</c:v>
                </c:pt>
                <c:pt idx="2034">
                  <c:v>27.08</c:v>
                </c:pt>
                <c:pt idx="2035">
                  <c:v>27.1</c:v>
                </c:pt>
                <c:pt idx="2036">
                  <c:v>26.97</c:v>
                </c:pt>
                <c:pt idx="2037">
                  <c:v>27.02</c:v>
                </c:pt>
                <c:pt idx="2038">
                  <c:v>27.77</c:v>
                </c:pt>
                <c:pt idx="2039">
                  <c:v>27.95</c:v>
                </c:pt>
                <c:pt idx="2040">
                  <c:v>28.03</c:v>
                </c:pt>
                <c:pt idx="2041">
                  <c:v>28.55</c:v>
                </c:pt>
                <c:pt idx="2042">
                  <c:v>29.43</c:v>
                </c:pt>
                <c:pt idx="2043">
                  <c:v>30.28</c:v>
                </c:pt>
                <c:pt idx="2044">
                  <c:v>30.11</c:v>
                </c:pt>
                <c:pt idx="2045">
                  <c:v>30.56</c:v>
                </c:pt>
                <c:pt idx="2046">
                  <c:v>30.66</c:v>
                </c:pt>
                <c:pt idx="2047">
                  <c:v>32.479999999999997</c:v>
                </c:pt>
                <c:pt idx="2048">
                  <c:v>31.55</c:v>
                </c:pt>
                <c:pt idx="2049">
                  <c:v>31.19</c:v>
                </c:pt>
                <c:pt idx="2050">
                  <c:v>31.87</c:v>
                </c:pt>
                <c:pt idx="2051">
                  <c:v>32.51</c:v>
                </c:pt>
                <c:pt idx="2052">
                  <c:v>32.99</c:v>
                </c:pt>
                <c:pt idx="2053">
                  <c:v>32.32</c:v>
                </c:pt>
                <c:pt idx="2054">
                  <c:v>32.4</c:v>
                </c:pt>
                <c:pt idx="2055">
                  <c:v>31.65</c:v>
                </c:pt>
                <c:pt idx="2056">
                  <c:v>32.1</c:v>
                </c:pt>
                <c:pt idx="2057">
                  <c:v>32.47</c:v>
                </c:pt>
                <c:pt idx="2058">
                  <c:v>32.380000000000003</c:v>
                </c:pt>
                <c:pt idx="2059">
                  <c:v>32.07</c:v>
                </c:pt>
                <c:pt idx="2060">
                  <c:v>31.67</c:v>
                </c:pt>
                <c:pt idx="2061">
                  <c:v>32.54</c:v>
                </c:pt>
                <c:pt idx="2062">
                  <c:v>33.97</c:v>
                </c:pt>
                <c:pt idx="2063">
                  <c:v>34.11</c:v>
                </c:pt>
                <c:pt idx="2064">
                  <c:v>34.909999999999997</c:v>
                </c:pt>
                <c:pt idx="2065">
                  <c:v>35.479999999999997</c:v>
                </c:pt>
                <c:pt idx="2066">
                  <c:v>35.35</c:v>
                </c:pt>
                <c:pt idx="2067">
                  <c:v>36.4</c:v>
                </c:pt>
                <c:pt idx="2068">
                  <c:v>34.299999999999997</c:v>
                </c:pt>
                <c:pt idx="2069">
                  <c:v>33.94</c:v>
                </c:pt>
                <c:pt idx="2070">
                  <c:v>33.22</c:v>
                </c:pt>
                <c:pt idx="2071">
                  <c:v>32.6</c:v>
                </c:pt>
                <c:pt idx="2072">
                  <c:v>30.08</c:v>
                </c:pt>
                <c:pt idx="2073">
                  <c:v>30.11</c:v>
                </c:pt>
                <c:pt idx="2074">
                  <c:v>30.26</c:v>
                </c:pt>
                <c:pt idx="2075">
                  <c:v>30.34</c:v>
                </c:pt>
                <c:pt idx="2076">
                  <c:v>30.66</c:v>
                </c:pt>
                <c:pt idx="2077">
                  <c:v>30.25</c:v>
                </c:pt>
                <c:pt idx="2078">
                  <c:v>29.19</c:v>
                </c:pt>
                <c:pt idx="2079">
                  <c:v>28.11</c:v>
                </c:pt>
                <c:pt idx="2080">
                  <c:v>29.39</c:v>
                </c:pt>
                <c:pt idx="2081">
                  <c:v>28.13</c:v>
                </c:pt>
                <c:pt idx="2082">
                  <c:v>29.26</c:v>
                </c:pt>
                <c:pt idx="2083">
                  <c:v>28.19</c:v>
                </c:pt>
                <c:pt idx="2084">
                  <c:v>28.21</c:v>
                </c:pt>
                <c:pt idx="2085">
                  <c:v>30</c:v>
                </c:pt>
                <c:pt idx="2086">
                  <c:v>29.7</c:v>
                </c:pt>
                <c:pt idx="2087">
                  <c:v>30.49</c:v>
                </c:pt>
                <c:pt idx="2088">
                  <c:v>30.8</c:v>
                </c:pt>
                <c:pt idx="2089">
                  <c:v>30.42</c:v>
                </c:pt>
                <c:pt idx="2090">
                  <c:v>29.15</c:v>
                </c:pt>
                <c:pt idx="2091">
                  <c:v>27.91</c:v>
                </c:pt>
                <c:pt idx="2092">
                  <c:v>26.8</c:v>
                </c:pt>
                <c:pt idx="2093">
                  <c:v>26.02</c:v>
                </c:pt>
                <c:pt idx="2094">
                  <c:v>25.7</c:v>
                </c:pt>
                <c:pt idx="2095">
                  <c:v>27.15</c:v>
                </c:pt>
                <c:pt idx="2096">
                  <c:v>27.42</c:v>
                </c:pt>
                <c:pt idx="2097">
                  <c:v>27.55</c:v>
                </c:pt>
                <c:pt idx="2098">
                  <c:v>27.49</c:v>
                </c:pt>
                <c:pt idx="2099">
                  <c:v>28.25</c:v>
                </c:pt>
                <c:pt idx="2100">
                  <c:v>28.34</c:v>
                </c:pt>
                <c:pt idx="2101">
                  <c:v>28.48</c:v>
                </c:pt>
                <c:pt idx="2102">
                  <c:v>28.11</c:v>
                </c:pt>
                <c:pt idx="2103">
                  <c:v>28.61</c:v>
                </c:pt>
                <c:pt idx="2104">
                  <c:v>28.63</c:v>
                </c:pt>
                <c:pt idx="2105">
                  <c:v>28.41</c:v>
                </c:pt>
                <c:pt idx="2106">
                  <c:v>29.37</c:v>
                </c:pt>
                <c:pt idx="2107">
                  <c:v>29.17</c:v>
                </c:pt>
                <c:pt idx="2108">
                  <c:v>29.3</c:v>
                </c:pt>
                <c:pt idx="2109">
                  <c:v>28.46</c:v>
                </c:pt>
                <c:pt idx="2110">
                  <c:v>28.51</c:v>
                </c:pt>
                <c:pt idx="2111">
                  <c:v>29.01</c:v>
                </c:pt>
                <c:pt idx="2112">
                  <c:v>29.84</c:v>
                </c:pt>
                <c:pt idx="2113">
                  <c:v>29.46</c:v>
                </c:pt>
                <c:pt idx="2114">
                  <c:v>29.64</c:v>
                </c:pt>
                <c:pt idx="2115">
                  <c:v>30.38</c:v>
                </c:pt>
                <c:pt idx="2116">
                  <c:v>30.49</c:v>
                </c:pt>
                <c:pt idx="2117">
                  <c:v>31.08</c:v>
                </c:pt>
                <c:pt idx="2118">
                  <c:v>31.87</c:v>
                </c:pt>
                <c:pt idx="2119">
                  <c:v>33.200000000000003</c:v>
                </c:pt>
                <c:pt idx="2120">
                  <c:v>32.9</c:v>
                </c:pt>
                <c:pt idx="2121">
                  <c:v>32.79</c:v>
                </c:pt>
                <c:pt idx="2122">
                  <c:v>33.46</c:v>
                </c:pt>
                <c:pt idx="2123">
                  <c:v>33.26</c:v>
                </c:pt>
                <c:pt idx="2124">
                  <c:v>33.26</c:v>
                </c:pt>
                <c:pt idx="2125">
                  <c:v>32.47</c:v>
                </c:pt>
                <c:pt idx="2126">
                  <c:v>33.04</c:v>
                </c:pt>
                <c:pt idx="2127">
                  <c:v>32.58</c:v>
                </c:pt>
                <c:pt idx="2128">
                  <c:v>31.82</c:v>
                </c:pt>
                <c:pt idx="2129">
                  <c:v>32.799999999999997</c:v>
                </c:pt>
                <c:pt idx="2130">
                  <c:v>34</c:v>
                </c:pt>
                <c:pt idx="2131">
                  <c:v>33.909999999999997</c:v>
                </c:pt>
                <c:pt idx="2132">
                  <c:v>35.03</c:v>
                </c:pt>
                <c:pt idx="2133">
                  <c:v>34.909999999999997</c:v>
                </c:pt>
                <c:pt idx="2134">
                  <c:v>34.96</c:v>
                </c:pt>
                <c:pt idx="2135">
                  <c:v>34.96</c:v>
                </c:pt>
                <c:pt idx="2136">
                  <c:v>34.78</c:v>
                </c:pt>
                <c:pt idx="2137">
                  <c:v>34.17</c:v>
                </c:pt>
                <c:pt idx="2138">
                  <c:v>34.020000000000003</c:v>
                </c:pt>
                <c:pt idx="2139">
                  <c:v>34.229999999999997</c:v>
                </c:pt>
                <c:pt idx="2140">
                  <c:v>34.96</c:v>
                </c:pt>
                <c:pt idx="2141">
                  <c:v>34.96</c:v>
                </c:pt>
                <c:pt idx="2142">
                  <c:v>34.520000000000003</c:v>
                </c:pt>
                <c:pt idx="2143">
                  <c:v>35.299999999999997</c:v>
                </c:pt>
                <c:pt idx="2144">
                  <c:v>34.64</c:v>
                </c:pt>
                <c:pt idx="2145">
                  <c:v>34.49</c:v>
                </c:pt>
                <c:pt idx="2146">
                  <c:v>35.700000000000003</c:v>
                </c:pt>
                <c:pt idx="2147">
                  <c:v>34.96</c:v>
                </c:pt>
                <c:pt idx="2148">
                  <c:v>35.200000000000003</c:v>
                </c:pt>
                <c:pt idx="2149">
                  <c:v>35.090000000000003</c:v>
                </c:pt>
                <c:pt idx="2150">
                  <c:v>36.18</c:v>
                </c:pt>
                <c:pt idx="2151">
                  <c:v>36.450000000000003</c:v>
                </c:pt>
                <c:pt idx="2152">
                  <c:v>36.19</c:v>
                </c:pt>
                <c:pt idx="2153">
                  <c:v>36.92</c:v>
                </c:pt>
                <c:pt idx="2154">
                  <c:v>37.74</c:v>
                </c:pt>
                <c:pt idx="2155">
                  <c:v>37.97</c:v>
                </c:pt>
                <c:pt idx="2156">
                  <c:v>37.659999999999997</c:v>
                </c:pt>
                <c:pt idx="2157">
                  <c:v>36.35</c:v>
                </c:pt>
                <c:pt idx="2158">
                  <c:v>37.14</c:v>
                </c:pt>
                <c:pt idx="2159">
                  <c:v>37.03</c:v>
                </c:pt>
                <c:pt idx="2160">
                  <c:v>36.659999999999997</c:v>
                </c:pt>
                <c:pt idx="2161">
                  <c:v>37.79</c:v>
                </c:pt>
                <c:pt idx="2162">
                  <c:v>37.799999999999997</c:v>
                </c:pt>
                <c:pt idx="2163">
                  <c:v>37.630000000000003</c:v>
                </c:pt>
                <c:pt idx="2164">
                  <c:v>36.74</c:v>
                </c:pt>
                <c:pt idx="2165">
                  <c:v>36.950000000000003</c:v>
                </c:pt>
                <c:pt idx="2166">
                  <c:v>37.19</c:v>
                </c:pt>
                <c:pt idx="2167">
                  <c:v>36.15</c:v>
                </c:pt>
                <c:pt idx="2168">
                  <c:v>36.450000000000003</c:v>
                </c:pt>
                <c:pt idx="2169">
                  <c:v>36.4</c:v>
                </c:pt>
                <c:pt idx="2170">
                  <c:v>37.61</c:v>
                </c:pt>
                <c:pt idx="2171">
                  <c:v>37.81</c:v>
                </c:pt>
                <c:pt idx="2172">
                  <c:v>38.119999999999997</c:v>
                </c:pt>
                <c:pt idx="2173">
                  <c:v>37.619999999999997</c:v>
                </c:pt>
                <c:pt idx="2174">
                  <c:v>38</c:v>
                </c:pt>
                <c:pt idx="2175">
                  <c:v>39.14</c:v>
                </c:pt>
                <c:pt idx="2176">
                  <c:v>39.020000000000003</c:v>
                </c:pt>
                <c:pt idx="2177">
                  <c:v>38.840000000000003</c:v>
                </c:pt>
                <c:pt idx="2178">
                  <c:v>37.08</c:v>
                </c:pt>
                <c:pt idx="2179">
                  <c:v>37.049999999999997</c:v>
                </c:pt>
                <c:pt idx="2180">
                  <c:v>38.31</c:v>
                </c:pt>
                <c:pt idx="2181">
                  <c:v>38.020000000000003</c:v>
                </c:pt>
                <c:pt idx="2182">
                  <c:v>38.090000000000003</c:v>
                </c:pt>
                <c:pt idx="2183">
                  <c:v>38.26</c:v>
                </c:pt>
                <c:pt idx="2184">
                  <c:v>38.29</c:v>
                </c:pt>
                <c:pt idx="2185">
                  <c:v>37.08</c:v>
                </c:pt>
                <c:pt idx="2186">
                  <c:v>36.770000000000003</c:v>
                </c:pt>
                <c:pt idx="2187">
                  <c:v>36.659999999999997</c:v>
                </c:pt>
                <c:pt idx="2188">
                  <c:v>36.659999999999997</c:v>
                </c:pt>
                <c:pt idx="2189">
                  <c:v>37.29</c:v>
                </c:pt>
                <c:pt idx="2190">
                  <c:v>37.25</c:v>
                </c:pt>
                <c:pt idx="2191">
                  <c:v>37.74</c:v>
                </c:pt>
                <c:pt idx="2192">
                  <c:v>37.9</c:v>
                </c:pt>
                <c:pt idx="2193">
                  <c:v>37.85</c:v>
                </c:pt>
                <c:pt idx="2194">
                  <c:v>37.869999999999997</c:v>
                </c:pt>
                <c:pt idx="2195">
                  <c:v>37.68</c:v>
                </c:pt>
                <c:pt idx="2196">
                  <c:v>38.18</c:v>
                </c:pt>
                <c:pt idx="2197">
                  <c:v>36.58</c:v>
                </c:pt>
                <c:pt idx="2198">
                  <c:v>36.130000000000003</c:v>
                </c:pt>
                <c:pt idx="2199">
                  <c:v>35.43</c:v>
                </c:pt>
                <c:pt idx="2200">
                  <c:v>35.96</c:v>
                </c:pt>
                <c:pt idx="2201">
                  <c:v>36.32</c:v>
                </c:pt>
                <c:pt idx="2202">
                  <c:v>35.659999999999997</c:v>
                </c:pt>
                <c:pt idx="2203">
                  <c:v>36.14</c:v>
                </c:pt>
                <c:pt idx="2204">
                  <c:v>35.33</c:v>
                </c:pt>
                <c:pt idx="2205">
                  <c:v>36.700000000000003</c:v>
                </c:pt>
                <c:pt idx="2206">
                  <c:v>37.18</c:v>
                </c:pt>
                <c:pt idx="2207">
                  <c:v>36.450000000000003</c:v>
                </c:pt>
                <c:pt idx="2208">
                  <c:v>35.78</c:v>
                </c:pt>
                <c:pt idx="2209">
                  <c:v>35.299999999999997</c:v>
                </c:pt>
                <c:pt idx="2210">
                  <c:v>33.93</c:v>
                </c:pt>
                <c:pt idx="2211">
                  <c:v>34.04</c:v>
                </c:pt>
                <c:pt idx="2212">
                  <c:v>35.47</c:v>
                </c:pt>
                <c:pt idx="2213">
                  <c:v>34.729999999999997</c:v>
                </c:pt>
                <c:pt idx="2214">
                  <c:v>34.619999999999997</c:v>
                </c:pt>
                <c:pt idx="2215">
                  <c:v>35.21</c:v>
                </c:pt>
                <c:pt idx="2216">
                  <c:v>34.75</c:v>
                </c:pt>
                <c:pt idx="2217">
                  <c:v>35.54</c:v>
                </c:pt>
                <c:pt idx="2218">
                  <c:v>35.090000000000003</c:v>
                </c:pt>
                <c:pt idx="2219">
                  <c:v>35.020000000000003</c:v>
                </c:pt>
                <c:pt idx="2220">
                  <c:v>34.47</c:v>
                </c:pt>
                <c:pt idx="2221">
                  <c:v>34.36</c:v>
                </c:pt>
                <c:pt idx="2222">
                  <c:v>33.590000000000003</c:v>
                </c:pt>
                <c:pt idx="2223">
                  <c:v>33.44</c:v>
                </c:pt>
                <c:pt idx="2224">
                  <c:v>34.15</c:v>
                </c:pt>
                <c:pt idx="2225">
                  <c:v>34.33</c:v>
                </c:pt>
                <c:pt idx="2226">
                  <c:v>33.979999999999997</c:v>
                </c:pt>
                <c:pt idx="2227">
                  <c:v>34.42</c:v>
                </c:pt>
                <c:pt idx="2228">
                  <c:v>33.82</c:v>
                </c:pt>
                <c:pt idx="2229">
                  <c:v>33.6</c:v>
                </c:pt>
                <c:pt idx="2230">
                  <c:v>32.79</c:v>
                </c:pt>
                <c:pt idx="2231">
                  <c:v>32.119999999999997</c:v>
                </c:pt>
                <c:pt idx="2232">
                  <c:v>31.48</c:v>
                </c:pt>
                <c:pt idx="2233">
                  <c:v>31.73</c:v>
                </c:pt>
                <c:pt idx="2234">
                  <c:v>32.270000000000003</c:v>
                </c:pt>
                <c:pt idx="2235">
                  <c:v>32.299999999999997</c:v>
                </c:pt>
                <c:pt idx="2236">
                  <c:v>32.229999999999997</c:v>
                </c:pt>
                <c:pt idx="2237">
                  <c:v>32.31</c:v>
                </c:pt>
                <c:pt idx="2238">
                  <c:v>32.36</c:v>
                </c:pt>
                <c:pt idx="2239">
                  <c:v>33.090000000000003</c:v>
                </c:pt>
                <c:pt idx="2240">
                  <c:v>33.159999999999997</c:v>
                </c:pt>
                <c:pt idx="2241">
                  <c:v>32.32</c:v>
                </c:pt>
                <c:pt idx="2242">
                  <c:v>31.91</c:v>
                </c:pt>
                <c:pt idx="2243">
                  <c:v>31.65</c:v>
                </c:pt>
                <c:pt idx="2244">
                  <c:v>31.32</c:v>
                </c:pt>
                <c:pt idx="2245">
                  <c:v>31.94</c:v>
                </c:pt>
                <c:pt idx="2246">
                  <c:v>31.58</c:v>
                </c:pt>
                <c:pt idx="2247">
                  <c:v>31.61</c:v>
                </c:pt>
                <c:pt idx="2248">
                  <c:v>31.11</c:v>
                </c:pt>
                <c:pt idx="2249">
                  <c:v>31.62</c:v>
                </c:pt>
                <c:pt idx="2250">
                  <c:v>30.99</c:v>
                </c:pt>
                <c:pt idx="2251">
                  <c:v>30.87</c:v>
                </c:pt>
                <c:pt idx="2252">
                  <c:v>31.41</c:v>
                </c:pt>
                <c:pt idx="2253">
                  <c:v>32.25</c:v>
                </c:pt>
                <c:pt idx="2254">
                  <c:v>32.159999999999997</c:v>
                </c:pt>
                <c:pt idx="2255">
                  <c:v>33.479999999999997</c:v>
                </c:pt>
                <c:pt idx="2256">
                  <c:v>33.9</c:v>
                </c:pt>
                <c:pt idx="2257">
                  <c:v>34.28</c:v>
                </c:pt>
                <c:pt idx="2258">
                  <c:v>35.07</c:v>
                </c:pt>
                <c:pt idx="2259">
                  <c:v>35.15</c:v>
                </c:pt>
                <c:pt idx="2260">
                  <c:v>34.49</c:v>
                </c:pt>
                <c:pt idx="2261">
                  <c:v>35.07</c:v>
                </c:pt>
                <c:pt idx="2262">
                  <c:v>34.76</c:v>
                </c:pt>
                <c:pt idx="2263">
                  <c:v>34.6</c:v>
                </c:pt>
                <c:pt idx="2264">
                  <c:v>34.28</c:v>
                </c:pt>
                <c:pt idx="2265">
                  <c:v>33.6</c:v>
                </c:pt>
                <c:pt idx="2266">
                  <c:v>33.46</c:v>
                </c:pt>
                <c:pt idx="2267">
                  <c:v>32.46</c:v>
                </c:pt>
                <c:pt idx="2268">
                  <c:v>32.549999999999997</c:v>
                </c:pt>
                <c:pt idx="2269">
                  <c:v>33.22</c:v>
                </c:pt>
                <c:pt idx="2270">
                  <c:v>34.65</c:v>
                </c:pt>
                <c:pt idx="2271">
                  <c:v>35.869999999999997</c:v>
                </c:pt>
                <c:pt idx="2272">
                  <c:v>34.869999999999997</c:v>
                </c:pt>
                <c:pt idx="2273">
                  <c:v>35.49</c:v>
                </c:pt>
                <c:pt idx="2274">
                  <c:v>35</c:v>
                </c:pt>
                <c:pt idx="2275">
                  <c:v>34.950000000000003</c:v>
                </c:pt>
                <c:pt idx="2276">
                  <c:v>34.33</c:v>
                </c:pt>
                <c:pt idx="2277">
                  <c:v>34.5</c:v>
                </c:pt>
                <c:pt idx="2278">
                  <c:v>34.380000000000003</c:v>
                </c:pt>
                <c:pt idx="2279">
                  <c:v>34.28</c:v>
                </c:pt>
                <c:pt idx="2280">
                  <c:v>35.18</c:v>
                </c:pt>
                <c:pt idx="2281">
                  <c:v>34.71</c:v>
                </c:pt>
                <c:pt idx="2282">
                  <c:v>34.520000000000003</c:v>
                </c:pt>
                <c:pt idx="2283">
                  <c:v>34.590000000000003</c:v>
                </c:pt>
                <c:pt idx="2284">
                  <c:v>34.06</c:v>
                </c:pt>
                <c:pt idx="2285">
                  <c:v>34.880000000000003</c:v>
                </c:pt>
                <c:pt idx="2286">
                  <c:v>34.71</c:v>
                </c:pt>
                <c:pt idx="2287">
                  <c:v>34.82</c:v>
                </c:pt>
                <c:pt idx="2288">
                  <c:v>35.450000000000003</c:v>
                </c:pt>
                <c:pt idx="2289">
                  <c:v>35.68</c:v>
                </c:pt>
                <c:pt idx="2290">
                  <c:v>35.950000000000003</c:v>
                </c:pt>
                <c:pt idx="2291">
                  <c:v>36.75</c:v>
                </c:pt>
                <c:pt idx="2292">
                  <c:v>36.33</c:v>
                </c:pt>
                <c:pt idx="2293">
                  <c:v>36.799999999999997</c:v>
                </c:pt>
                <c:pt idx="2294">
                  <c:v>36.630000000000003</c:v>
                </c:pt>
                <c:pt idx="2295">
                  <c:v>36.270000000000003</c:v>
                </c:pt>
                <c:pt idx="2296">
                  <c:v>37.14</c:v>
                </c:pt>
                <c:pt idx="2297">
                  <c:v>37.270000000000003</c:v>
                </c:pt>
                <c:pt idx="2298">
                  <c:v>37.200000000000003</c:v>
                </c:pt>
                <c:pt idx="2299">
                  <c:v>38.42</c:v>
                </c:pt>
                <c:pt idx="2300">
                  <c:v>38.5</c:v>
                </c:pt>
                <c:pt idx="2301">
                  <c:v>37.92</c:v>
                </c:pt>
                <c:pt idx="2302">
                  <c:v>38.520000000000003</c:v>
                </c:pt>
                <c:pt idx="2303">
                  <c:v>37.44</c:v>
                </c:pt>
                <c:pt idx="2304">
                  <c:v>36.630000000000003</c:v>
                </c:pt>
                <c:pt idx="2305">
                  <c:v>37.450000000000003</c:v>
                </c:pt>
                <c:pt idx="2306">
                  <c:v>36.81</c:v>
                </c:pt>
                <c:pt idx="2307">
                  <c:v>36.9</c:v>
                </c:pt>
                <c:pt idx="2308">
                  <c:v>36.799999999999997</c:v>
                </c:pt>
                <c:pt idx="2309">
                  <c:v>36.32</c:v>
                </c:pt>
                <c:pt idx="2310">
                  <c:v>36.4</c:v>
                </c:pt>
                <c:pt idx="2311">
                  <c:v>36.299999999999997</c:v>
                </c:pt>
                <c:pt idx="2312">
                  <c:v>36.450000000000003</c:v>
                </c:pt>
                <c:pt idx="2313">
                  <c:v>36.950000000000003</c:v>
                </c:pt>
                <c:pt idx="2314">
                  <c:v>36.9</c:v>
                </c:pt>
                <c:pt idx="2315">
                  <c:v>36.200000000000003</c:v>
                </c:pt>
                <c:pt idx="2316">
                  <c:v>36.090000000000003</c:v>
                </c:pt>
                <c:pt idx="2317">
                  <c:v>35.68</c:v>
                </c:pt>
                <c:pt idx="2318">
                  <c:v>35.799999999999997</c:v>
                </c:pt>
                <c:pt idx="2319">
                  <c:v>34.94</c:v>
                </c:pt>
                <c:pt idx="2320">
                  <c:v>34.65</c:v>
                </c:pt>
                <c:pt idx="2321">
                  <c:v>34.44</c:v>
                </c:pt>
                <c:pt idx="2322">
                  <c:v>34.6</c:v>
                </c:pt>
                <c:pt idx="2323">
                  <c:v>34.119999999999997</c:v>
                </c:pt>
                <c:pt idx="2324">
                  <c:v>34.630000000000003</c:v>
                </c:pt>
                <c:pt idx="2325">
                  <c:v>34.619999999999997</c:v>
                </c:pt>
                <c:pt idx="2326">
                  <c:v>35.76</c:v>
                </c:pt>
                <c:pt idx="2327">
                  <c:v>36.229999999999997</c:v>
                </c:pt>
                <c:pt idx="2328">
                  <c:v>36.729999999999997</c:v>
                </c:pt>
                <c:pt idx="2329">
                  <c:v>36.86</c:v>
                </c:pt>
                <c:pt idx="2330">
                  <c:v>36.58</c:v>
                </c:pt>
                <c:pt idx="2331">
                  <c:v>36.58</c:v>
                </c:pt>
                <c:pt idx="2332">
                  <c:v>37.729999999999997</c:v>
                </c:pt>
                <c:pt idx="2333">
                  <c:v>33.4</c:v>
                </c:pt>
                <c:pt idx="2334">
                  <c:v>32.94</c:v>
                </c:pt>
                <c:pt idx="2335">
                  <c:v>33.53</c:v>
                </c:pt>
                <c:pt idx="2336">
                  <c:v>33.85</c:v>
                </c:pt>
                <c:pt idx="2337">
                  <c:v>34.15</c:v>
                </c:pt>
                <c:pt idx="2338">
                  <c:v>34.29</c:v>
                </c:pt>
                <c:pt idx="2339">
                  <c:v>34.01</c:v>
                </c:pt>
                <c:pt idx="2340">
                  <c:v>33.340000000000003</c:v>
                </c:pt>
                <c:pt idx="2341">
                  <c:v>33.33</c:v>
                </c:pt>
                <c:pt idx="2342">
                  <c:v>33.880000000000003</c:v>
                </c:pt>
                <c:pt idx="2343">
                  <c:v>34.51</c:v>
                </c:pt>
                <c:pt idx="2344">
                  <c:v>34.06</c:v>
                </c:pt>
                <c:pt idx="2345">
                  <c:v>33.520000000000003</c:v>
                </c:pt>
                <c:pt idx="2346">
                  <c:v>33.94</c:v>
                </c:pt>
                <c:pt idx="2347">
                  <c:v>34.06</c:v>
                </c:pt>
                <c:pt idx="2348">
                  <c:v>34.19</c:v>
                </c:pt>
                <c:pt idx="2349">
                  <c:v>34.94</c:v>
                </c:pt>
                <c:pt idx="2350">
                  <c:v>34.6</c:v>
                </c:pt>
                <c:pt idx="2351">
                  <c:v>34.6</c:v>
                </c:pt>
                <c:pt idx="2352">
                  <c:v>34.229999999999997</c:v>
                </c:pt>
                <c:pt idx="2353">
                  <c:v>34.39</c:v>
                </c:pt>
                <c:pt idx="2354">
                  <c:v>34.36</c:v>
                </c:pt>
                <c:pt idx="2355">
                  <c:v>34</c:v>
                </c:pt>
                <c:pt idx="2356">
                  <c:v>33.200000000000003</c:v>
                </c:pt>
                <c:pt idx="2357">
                  <c:v>33.11</c:v>
                </c:pt>
                <c:pt idx="2358">
                  <c:v>33.47</c:v>
                </c:pt>
                <c:pt idx="2359">
                  <c:v>33.479999999999997</c:v>
                </c:pt>
                <c:pt idx="2360">
                  <c:v>33.57</c:v>
                </c:pt>
                <c:pt idx="2361">
                  <c:v>33.68</c:v>
                </c:pt>
                <c:pt idx="2362">
                  <c:v>33.18</c:v>
                </c:pt>
                <c:pt idx="2363">
                  <c:v>33.32</c:v>
                </c:pt>
                <c:pt idx="2364">
                  <c:v>33.24</c:v>
                </c:pt>
                <c:pt idx="2365">
                  <c:v>33.17</c:v>
                </c:pt>
                <c:pt idx="2366">
                  <c:v>33.68</c:v>
                </c:pt>
                <c:pt idx="2367">
                  <c:v>34.06</c:v>
                </c:pt>
                <c:pt idx="2368">
                  <c:v>33.340000000000003</c:v>
                </c:pt>
                <c:pt idx="2369">
                  <c:v>33.46</c:v>
                </c:pt>
                <c:pt idx="2370">
                  <c:v>33.909999999999997</c:v>
                </c:pt>
                <c:pt idx="2371">
                  <c:v>34.299999999999997</c:v>
                </c:pt>
                <c:pt idx="2372">
                  <c:v>33.799999999999997</c:v>
                </c:pt>
                <c:pt idx="2373">
                  <c:v>33.57</c:v>
                </c:pt>
                <c:pt idx="2374">
                  <c:v>33.17</c:v>
                </c:pt>
                <c:pt idx="2375">
                  <c:v>32.75</c:v>
                </c:pt>
                <c:pt idx="2376">
                  <c:v>32.64</c:v>
                </c:pt>
                <c:pt idx="2377">
                  <c:v>31.97</c:v>
                </c:pt>
                <c:pt idx="2378">
                  <c:v>32.04</c:v>
                </c:pt>
                <c:pt idx="2379">
                  <c:v>32.130000000000003</c:v>
                </c:pt>
                <c:pt idx="2380">
                  <c:v>32.18</c:v>
                </c:pt>
                <c:pt idx="2381">
                  <c:v>32.479999999999997</c:v>
                </c:pt>
                <c:pt idx="2382">
                  <c:v>32.35</c:v>
                </c:pt>
                <c:pt idx="2383">
                  <c:v>33.46</c:v>
                </c:pt>
                <c:pt idx="2384">
                  <c:v>33.840000000000003</c:v>
                </c:pt>
                <c:pt idx="2385">
                  <c:v>33.770000000000003</c:v>
                </c:pt>
                <c:pt idx="2386">
                  <c:v>33.57</c:v>
                </c:pt>
                <c:pt idx="2387">
                  <c:v>33.49</c:v>
                </c:pt>
                <c:pt idx="2388">
                  <c:v>33.799999999999997</c:v>
                </c:pt>
                <c:pt idx="2389">
                  <c:v>34.159999999999997</c:v>
                </c:pt>
                <c:pt idx="2390">
                  <c:v>34.53</c:v>
                </c:pt>
                <c:pt idx="2391">
                  <c:v>34.1</c:v>
                </c:pt>
                <c:pt idx="2392">
                  <c:v>33.93</c:v>
                </c:pt>
                <c:pt idx="2393">
                  <c:v>33.369999999999997</c:v>
                </c:pt>
                <c:pt idx="2394">
                  <c:v>33.520000000000003</c:v>
                </c:pt>
                <c:pt idx="2395">
                  <c:v>34.159999999999997</c:v>
                </c:pt>
                <c:pt idx="2396">
                  <c:v>33.700000000000003</c:v>
                </c:pt>
                <c:pt idx="2397">
                  <c:v>35.909999999999997</c:v>
                </c:pt>
                <c:pt idx="2398">
                  <c:v>35.26</c:v>
                </c:pt>
                <c:pt idx="2399">
                  <c:v>35.29</c:v>
                </c:pt>
                <c:pt idx="2400">
                  <c:v>35.28</c:v>
                </c:pt>
                <c:pt idx="2401">
                  <c:v>35.119999999999997</c:v>
                </c:pt>
                <c:pt idx="2402">
                  <c:v>35.46</c:v>
                </c:pt>
                <c:pt idx="2403">
                  <c:v>35.450000000000003</c:v>
                </c:pt>
                <c:pt idx="2404">
                  <c:v>35.58</c:v>
                </c:pt>
                <c:pt idx="2405">
                  <c:v>36.97</c:v>
                </c:pt>
                <c:pt idx="2406">
                  <c:v>37.72</c:v>
                </c:pt>
                <c:pt idx="2407">
                  <c:v>37.99</c:v>
                </c:pt>
                <c:pt idx="2408">
                  <c:v>37.450000000000003</c:v>
                </c:pt>
                <c:pt idx="2409">
                  <c:v>37.869999999999997</c:v>
                </c:pt>
                <c:pt idx="2410">
                  <c:v>37.9</c:v>
                </c:pt>
                <c:pt idx="2411">
                  <c:v>37.97</c:v>
                </c:pt>
                <c:pt idx="2412">
                  <c:v>37.75</c:v>
                </c:pt>
                <c:pt idx="2413">
                  <c:v>38.69</c:v>
                </c:pt>
                <c:pt idx="2414">
                  <c:v>38.49</c:v>
                </c:pt>
                <c:pt idx="2415">
                  <c:v>38.450000000000003</c:v>
                </c:pt>
                <c:pt idx="2416">
                  <c:v>37.65</c:v>
                </c:pt>
                <c:pt idx="2417">
                  <c:v>40.04</c:v>
                </c:pt>
                <c:pt idx="2418">
                  <c:v>42.23</c:v>
                </c:pt>
                <c:pt idx="2419">
                  <c:v>41.54</c:v>
                </c:pt>
                <c:pt idx="2420">
                  <c:v>42.27</c:v>
                </c:pt>
                <c:pt idx="2421">
                  <c:v>42.36</c:v>
                </c:pt>
                <c:pt idx="2422">
                  <c:v>42.5</c:v>
                </c:pt>
                <c:pt idx="2423">
                  <c:v>42.13</c:v>
                </c:pt>
                <c:pt idx="2424">
                  <c:v>41.11</c:v>
                </c:pt>
                <c:pt idx="2425">
                  <c:v>40.19</c:v>
                </c:pt>
                <c:pt idx="2426">
                  <c:v>40.229999999999997</c:v>
                </c:pt>
                <c:pt idx="2427">
                  <c:v>41.07</c:v>
                </c:pt>
                <c:pt idx="2428">
                  <c:v>41.21</c:v>
                </c:pt>
                <c:pt idx="2429">
                  <c:v>40.47</c:v>
                </c:pt>
                <c:pt idx="2430">
                  <c:v>40.19</c:v>
                </c:pt>
                <c:pt idx="2431">
                  <c:v>40.11</c:v>
                </c:pt>
                <c:pt idx="2432">
                  <c:v>40.35</c:v>
                </c:pt>
                <c:pt idx="2433">
                  <c:v>40.31</c:v>
                </c:pt>
                <c:pt idx="2434">
                  <c:v>40.08</c:v>
                </c:pt>
                <c:pt idx="2435">
                  <c:v>41.2</c:v>
                </c:pt>
                <c:pt idx="2436">
                  <c:v>41.3</c:v>
                </c:pt>
                <c:pt idx="2437">
                  <c:v>41.75</c:v>
                </c:pt>
                <c:pt idx="2438">
                  <c:v>42.32</c:v>
                </c:pt>
                <c:pt idx="2439">
                  <c:v>41.05</c:v>
                </c:pt>
                <c:pt idx="2440">
                  <c:v>40.68</c:v>
                </c:pt>
                <c:pt idx="2441">
                  <c:v>40.47</c:v>
                </c:pt>
                <c:pt idx="2442">
                  <c:v>40.83</c:v>
                </c:pt>
                <c:pt idx="2443">
                  <c:v>40.630000000000003</c:v>
                </c:pt>
                <c:pt idx="2444">
                  <c:v>39.94</c:v>
                </c:pt>
                <c:pt idx="2445">
                  <c:v>40.25</c:v>
                </c:pt>
                <c:pt idx="2446">
                  <c:v>39.56</c:v>
                </c:pt>
                <c:pt idx="2447">
                  <c:v>39.18</c:v>
                </c:pt>
                <c:pt idx="2448">
                  <c:v>40.909999999999997</c:v>
                </c:pt>
                <c:pt idx="2449">
                  <c:v>40.97</c:v>
                </c:pt>
                <c:pt idx="2450">
                  <c:v>41.53</c:v>
                </c:pt>
                <c:pt idx="2451">
                  <c:v>43.21</c:v>
                </c:pt>
                <c:pt idx="2452">
                  <c:v>43.42</c:v>
                </c:pt>
                <c:pt idx="2453">
                  <c:v>42.98</c:v>
                </c:pt>
                <c:pt idx="2454">
                  <c:v>41.87</c:v>
                </c:pt>
                <c:pt idx="2455">
                  <c:v>40.89</c:v>
                </c:pt>
                <c:pt idx="2456">
                  <c:v>39.9</c:v>
                </c:pt>
                <c:pt idx="2457">
                  <c:v>40.11</c:v>
                </c:pt>
                <c:pt idx="2458">
                  <c:v>35.18</c:v>
                </c:pt>
                <c:pt idx="2459">
                  <c:v>34.33</c:v>
                </c:pt>
                <c:pt idx="2460">
                  <c:v>33.74</c:v>
                </c:pt>
                <c:pt idx="2461">
                  <c:v>34.17</c:v>
                </c:pt>
                <c:pt idx="2462">
                  <c:v>34.869999999999997</c:v>
                </c:pt>
                <c:pt idx="2463">
                  <c:v>34.49</c:v>
                </c:pt>
                <c:pt idx="2464">
                  <c:v>35.17</c:v>
                </c:pt>
                <c:pt idx="2465">
                  <c:v>35.090000000000003</c:v>
                </c:pt>
                <c:pt idx="2466">
                  <c:v>35.049999999999997</c:v>
                </c:pt>
                <c:pt idx="2467">
                  <c:v>34.380000000000003</c:v>
                </c:pt>
                <c:pt idx="2468">
                  <c:v>35</c:v>
                </c:pt>
                <c:pt idx="2469">
                  <c:v>34.25</c:v>
                </c:pt>
                <c:pt idx="2470">
                  <c:v>33.54</c:v>
                </c:pt>
                <c:pt idx="2471">
                  <c:v>32.92</c:v>
                </c:pt>
                <c:pt idx="2472">
                  <c:v>33.020000000000003</c:v>
                </c:pt>
                <c:pt idx="2473">
                  <c:v>33</c:v>
                </c:pt>
                <c:pt idx="2474">
                  <c:v>32.5</c:v>
                </c:pt>
                <c:pt idx="2475">
                  <c:v>32.51</c:v>
                </c:pt>
                <c:pt idx="2476">
                  <c:v>32.04</c:v>
                </c:pt>
                <c:pt idx="2477">
                  <c:v>32.72</c:v>
                </c:pt>
                <c:pt idx="2478">
                  <c:v>33.020000000000003</c:v>
                </c:pt>
                <c:pt idx="2479">
                  <c:v>32.75</c:v>
                </c:pt>
                <c:pt idx="2480">
                  <c:v>32.76</c:v>
                </c:pt>
                <c:pt idx="2481">
                  <c:v>32.39</c:v>
                </c:pt>
                <c:pt idx="2482">
                  <c:v>33.159999999999997</c:v>
                </c:pt>
                <c:pt idx="2483">
                  <c:v>33.15</c:v>
                </c:pt>
                <c:pt idx="2484">
                  <c:v>33.01</c:v>
                </c:pt>
                <c:pt idx="2485">
                  <c:v>32.74</c:v>
                </c:pt>
                <c:pt idx="2486">
                  <c:v>32.06</c:v>
                </c:pt>
                <c:pt idx="2487">
                  <c:v>32.18</c:v>
                </c:pt>
                <c:pt idx="2488">
                  <c:v>31.7</c:v>
                </c:pt>
                <c:pt idx="2489">
                  <c:v>31.45</c:v>
                </c:pt>
                <c:pt idx="2490">
                  <c:v>31.57</c:v>
                </c:pt>
                <c:pt idx="2491">
                  <c:v>31.43</c:v>
                </c:pt>
                <c:pt idx="2492">
                  <c:v>30.99</c:v>
                </c:pt>
                <c:pt idx="2493">
                  <c:v>30.28</c:v>
                </c:pt>
                <c:pt idx="2494">
                  <c:v>30.58</c:v>
                </c:pt>
                <c:pt idx="2495">
                  <c:v>30.15</c:v>
                </c:pt>
                <c:pt idx="2496">
                  <c:v>30.99</c:v>
                </c:pt>
                <c:pt idx="2497">
                  <c:v>30.53</c:v>
                </c:pt>
                <c:pt idx="2498">
                  <c:v>30.13</c:v>
                </c:pt>
                <c:pt idx="2499">
                  <c:v>30.07</c:v>
                </c:pt>
                <c:pt idx="2500">
                  <c:v>30.44</c:v>
                </c:pt>
                <c:pt idx="2501">
                  <c:v>30.11</c:v>
                </c:pt>
                <c:pt idx="2502">
                  <c:v>30.75</c:v>
                </c:pt>
                <c:pt idx="2503">
                  <c:v>31.83</c:v>
                </c:pt>
                <c:pt idx="2504">
                  <c:v>31.77</c:v>
                </c:pt>
                <c:pt idx="2505">
                  <c:v>31.45</c:v>
                </c:pt>
                <c:pt idx="2506">
                  <c:v>32.39</c:v>
                </c:pt>
                <c:pt idx="2507">
                  <c:v>32.56</c:v>
                </c:pt>
                <c:pt idx="2508">
                  <c:v>32.42</c:v>
                </c:pt>
                <c:pt idx="2509">
                  <c:v>32.26</c:v>
                </c:pt>
                <c:pt idx="2510">
                  <c:v>31.89</c:v>
                </c:pt>
                <c:pt idx="2511">
                  <c:v>32.1</c:v>
                </c:pt>
                <c:pt idx="2512">
                  <c:v>32.11</c:v>
                </c:pt>
                <c:pt idx="2513">
                  <c:v>32.79</c:v>
                </c:pt>
                <c:pt idx="2514">
                  <c:v>32.270000000000003</c:v>
                </c:pt>
                <c:pt idx="2515">
                  <c:v>32.549999999999997</c:v>
                </c:pt>
                <c:pt idx="2516">
                  <c:v>31.39</c:v>
                </c:pt>
                <c:pt idx="2517">
                  <c:v>31.1</c:v>
                </c:pt>
                <c:pt idx="2518">
                  <c:v>31.13</c:v>
                </c:pt>
                <c:pt idx="2519">
                  <c:v>30.97</c:v>
                </c:pt>
                <c:pt idx="2520">
                  <c:v>31.3</c:v>
                </c:pt>
                <c:pt idx="2521">
                  <c:v>33.54</c:v>
                </c:pt>
                <c:pt idx="2522">
                  <c:v>33.369999999999997</c:v>
                </c:pt>
                <c:pt idx="2523">
                  <c:v>32.89</c:v>
                </c:pt>
                <c:pt idx="2524">
                  <c:v>33.01</c:v>
                </c:pt>
                <c:pt idx="2525">
                  <c:v>31.99</c:v>
                </c:pt>
                <c:pt idx="2526">
                  <c:v>33</c:v>
                </c:pt>
                <c:pt idx="2527">
                  <c:v>33.200000000000003</c:v>
                </c:pt>
                <c:pt idx="2528">
                  <c:v>32.78</c:v>
                </c:pt>
                <c:pt idx="2529">
                  <c:v>32.08</c:v>
                </c:pt>
                <c:pt idx="2530">
                  <c:v>31.85</c:v>
                </c:pt>
                <c:pt idx="2531">
                  <c:v>32.17</c:v>
                </c:pt>
                <c:pt idx="2532">
                  <c:v>32.19</c:v>
                </c:pt>
                <c:pt idx="2533">
                  <c:v>32.659999999999997</c:v>
                </c:pt>
                <c:pt idx="2534">
                  <c:v>32.869999999999997</c:v>
                </c:pt>
                <c:pt idx="2535">
                  <c:v>32.49</c:v>
                </c:pt>
                <c:pt idx="2536">
                  <c:v>32.090000000000003</c:v>
                </c:pt>
                <c:pt idx="2537">
                  <c:v>30.99</c:v>
                </c:pt>
                <c:pt idx="2538">
                  <c:v>30.81</c:v>
                </c:pt>
                <c:pt idx="2539">
                  <c:v>31.03</c:v>
                </c:pt>
                <c:pt idx="2540">
                  <c:v>30.97</c:v>
                </c:pt>
                <c:pt idx="2541">
                  <c:v>30.11</c:v>
                </c:pt>
                <c:pt idx="2542">
                  <c:v>29</c:v>
                </c:pt>
                <c:pt idx="2543">
                  <c:v>29.53</c:v>
                </c:pt>
                <c:pt idx="2544">
                  <c:v>30.46</c:v>
                </c:pt>
                <c:pt idx="2545">
                  <c:v>30.76</c:v>
                </c:pt>
                <c:pt idx="2546">
                  <c:v>31.79</c:v>
                </c:pt>
                <c:pt idx="2547">
                  <c:v>32.92</c:v>
                </c:pt>
                <c:pt idx="2548">
                  <c:v>33.020000000000003</c:v>
                </c:pt>
                <c:pt idx="2549">
                  <c:v>32</c:v>
                </c:pt>
                <c:pt idx="2550">
                  <c:v>31.59</c:v>
                </c:pt>
                <c:pt idx="2551">
                  <c:v>31.99</c:v>
                </c:pt>
                <c:pt idx="2552">
                  <c:v>31.52</c:v>
                </c:pt>
                <c:pt idx="2553">
                  <c:v>30.82</c:v>
                </c:pt>
                <c:pt idx="2554">
                  <c:v>30.7</c:v>
                </c:pt>
                <c:pt idx="2555">
                  <c:v>30.54</c:v>
                </c:pt>
                <c:pt idx="2556">
                  <c:v>30.45</c:v>
                </c:pt>
                <c:pt idx="2557">
                  <c:v>30.37</c:v>
                </c:pt>
                <c:pt idx="2558">
                  <c:v>29.78</c:v>
                </c:pt>
                <c:pt idx="2559">
                  <c:v>29.65</c:v>
                </c:pt>
                <c:pt idx="2560">
                  <c:v>29.62</c:v>
                </c:pt>
                <c:pt idx="2561">
                  <c:v>30.79</c:v>
                </c:pt>
                <c:pt idx="2562">
                  <c:v>30.36</c:v>
                </c:pt>
                <c:pt idx="2563">
                  <c:v>30.35</c:v>
                </c:pt>
                <c:pt idx="2564">
                  <c:v>30.6</c:v>
                </c:pt>
                <c:pt idx="2565">
                  <c:v>31.06</c:v>
                </c:pt>
                <c:pt idx="2566">
                  <c:v>30.68</c:v>
                </c:pt>
                <c:pt idx="2567">
                  <c:v>31.37</c:v>
                </c:pt>
                <c:pt idx="2568">
                  <c:v>31.55</c:v>
                </c:pt>
                <c:pt idx="2569">
                  <c:v>31.51</c:v>
                </c:pt>
                <c:pt idx="2570">
                  <c:v>31.92</c:v>
                </c:pt>
                <c:pt idx="2571">
                  <c:v>32.97</c:v>
                </c:pt>
                <c:pt idx="2572">
                  <c:v>33</c:v>
                </c:pt>
                <c:pt idx="2573">
                  <c:v>33.299999999999997</c:v>
                </c:pt>
                <c:pt idx="2574">
                  <c:v>32.47</c:v>
                </c:pt>
                <c:pt idx="2575">
                  <c:v>33.11</c:v>
                </c:pt>
                <c:pt idx="2576">
                  <c:v>32.5</c:v>
                </c:pt>
                <c:pt idx="2577">
                  <c:v>32.85</c:v>
                </c:pt>
                <c:pt idx="2578">
                  <c:v>33.17</c:v>
                </c:pt>
                <c:pt idx="2579">
                  <c:v>33.380000000000003</c:v>
                </c:pt>
                <c:pt idx="2580">
                  <c:v>32.229999999999997</c:v>
                </c:pt>
                <c:pt idx="2581">
                  <c:v>32.08</c:v>
                </c:pt>
                <c:pt idx="2582">
                  <c:v>31.84</c:v>
                </c:pt>
                <c:pt idx="2583">
                  <c:v>32.24</c:v>
                </c:pt>
                <c:pt idx="2584">
                  <c:v>25.2</c:v>
                </c:pt>
                <c:pt idx="2585">
                  <c:v>25.27</c:v>
                </c:pt>
                <c:pt idx="2586">
                  <c:v>25.89</c:v>
                </c:pt>
                <c:pt idx="2587">
                  <c:v>26.94</c:v>
                </c:pt>
                <c:pt idx="2588">
                  <c:v>26.95</c:v>
                </c:pt>
                <c:pt idx="2589">
                  <c:v>27.08</c:v>
                </c:pt>
                <c:pt idx="2590">
                  <c:v>26.7</c:v>
                </c:pt>
                <c:pt idx="2591">
                  <c:v>27.47</c:v>
                </c:pt>
                <c:pt idx="2592">
                  <c:v>27.14</c:v>
                </c:pt>
                <c:pt idx="2593">
                  <c:v>26.94</c:v>
                </c:pt>
                <c:pt idx="2594">
                  <c:v>26.63</c:v>
                </c:pt>
                <c:pt idx="2595">
                  <c:v>26.9</c:v>
                </c:pt>
                <c:pt idx="2596">
                  <c:v>26.99</c:v>
                </c:pt>
                <c:pt idx="2597">
                  <c:v>27.08</c:v>
                </c:pt>
                <c:pt idx="2598">
                  <c:v>27.44</c:v>
                </c:pt>
                <c:pt idx="2599">
                  <c:v>27.22</c:v>
                </c:pt>
                <c:pt idx="2600">
                  <c:v>27.49</c:v>
                </c:pt>
                <c:pt idx="2601">
                  <c:v>27.5</c:v>
                </c:pt>
                <c:pt idx="2602">
                  <c:v>27.26</c:v>
                </c:pt>
                <c:pt idx="2603">
                  <c:v>28.17</c:v>
                </c:pt>
                <c:pt idx="2604">
                  <c:v>28.39</c:v>
                </c:pt>
                <c:pt idx="2605">
                  <c:v>28.91</c:v>
                </c:pt>
                <c:pt idx="2606">
                  <c:v>29.78</c:v>
                </c:pt>
                <c:pt idx="2607">
                  <c:v>28.9</c:v>
                </c:pt>
                <c:pt idx="2608">
                  <c:v>29.26</c:v>
                </c:pt>
                <c:pt idx="2609">
                  <c:v>28.7</c:v>
                </c:pt>
                <c:pt idx="2610">
                  <c:v>28.99</c:v>
                </c:pt>
                <c:pt idx="2611">
                  <c:v>28.77</c:v>
                </c:pt>
                <c:pt idx="2612">
                  <c:v>28.91</c:v>
                </c:pt>
                <c:pt idx="2613">
                  <c:v>28.96</c:v>
                </c:pt>
                <c:pt idx="2614">
                  <c:v>29.02</c:v>
                </c:pt>
                <c:pt idx="2615">
                  <c:v>28.83</c:v>
                </c:pt>
                <c:pt idx="2616">
                  <c:v>29.49</c:v>
                </c:pt>
                <c:pt idx="2617">
                  <c:v>29.07</c:v>
                </c:pt>
                <c:pt idx="2618">
                  <c:v>28.5</c:v>
                </c:pt>
                <c:pt idx="2619">
                  <c:v>27.86</c:v>
                </c:pt>
                <c:pt idx="2620">
                  <c:v>28.14</c:v>
                </c:pt>
                <c:pt idx="2621">
                  <c:v>28.61</c:v>
                </c:pt>
                <c:pt idx="2622">
                  <c:v>29.09</c:v>
                </c:pt>
                <c:pt idx="2623">
                  <c:v>29.17</c:v>
                </c:pt>
                <c:pt idx="2624">
                  <c:v>29.03</c:v>
                </c:pt>
                <c:pt idx="2625">
                  <c:v>29.32</c:v>
                </c:pt>
                <c:pt idx="2626">
                  <c:v>29</c:v>
                </c:pt>
                <c:pt idx="2627">
                  <c:v>25.75</c:v>
                </c:pt>
                <c:pt idx="2628">
                  <c:v>25.64</c:v>
                </c:pt>
                <c:pt idx="2629">
                  <c:v>25.34</c:v>
                </c:pt>
                <c:pt idx="2630">
                  <c:v>25.52</c:v>
                </c:pt>
                <c:pt idx="2631">
                  <c:v>25.29</c:v>
                </c:pt>
                <c:pt idx="2632">
                  <c:v>25.05</c:v>
                </c:pt>
                <c:pt idx="2633">
                  <c:v>24.65</c:v>
                </c:pt>
                <c:pt idx="2634">
                  <c:v>25.33</c:v>
                </c:pt>
                <c:pt idx="2635">
                  <c:v>25.28</c:v>
                </c:pt>
                <c:pt idx="2636">
                  <c:v>24.88</c:v>
                </c:pt>
                <c:pt idx="2637">
                  <c:v>24.84</c:v>
                </c:pt>
                <c:pt idx="2638">
                  <c:v>25.21</c:v>
                </c:pt>
                <c:pt idx="2639">
                  <c:v>25.18</c:v>
                </c:pt>
                <c:pt idx="2640">
                  <c:v>25.47</c:v>
                </c:pt>
                <c:pt idx="2641">
                  <c:v>25.03</c:v>
                </c:pt>
                <c:pt idx="2642">
                  <c:v>24.47</c:v>
                </c:pt>
                <c:pt idx="2643">
                  <c:v>24.24</c:v>
                </c:pt>
                <c:pt idx="2644">
                  <c:v>24.12</c:v>
                </c:pt>
                <c:pt idx="2645">
                  <c:v>24.42</c:v>
                </c:pt>
                <c:pt idx="2646">
                  <c:v>24.18</c:v>
                </c:pt>
                <c:pt idx="2647">
                  <c:v>24.15</c:v>
                </c:pt>
                <c:pt idx="2648">
                  <c:v>22.99</c:v>
                </c:pt>
                <c:pt idx="2649">
                  <c:v>23.14</c:v>
                </c:pt>
                <c:pt idx="2650">
                  <c:v>23.21</c:v>
                </c:pt>
                <c:pt idx="2651">
                  <c:v>23.37</c:v>
                </c:pt>
                <c:pt idx="2652">
                  <c:v>23.53</c:v>
                </c:pt>
                <c:pt idx="2653">
                  <c:v>24.49</c:v>
                </c:pt>
                <c:pt idx="2654">
                  <c:v>25.28</c:v>
                </c:pt>
                <c:pt idx="2655">
                  <c:v>25.34</c:v>
                </c:pt>
                <c:pt idx="2656">
                  <c:v>25.95</c:v>
                </c:pt>
                <c:pt idx="2657">
                  <c:v>26.34</c:v>
                </c:pt>
                <c:pt idx="2658">
                  <c:v>25.99</c:v>
                </c:pt>
                <c:pt idx="2659">
                  <c:v>26.53</c:v>
                </c:pt>
                <c:pt idx="2660">
                  <c:v>26.18</c:v>
                </c:pt>
                <c:pt idx="2661">
                  <c:v>26.59</c:v>
                </c:pt>
                <c:pt idx="2662">
                  <c:v>26.61</c:v>
                </c:pt>
                <c:pt idx="2663">
                  <c:v>26.9</c:v>
                </c:pt>
                <c:pt idx="2664">
                  <c:v>27.45</c:v>
                </c:pt>
                <c:pt idx="2665">
                  <c:v>27.39</c:v>
                </c:pt>
                <c:pt idx="2666">
                  <c:v>27.4</c:v>
                </c:pt>
                <c:pt idx="2667">
                  <c:v>27.24</c:v>
                </c:pt>
                <c:pt idx="2668">
                  <c:v>27.15</c:v>
                </c:pt>
                <c:pt idx="2669">
                  <c:v>26.64</c:v>
                </c:pt>
                <c:pt idx="2670">
                  <c:v>26.91</c:v>
                </c:pt>
                <c:pt idx="2671">
                  <c:v>26.72</c:v>
                </c:pt>
                <c:pt idx="2672">
                  <c:v>27.14</c:v>
                </c:pt>
                <c:pt idx="2673">
                  <c:v>28.49</c:v>
                </c:pt>
                <c:pt idx="2674">
                  <c:v>28.03</c:v>
                </c:pt>
                <c:pt idx="2675">
                  <c:v>27.27</c:v>
                </c:pt>
                <c:pt idx="2676">
                  <c:v>27</c:v>
                </c:pt>
                <c:pt idx="2677">
                  <c:v>27.04</c:v>
                </c:pt>
                <c:pt idx="2678">
                  <c:v>27.01</c:v>
                </c:pt>
                <c:pt idx="2679">
                  <c:v>26.49</c:v>
                </c:pt>
                <c:pt idx="2680">
                  <c:v>26.89</c:v>
                </c:pt>
                <c:pt idx="2681">
                  <c:v>27.43</c:v>
                </c:pt>
                <c:pt idx="2682">
                  <c:v>26.86</c:v>
                </c:pt>
                <c:pt idx="2683">
                  <c:v>26.63</c:v>
                </c:pt>
                <c:pt idx="2684">
                  <c:v>26.34</c:v>
                </c:pt>
                <c:pt idx="2685">
                  <c:v>26.49</c:v>
                </c:pt>
                <c:pt idx="2686">
                  <c:v>26.75</c:v>
                </c:pt>
                <c:pt idx="2687">
                  <c:v>26.6</c:v>
                </c:pt>
                <c:pt idx="2688">
                  <c:v>26.87</c:v>
                </c:pt>
                <c:pt idx="2689">
                  <c:v>26.9</c:v>
                </c:pt>
                <c:pt idx="2690">
                  <c:v>26.3</c:v>
                </c:pt>
                <c:pt idx="2691">
                  <c:v>26.41</c:v>
                </c:pt>
                <c:pt idx="2692">
                  <c:v>25.59</c:v>
                </c:pt>
                <c:pt idx="2693">
                  <c:v>25.48</c:v>
                </c:pt>
                <c:pt idx="2694">
                  <c:v>25.55</c:v>
                </c:pt>
                <c:pt idx="2695">
                  <c:v>25.45</c:v>
                </c:pt>
                <c:pt idx="2696">
                  <c:v>25.75</c:v>
                </c:pt>
                <c:pt idx="2697">
                  <c:v>25.36</c:v>
                </c:pt>
                <c:pt idx="2698">
                  <c:v>25.54</c:v>
                </c:pt>
                <c:pt idx="2699">
                  <c:v>25.61</c:v>
                </c:pt>
                <c:pt idx="2700">
                  <c:v>26.85</c:v>
                </c:pt>
                <c:pt idx="2701">
                  <c:v>27.74</c:v>
                </c:pt>
                <c:pt idx="2702">
                  <c:v>27.92</c:v>
                </c:pt>
                <c:pt idx="2703">
                  <c:v>27.58</c:v>
                </c:pt>
                <c:pt idx="2704">
                  <c:v>28.7</c:v>
                </c:pt>
                <c:pt idx="2705">
                  <c:v>29.2</c:v>
                </c:pt>
                <c:pt idx="2706">
                  <c:v>29.45</c:v>
                </c:pt>
                <c:pt idx="2707">
                  <c:v>29.29</c:v>
                </c:pt>
                <c:pt idx="2708">
                  <c:v>29.05</c:v>
                </c:pt>
                <c:pt idx="2709">
                  <c:v>28.12</c:v>
                </c:pt>
                <c:pt idx="2710">
                  <c:v>27.64</c:v>
                </c:pt>
                <c:pt idx="2711">
                  <c:v>27.42</c:v>
                </c:pt>
                <c:pt idx="2712">
                  <c:v>26.96</c:v>
                </c:pt>
                <c:pt idx="2713">
                  <c:v>28.94</c:v>
                </c:pt>
                <c:pt idx="2714">
                  <c:v>28.21</c:v>
                </c:pt>
                <c:pt idx="2715">
                  <c:v>28.04</c:v>
                </c:pt>
                <c:pt idx="2716">
                  <c:v>27.87</c:v>
                </c:pt>
                <c:pt idx="2717">
                  <c:v>28.04</c:v>
                </c:pt>
                <c:pt idx="2718">
                  <c:v>28.31</c:v>
                </c:pt>
                <c:pt idx="2719">
                  <c:v>28.35</c:v>
                </c:pt>
                <c:pt idx="2720">
                  <c:v>28.77</c:v>
                </c:pt>
                <c:pt idx="2721">
                  <c:v>28.56</c:v>
                </c:pt>
                <c:pt idx="2722">
                  <c:v>29.35</c:v>
                </c:pt>
                <c:pt idx="2723">
                  <c:v>29.89</c:v>
                </c:pt>
                <c:pt idx="2724">
                  <c:v>30.08</c:v>
                </c:pt>
                <c:pt idx="2725">
                  <c:v>29.74</c:v>
                </c:pt>
                <c:pt idx="2726">
                  <c:v>29.17</c:v>
                </c:pt>
                <c:pt idx="2727">
                  <c:v>29.56</c:v>
                </c:pt>
                <c:pt idx="2728">
                  <c:v>30.66</c:v>
                </c:pt>
                <c:pt idx="2729">
                  <c:v>31.25</c:v>
                </c:pt>
                <c:pt idx="2730">
                  <c:v>31.91</c:v>
                </c:pt>
                <c:pt idx="2731">
                  <c:v>32.01</c:v>
                </c:pt>
                <c:pt idx="2732">
                  <c:v>31.65</c:v>
                </c:pt>
                <c:pt idx="2733">
                  <c:v>31.6</c:v>
                </c:pt>
                <c:pt idx="2734">
                  <c:v>32.1</c:v>
                </c:pt>
                <c:pt idx="2735">
                  <c:v>32.11</c:v>
                </c:pt>
                <c:pt idx="2736">
                  <c:v>30.95</c:v>
                </c:pt>
                <c:pt idx="2737">
                  <c:v>30.86</c:v>
                </c:pt>
                <c:pt idx="2738">
                  <c:v>30.86</c:v>
                </c:pt>
                <c:pt idx="2739">
                  <c:v>30.42</c:v>
                </c:pt>
                <c:pt idx="2740">
                  <c:v>30.31</c:v>
                </c:pt>
                <c:pt idx="2741">
                  <c:v>30.8</c:v>
                </c:pt>
                <c:pt idx="2742">
                  <c:v>30.39</c:v>
                </c:pt>
                <c:pt idx="2743">
                  <c:v>30.71</c:v>
                </c:pt>
                <c:pt idx="2744">
                  <c:v>29.12</c:v>
                </c:pt>
                <c:pt idx="2745">
                  <c:v>29.99</c:v>
                </c:pt>
                <c:pt idx="2746">
                  <c:v>29.56</c:v>
                </c:pt>
                <c:pt idx="2747">
                  <c:v>29.86</c:v>
                </c:pt>
                <c:pt idx="2748">
                  <c:v>30.06</c:v>
                </c:pt>
                <c:pt idx="2749">
                  <c:v>29.88</c:v>
                </c:pt>
                <c:pt idx="2750">
                  <c:v>30.03</c:v>
                </c:pt>
                <c:pt idx="2751">
                  <c:v>30.33</c:v>
                </c:pt>
                <c:pt idx="2752">
                  <c:v>31.29</c:v>
                </c:pt>
                <c:pt idx="2753">
                  <c:v>31.26</c:v>
                </c:pt>
                <c:pt idx="2754">
                  <c:v>31.36</c:v>
                </c:pt>
                <c:pt idx="2755">
                  <c:v>31.66</c:v>
                </c:pt>
                <c:pt idx="2756">
                  <c:v>31.55</c:v>
                </c:pt>
                <c:pt idx="2757">
                  <c:v>31.41</c:v>
                </c:pt>
                <c:pt idx="2758">
                  <c:v>31.34</c:v>
                </c:pt>
                <c:pt idx="2759">
                  <c:v>31.29</c:v>
                </c:pt>
                <c:pt idx="2760">
                  <c:v>31.28</c:v>
                </c:pt>
                <c:pt idx="2761">
                  <c:v>31.72</c:v>
                </c:pt>
                <c:pt idx="2762">
                  <c:v>31.62</c:v>
                </c:pt>
                <c:pt idx="2763">
                  <c:v>31.96</c:v>
                </c:pt>
                <c:pt idx="2764">
                  <c:v>31.64</c:v>
                </c:pt>
                <c:pt idx="2765">
                  <c:v>31.69</c:v>
                </c:pt>
                <c:pt idx="2766">
                  <c:v>31.17</c:v>
                </c:pt>
                <c:pt idx="2767">
                  <c:v>31.21</c:v>
                </c:pt>
                <c:pt idx="2768">
                  <c:v>31.41</c:v>
                </c:pt>
                <c:pt idx="2769">
                  <c:v>31.61</c:v>
                </c:pt>
                <c:pt idx="2770">
                  <c:v>32.090000000000003</c:v>
                </c:pt>
                <c:pt idx="2771">
                  <c:v>28.31</c:v>
                </c:pt>
                <c:pt idx="2772">
                  <c:v>27.51</c:v>
                </c:pt>
                <c:pt idx="2773">
                  <c:v>27.46</c:v>
                </c:pt>
                <c:pt idx="2774">
                  <c:v>27.88</c:v>
                </c:pt>
                <c:pt idx="2775">
                  <c:v>28.02</c:v>
                </c:pt>
                <c:pt idx="2776">
                  <c:v>28.06</c:v>
                </c:pt>
                <c:pt idx="2777">
                  <c:v>28.49</c:v>
                </c:pt>
                <c:pt idx="2778">
                  <c:v>28.34</c:v>
                </c:pt>
                <c:pt idx="2779">
                  <c:v>28.04</c:v>
                </c:pt>
                <c:pt idx="2780">
                  <c:v>27.73</c:v>
                </c:pt>
                <c:pt idx="2781">
                  <c:v>28.12</c:v>
                </c:pt>
                <c:pt idx="2782">
                  <c:v>28.18</c:v>
                </c:pt>
                <c:pt idx="2783">
                  <c:v>30.98</c:v>
                </c:pt>
                <c:pt idx="2784">
                  <c:v>30.38</c:v>
                </c:pt>
                <c:pt idx="2785">
                  <c:v>30.41</c:v>
                </c:pt>
                <c:pt idx="2786">
                  <c:v>30.22</c:v>
                </c:pt>
                <c:pt idx="2787">
                  <c:v>29.7</c:v>
                </c:pt>
                <c:pt idx="2788">
                  <c:v>30.05</c:v>
                </c:pt>
                <c:pt idx="2789">
                  <c:v>29.31</c:v>
                </c:pt>
                <c:pt idx="2790">
                  <c:v>28.81</c:v>
                </c:pt>
                <c:pt idx="2791">
                  <c:v>29.21</c:v>
                </c:pt>
                <c:pt idx="2792">
                  <c:v>28.57</c:v>
                </c:pt>
                <c:pt idx="2793">
                  <c:v>29.75</c:v>
                </c:pt>
                <c:pt idx="2794">
                  <c:v>29.35</c:v>
                </c:pt>
                <c:pt idx="2795">
                  <c:v>28.92</c:v>
                </c:pt>
                <c:pt idx="2796">
                  <c:v>28.61</c:v>
                </c:pt>
                <c:pt idx="2797">
                  <c:v>28.41</c:v>
                </c:pt>
                <c:pt idx="2798">
                  <c:v>28.58</c:v>
                </c:pt>
                <c:pt idx="2799">
                  <c:v>28.4</c:v>
                </c:pt>
                <c:pt idx="2800">
                  <c:v>28.38</c:v>
                </c:pt>
                <c:pt idx="2801">
                  <c:v>28.7</c:v>
                </c:pt>
                <c:pt idx="2802">
                  <c:v>28.78</c:v>
                </c:pt>
                <c:pt idx="2803">
                  <c:v>28.59</c:v>
                </c:pt>
                <c:pt idx="2804">
                  <c:v>28.23</c:v>
                </c:pt>
                <c:pt idx="2805">
                  <c:v>27.44</c:v>
                </c:pt>
                <c:pt idx="2806">
                  <c:v>26.98</c:v>
                </c:pt>
                <c:pt idx="2807">
                  <c:v>27.39</c:v>
                </c:pt>
                <c:pt idx="2808">
                  <c:v>27.35</c:v>
                </c:pt>
                <c:pt idx="2809">
                  <c:v>27.05</c:v>
                </c:pt>
                <c:pt idx="2810">
                  <c:v>27.38</c:v>
                </c:pt>
                <c:pt idx="2811">
                  <c:v>27.3</c:v>
                </c:pt>
                <c:pt idx="2812">
                  <c:v>27.31</c:v>
                </c:pt>
                <c:pt idx="2813">
                  <c:v>28.12</c:v>
                </c:pt>
                <c:pt idx="2814">
                  <c:v>27.63</c:v>
                </c:pt>
                <c:pt idx="2815">
                  <c:v>27.66</c:v>
                </c:pt>
                <c:pt idx="2816">
                  <c:v>27.67</c:v>
                </c:pt>
                <c:pt idx="2817">
                  <c:v>27.38</c:v>
                </c:pt>
                <c:pt idx="2818">
                  <c:v>27.64</c:v>
                </c:pt>
                <c:pt idx="2819">
                  <c:v>27.71</c:v>
                </c:pt>
                <c:pt idx="2820">
                  <c:v>27.58</c:v>
                </c:pt>
                <c:pt idx="2821">
                  <c:v>27.25</c:v>
                </c:pt>
                <c:pt idx="2822">
                  <c:v>27.13</c:v>
                </c:pt>
                <c:pt idx="2823">
                  <c:v>26.86</c:v>
                </c:pt>
                <c:pt idx="2824">
                  <c:v>27</c:v>
                </c:pt>
                <c:pt idx="2825">
                  <c:v>26.99</c:v>
                </c:pt>
                <c:pt idx="2826">
                  <c:v>27.1</c:v>
                </c:pt>
                <c:pt idx="2827">
                  <c:v>27.2</c:v>
                </c:pt>
                <c:pt idx="2828">
                  <c:v>26.97</c:v>
                </c:pt>
                <c:pt idx="2829">
                  <c:v>26.69</c:v>
                </c:pt>
                <c:pt idx="2830">
                  <c:v>26.96</c:v>
                </c:pt>
                <c:pt idx="2831">
                  <c:v>26.58</c:v>
                </c:pt>
                <c:pt idx="2832">
                  <c:v>26.7</c:v>
                </c:pt>
                <c:pt idx="2833">
                  <c:v>27.53</c:v>
                </c:pt>
                <c:pt idx="2834">
                  <c:v>26.2</c:v>
                </c:pt>
                <c:pt idx="2835">
                  <c:v>26.03</c:v>
                </c:pt>
                <c:pt idx="2836">
                  <c:v>25.35</c:v>
                </c:pt>
                <c:pt idx="2837">
                  <c:v>24.99</c:v>
                </c:pt>
                <c:pt idx="2838">
                  <c:v>24.84</c:v>
                </c:pt>
                <c:pt idx="2839">
                  <c:v>24.68</c:v>
                </c:pt>
                <c:pt idx="2840">
                  <c:v>24.03</c:v>
                </c:pt>
                <c:pt idx="2841">
                  <c:v>23.49</c:v>
                </c:pt>
                <c:pt idx="2842">
                  <c:v>23.62</c:v>
                </c:pt>
                <c:pt idx="2843">
                  <c:v>23.25</c:v>
                </c:pt>
                <c:pt idx="2844">
                  <c:v>23.25</c:v>
                </c:pt>
                <c:pt idx="2845">
                  <c:v>23.36</c:v>
                </c:pt>
                <c:pt idx="2846">
                  <c:v>22.92</c:v>
                </c:pt>
                <c:pt idx="2847">
                  <c:v>22.97</c:v>
                </c:pt>
                <c:pt idx="2848">
                  <c:v>23.44</c:v>
                </c:pt>
                <c:pt idx="2849">
                  <c:v>23.87</c:v>
                </c:pt>
                <c:pt idx="2850">
                  <c:v>23.8</c:v>
                </c:pt>
                <c:pt idx="2851">
                  <c:v>23.94</c:v>
                </c:pt>
                <c:pt idx="2852">
                  <c:v>24.57</c:v>
                </c:pt>
                <c:pt idx="2853">
                  <c:v>23.72</c:v>
                </c:pt>
                <c:pt idx="2854">
                  <c:v>23.32</c:v>
                </c:pt>
                <c:pt idx="2855">
                  <c:v>22.76</c:v>
                </c:pt>
                <c:pt idx="2856">
                  <c:v>23.54</c:v>
                </c:pt>
                <c:pt idx="2857">
                  <c:v>23.34</c:v>
                </c:pt>
                <c:pt idx="2858">
                  <c:v>23.04</c:v>
                </c:pt>
                <c:pt idx="2859">
                  <c:v>23.23</c:v>
                </c:pt>
                <c:pt idx="2860">
                  <c:v>23.13</c:v>
                </c:pt>
                <c:pt idx="2861">
                  <c:v>23.59</c:v>
                </c:pt>
                <c:pt idx="2862">
                  <c:v>23.03</c:v>
                </c:pt>
                <c:pt idx="2863">
                  <c:v>22.52</c:v>
                </c:pt>
                <c:pt idx="2864">
                  <c:v>22.55</c:v>
                </c:pt>
                <c:pt idx="2865">
                  <c:v>22.61</c:v>
                </c:pt>
                <c:pt idx="2866">
                  <c:v>22.73</c:v>
                </c:pt>
                <c:pt idx="2867">
                  <c:v>23.97</c:v>
                </c:pt>
                <c:pt idx="2868">
                  <c:v>24.1</c:v>
                </c:pt>
                <c:pt idx="2869">
                  <c:v>24.15</c:v>
                </c:pt>
                <c:pt idx="2870">
                  <c:v>23.76</c:v>
                </c:pt>
                <c:pt idx="2871">
                  <c:v>23.3</c:v>
                </c:pt>
                <c:pt idx="2872">
                  <c:v>23.71</c:v>
                </c:pt>
                <c:pt idx="2873">
                  <c:v>23.56</c:v>
                </c:pt>
                <c:pt idx="2874">
                  <c:v>23.72</c:v>
                </c:pt>
                <c:pt idx="2875">
                  <c:v>24.73</c:v>
                </c:pt>
                <c:pt idx="2876">
                  <c:v>24.95</c:v>
                </c:pt>
                <c:pt idx="2877">
                  <c:v>25.06</c:v>
                </c:pt>
                <c:pt idx="2878">
                  <c:v>25.29</c:v>
                </c:pt>
                <c:pt idx="2879">
                  <c:v>25.29</c:v>
                </c:pt>
                <c:pt idx="2880">
                  <c:v>26.05</c:v>
                </c:pt>
                <c:pt idx="2881">
                  <c:v>25.73</c:v>
                </c:pt>
                <c:pt idx="2882">
                  <c:v>26.51</c:v>
                </c:pt>
                <c:pt idx="2883">
                  <c:v>26.7</c:v>
                </c:pt>
                <c:pt idx="2884">
                  <c:v>26.27</c:v>
                </c:pt>
                <c:pt idx="2885">
                  <c:v>26.84</c:v>
                </c:pt>
                <c:pt idx="2886">
                  <c:v>27.04</c:v>
                </c:pt>
                <c:pt idx="2887">
                  <c:v>26.95</c:v>
                </c:pt>
                <c:pt idx="2888">
                  <c:v>27.17</c:v>
                </c:pt>
                <c:pt idx="2889">
                  <c:v>27.15</c:v>
                </c:pt>
                <c:pt idx="2890">
                  <c:v>27.88</c:v>
                </c:pt>
                <c:pt idx="2891">
                  <c:v>28.05</c:v>
                </c:pt>
                <c:pt idx="2892">
                  <c:v>28.37</c:v>
                </c:pt>
                <c:pt idx="2893">
                  <c:v>28.36</c:v>
                </c:pt>
                <c:pt idx="2894">
                  <c:v>27.65</c:v>
                </c:pt>
                <c:pt idx="2895">
                  <c:v>28.48</c:v>
                </c:pt>
                <c:pt idx="2896">
                  <c:v>27.86</c:v>
                </c:pt>
                <c:pt idx="2897">
                  <c:v>26.69</c:v>
                </c:pt>
                <c:pt idx="2898">
                  <c:v>28.82</c:v>
                </c:pt>
                <c:pt idx="2899">
                  <c:v>29.35</c:v>
                </c:pt>
                <c:pt idx="2900">
                  <c:v>29.03</c:v>
                </c:pt>
                <c:pt idx="2901">
                  <c:v>29.85</c:v>
                </c:pt>
                <c:pt idx="2902">
                  <c:v>30.64</c:v>
                </c:pt>
                <c:pt idx="2903">
                  <c:v>30.68</c:v>
                </c:pt>
                <c:pt idx="2904">
                  <c:v>31.34</c:v>
                </c:pt>
                <c:pt idx="2905">
                  <c:v>33.630000000000003</c:v>
                </c:pt>
                <c:pt idx="2906">
                  <c:v>31.79</c:v>
                </c:pt>
                <c:pt idx="2907">
                  <c:v>30.83</c:v>
                </c:pt>
                <c:pt idx="2908">
                  <c:v>31.1</c:v>
                </c:pt>
                <c:pt idx="2909">
                  <c:v>30.22</c:v>
                </c:pt>
                <c:pt idx="2910">
                  <c:v>31.11</c:v>
                </c:pt>
                <c:pt idx="2911">
                  <c:v>31.36</c:v>
                </c:pt>
                <c:pt idx="2912">
                  <c:v>29.93</c:v>
                </c:pt>
                <c:pt idx="2913">
                  <c:v>27.63</c:v>
                </c:pt>
                <c:pt idx="2914">
                  <c:v>26.7</c:v>
                </c:pt>
                <c:pt idx="2915">
                  <c:v>25.79</c:v>
                </c:pt>
                <c:pt idx="2916">
                  <c:v>24.78</c:v>
                </c:pt>
                <c:pt idx="2917">
                  <c:v>26.1</c:v>
                </c:pt>
                <c:pt idx="2918">
                  <c:v>25.07</c:v>
                </c:pt>
                <c:pt idx="2919">
                  <c:v>25.42</c:v>
                </c:pt>
                <c:pt idx="2920">
                  <c:v>26.82</c:v>
                </c:pt>
                <c:pt idx="2921">
                  <c:v>26.76</c:v>
                </c:pt>
                <c:pt idx="2922">
                  <c:v>26.72</c:v>
                </c:pt>
                <c:pt idx="2923">
                  <c:v>25.71</c:v>
                </c:pt>
                <c:pt idx="2924">
                  <c:v>26.13</c:v>
                </c:pt>
                <c:pt idx="2925">
                  <c:v>25.22</c:v>
                </c:pt>
                <c:pt idx="2926">
                  <c:v>25.59</c:v>
                </c:pt>
                <c:pt idx="2927">
                  <c:v>26.2</c:v>
                </c:pt>
                <c:pt idx="2928">
                  <c:v>26.63</c:v>
                </c:pt>
                <c:pt idx="2929">
                  <c:v>26.81</c:v>
                </c:pt>
                <c:pt idx="2930">
                  <c:v>26.61</c:v>
                </c:pt>
                <c:pt idx="2931">
                  <c:v>26.42</c:v>
                </c:pt>
                <c:pt idx="2932">
                  <c:v>25.98</c:v>
                </c:pt>
                <c:pt idx="2933">
                  <c:v>25.96</c:v>
                </c:pt>
                <c:pt idx="2934">
                  <c:v>25.63</c:v>
                </c:pt>
                <c:pt idx="2935">
                  <c:v>25.2</c:v>
                </c:pt>
                <c:pt idx="2936">
                  <c:v>24.47</c:v>
                </c:pt>
                <c:pt idx="2937">
                  <c:v>24.54</c:v>
                </c:pt>
                <c:pt idx="2938">
                  <c:v>24.38</c:v>
                </c:pt>
                <c:pt idx="2939">
                  <c:v>24.06</c:v>
                </c:pt>
                <c:pt idx="2940">
                  <c:v>23.04</c:v>
                </c:pt>
                <c:pt idx="2941">
                  <c:v>23.02</c:v>
                </c:pt>
                <c:pt idx="2942">
                  <c:v>23.31</c:v>
                </c:pt>
                <c:pt idx="2943">
                  <c:v>23.64</c:v>
                </c:pt>
                <c:pt idx="2944">
                  <c:v>24.01</c:v>
                </c:pt>
                <c:pt idx="2945">
                  <c:v>24.05</c:v>
                </c:pt>
                <c:pt idx="2946">
                  <c:v>23.96</c:v>
                </c:pt>
                <c:pt idx="2947">
                  <c:v>23.71</c:v>
                </c:pt>
                <c:pt idx="2948">
                  <c:v>23.45</c:v>
                </c:pt>
                <c:pt idx="2949">
                  <c:v>23.26</c:v>
                </c:pt>
                <c:pt idx="2950">
                  <c:v>23.72</c:v>
                </c:pt>
                <c:pt idx="2951">
                  <c:v>23.84</c:v>
                </c:pt>
                <c:pt idx="2952">
                  <c:v>23.16</c:v>
                </c:pt>
                <c:pt idx="2953">
                  <c:v>23.18</c:v>
                </c:pt>
                <c:pt idx="2954">
                  <c:v>22.61</c:v>
                </c:pt>
                <c:pt idx="2955">
                  <c:v>22.56</c:v>
                </c:pt>
                <c:pt idx="2956">
                  <c:v>24.09</c:v>
                </c:pt>
                <c:pt idx="2957">
                  <c:v>23.36</c:v>
                </c:pt>
                <c:pt idx="2958">
                  <c:v>23.7</c:v>
                </c:pt>
                <c:pt idx="2959">
                  <c:v>22.91</c:v>
                </c:pt>
                <c:pt idx="2960">
                  <c:v>21.95</c:v>
                </c:pt>
                <c:pt idx="2961">
                  <c:v>21.22</c:v>
                </c:pt>
                <c:pt idx="2962">
                  <c:v>20.78</c:v>
                </c:pt>
                <c:pt idx="2963">
                  <c:v>19.86</c:v>
                </c:pt>
                <c:pt idx="2964">
                  <c:v>20.010000000000002</c:v>
                </c:pt>
                <c:pt idx="2965">
                  <c:v>21.69</c:v>
                </c:pt>
                <c:pt idx="2966">
                  <c:v>21.94</c:v>
                </c:pt>
                <c:pt idx="2967">
                  <c:v>20.78</c:v>
                </c:pt>
                <c:pt idx="2968">
                  <c:v>20.81</c:v>
                </c:pt>
                <c:pt idx="2969">
                  <c:v>19.05</c:v>
                </c:pt>
                <c:pt idx="2970">
                  <c:v>19.18</c:v>
                </c:pt>
                <c:pt idx="2971">
                  <c:v>28.38</c:v>
                </c:pt>
                <c:pt idx="2972">
                  <c:v>29.33</c:v>
                </c:pt>
                <c:pt idx="2973">
                  <c:v>28.98</c:v>
                </c:pt>
                <c:pt idx="2974">
                  <c:v>28.57</c:v>
                </c:pt>
                <c:pt idx="2975">
                  <c:v>29.04</c:v>
                </c:pt>
                <c:pt idx="2976">
                  <c:v>29.2</c:v>
                </c:pt>
                <c:pt idx="2977">
                  <c:v>29.87</c:v>
                </c:pt>
                <c:pt idx="2978">
                  <c:v>29.57</c:v>
                </c:pt>
                <c:pt idx="2979">
                  <c:v>29.88</c:v>
                </c:pt>
                <c:pt idx="2980">
                  <c:v>29.98</c:v>
                </c:pt>
                <c:pt idx="2981">
                  <c:v>29.66</c:v>
                </c:pt>
                <c:pt idx="2982">
                  <c:v>29.01</c:v>
                </c:pt>
                <c:pt idx="2983">
                  <c:v>28.83</c:v>
                </c:pt>
                <c:pt idx="2984">
                  <c:v>28.42</c:v>
                </c:pt>
                <c:pt idx="2985">
                  <c:v>28.42</c:v>
                </c:pt>
                <c:pt idx="2986">
                  <c:v>28.13</c:v>
                </c:pt>
                <c:pt idx="2987">
                  <c:v>28.22</c:v>
                </c:pt>
                <c:pt idx="2988">
                  <c:v>28.37</c:v>
                </c:pt>
                <c:pt idx="2989">
                  <c:v>28.15</c:v>
                </c:pt>
                <c:pt idx="2990">
                  <c:v>27.78</c:v>
                </c:pt>
                <c:pt idx="2991">
                  <c:v>27.77</c:v>
                </c:pt>
                <c:pt idx="2992">
                  <c:v>28.06</c:v>
                </c:pt>
                <c:pt idx="2993">
                  <c:v>28.67</c:v>
                </c:pt>
                <c:pt idx="2994">
                  <c:v>28.7</c:v>
                </c:pt>
                <c:pt idx="2995">
                  <c:v>29.03</c:v>
                </c:pt>
                <c:pt idx="2996">
                  <c:v>28.51</c:v>
                </c:pt>
                <c:pt idx="2997">
                  <c:v>29</c:v>
                </c:pt>
                <c:pt idx="2998">
                  <c:v>28.45</c:v>
                </c:pt>
                <c:pt idx="2999">
                  <c:v>27.5</c:v>
                </c:pt>
                <c:pt idx="3000">
                  <c:v>26.71</c:v>
                </c:pt>
                <c:pt idx="3001">
                  <c:v>25.85</c:v>
                </c:pt>
                <c:pt idx="3002">
                  <c:v>27.66</c:v>
                </c:pt>
                <c:pt idx="3003">
                  <c:v>27.07</c:v>
                </c:pt>
                <c:pt idx="3004">
                  <c:v>27.66</c:v>
                </c:pt>
                <c:pt idx="3005">
                  <c:v>27.52</c:v>
                </c:pt>
                <c:pt idx="3006">
                  <c:v>28.73</c:v>
                </c:pt>
                <c:pt idx="3007">
                  <c:v>28.49</c:v>
                </c:pt>
                <c:pt idx="3008">
                  <c:v>28.09</c:v>
                </c:pt>
                <c:pt idx="3009">
                  <c:v>28.99</c:v>
                </c:pt>
                <c:pt idx="3010">
                  <c:v>28.93</c:v>
                </c:pt>
                <c:pt idx="3011">
                  <c:v>28.5</c:v>
                </c:pt>
                <c:pt idx="3012">
                  <c:v>27.82</c:v>
                </c:pt>
                <c:pt idx="3013">
                  <c:v>28.13</c:v>
                </c:pt>
                <c:pt idx="3014">
                  <c:v>28.36</c:v>
                </c:pt>
                <c:pt idx="3015">
                  <c:v>27.7</c:v>
                </c:pt>
                <c:pt idx="3016">
                  <c:v>27.7</c:v>
                </c:pt>
                <c:pt idx="3017">
                  <c:v>27.77</c:v>
                </c:pt>
                <c:pt idx="3018">
                  <c:v>28.59</c:v>
                </c:pt>
                <c:pt idx="3019">
                  <c:v>28.34</c:v>
                </c:pt>
                <c:pt idx="3020">
                  <c:v>27.8</c:v>
                </c:pt>
                <c:pt idx="3021">
                  <c:v>28.17</c:v>
                </c:pt>
                <c:pt idx="3022">
                  <c:v>28.31</c:v>
                </c:pt>
                <c:pt idx="3023">
                  <c:v>28.03</c:v>
                </c:pt>
                <c:pt idx="3024">
                  <c:v>28.43</c:v>
                </c:pt>
                <c:pt idx="3025">
                  <c:v>28.55</c:v>
                </c:pt>
                <c:pt idx="3026">
                  <c:v>28.54</c:v>
                </c:pt>
                <c:pt idx="3027">
                  <c:v>28.08</c:v>
                </c:pt>
                <c:pt idx="3028">
                  <c:v>27.3</c:v>
                </c:pt>
                <c:pt idx="3029">
                  <c:v>26.8</c:v>
                </c:pt>
                <c:pt idx="3030">
                  <c:v>26.43</c:v>
                </c:pt>
                <c:pt idx="3031">
                  <c:v>27.36</c:v>
                </c:pt>
                <c:pt idx="3032">
                  <c:v>27.41</c:v>
                </c:pt>
                <c:pt idx="3033">
                  <c:v>26.81</c:v>
                </c:pt>
                <c:pt idx="3034">
                  <c:v>28.67</c:v>
                </c:pt>
                <c:pt idx="3035">
                  <c:v>24.37</c:v>
                </c:pt>
                <c:pt idx="3036">
                  <c:v>25.72</c:v>
                </c:pt>
                <c:pt idx="3037">
                  <c:v>25.64</c:v>
                </c:pt>
                <c:pt idx="3038">
                  <c:v>26.22</c:v>
                </c:pt>
                <c:pt idx="3039">
                  <c:v>25.93</c:v>
                </c:pt>
                <c:pt idx="3040">
                  <c:v>25.26</c:v>
                </c:pt>
                <c:pt idx="3041">
                  <c:v>26.56</c:v>
                </c:pt>
                <c:pt idx="3042">
                  <c:v>27.14</c:v>
                </c:pt>
                <c:pt idx="3043">
                  <c:v>27.75</c:v>
                </c:pt>
                <c:pt idx="3044">
                  <c:v>27.66</c:v>
                </c:pt>
                <c:pt idx="3045">
                  <c:v>27.68</c:v>
                </c:pt>
                <c:pt idx="3046">
                  <c:v>27.48</c:v>
                </c:pt>
                <c:pt idx="3047">
                  <c:v>27.33</c:v>
                </c:pt>
                <c:pt idx="3048">
                  <c:v>27.53</c:v>
                </c:pt>
                <c:pt idx="3049">
                  <c:v>27.72</c:v>
                </c:pt>
                <c:pt idx="3050">
                  <c:v>27</c:v>
                </c:pt>
                <c:pt idx="3051">
                  <c:v>27.16</c:v>
                </c:pt>
                <c:pt idx="3052">
                  <c:v>27.07</c:v>
                </c:pt>
                <c:pt idx="3053">
                  <c:v>26.76</c:v>
                </c:pt>
                <c:pt idx="3054">
                  <c:v>26.4</c:v>
                </c:pt>
                <c:pt idx="3055">
                  <c:v>26.15</c:v>
                </c:pt>
                <c:pt idx="3056">
                  <c:v>26.85</c:v>
                </c:pt>
                <c:pt idx="3057">
                  <c:v>26.36</c:v>
                </c:pt>
                <c:pt idx="3058">
                  <c:v>26.44</c:v>
                </c:pt>
                <c:pt idx="3059">
                  <c:v>26.58</c:v>
                </c:pt>
                <c:pt idx="3060">
                  <c:v>26.4</c:v>
                </c:pt>
                <c:pt idx="3061">
                  <c:v>26.15</c:v>
                </c:pt>
                <c:pt idx="3062">
                  <c:v>23.52</c:v>
                </c:pt>
                <c:pt idx="3063">
                  <c:v>23.47</c:v>
                </c:pt>
                <c:pt idx="3064">
                  <c:v>23.54</c:v>
                </c:pt>
                <c:pt idx="3065">
                  <c:v>23.25</c:v>
                </c:pt>
                <c:pt idx="3066">
                  <c:v>22.91</c:v>
                </c:pt>
                <c:pt idx="3067">
                  <c:v>22.73</c:v>
                </c:pt>
                <c:pt idx="3068">
                  <c:v>21.99</c:v>
                </c:pt>
                <c:pt idx="3069">
                  <c:v>21.45</c:v>
                </c:pt>
                <c:pt idx="3070">
                  <c:v>22.04</c:v>
                </c:pt>
                <c:pt idx="3071">
                  <c:v>22.01</c:v>
                </c:pt>
                <c:pt idx="3072">
                  <c:v>21.37</c:v>
                </c:pt>
                <c:pt idx="3073">
                  <c:v>21.33</c:v>
                </c:pt>
                <c:pt idx="3074">
                  <c:v>20.66</c:v>
                </c:pt>
                <c:pt idx="3075">
                  <c:v>20.2</c:v>
                </c:pt>
                <c:pt idx="3076">
                  <c:v>20.88</c:v>
                </c:pt>
                <c:pt idx="3077">
                  <c:v>21.35</c:v>
                </c:pt>
                <c:pt idx="3078">
                  <c:v>23.91</c:v>
                </c:pt>
                <c:pt idx="3079">
                  <c:v>24.64</c:v>
                </c:pt>
                <c:pt idx="3080">
                  <c:v>23.82</c:v>
                </c:pt>
                <c:pt idx="3081">
                  <c:v>23.5</c:v>
                </c:pt>
                <c:pt idx="3082">
                  <c:v>23.57</c:v>
                </c:pt>
                <c:pt idx="3083">
                  <c:v>22.57</c:v>
                </c:pt>
                <c:pt idx="3084">
                  <c:v>21.54</c:v>
                </c:pt>
                <c:pt idx="3085">
                  <c:v>22.48</c:v>
                </c:pt>
                <c:pt idx="3086">
                  <c:v>22.44</c:v>
                </c:pt>
                <c:pt idx="3087">
                  <c:v>22.45</c:v>
                </c:pt>
                <c:pt idx="3088">
                  <c:v>21.67</c:v>
                </c:pt>
                <c:pt idx="3089">
                  <c:v>21.4</c:v>
                </c:pt>
                <c:pt idx="3090">
                  <c:v>20.39</c:v>
                </c:pt>
                <c:pt idx="3091">
                  <c:v>20.53</c:v>
                </c:pt>
                <c:pt idx="3092">
                  <c:v>21.13</c:v>
                </c:pt>
                <c:pt idx="3093">
                  <c:v>20.12</c:v>
                </c:pt>
                <c:pt idx="3094">
                  <c:v>20.149999999999999</c:v>
                </c:pt>
                <c:pt idx="3095">
                  <c:v>20.03</c:v>
                </c:pt>
                <c:pt idx="3096">
                  <c:v>19.89</c:v>
                </c:pt>
                <c:pt idx="3097">
                  <c:v>19.8</c:v>
                </c:pt>
                <c:pt idx="3098">
                  <c:v>19.38</c:v>
                </c:pt>
                <c:pt idx="3099">
                  <c:v>19.82</c:v>
                </c:pt>
                <c:pt idx="3100">
                  <c:v>20</c:v>
                </c:pt>
                <c:pt idx="3101">
                  <c:v>20.190000000000001</c:v>
                </c:pt>
                <c:pt idx="3102">
                  <c:v>19.899999999999999</c:v>
                </c:pt>
                <c:pt idx="3103">
                  <c:v>20.260000000000002</c:v>
                </c:pt>
                <c:pt idx="3104">
                  <c:v>20.43</c:v>
                </c:pt>
                <c:pt idx="3105">
                  <c:v>20.36</c:v>
                </c:pt>
                <c:pt idx="3106">
                  <c:v>20.28</c:v>
                </c:pt>
                <c:pt idx="3107">
                  <c:v>20.440000000000001</c:v>
                </c:pt>
                <c:pt idx="3108">
                  <c:v>19.73</c:v>
                </c:pt>
                <c:pt idx="3109">
                  <c:v>19.420000000000002</c:v>
                </c:pt>
                <c:pt idx="3110">
                  <c:v>19.170000000000002</c:v>
                </c:pt>
                <c:pt idx="3111">
                  <c:v>19.11</c:v>
                </c:pt>
                <c:pt idx="3112">
                  <c:v>19.53</c:v>
                </c:pt>
                <c:pt idx="3113">
                  <c:v>19.09</c:v>
                </c:pt>
                <c:pt idx="3114">
                  <c:v>19.09</c:v>
                </c:pt>
                <c:pt idx="3115">
                  <c:v>19.37</c:v>
                </c:pt>
                <c:pt idx="3116">
                  <c:v>19.649999999999999</c:v>
                </c:pt>
                <c:pt idx="3117">
                  <c:v>19.38</c:v>
                </c:pt>
                <c:pt idx="3118">
                  <c:v>18.75</c:v>
                </c:pt>
                <c:pt idx="3119">
                  <c:v>18.760000000000002</c:v>
                </c:pt>
                <c:pt idx="3120">
                  <c:v>17.75</c:v>
                </c:pt>
                <c:pt idx="3121">
                  <c:v>18.079999999999998</c:v>
                </c:pt>
                <c:pt idx="3122">
                  <c:v>18.260000000000002</c:v>
                </c:pt>
                <c:pt idx="3123">
                  <c:v>17.579999999999998</c:v>
                </c:pt>
                <c:pt idx="3124">
                  <c:v>17.7</c:v>
                </c:pt>
                <c:pt idx="3125">
                  <c:v>18.55</c:v>
                </c:pt>
                <c:pt idx="3126">
                  <c:v>19.079999999999998</c:v>
                </c:pt>
                <c:pt idx="3127">
                  <c:v>18.850000000000001</c:v>
                </c:pt>
                <c:pt idx="3128">
                  <c:v>19.260000000000002</c:v>
                </c:pt>
                <c:pt idx="3129">
                  <c:v>18.82</c:v>
                </c:pt>
                <c:pt idx="3130">
                  <c:v>20.82</c:v>
                </c:pt>
                <c:pt idx="3131">
                  <c:v>19.89</c:v>
                </c:pt>
                <c:pt idx="3132">
                  <c:v>18.68</c:v>
                </c:pt>
                <c:pt idx="3133">
                  <c:v>18.93</c:v>
                </c:pt>
                <c:pt idx="3134">
                  <c:v>19.149999999999999</c:v>
                </c:pt>
                <c:pt idx="3135">
                  <c:v>19.2</c:v>
                </c:pt>
                <c:pt idx="3136">
                  <c:v>18.920000000000002</c:v>
                </c:pt>
                <c:pt idx="3137">
                  <c:v>16.88</c:v>
                </c:pt>
                <c:pt idx="3138">
                  <c:v>17.3</c:v>
                </c:pt>
                <c:pt idx="3139">
                  <c:v>16.96</c:v>
                </c:pt>
                <c:pt idx="3140">
                  <c:v>15.58</c:v>
                </c:pt>
                <c:pt idx="3141">
                  <c:v>16</c:v>
                </c:pt>
                <c:pt idx="3142">
                  <c:v>15.31</c:v>
                </c:pt>
                <c:pt idx="3143">
                  <c:v>14.58</c:v>
                </c:pt>
                <c:pt idx="3144">
                  <c:v>13.76</c:v>
                </c:pt>
                <c:pt idx="3145">
                  <c:v>12.65</c:v>
                </c:pt>
                <c:pt idx="3146">
                  <c:v>12.29</c:v>
                </c:pt>
                <c:pt idx="3147">
                  <c:v>13.49</c:v>
                </c:pt>
                <c:pt idx="3148">
                  <c:v>12.65</c:v>
                </c:pt>
                <c:pt idx="3149">
                  <c:v>11.75</c:v>
                </c:pt>
                <c:pt idx="3150">
                  <c:v>12.99</c:v>
                </c:pt>
                <c:pt idx="3151">
                  <c:v>12.9</c:v>
                </c:pt>
                <c:pt idx="3152">
                  <c:v>12.86</c:v>
                </c:pt>
                <c:pt idx="3153">
                  <c:v>12.07</c:v>
                </c:pt>
                <c:pt idx="3154">
                  <c:v>12.39</c:v>
                </c:pt>
                <c:pt idx="3155">
                  <c:v>12.65</c:v>
                </c:pt>
                <c:pt idx="3156">
                  <c:v>12.1</c:v>
                </c:pt>
                <c:pt idx="3157">
                  <c:v>11.58</c:v>
                </c:pt>
                <c:pt idx="3158">
                  <c:v>12.36</c:v>
                </c:pt>
                <c:pt idx="3159">
                  <c:v>12.14</c:v>
                </c:pt>
                <c:pt idx="3160">
                  <c:v>12.93</c:v>
                </c:pt>
                <c:pt idx="3161">
                  <c:v>12.82</c:v>
                </c:pt>
                <c:pt idx="3162">
                  <c:v>12.75</c:v>
                </c:pt>
                <c:pt idx="3163">
                  <c:v>13.35</c:v>
                </c:pt>
                <c:pt idx="3164">
                  <c:v>13.92</c:v>
                </c:pt>
                <c:pt idx="3165">
                  <c:v>13.96</c:v>
                </c:pt>
                <c:pt idx="3166">
                  <c:v>12.2</c:v>
                </c:pt>
                <c:pt idx="3167">
                  <c:v>11.87</c:v>
                </c:pt>
                <c:pt idx="3168">
                  <c:v>11.35</c:v>
                </c:pt>
                <c:pt idx="3169">
                  <c:v>10.34</c:v>
                </c:pt>
                <c:pt idx="3170">
                  <c:v>11.15</c:v>
                </c:pt>
                <c:pt idx="3171">
                  <c:v>10.82</c:v>
                </c:pt>
                <c:pt idx="3172">
                  <c:v>10.63</c:v>
                </c:pt>
                <c:pt idx="3173">
                  <c:v>11.55</c:v>
                </c:pt>
                <c:pt idx="3174">
                  <c:v>9.14</c:v>
                </c:pt>
                <c:pt idx="3175">
                  <c:v>8.9499999999999993</c:v>
                </c:pt>
                <c:pt idx="3176">
                  <c:v>9.39</c:v>
                </c:pt>
                <c:pt idx="3177">
                  <c:v>10.210000000000001</c:v>
                </c:pt>
                <c:pt idx="3178">
                  <c:v>10.07</c:v>
                </c:pt>
                <c:pt idx="3179">
                  <c:v>10.58</c:v>
                </c:pt>
                <c:pt idx="3180">
                  <c:v>11.51</c:v>
                </c:pt>
                <c:pt idx="3181">
                  <c:v>10.74</c:v>
                </c:pt>
                <c:pt idx="3182">
                  <c:v>11.5</c:v>
                </c:pt>
                <c:pt idx="3183">
                  <c:v>11.5</c:v>
                </c:pt>
                <c:pt idx="3184">
                  <c:v>11.05</c:v>
                </c:pt>
                <c:pt idx="3185">
                  <c:v>11.66</c:v>
                </c:pt>
                <c:pt idx="3186">
                  <c:v>12.2</c:v>
                </c:pt>
                <c:pt idx="3187">
                  <c:v>12.19</c:v>
                </c:pt>
                <c:pt idx="3188">
                  <c:v>13.4</c:v>
                </c:pt>
                <c:pt idx="3189">
                  <c:v>12.73</c:v>
                </c:pt>
                <c:pt idx="3190">
                  <c:v>13.15</c:v>
                </c:pt>
                <c:pt idx="3191">
                  <c:v>12.73</c:v>
                </c:pt>
                <c:pt idx="3192">
                  <c:v>13.36</c:v>
                </c:pt>
                <c:pt idx="3193">
                  <c:v>13.11</c:v>
                </c:pt>
                <c:pt idx="3194">
                  <c:v>12.72</c:v>
                </c:pt>
                <c:pt idx="3195">
                  <c:v>13.03</c:v>
                </c:pt>
                <c:pt idx="3196">
                  <c:v>12.35</c:v>
                </c:pt>
                <c:pt idx="3197">
                  <c:v>12.42</c:v>
                </c:pt>
                <c:pt idx="3198">
                  <c:v>12.32</c:v>
                </c:pt>
                <c:pt idx="3199">
                  <c:v>12.34</c:v>
                </c:pt>
                <c:pt idx="3200">
                  <c:v>11.88</c:v>
                </c:pt>
                <c:pt idx="3201">
                  <c:v>11.97</c:v>
                </c:pt>
                <c:pt idx="3202">
                  <c:v>12.2</c:v>
                </c:pt>
                <c:pt idx="3203">
                  <c:v>12.85</c:v>
                </c:pt>
                <c:pt idx="3204">
                  <c:v>12.86</c:v>
                </c:pt>
                <c:pt idx="3205">
                  <c:v>13</c:v>
                </c:pt>
                <c:pt idx="3206">
                  <c:v>12.71</c:v>
                </c:pt>
                <c:pt idx="3207">
                  <c:v>13.07</c:v>
                </c:pt>
                <c:pt idx="3208">
                  <c:v>13.13</c:v>
                </c:pt>
                <c:pt idx="3209">
                  <c:v>12.22</c:v>
                </c:pt>
                <c:pt idx="3210">
                  <c:v>12.1</c:v>
                </c:pt>
                <c:pt idx="3211">
                  <c:v>12.41</c:v>
                </c:pt>
                <c:pt idx="3212">
                  <c:v>11.61</c:v>
                </c:pt>
                <c:pt idx="3213">
                  <c:v>11.59</c:v>
                </c:pt>
                <c:pt idx="3214">
                  <c:v>11.01</c:v>
                </c:pt>
                <c:pt idx="3215">
                  <c:v>11.59</c:v>
                </c:pt>
                <c:pt idx="3216">
                  <c:v>11.28</c:v>
                </c:pt>
                <c:pt idx="3217">
                  <c:v>11.32</c:v>
                </c:pt>
                <c:pt idx="3218">
                  <c:v>11.17</c:v>
                </c:pt>
                <c:pt idx="3219">
                  <c:v>11.34</c:v>
                </c:pt>
                <c:pt idx="3220">
                  <c:v>12.24</c:v>
                </c:pt>
                <c:pt idx="3221">
                  <c:v>11.74</c:v>
                </c:pt>
                <c:pt idx="3222">
                  <c:v>11.73</c:v>
                </c:pt>
                <c:pt idx="3223">
                  <c:v>12.15</c:v>
                </c:pt>
                <c:pt idx="3224">
                  <c:v>12.68</c:v>
                </c:pt>
                <c:pt idx="3225">
                  <c:v>13</c:v>
                </c:pt>
                <c:pt idx="3226">
                  <c:v>13.51</c:v>
                </c:pt>
                <c:pt idx="3227">
                  <c:v>13.63</c:v>
                </c:pt>
                <c:pt idx="3228">
                  <c:v>13.9</c:v>
                </c:pt>
                <c:pt idx="3229">
                  <c:v>12.75</c:v>
                </c:pt>
                <c:pt idx="3230">
                  <c:v>12.63</c:v>
                </c:pt>
                <c:pt idx="3231">
                  <c:v>12.66</c:v>
                </c:pt>
                <c:pt idx="3232">
                  <c:v>12.84</c:v>
                </c:pt>
                <c:pt idx="3233">
                  <c:v>12.02</c:v>
                </c:pt>
                <c:pt idx="3234">
                  <c:v>12.22</c:v>
                </c:pt>
                <c:pt idx="3235">
                  <c:v>11.98</c:v>
                </c:pt>
                <c:pt idx="3236">
                  <c:v>12.14</c:v>
                </c:pt>
                <c:pt idx="3237">
                  <c:v>11.97</c:v>
                </c:pt>
                <c:pt idx="3238">
                  <c:v>12.75</c:v>
                </c:pt>
                <c:pt idx="3239">
                  <c:v>12.48</c:v>
                </c:pt>
                <c:pt idx="3240">
                  <c:v>12.98</c:v>
                </c:pt>
                <c:pt idx="3241">
                  <c:v>13.23</c:v>
                </c:pt>
                <c:pt idx="3242">
                  <c:v>12.58</c:v>
                </c:pt>
                <c:pt idx="3243">
                  <c:v>12.5</c:v>
                </c:pt>
                <c:pt idx="3244">
                  <c:v>13.16</c:v>
                </c:pt>
                <c:pt idx="3245">
                  <c:v>12.53</c:v>
                </c:pt>
                <c:pt idx="3246">
                  <c:v>13.05</c:v>
                </c:pt>
                <c:pt idx="3247">
                  <c:v>12.66</c:v>
                </c:pt>
                <c:pt idx="3248">
                  <c:v>13.23</c:v>
                </c:pt>
                <c:pt idx="3249">
                  <c:v>13.39</c:v>
                </c:pt>
                <c:pt idx="3250">
                  <c:v>13.6</c:v>
                </c:pt>
                <c:pt idx="3251">
                  <c:v>13.51</c:v>
                </c:pt>
                <c:pt idx="3252">
                  <c:v>13.22</c:v>
                </c:pt>
                <c:pt idx="3253">
                  <c:v>13.99</c:v>
                </c:pt>
                <c:pt idx="3254">
                  <c:v>13.42</c:v>
                </c:pt>
                <c:pt idx="3255">
                  <c:v>13.74</c:v>
                </c:pt>
                <c:pt idx="3256">
                  <c:v>13.6</c:v>
                </c:pt>
                <c:pt idx="3257">
                  <c:v>14.09</c:v>
                </c:pt>
                <c:pt idx="3258">
                  <c:v>13.63</c:v>
                </c:pt>
                <c:pt idx="3259">
                  <c:v>13.55</c:v>
                </c:pt>
                <c:pt idx="3260">
                  <c:v>13.35</c:v>
                </c:pt>
                <c:pt idx="3261">
                  <c:v>13.18</c:v>
                </c:pt>
                <c:pt idx="3262">
                  <c:v>12.7</c:v>
                </c:pt>
                <c:pt idx="3263">
                  <c:v>12.81</c:v>
                </c:pt>
                <c:pt idx="3264">
                  <c:v>12.75</c:v>
                </c:pt>
                <c:pt idx="3265">
                  <c:v>12.95</c:v>
                </c:pt>
                <c:pt idx="3266">
                  <c:v>13.34</c:v>
                </c:pt>
                <c:pt idx="3267">
                  <c:v>13.23</c:v>
                </c:pt>
                <c:pt idx="3268">
                  <c:v>12.81</c:v>
                </c:pt>
                <c:pt idx="3269">
                  <c:v>12.92</c:v>
                </c:pt>
                <c:pt idx="3270">
                  <c:v>13.47</c:v>
                </c:pt>
                <c:pt idx="3271">
                  <c:v>14.42</c:v>
                </c:pt>
                <c:pt idx="3272">
                  <c:v>14.07</c:v>
                </c:pt>
                <c:pt idx="3273">
                  <c:v>14.02</c:v>
                </c:pt>
                <c:pt idx="3274">
                  <c:v>14.43</c:v>
                </c:pt>
                <c:pt idx="3275">
                  <c:v>14.39</c:v>
                </c:pt>
                <c:pt idx="3276">
                  <c:v>13.66</c:v>
                </c:pt>
                <c:pt idx="3277">
                  <c:v>14.38</c:v>
                </c:pt>
                <c:pt idx="3278">
                  <c:v>14.48</c:v>
                </c:pt>
                <c:pt idx="3279">
                  <c:v>14.55</c:v>
                </c:pt>
                <c:pt idx="3280">
                  <c:v>14.73</c:v>
                </c:pt>
                <c:pt idx="3281">
                  <c:v>13.89</c:v>
                </c:pt>
                <c:pt idx="3282">
                  <c:v>13.64</c:v>
                </c:pt>
                <c:pt idx="3283">
                  <c:v>14.02</c:v>
                </c:pt>
                <c:pt idx="3284">
                  <c:v>14.29</c:v>
                </c:pt>
                <c:pt idx="3285">
                  <c:v>14.14</c:v>
                </c:pt>
                <c:pt idx="3286">
                  <c:v>14.18</c:v>
                </c:pt>
                <c:pt idx="3287">
                  <c:v>14.74</c:v>
                </c:pt>
                <c:pt idx="3288">
                  <c:v>14.85</c:v>
                </c:pt>
                <c:pt idx="3289">
                  <c:v>14.8</c:v>
                </c:pt>
                <c:pt idx="3290">
                  <c:v>15.15</c:v>
                </c:pt>
                <c:pt idx="3291">
                  <c:v>15.54</c:v>
                </c:pt>
                <c:pt idx="3292">
                  <c:v>15.1</c:v>
                </c:pt>
                <c:pt idx="3293">
                  <c:v>14.52</c:v>
                </c:pt>
                <c:pt idx="3294">
                  <c:v>14.76</c:v>
                </c:pt>
                <c:pt idx="3295">
                  <c:v>14.91</c:v>
                </c:pt>
                <c:pt idx="3296">
                  <c:v>15.17</c:v>
                </c:pt>
                <c:pt idx="3297">
                  <c:v>15.18</c:v>
                </c:pt>
                <c:pt idx="3298">
                  <c:v>14.96</c:v>
                </c:pt>
                <c:pt idx="3299">
                  <c:v>14.87</c:v>
                </c:pt>
                <c:pt idx="3300">
                  <c:v>14.98</c:v>
                </c:pt>
                <c:pt idx="3301">
                  <c:v>15.28</c:v>
                </c:pt>
                <c:pt idx="3302">
                  <c:v>14.94</c:v>
                </c:pt>
                <c:pt idx="3303">
                  <c:v>15.09</c:v>
                </c:pt>
                <c:pt idx="3304">
                  <c:v>15.84</c:v>
                </c:pt>
                <c:pt idx="3305">
                  <c:v>16.579999999999998</c:v>
                </c:pt>
                <c:pt idx="3306">
                  <c:v>16.62</c:v>
                </c:pt>
                <c:pt idx="3307">
                  <c:v>16.3</c:v>
                </c:pt>
                <c:pt idx="3308">
                  <c:v>16.649999999999999</c:v>
                </c:pt>
                <c:pt idx="3309">
                  <c:v>16.64</c:v>
                </c:pt>
                <c:pt idx="3310">
                  <c:v>16.190000000000001</c:v>
                </c:pt>
                <c:pt idx="3311">
                  <c:v>16.399999999999999</c:v>
                </c:pt>
                <c:pt idx="3312">
                  <c:v>16.32</c:v>
                </c:pt>
                <c:pt idx="3313">
                  <c:v>16.190000000000001</c:v>
                </c:pt>
                <c:pt idx="3314">
                  <c:v>16.399999999999999</c:v>
                </c:pt>
                <c:pt idx="3315">
                  <c:v>16.399999999999999</c:v>
                </c:pt>
                <c:pt idx="3316">
                  <c:v>15.96</c:v>
                </c:pt>
                <c:pt idx="3317">
                  <c:v>15.6</c:v>
                </c:pt>
                <c:pt idx="3318">
                  <c:v>15.34</c:v>
                </c:pt>
                <c:pt idx="3319">
                  <c:v>15.8</c:v>
                </c:pt>
                <c:pt idx="3320">
                  <c:v>14.71</c:v>
                </c:pt>
                <c:pt idx="3321">
                  <c:v>14.68</c:v>
                </c:pt>
                <c:pt idx="3322">
                  <c:v>15.45</c:v>
                </c:pt>
                <c:pt idx="3323">
                  <c:v>15.53</c:v>
                </c:pt>
                <c:pt idx="3324">
                  <c:v>15.74</c:v>
                </c:pt>
                <c:pt idx="3325">
                  <c:v>15.9</c:v>
                </c:pt>
                <c:pt idx="3326">
                  <c:v>15.66</c:v>
                </c:pt>
                <c:pt idx="3327">
                  <c:v>15.41</c:v>
                </c:pt>
                <c:pt idx="3328">
                  <c:v>14.99</c:v>
                </c:pt>
                <c:pt idx="3329">
                  <c:v>14.91</c:v>
                </c:pt>
                <c:pt idx="3330">
                  <c:v>14.44</c:v>
                </c:pt>
                <c:pt idx="3331">
                  <c:v>14.38</c:v>
                </c:pt>
                <c:pt idx="3332">
                  <c:v>14.55</c:v>
                </c:pt>
                <c:pt idx="3333">
                  <c:v>14.93</c:v>
                </c:pt>
                <c:pt idx="3334">
                  <c:v>15.01</c:v>
                </c:pt>
                <c:pt idx="3335">
                  <c:v>15.18</c:v>
                </c:pt>
                <c:pt idx="3336">
                  <c:v>15.71</c:v>
                </c:pt>
                <c:pt idx="3337">
                  <c:v>16.190000000000001</c:v>
                </c:pt>
                <c:pt idx="3338">
                  <c:v>16.84</c:v>
                </c:pt>
                <c:pt idx="3339">
                  <c:v>17.010000000000002</c:v>
                </c:pt>
                <c:pt idx="3340">
                  <c:v>16.75</c:v>
                </c:pt>
                <c:pt idx="3341">
                  <c:v>17.37</c:v>
                </c:pt>
                <c:pt idx="3342">
                  <c:v>17.36</c:v>
                </c:pt>
                <c:pt idx="3343">
                  <c:v>17.48</c:v>
                </c:pt>
                <c:pt idx="3344">
                  <c:v>17</c:v>
                </c:pt>
                <c:pt idx="3345">
                  <c:v>17.22</c:v>
                </c:pt>
                <c:pt idx="3346">
                  <c:v>15.14</c:v>
                </c:pt>
                <c:pt idx="3347">
                  <c:v>14.6</c:v>
                </c:pt>
                <c:pt idx="3348">
                  <c:v>14.32</c:v>
                </c:pt>
                <c:pt idx="3349">
                  <c:v>14.34</c:v>
                </c:pt>
                <c:pt idx="3350">
                  <c:v>14.51</c:v>
                </c:pt>
                <c:pt idx="3351">
                  <c:v>14.67</c:v>
                </c:pt>
                <c:pt idx="3352">
                  <c:v>14.74</c:v>
                </c:pt>
                <c:pt idx="3353">
                  <c:v>14.62</c:v>
                </c:pt>
                <c:pt idx="3354">
                  <c:v>14.63</c:v>
                </c:pt>
                <c:pt idx="3355">
                  <c:v>14.46</c:v>
                </c:pt>
                <c:pt idx="3356">
                  <c:v>14.68</c:v>
                </c:pt>
                <c:pt idx="3357">
                  <c:v>15.04</c:v>
                </c:pt>
                <c:pt idx="3358">
                  <c:v>15.04</c:v>
                </c:pt>
                <c:pt idx="3359">
                  <c:v>14.56</c:v>
                </c:pt>
                <c:pt idx="3360">
                  <c:v>14.75</c:v>
                </c:pt>
                <c:pt idx="3361">
                  <c:v>14.79</c:v>
                </c:pt>
                <c:pt idx="3362">
                  <c:v>14.77</c:v>
                </c:pt>
                <c:pt idx="3363">
                  <c:v>14.79</c:v>
                </c:pt>
                <c:pt idx="3364">
                  <c:v>14.99</c:v>
                </c:pt>
                <c:pt idx="3365">
                  <c:v>15.07</c:v>
                </c:pt>
                <c:pt idx="3366">
                  <c:v>14.93</c:v>
                </c:pt>
                <c:pt idx="3367">
                  <c:v>14.93</c:v>
                </c:pt>
                <c:pt idx="3368">
                  <c:v>14.85</c:v>
                </c:pt>
                <c:pt idx="3369">
                  <c:v>14.61</c:v>
                </c:pt>
                <c:pt idx="3370">
                  <c:v>14.18</c:v>
                </c:pt>
                <c:pt idx="3371">
                  <c:v>14.23</c:v>
                </c:pt>
                <c:pt idx="3372">
                  <c:v>14.28</c:v>
                </c:pt>
                <c:pt idx="3373">
                  <c:v>14.5</c:v>
                </c:pt>
                <c:pt idx="3374">
                  <c:v>14.49</c:v>
                </c:pt>
                <c:pt idx="3375">
                  <c:v>14.78</c:v>
                </c:pt>
                <c:pt idx="3376">
                  <c:v>15.45</c:v>
                </c:pt>
                <c:pt idx="3377">
                  <c:v>15.59</c:v>
                </c:pt>
                <c:pt idx="3378">
                  <c:v>15.57</c:v>
                </c:pt>
                <c:pt idx="3379">
                  <c:v>16.41</c:v>
                </c:pt>
                <c:pt idx="3380">
                  <c:v>16.989999999999998</c:v>
                </c:pt>
                <c:pt idx="3381">
                  <c:v>17.5</c:v>
                </c:pt>
                <c:pt idx="3382">
                  <c:v>17.39</c:v>
                </c:pt>
                <c:pt idx="3383">
                  <c:v>17.04</c:v>
                </c:pt>
                <c:pt idx="3384">
                  <c:v>16.86</c:v>
                </c:pt>
                <c:pt idx="3385">
                  <c:v>17.21</c:v>
                </c:pt>
                <c:pt idx="3386">
                  <c:v>16.89</c:v>
                </c:pt>
                <c:pt idx="3387">
                  <c:v>17.079999999999998</c:v>
                </c:pt>
                <c:pt idx="3388">
                  <c:v>17.47</c:v>
                </c:pt>
                <c:pt idx="3389">
                  <c:v>17.45</c:v>
                </c:pt>
                <c:pt idx="3390">
                  <c:v>17.809999999999999</c:v>
                </c:pt>
                <c:pt idx="3391">
                  <c:v>17.39</c:v>
                </c:pt>
                <c:pt idx="3392">
                  <c:v>16.84</c:v>
                </c:pt>
                <c:pt idx="3393">
                  <c:v>16.8</c:v>
                </c:pt>
                <c:pt idx="3394">
                  <c:v>17.3</c:v>
                </c:pt>
                <c:pt idx="3395">
                  <c:v>17.489999999999998</c:v>
                </c:pt>
                <c:pt idx="3396">
                  <c:v>17.579999999999998</c:v>
                </c:pt>
                <c:pt idx="3397">
                  <c:v>16.87</c:v>
                </c:pt>
                <c:pt idx="3398">
                  <c:v>16.75</c:v>
                </c:pt>
                <c:pt idx="3399">
                  <c:v>16.88</c:v>
                </c:pt>
                <c:pt idx="3400">
                  <c:v>16.95</c:v>
                </c:pt>
                <c:pt idx="3401">
                  <c:v>16.52</c:v>
                </c:pt>
                <c:pt idx="3402">
                  <c:v>16.809999999999999</c:v>
                </c:pt>
                <c:pt idx="3403">
                  <c:v>17.22</c:v>
                </c:pt>
                <c:pt idx="3404">
                  <c:v>17.170000000000002</c:v>
                </c:pt>
                <c:pt idx="3405">
                  <c:v>17.66</c:v>
                </c:pt>
                <c:pt idx="3406">
                  <c:v>17.670000000000002</c:v>
                </c:pt>
                <c:pt idx="3407">
                  <c:v>17.22</c:v>
                </c:pt>
                <c:pt idx="3408">
                  <c:v>16.87</c:v>
                </c:pt>
                <c:pt idx="3409">
                  <c:v>16.690000000000001</c:v>
                </c:pt>
                <c:pt idx="3410">
                  <c:v>16.04</c:v>
                </c:pt>
                <c:pt idx="3411">
                  <c:v>16.13</c:v>
                </c:pt>
                <c:pt idx="3412">
                  <c:v>15.9</c:v>
                </c:pt>
                <c:pt idx="3413">
                  <c:v>15.85</c:v>
                </c:pt>
                <c:pt idx="3414">
                  <c:v>15.7</c:v>
                </c:pt>
                <c:pt idx="3415">
                  <c:v>15.69</c:v>
                </c:pt>
                <c:pt idx="3416">
                  <c:v>15.9</c:v>
                </c:pt>
                <c:pt idx="3417">
                  <c:v>15.94</c:v>
                </c:pt>
                <c:pt idx="3418">
                  <c:v>16.02</c:v>
                </c:pt>
                <c:pt idx="3419">
                  <c:v>16.04</c:v>
                </c:pt>
                <c:pt idx="3420">
                  <c:v>16.09</c:v>
                </c:pt>
                <c:pt idx="3421">
                  <c:v>16</c:v>
                </c:pt>
                <c:pt idx="3422">
                  <c:v>15.93</c:v>
                </c:pt>
                <c:pt idx="3423">
                  <c:v>16.07</c:v>
                </c:pt>
                <c:pt idx="3424">
                  <c:v>16.05</c:v>
                </c:pt>
                <c:pt idx="3425">
                  <c:v>15.98</c:v>
                </c:pt>
                <c:pt idx="3426">
                  <c:v>15.61</c:v>
                </c:pt>
                <c:pt idx="3427">
                  <c:v>15.38</c:v>
                </c:pt>
                <c:pt idx="3428">
                  <c:v>15.45</c:v>
                </c:pt>
                <c:pt idx="3429">
                  <c:v>15.24</c:v>
                </c:pt>
                <c:pt idx="3430">
                  <c:v>15.3</c:v>
                </c:pt>
                <c:pt idx="3431">
                  <c:v>15</c:v>
                </c:pt>
                <c:pt idx="3432">
                  <c:v>14.97</c:v>
                </c:pt>
                <c:pt idx="3433">
                  <c:v>15.13</c:v>
                </c:pt>
                <c:pt idx="3434">
                  <c:v>15.31</c:v>
                </c:pt>
                <c:pt idx="3435">
                  <c:v>15.11</c:v>
                </c:pt>
                <c:pt idx="3436">
                  <c:v>15.19</c:v>
                </c:pt>
                <c:pt idx="3437">
                  <c:v>15.45</c:v>
                </c:pt>
                <c:pt idx="3438">
                  <c:v>15.45</c:v>
                </c:pt>
                <c:pt idx="3439">
                  <c:v>15.18</c:v>
                </c:pt>
                <c:pt idx="3440">
                  <c:v>15.49</c:v>
                </c:pt>
                <c:pt idx="3441">
                  <c:v>15.74</c:v>
                </c:pt>
                <c:pt idx="3442">
                  <c:v>15.81</c:v>
                </c:pt>
                <c:pt idx="3443">
                  <c:v>15.74</c:v>
                </c:pt>
                <c:pt idx="3444">
                  <c:v>15.79</c:v>
                </c:pt>
                <c:pt idx="3445">
                  <c:v>15.82</c:v>
                </c:pt>
                <c:pt idx="3446">
                  <c:v>16.14</c:v>
                </c:pt>
                <c:pt idx="3447">
                  <c:v>15.88</c:v>
                </c:pt>
                <c:pt idx="3448">
                  <c:v>15.98</c:v>
                </c:pt>
                <c:pt idx="3449">
                  <c:v>16.670000000000002</c:v>
                </c:pt>
                <c:pt idx="3450">
                  <c:v>16.72</c:v>
                </c:pt>
                <c:pt idx="3451">
                  <c:v>16.88</c:v>
                </c:pt>
                <c:pt idx="3452">
                  <c:v>16.920000000000002</c:v>
                </c:pt>
                <c:pt idx="3453">
                  <c:v>16.98</c:v>
                </c:pt>
                <c:pt idx="3454">
                  <c:v>16.78</c:v>
                </c:pt>
                <c:pt idx="3455">
                  <c:v>17.100000000000001</c:v>
                </c:pt>
                <c:pt idx="3456">
                  <c:v>17.23</c:v>
                </c:pt>
                <c:pt idx="3457">
                  <c:v>17.170000000000002</c:v>
                </c:pt>
                <c:pt idx="3458">
                  <c:v>16.7</c:v>
                </c:pt>
                <c:pt idx="3459">
                  <c:v>16.7</c:v>
                </c:pt>
                <c:pt idx="3460">
                  <c:v>16.739999999999998</c:v>
                </c:pt>
                <c:pt idx="3461">
                  <c:v>16.68</c:v>
                </c:pt>
                <c:pt idx="3462">
                  <c:v>16.899999999999999</c:v>
                </c:pt>
                <c:pt idx="3463">
                  <c:v>17.12</c:v>
                </c:pt>
                <c:pt idx="3464">
                  <c:v>16.82</c:v>
                </c:pt>
                <c:pt idx="3465">
                  <c:v>16.75</c:v>
                </c:pt>
                <c:pt idx="3466">
                  <c:v>16.38</c:v>
                </c:pt>
                <c:pt idx="3467">
                  <c:v>16.2</c:v>
                </c:pt>
                <c:pt idx="3468">
                  <c:v>15.88</c:v>
                </c:pt>
                <c:pt idx="3469">
                  <c:v>15.86</c:v>
                </c:pt>
                <c:pt idx="3470">
                  <c:v>15.99</c:v>
                </c:pt>
                <c:pt idx="3471">
                  <c:v>15.98</c:v>
                </c:pt>
                <c:pt idx="3472">
                  <c:v>15.44</c:v>
                </c:pt>
                <c:pt idx="3473">
                  <c:v>15.01</c:v>
                </c:pt>
                <c:pt idx="3474">
                  <c:v>15.05</c:v>
                </c:pt>
                <c:pt idx="3475">
                  <c:v>15.17</c:v>
                </c:pt>
                <c:pt idx="3476">
                  <c:v>15.46</c:v>
                </c:pt>
                <c:pt idx="3477">
                  <c:v>15.01</c:v>
                </c:pt>
                <c:pt idx="3478">
                  <c:v>15.19</c:v>
                </c:pt>
                <c:pt idx="3479">
                  <c:v>14.99</c:v>
                </c:pt>
                <c:pt idx="3480">
                  <c:v>15.07</c:v>
                </c:pt>
                <c:pt idx="3481">
                  <c:v>14.8</c:v>
                </c:pt>
                <c:pt idx="3482">
                  <c:v>15.22</c:v>
                </c:pt>
                <c:pt idx="3483">
                  <c:v>15.17</c:v>
                </c:pt>
                <c:pt idx="3484">
                  <c:v>15.41</c:v>
                </c:pt>
                <c:pt idx="3485">
                  <c:v>15.44</c:v>
                </c:pt>
                <c:pt idx="3486">
                  <c:v>15.54</c:v>
                </c:pt>
                <c:pt idx="3487">
                  <c:v>15.58</c:v>
                </c:pt>
                <c:pt idx="3488">
                  <c:v>15.49</c:v>
                </c:pt>
                <c:pt idx="3489">
                  <c:v>15.38</c:v>
                </c:pt>
                <c:pt idx="3490">
                  <c:v>15.59</c:v>
                </c:pt>
                <c:pt idx="3491">
                  <c:v>15.24</c:v>
                </c:pt>
                <c:pt idx="3492">
                  <c:v>15.31</c:v>
                </c:pt>
                <c:pt idx="3493">
                  <c:v>15.79</c:v>
                </c:pt>
                <c:pt idx="3494">
                  <c:v>15.73</c:v>
                </c:pt>
                <c:pt idx="3495">
                  <c:v>15.57</c:v>
                </c:pt>
                <c:pt idx="3496">
                  <c:v>15.81</c:v>
                </c:pt>
                <c:pt idx="3497">
                  <c:v>16.059999999999999</c:v>
                </c:pt>
                <c:pt idx="3498">
                  <c:v>16.52</c:v>
                </c:pt>
                <c:pt idx="3499">
                  <c:v>16.53</c:v>
                </c:pt>
                <c:pt idx="3500">
                  <c:v>16.79</c:v>
                </c:pt>
                <c:pt idx="3501">
                  <c:v>16.53</c:v>
                </c:pt>
                <c:pt idx="3502">
                  <c:v>16.32</c:v>
                </c:pt>
                <c:pt idx="3503">
                  <c:v>16.46</c:v>
                </c:pt>
                <c:pt idx="3504">
                  <c:v>16.36</c:v>
                </c:pt>
                <c:pt idx="3505">
                  <c:v>16.5</c:v>
                </c:pt>
                <c:pt idx="3506">
                  <c:v>16.559999999999999</c:v>
                </c:pt>
                <c:pt idx="3507">
                  <c:v>16.440000000000001</c:v>
                </c:pt>
                <c:pt idx="3508">
                  <c:v>16.34</c:v>
                </c:pt>
                <c:pt idx="3509">
                  <c:v>16.03</c:v>
                </c:pt>
                <c:pt idx="3510">
                  <c:v>16.09</c:v>
                </c:pt>
                <c:pt idx="3511">
                  <c:v>16.32</c:v>
                </c:pt>
                <c:pt idx="3512">
                  <c:v>16.54</c:v>
                </c:pt>
                <c:pt idx="3513">
                  <c:v>16.559999999999999</c:v>
                </c:pt>
                <c:pt idx="3514">
                  <c:v>16.61</c:v>
                </c:pt>
                <c:pt idx="3515">
                  <c:v>16.53</c:v>
                </c:pt>
                <c:pt idx="3516">
                  <c:v>16.29</c:v>
                </c:pt>
                <c:pt idx="3517">
                  <c:v>16.510000000000002</c:v>
                </c:pt>
                <c:pt idx="3518">
                  <c:v>16.920000000000002</c:v>
                </c:pt>
                <c:pt idx="3519">
                  <c:v>16.87</c:v>
                </c:pt>
                <c:pt idx="3520">
                  <c:v>17.350000000000001</c:v>
                </c:pt>
                <c:pt idx="3521">
                  <c:v>17.52</c:v>
                </c:pt>
                <c:pt idx="3522">
                  <c:v>17.64</c:v>
                </c:pt>
                <c:pt idx="3523">
                  <c:v>18.18</c:v>
                </c:pt>
                <c:pt idx="3524">
                  <c:v>18.38</c:v>
                </c:pt>
                <c:pt idx="3525">
                  <c:v>18.97</c:v>
                </c:pt>
                <c:pt idx="3526">
                  <c:v>18.170000000000002</c:v>
                </c:pt>
                <c:pt idx="3527">
                  <c:v>18.39</c:v>
                </c:pt>
                <c:pt idx="3528">
                  <c:v>18.38</c:v>
                </c:pt>
                <c:pt idx="3529">
                  <c:v>17.45</c:v>
                </c:pt>
                <c:pt idx="3530">
                  <c:v>17.72</c:v>
                </c:pt>
                <c:pt idx="3531">
                  <c:v>17.64</c:v>
                </c:pt>
                <c:pt idx="3532">
                  <c:v>17.39</c:v>
                </c:pt>
                <c:pt idx="3533">
                  <c:v>16.920000000000002</c:v>
                </c:pt>
                <c:pt idx="3534">
                  <c:v>16.75</c:v>
                </c:pt>
                <c:pt idx="3535">
                  <c:v>16.97</c:v>
                </c:pt>
                <c:pt idx="3536">
                  <c:v>16.53</c:v>
                </c:pt>
                <c:pt idx="3537">
                  <c:v>16.95</c:v>
                </c:pt>
                <c:pt idx="3538">
                  <c:v>16.32</c:v>
                </c:pt>
                <c:pt idx="3539">
                  <c:v>16.489999999999998</c:v>
                </c:pt>
                <c:pt idx="3540">
                  <c:v>15.92</c:v>
                </c:pt>
                <c:pt idx="3541">
                  <c:v>15.29</c:v>
                </c:pt>
                <c:pt idx="3542">
                  <c:v>16.329999999999998</c:v>
                </c:pt>
                <c:pt idx="3543">
                  <c:v>16.41</c:v>
                </c:pt>
                <c:pt idx="3544">
                  <c:v>16.47</c:v>
                </c:pt>
                <c:pt idx="3545">
                  <c:v>16.14</c:v>
                </c:pt>
                <c:pt idx="3546">
                  <c:v>16.39</c:v>
                </c:pt>
                <c:pt idx="3547">
                  <c:v>16.27</c:v>
                </c:pt>
                <c:pt idx="3548">
                  <c:v>16.03</c:v>
                </c:pt>
                <c:pt idx="3549">
                  <c:v>15.79</c:v>
                </c:pt>
                <c:pt idx="3550">
                  <c:v>15.1</c:v>
                </c:pt>
                <c:pt idx="3551">
                  <c:v>15.48</c:v>
                </c:pt>
                <c:pt idx="3552">
                  <c:v>15.54</c:v>
                </c:pt>
                <c:pt idx="3553">
                  <c:v>15.31</c:v>
                </c:pt>
                <c:pt idx="3554">
                  <c:v>15.45</c:v>
                </c:pt>
                <c:pt idx="3555">
                  <c:v>15.69</c:v>
                </c:pt>
                <c:pt idx="3556">
                  <c:v>15.34</c:v>
                </c:pt>
                <c:pt idx="3557">
                  <c:v>15.02</c:v>
                </c:pt>
                <c:pt idx="3558">
                  <c:v>15.18</c:v>
                </c:pt>
                <c:pt idx="3559">
                  <c:v>15.43</c:v>
                </c:pt>
                <c:pt idx="3560">
                  <c:v>15</c:v>
                </c:pt>
                <c:pt idx="3561">
                  <c:v>14.94</c:v>
                </c:pt>
                <c:pt idx="3562">
                  <c:v>14.79</c:v>
                </c:pt>
                <c:pt idx="3563">
                  <c:v>14.69</c:v>
                </c:pt>
                <c:pt idx="3564">
                  <c:v>15.1</c:v>
                </c:pt>
                <c:pt idx="3565">
                  <c:v>15.29</c:v>
                </c:pt>
                <c:pt idx="3566">
                  <c:v>15.17</c:v>
                </c:pt>
                <c:pt idx="3567">
                  <c:v>15.65</c:v>
                </c:pt>
                <c:pt idx="3568">
                  <c:v>15.49</c:v>
                </c:pt>
                <c:pt idx="3569">
                  <c:v>15.6</c:v>
                </c:pt>
                <c:pt idx="3570">
                  <c:v>15.54</c:v>
                </c:pt>
                <c:pt idx="3571">
                  <c:v>15.21</c:v>
                </c:pt>
                <c:pt idx="3572">
                  <c:v>15.09</c:v>
                </c:pt>
                <c:pt idx="3573">
                  <c:v>15.23</c:v>
                </c:pt>
                <c:pt idx="3574">
                  <c:v>14.83</c:v>
                </c:pt>
                <c:pt idx="3575">
                  <c:v>14.81</c:v>
                </c:pt>
                <c:pt idx="3576">
                  <c:v>14.73</c:v>
                </c:pt>
                <c:pt idx="3577">
                  <c:v>14.04</c:v>
                </c:pt>
                <c:pt idx="3578">
                  <c:v>13.84</c:v>
                </c:pt>
                <c:pt idx="3579">
                  <c:v>14.09</c:v>
                </c:pt>
                <c:pt idx="3580">
                  <c:v>14.07</c:v>
                </c:pt>
                <c:pt idx="3581">
                  <c:v>14.13</c:v>
                </c:pt>
                <c:pt idx="3582">
                  <c:v>14.4</c:v>
                </c:pt>
                <c:pt idx="3583">
                  <c:v>14.6</c:v>
                </c:pt>
                <c:pt idx="3584">
                  <c:v>14.89</c:v>
                </c:pt>
                <c:pt idx="3585">
                  <c:v>14.94</c:v>
                </c:pt>
                <c:pt idx="3586">
                  <c:v>15.52</c:v>
                </c:pt>
                <c:pt idx="3587">
                  <c:v>15.37</c:v>
                </c:pt>
                <c:pt idx="3588">
                  <c:v>15.37</c:v>
                </c:pt>
                <c:pt idx="3589">
                  <c:v>14.9</c:v>
                </c:pt>
                <c:pt idx="3590">
                  <c:v>15.1</c:v>
                </c:pt>
                <c:pt idx="3591">
                  <c:v>15.2</c:v>
                </c:pt>
                <c:pt idx="3592">
                  <c:v>13.91</c:v>
                </c:pt>
                <c:pt idx="3593">
                  <c:v>13.88</c:v>
                </c:pt>
                <c:pt idx="3594">
                  <c:v>13.99</c:v>
                </c:pt>
                <c:pt idx="3595">
                  <c:v>14.15</c:v>
                </c:pt>
                <c:pt idx="3596">
                  <c:v>13.95</c:v>
                </c:pt>
                <c:pt idx="3597">
                  <c:v>13.87</c:v>
                </c:pt>
                <c:pt idx="3598">
                  <c:v>13.76</c:v>
                </c:pt>
                <c:pt idx="3599">
                  <c:v>13.88</c:v>
                </c:pt>
                <c:pt idx="3600">
                  <c:v>14</c:v>
                </c:pt>
                <c:pt idx="3601">
                  <c:v>13.94</c:v>
                </c:pt>
                <c:pt idx="3602">
                  <c:v>14.18</c:v>
                </c:pt>
                <c:pt idx="3603">
                  <c:v>14.16</c:v>
                </c:pt>
                <c:pt idx="3604">
                  <c:v>14.34</c:v>
                </c:pt>
                <c:pt idx="3605">
                  <c:v>14.4</c:v>
                </c:pt>
                <c:pt idx="3606">
                  <c:v>14.35</c:v>
                </c:pt>
                <c:pt idx="3607">
                  <c:v>13.87</c:v>
                </c:pt>
                <c:pt idx="3608">
                  <c:v>13.85</c:v>
                </c:pt>
                <c:pt idx="3609">
                  <c:v>13.83</c:v>
                </c:pt>
                <c:pt idx="3610">
                  <c:v>13.79</c:v>
                </c:pt>
                <c:pt idx="3611">
                  <c:v>13.94</c:v>
                </c:pt>
                <c:pt idx="3612">
                  <c:v>13.99</c:v>
                </c:pt>
                <c:pt idx="3613">
                  <c:v>13.85</c:v>
                </c:pt>
                <c:pt idx="3614">
                  <c:v>13.79</c:v>
                </c:pt>
                <c:pt idx="3615">
                  <c:v>13.65</c:v>
                </c:pt>
                <c:pt idx="3616">
                  <c:v>13.4</c:v>
                </c:pt>
                <c:pt idx="3617">
                  <c:v>13.26</c:v>
                </c:pt>
                <c:pt idx="3618">
                  <c:v>13.21</c:v>
                </c:pt>
                <c:pt idx="3619">
                  <c:v>13.43</c:v>
                </c:pt>
                <c:pt idx="3620">
                  <c:v>13.18</c:v>
                </c:pt>
                <c:pt idx="3621">
                  <c:v>13.11</c:v>
                </c:pt>
                <c:pt idx="3622">
                  <c:v>13.37</c:v>
                </c:pt>
                <c:pt idx="3623">
                  <c:v>13.51</c:v>
                </c:pt>
                <c:pt idx="3624">
                  <c:v>13.62</c:v>
                </c:pt>
                <c:pt idx="3625">
                  <c:v>13.53</c:v>
                </c:pt>
                <c:pt idx="3626">
                  <c:v>13.75</c:v>
                </c:pt>
                <c:pt idx="3627">
                  <c:v>13.65</c:v>
                </c:pt>
                <c:pt idx="3628">
                  <c:v>13.68</c:v>
                </c:pt>
                <c:pt idx="3629">
                  <c:v>13.73</c:v>
                </c:pt>
                <c:pt idx="3630">
                  <c:v>13.63</c:v>
                </c:pt>
                <c:pt idx="3631">
                  <c:v>14.27</c:v>
                </c:pt>
                <c:pt idx="3632">
                  <c:v>14.19</c:v>
                </c:pt>
                <c:pt idx="3633">
                  <c:v>13.89</c:v>
                </c:pt>
                <c:pt idx="3634">
                  <c:v>13.86</c:v>
                </c:pt>
                <c:pt idx="3635">
                  <c:v>14.18</c:v>
                </c:pt>
                <c:pt idx="3636">
                  <c:v>14.04</c:v>
                </c:pt>
                <c:pt idx="3637">
                  <c:v>14.17</c:v>
                </c:pt>
                <c:pt idx="3638">
                  <c:v>14.5</c:v>
                </c:pt>
                <c:pt idx="3639">
                  <c:v>14.28</c:v>
                </c:pt>
                <c:pt idx="3640">
                  <c:v>14.39</c:v>
                </c:pt>
                <c:pt idx="3641">
                  <c:v>14.34</c:v>
                </c:pt>
                <c:pt idx="3642">
                  <c:v>14.17</c:v>
                </c:pt>
                <c:pt idx="3643">
                  <c:v>14.27</c:v>
                </c:pt>
                <c:pt idx="3644">
                  <c:v>14.28</c:v>
                </c:pt>
                <c:pt idx="3645">
                  <c:v>14.61</c:v>
                </c:pt>
                <c:pt idx="3646">
                  <c:v>14.52</c:v>
                </c:pt>
                <c:pt idx="3647">
                  <c:v>14.23</c:v>
                </c:pt>
                <c:pt idx="3648">
                  <c:v>14.49</c:v>
                </c:pt>
                <c:pt idx="3649">
                  <c:v>14.41</c:v>
                </c:pt>
                <c:pt idx="3650">
                  <c:v>14.43</c:v>
                </c:pt>
                <c:pt idx="3651">
                  <c:v>15.25</c:v>
                </c:pt>
                <c:pt idx="3652">
                  <c:v>15.93</c:v>
                </c:pt>
                <c:pt idx="3653">
                  <c:v>16.25</c:v>
                </c:pt>
                <c:pt idx="3654">
                  <c:v>15.93</c:v>
                </c:pt>
                <c:pt idx="3655">
                  <c:v>15.49</c:v>
                </c:pt>
                <c:pt idx="3656">
                  <c:v>15.8</c:v>
                </c:pt>
                <c:pt idx="3657">
                  <c:v>15.97</c:v>
                </c:pt>
                <c:pt idx="3658">
                  <c:v>16.309999999999999</c:v>
                </c:pt>
                <c:pt idx="3659">
                  <c:v>16.399999999999999</c:v>
                </c:pt>
                <c:pt idx="3660">
                  <c:v>16.46</c:v>
                </c:pt>
                <c:pt idx="3661">
                  <c:v>16.420000000000002</c:v>
                </c:pt>
                <c:pt idx="3662">
                  <c:v>16.399999999999999</c:v>
                </c:pt>
                <c:pt idx="3663">
                  <c:v>16.489999999999998</c:v>
                </c:pt>
                <c:pt idx="3664">
                  <c:v>16.149999999999999</c:v>
                </c:pt>
                <c:pt idx="3665">
                  <c:v>16.190000000000001</c:v>
                </c:pt>
                <c:pt idx="3666">
                  <c:v>16.170000000000002</c:v>
                </c:pt>
                <c:pt idx="3667">
                  <c:v>16.2</c:v>
                </c:pt>
                <c:pt idx="3668">
                  <c:v>16.27</c:v>
                </c:pt>
                <c:pt idx="3669">
                  <c:v>16.440000000000001</c:v>
                </c:pt>
                <c:pt idx="3670">
                  <c:v>16.97</c:v>
                </c:pt>
                <c:pt idx="3671">
                  <c:v>16.940000000000001</c:v>
                </c:pt>
                <c:pt idx="3672">
                  <c:v>16.8</c:v>
                </c:pt>
                <c:pt idx="3673">
                  <c:v>16.55</c:v>
                </c:pt>
                <c:pt idx="3674">
                  <c:v>16.600000000000001</c:v>
                </c:pt>
                <c:pt idx="3675">
                  <c:v>16.239999999999998</c:v>
                </c:pt>
                <c:pt idx="3676">
                  <c:v>16.149999999999999</c:v>
                </c:pt>
                <c:pt idx="3677">
                  <c:v>16.989999999999998</c:v>
                </c:pt>
                <c:pt idx="3678">
                  <c:v>16.57</c:v>
                </c:pt>
                <c:pt idx="3679">
                  <c:v>16.559999999999999</c:v>
                </c:pt>
                <c:pt idx="3680">
                  <c:v>16.190000000000001</c:v>
                </c:pt>
                <c:pt idx="3681">
                  <c:v>16.41</c:v>
                </c:pt>
                <c:pt idx="3682">
                  <c:v>16.22</c:v>
                </c:pt>
                <c:pt idx="3683">
                  <c:v>16.38</c:v>
                </c:pt>
                <c:pt idx="3684">
                  <c:v>15.82</c:v>
                </c:pt>
                <c:pt idx="3685">
                  <c:v>16.149999999999999</c:v>
                </c:pt>
                <c:pt idx="3686">
                  <c:v>16.329999999999998</c:v>
                </c:pt>
                <c:pt idx="3687">
                  <c:v>16.350000000000001</c:v>
                </c:pt>
                <c:pt idx="3688">
                  <c:v>16.329999999999998</c:v>
                </c:pt>
                <c:pt idx="3689">
                  <c:v>16.940000000000001</c:v>
                </c:pt>
                <c:pt idx="3690">
                  <c:v>17.02</c:v>
                </c:pt>
                <c:pt idx="3691">
                  <c:v>16.95</c:v>
                </c:pt>
                <c:pt idx="3692">
                  <c:v>17.010000000000002</c:v>
                </c:pt>
                <c:pt idx="3693">
                  <c:v>16.7</c:v>
                </c:pt>
                <c:pt idx="3694">
                  <c:v>16.63</c:v>
                </c:pt>
                <c:pt idx="3695">
                  <c:v>16.45</c:v>
                </c:pt>
                <c:pt idx="3696">
                  <c:v>16.510000000000002</c:v>
                </c:pt>
                <c:pt idx="3697">
                  <c:v>16.38</c:v>
                </c:pt>
                <c:pt idx="3698">
                  <c:v>16.28</c:v>
                </c:pt>
                <c:pt idx="3699">
                  <c:v>16.600000000000001</c:v>
                </c:pt>
                <c:pt idx="3700">
                  <c:v>16.63</c:v>
                </c:pt>
                <c:pt idx="3701">
                  <c:v>16.72</c:v>
                </c:pt>
                <c:pt idx="3702">
                  <c:v>16.48</c:v>
                </c:pt>
                <c:pt idx="3703">
                  <c:v>16.43</c:v>
                </c:pt>
                <c:pt idx="3704">
                  <c:v>16.61</c:v>
                </c:pt>
                <c:pt idx="3705">
                  <c:v>16.760000000000002</c:v>
                </c:pt>
                <c:pt idx="3706">
                  <c:v>16.63</c:v>
                </c:pt>
                <c:pt idx="3707">
                  <c:v>16.75</c:v>
                </c:pt>
                <c:pt idx="3708">
                  <c:v>16.59</c:v>
                </c:pt>
                <c:pt idx="3709">
                  <c:v>16.91</c:v>
                </c:pt>
                <c:pt idx="3710">
                  <c:v>17.059999999999999</c:v>
                </c:pt>
                <c:pt idx="3711">
                  <c:v>16.899999999999999</c:v>
                </c:pt>
                <c:pt idx="3712">
                  <c:v>16.600000000000001</c:v>
                </c:pt>
                <c:pt idx="3713">
                  <c:v>16.579999999999998</c:v>
                </c:pt>
                <c:pt idx="3714">
                  <c:v>16.649999999999999</c:v>
                </c:pt>
                <c:pt idx="3715">
                  <c:v>16.75</c:v>
                </c:pt>
                <c:pt idx="3716">
                  <c:v>16.809999999999999</c:v>
                </c:pt>
                <c:pt idx="3717">
                  <c:v>16.5</c:v>
                </c:pt>
                <c:pt idx="3718">
                  <c:v>16.309999999999999</c:v>
                </c:pt>
                <c:pt idx="3719">
                  <c:v>16.23</c:v>
                </c:pt>
                <c:pt idx="3720">
                  <c:v>15.97</c:v>
                </c:pt>
                <c:pt idx="3721">
                  <c:v>16.09</c:v>
                </c:pt>
                <c:pt idx="3722">
                  <c:v>16.02</c:v>
                </c:pt>
                <c:pt idx="3723">
                  <c:v>15.57</c:v>
                </c:pt>
                <c:pt idx="3724">
                  <c:v>16.2</c:v>
                </c:pt>
                <c:pt idx="3725">
                  <c:v>15.83</c:v>
                </c:pt>
                <c:pt idx="3726">
                  <c:v>16.12</c:v>
                </c:pt>
                <c:pt idx="3727">
                  <c:v>16.38</c:v>
                </c:pt>
                <c:pt idx="3728">
                  <c:v>16.57</c:v>
                </c:pt>
                <c:pt idx="3729">
                  <c:v>16.690000000000001</c:v>
                </c:pt>
                <c:pt idx="3730">
                  <c:v>16.79</c:v>
                </c:pt>
                <c:pt idx="3731">
                  <c:v>16.8</c:v>
                </c:pt>
                <c:pt idx="3732">
                  <c:v>16.600000000000001</c:v>
                </c:pt>
                <c:pt idx="3733">
                  <c:v>16.43</c:v>
                </c:pt>
                <c:pt idx="3734">
                  <c:v>16.62</c:v>
                </c:pt>
                <c:pt idx="3735">
                  <c:v>16.850000000000001</c:v>
                </c:pt>
                <c:pt idx="3736">
                  <c:v>16.89</c:v>
                </c:pt>
                <c:pt idx="3737">
                  <c:v>17.2</c:v>
                </c:pt>
                <c:pt idx="3738">
                  <c:v>17.760000000000002</c:v>
                </c:pt>
                <c:pt idx="3739">
                  <c:v>17.77</c:v>
                </c:pt>
                <c:pt idx="3740">
                  <c:v>17.66</c:v>
                </c:pt>
                <c:pt idx="3741">
                  <c:v>16.91</c:v>
                </c:pt>
                <c:pt idx="3742">
                  <c:v>16.579999999999998</c:v>
                </c:pt>
                <c:pt idx="3743">
                  <c:v>16.37</c:v>
                </c:pt>
                <c:pt idx="3744">
                  <c:v>16.5</c:v>
                </c:pt>
                <c:pt idx="3745">
                  <c:v>16.399999999999999</c:v>
                </c:pt>
                <c:pt idx="3746">
                  <c:v>16.100000000000001</c:v>
                </c:pt>
                <c:pt idx="3747">
                  <c:v>16.63</c:v>
                </c:pt>
                <c:pt idx="3748">
                  <c:v>16.86</c:v>
                </c:pt>
                <c:pt idx="3749">
                  <c:v>17.079999999999998</c:v>
                </c:pt>
                <c:pt idx="3750">
                  <c:v>16.7</c:v>
                </c:pt>
                <c:pt idx="3751">
                  <c:v>16.940000000000001</c:v>
                </c:pt>
                <c:pt idx="3752">
                  <c:v>17.649999999999999</c:v>
                </c:pt>
                <c:pt idx="3753">
                  <c:v>17.059999999999999</c:v>
                </c:pt>
                <c:pt idx="3754">
                  <c:v>17.420000000000002</c:v>
                </c:pt>
                <c:pt idx="3755">
                  <c:v>17.309999999999999</c:v>
                </c:pt>
                <c:pt idx="3756">
                  <c:v>16.329999999999998</c:v>
                </c:pt>
                <c:pt idx="3757">
                  <c:v>15.91</c:v>
                </c:pt>
                <c:pt idx="3758">
                  <c:v>15.86</c:v>
                </c:pt>
                <c:pt idx="3759">
                  <c:v>16.03</c:v>
                </c:pt>
                <c:pt idx="3760">
                  <c:v>16.29</c:v>
                </c:pt>
                <c:pt idx="3761">
                  <c:v>16.36</c:v>
                </c:pt>
                <c:pt idx="3762">
                  <c:v>16.13</c:v>
                </c:pt>
                <c:pt idx="3763">
                  <c:v>16.829999999999998</c:v>
                </c:pt>
                <c:pt idx="3764">
                  <c:v>16.96</c:v>
                </c:pt>
                <c:pt idx="3765">
                  <c:v>16.579999999999998</c:v>
                </c:pt>
                <c:pt idx="3766">
                  <c:v>16.75</c:v>
                </c:pt>
                <c:pt idx="3767">
                  <c:v>16.739999999999998</c:v>
                </c:pt>
                <c:pt idx="3768">
                  <c:v>16.68</c:v>
                </c:pt>
                <c:pt idx="3769">
                  <c:v>16.84</c:v>
                </c:pt>
                <c:pt idx="3770">
                  <c:v>16.87</c:v>
                </c:pt>
                <c:pt idx="3771">
                  <c:v>17.11</c:v>
                </c:pt>
                <c:pt idx="3772">
                  <c:v>17.05</c:v>
                </c:pt>
                <c:pt idx="3773">
                  <c:v>17</c:v>
                </c:pt>
                <c:pt idx="3774">
                  <c:v>16.77</c:v>
                </c:pt>
                <c:pt idx="3775">
                  <c:v>16.59</c:v>
                </c:pt>
                <c:pt idx="3776">
                  <c:v>16.36</c:v>
                </c:pt>
                <c:pt idx="3777">
                  <c:v>16.64</c:v>
                </c:pt>
                <c:pt idx="3778">
                  <c:v>16.690000000000001</c:v>
                </c:pt>
                <c:pt idx="3779">
                  <c:v>16.62</c:v>
                </c:pt>
                <c:pt idx="3780">
                  <c:v>16.350000000000001</c:v>
                </c:pt>
                <c:pt idx="3781">
                  <c:v>16.12</c:v>
                </c:pt>
                <c:pt idx="3782">
                  <c:v>16.87</c:v>
                </c:pt>
                <c:pt idx="3783">
                  <c:v>16.850000000000001</c:v>
                </c:pt>
                <c:pt idx="3784">
                  <c:v>17.11</c:v>
                </c:pt>
                <c:pt idx="3785">
                  <c:v>17.28</c:v>
                </c:pt>
                <c:pt idx="3786">
                  <c:v>17.260000000000002</c:v>
                </c:pt>
                <c:pt idx="3787">
                  <c:v>17.510000000000002</c:v>
                </c:pt>
                <c:pt idx="3788">
                  <c:v>17.7</c:v>
                </c:pt>
                <c:pt idx="3789">
                  <c:v>18.14</c:v>
                </c:pt>
                <c:pt idx="3790">
                  <c:v>17.920000000000002</c:v>
                </c:pt>
                <c:pt idx="3791">
                  <c:v>18.2</c:v>
                </c:pt>
                <c:pt idx="3792">
                  <c:v>18.43</c:v>
                </c:pt>
                <c:pt idx="3793">
                  <c:v>18.649999999999999</c:v>
                </c:pt>
                <c:pt idx="3794">
                  <c:v>18.559999999999999</c:v>
                </c:pt>
                <c:pt idx="3795">
                  <c:v>18.55</c:v>
                </c:pt>
                <c:pt idx="3796">
                  <c:v>17.2</c:v>
                </c:pt>
                <c:pt idx="3797">
                  <c:v>17.170000000000002</c:v>
                </c:pt>
                <c:pt idx="3798">
                  <c:v>16.55</c:v>
                </c:pt>
                <c:pt idx="3799">
                  <c:v>15.81</c:v>
                </c:pt>
                <c:pt idx="3800">
                  <c:v>16</c:v>
                </c:pt>
                <c:pt idx="3801">
                  <c:v>15.96</c:v>
                </c:pt>
                <c:pt idx="3802">
                  <c:v>16.350000000000001</c:v>
                </c:pt>
                <c:pt idx="3803">
                  <c:v>16.3</c:v>
                </c:pt>
                <c:pt idx="3804">
                  <c:v>16.059999999999999</c:v>
                </c:pt>
                <c:pt idx="3805">
                  <c:v>16.14</c:v>
                </c:pt>
                <c:pt idx="3806">
                  <c:v>16.149999999999999</c:v>
                </c:pt>
                <c:pt idx="3807">
                  <c:v>15.98</c:v>
                </c:pt>
                <c:pt idx="3808">
                  <c:v>16.02</c:v>
                </c:pt>
                <c:pt idx="3809">
                  <c:v>16.55</c:v>
                </c:pt>
                <c:pt idx="3810">
                  <c:v>15.85</c:v>
                </c:pt>
                <c:pt idx="3811">
                  <c:v>16.02</c:v>
                </c:pt>
                <c:pt idx="3812">
                  <c:v>15.68</c:v>
                </c:pt>
                <c:pt idx="3813">
                  <c:v>15.45</c:v>
                </c:pt>
                <c:pt idx="3814">
                  <c:v>15.45</c:v>
                </c:pt>
                <c:pt idx="3815">
                  <c:v>15.1</c:v>
                </c:pt>
                <c:pt idx="3816">
                  <c:v>15.22</c:v>
                </c:pt>
                <c:pt idx="3817">
                  <c:v>15.2</c:v>
                </c:pt>
                <c:pt idx="3818">
                  <c:v>15.16</c:v>
                </c:pt>
                <c:pt idx="3819">
                  <c:v>15.2</c:v>
                </c:pt>
                <c:pt idx="3820">
                  <c:v>14.81</c:v>
                </c:pt>
                <c:pt idx="3821">
                  <c:v>14.78</c:v>
                </c:pt>
                <c:pt idx="3822">
                  <c:v>14.7</c:v>
                </c:pt>
                <c:pt idx="3823">
                  <c:v>14.99</c:v>
                </c:pt>
                <c:pt idx="3824">
                  <c:v>15.35</c:v>
                </c:pt>
                <c:pt idx="3825">
                  <c:v>15.23</c:v>
                </c:pt>
                <c:pt idx="3826">
                  <c:v>15.08</c:v>
                </c:pt>
                <c:pt idx="3827">
                  <c:v>14.89</c:v>
                </c:pt>
                <c:pt idx="3828">
                  <c:v>14.88</c:v>
                </c:pt>
                <c:pt idx="3829">
                  <c:v>14.95</c:v>
                </c:pt>
                <c:pt idx="3830">
                  <c:v>14.89</c:v>
                </c:pt>
                <c:pt idx="3831">
                  <c:v>15.04</c:v>
                </c:pt>
                <c:pt idx="3832">
                  <c:v>15.45</c:v>
                </c:pt>
                <c:pt idx="3833">
                  <c:v>15.49</c:v>
                </c:pt>
                <c:pt idx="3834">
                  <c:v>15.72</c:v>
                </c:pt>
                <c:pt idx="3835">
                  <c:v>15.81</c:v>
                </c:pt>
                <c:pt idx="3836">
                  <c:v>15.61</c:v>
                </c:pt>
                <c:pt idx="3837">
                  <c:v>15.05</c:v>
                </c:pt>
                <c:pt idx="3838">
                  <c:v>14.86</c:v>
                </c:pt>
                <c:pt idx="3839">
                  <c:v>14.91</c:v>
                </c:pt>
                <c:pt idx="3840">
                  <c:v>14.63</c:v>
                </c:pt>
                <c:pt idx="3841">
                  <c:v>14.69</c:v>
                </c:pt>
                <c:pt idx="3842">
                  <c:v>14.42</c:v>
                </c:pt>
                <c:pt idx="3843">
                  <c:v>14.59</c:v>
                </c:pt>
                <c:pt idx="3844">
                  <c:v>13.48</c:v>
                </c:pt>
                <c:pt idx="3845">
                  <c:v>13.59</c:v>
                </c:pt>
                <c:pt idx="3846">
                  <c:v>13.98</c:v>
                </c:pt>
                <c:pt idx="3847">
                  <c:v>13.69</c:v>
                </c:pt>
                <c:pt idx="3848">
                  <c:v>13.94</c:v>
                </c:pt>
                <c:pt idx="3849">
                  <c:v>13.59</c:v>
                </c:pt>
                <c:pt idx="3850">
                  <c:v>13.5</c:v>
                </c:pt>
                <c:pt idx="3851">
                  <c:v>13.1</c:v>
                </c:pt>
                <c:pt idx="3852">
                  <c:v>13.1</c:v>
                </c:pt>
                <c:pt idx="3853">
                  <c:v>12.76</c:v>
                </c:pt>
                <c:pt idx="3854">
                  <c:v>13.02</c:v>
                </c:pt>
                <c:pt idx="3855">
                  <c:v>12</c:v>
                </c:pt>
                <c:pt idx="3856">
                  <c:v>11.74</c:v>
                </c:pt>
                <c:pt idx="3857">
                  <c:v>11.09</c:v>
                </c:pt>
                <c:pt idx="3858">
                  <c:v>12.09</c:v>
                </c:pt>
                <c:pt idx="3859">
                  <c:v>11.77</c:v>
                </c:pt>
                <c:pt idx="3860">
                  <c:v>12.86</c:v>
                </c:pt>
                <c:pt idx="3861">
                  <c:v>13.59</c:v>
                </c:pt>
                <c:pt idx="3862">
                  <c:v>13.47</c:v>
                </c:pt>
                <c:pt idx="3863">
                  <c:v>13.48</c:v>
                </c:pt>
                <c:pt idx="3864">
                  <c:v>13.47</c:v>
                </c:pt>
                <c:pt idx="3865">
                  <c:v>12.96</c:v>
                </c:pt>
                <c:pt idx="3866">
                  <c:v>12.92</c:v>
                </c:pt>
                <c:pt idx="3867">
                  <c:v>12.84</c:v>
                </c:pt>
                <c:pt idx="3868">
                  <c:v>13.35</c:v>
                </c:pt>
                <c:pt idx="3869">
                  <c:v>13.15</c:v>
                </c:pt>
                <c:pt idx="3870">
                  <c:v>12.87</c:v>
                </c:pt>
                <c:pt idx="3871">
                  <c:v>12.74</c:v>
                </c:pt>
                <c:pt idx="3872">
                  <c:v>13.68</c:v>
                </c:pt>
                <c:pt idx="3873">
                  <c:v>13.84</c:v>
                </c:pt>
                <c:pt idx="3874">
                  <c:v>13.61</c:v>
                </c:pt>
                <c:pt idx="3875">
                  <c:v>13.35</c:v>
                </c:pt>
                <c:pt idx="3876">
                  <c:v>12.87</c:v>
                </c:pt>
                <c:pt idx="3877">
                  <c:v>12.91</c:v>
                </c:pt>
                <c:pt idx="3878">
                  <c:v>13.61</c:v>
                </c:pt>
                <c:pt idx="3879">
                  <c:v>14.44</c:v>
                </c:pt>
                <c:pt idx="3880">
                  <c:v>14.48</c:v>
                </c:pt>
                <c:pt idx="3881">
                  <c:v>14.26</c:v>
                </c:pt>
                <c:pt idx="3882">
                  <c:v>14.26</c:v>
                </c:pt>
                <c:pt idx="3883">
                  <c:v>14.55</c:v>
                </c:pt>
                <c:pt idx="3884">
                  <c:v>14.89</c:v>
                </c:pt>
                <c:pt idx="3885">
                  <c:v>14.97</c:v>
                </c:pt>
                <c:pt idx="3886">
                  <c:v>14.61</c:v>
                </c:pt>
                <c:pt idx="3887">
                  <c:v>14.36</c:v>
                </c:pt>
                <c:pt idx="3888">
                  <c:v>13.96</c:v>
                </c:pt>
                <c:pt idx="3889">
                  <c:v>13.99</c:v>
                </c:pt>
                <c:pt idx="3890">
                  <c:v>14.71</c:v>
                </c:pt>
                <c:pt idx="3891">
                  <c:v>14.75</c:v>
                </c:pt>
                <c:pt idx="3892">
                  <c:v>14.54</c:v>
                </c:pt>
                <c:pt idx="3893">
                  <c:v>14.19</c:v>
                </c:pt>
                <c:pt idx="3894">
                  <c:v>13.42</c:v>
                </c:pt>
                <c:pt idx="3895">
                  <c:v>13.17</c:v>
                </c:pt>
                <c:pt idx="3896">
                  <c:v>13.53</c:v>
                </c:pt>
                <c:pt idx="3897">
                  <c:v>14.46</c:v>
                </c:pt>
                <c:pt idx="3898">
                  <c:v>15.92</c:v>
                </c:pt>
                <c:pt idx="3899">
                  <c:v>15.65</c:v>
                </c:pt>
                <c:pt idx="3900">
                  <c:v>15.47</c:v>
                </c:pt>
                <c:pt idx="3901">
                  <c:v>15.84</c:v>
                </c:pt>
                <c:pt idx="3902">
                  <c:v>15.86</c:v>
                </c:pt>
                <c:pt idx="3903">
                  <c:v>15.77</c:v>
                </c:pt>
                <c:pt idx="3904">
                  <c:v>15.93</c:v>
                </c:pt>
                <c:pt idx="3905">
                  <c:v>15.91</c:v>
                </c:pt>
                <c:pt idx="3906">
                  <c:v>15.7</c:v>
                </c:pt>
                <c:pt idx="3907">
                  <c:v>15.47</c:v>
                </c:pt>
                <c:pt idx="3908">
                  <c:v>15.94</c:v>
                </c:pt>
                <c:pt idx="3909">
                  <c:v>16.18</c:v>
                </c:pt>
                <c:pt idx="3910">
                  <c:v>16.12</c:v>
                </c:pt>
                <c:pt idx="3911">
                  <c:v>16.71</c:v>
                </c:pt>
                <c:pt idx="3912">
                  <c:v>16.239999999999998</c:v>
                </c:pt>
                <c:pt idx="3913">
                  <c:v>16.3</c:v>
                </c:pt>
                <c:pt idx="3914">
                  <c:v>16.63</c:v>
                </c:pt>
                <c:pt idx="3915">
                  <c:v>16.559999999999999</c:v>
                </c:pt>
                <c:pt idx="3916">
                  <c:v>15.64</c:v>
                </c:pt>
                <c:pt idx="3917">
                  <c:v>14.93</c:v>
                </c:pt>
                <c:pt idx="3918">
                  <c:v>15.1</c:v>
                </c:pt>
                <c:pt idx="3919">
                  <c:v>15.48</c:v>
                </c:pt>
                <c:pt idx="3920">
                  <c:v>15.24</c:v>
                </c:pt>
                <c:pt idx="3921">
                  <c:v>15.69</c:v>
                </c:pt>
                <c:pt idx="3922">
                  <c:v>15.97</c:v>
                </c:pt>
                <c:pt idx="3923">
                  <c:v>15.92</c:v>
                </c:pt>
                <c:pt idx="3924">
                  <c:v>15.95</c:v>
                </c:pt>
                <c:pt idx="3925">
                  <c:v>16.27</c:v>
                </c:pt>
                <c:pt idx="3926">
                  <c:v>16</c:v>
                </c:pt>
                <c:pt idx="3927">
                  <c:v>15.93</c:v>
                </c:pt>
                <c:pt idx="3928">
                  <c:v>15.72</c:v>
                </c:pt>
                <c:pt idx="3929">
                  <c:v>15.34</c:v>
                </c:pt>
                <c:pt idx="3930">
                  <c:v>15.38</c:v>
                </c:pt>
                <c:pt idx="3931">
                  <c:v>14.99</c:v>
                </c:pt>
                <c:pt idx="3932">
                  <c:v>14.97</c:v>
                </c:pt>
                <c:pt idx="3933">
                  <c:v>14.94</c:v>
                </c:pt>
                <c:pt idx="3934">
                  <c:v>15.1</c:v>
                </c:pt>
                <c:pt idx="3935">
                  <c:v>15.35</c:v>
                </c:pt>
                <c:pt idx="3936">
                  <c:v>15.7</c:v>
                </c:pt>
                <c:pt idx="3937">
                  <c:v>15.71</c:v>
                </c:pt>
                <c:pt idx="3938">
                  <c:v>16.23</c:v>
                </c:pt>
                <c:pt idx="3939">
                  <c:v>16.05</c:v>
                </c:pt>
                <c:pt idx="3940">
                  <c:v>15.89</c:v>
                </c:pt>
                <c:pt idx="3941">
                  <c:v>15.84</c:v>
                </c:pt>
                <c:pt idx="3942">
                  <c:v>15.62</c:v>
                </c:pt>
                <c:pt idx="3943">
                  <c:v>15.61</c:v>
                </c:pt>
                <c:pt idx="3944">
                  <c:v>15.94</c:v>
                </c:pt>
                <c:pt idx="3945">
                  <c:v>15.47</c:v>
                </c:pt>
                <c:pt idx="3946">
                  <c:v>15.42</c:v>
                </c:pt>
                <c:pt idx="3947">
                  <c:v>15.02</c:v>
                </c:pt>
                <c:pt idx="3948">
                  <c:v>15.16</c:v>
                </c:pt>
                <c:pt idx="3949">
                  <c:v>14.96</c:v>
                </c:pt>
                <c:pt idx="3950">
                  <c:v>14.62</c:v>
                </c:pt>
                <c:pt idx="3951">
                  <c:v>15.11</c:v>
                </c:pt>
                <c:pt idx="3952">
                  <c:v>15.99</c:v>
                </c:pt>
                <c:pt idx="3953">
                  <c:v>16</c:v>
                </c:pt>
                <c:pt idx="3954">
                  <c:v>16.190000000000001</c:v>
                </c:pt>
                <c:pt idx="3955">
                  <c:v>16.09</c:v>
                </c:pt>
                <c:pt idx="3956">
                  <c:v>15.78</c:v>
                </c:pt>
                <c:pt idx="3957">
                  <c:v>16.13</c:v>
                </c:pt>
                <c:pt idx="3958">
                  <c:v>16.13</c:v>
                </c:pt>
                <c:pt idx="3959">
                  <c:v>16.29</c:v>
                </c:pt>
                <c:pt idx="3960">
                  <c:v>15.78</c:v>
                </c:pt>
                <c:pt idx="3961">
                  <c:v>15.64</c:v>
                </c:pt>
                <c:pt idx="3962">
                  <c:v>15.52</c:v>
                </c:pt>
                <c:pt idx="3963">
                  <c:v>15.46</c:v>
                </c:pt>
                <c:pt idx="3964">
                  <c:v>15.51</c:v>
                </c:pt>
                <c:pt idx="3965">
                  <c:v>15.53</c:v>
                </c:pt>
                <c:pt idx="3966">
                  <c:v>15.66</c:v>
                </c:pt>
                <c:pt idx="3967">
                  <c:v>15.48</c:v>
                </c:pt>
                <c:pt idx="3968">
                  <c:v>15.43</c:v>
                </c:pt>
                <c:pt idx="3969">
                  <c:v>15.92</c:v>
                </c:pt>
                <c:pt idx="3970">
                  <c:v>16.12</c:v>
                </c:pt>
                <c:pt idx="3971">
                  <c:v>15.96</c:v>
                </c:pt>
                <c:pt idx="3972">
                  <c:v>15.68</c:v>
                </c:pt>
                <c:pt idx="3973">
                  <c:v>15.69</c:v>
                </c:pt>
                <c:pt idx="3974">
                  <c:v>15.56</c:v>
                </c:pt>
                <c:pt idx="3975">
                  <c:v>15.53</c:v>
                </c:pt>
                <c:pt idx="3976">
                  <c:v>15.74</c:v>
                </c:pt>
                <c:pt idx="3977">
                  <c:v>15.55</c:v>
                </c:pt>
                <c:pt idx="3978">
                  <c:v>15.47</c:v>
                </c:pt>
                <c:pt idx="3979">
                  <c:v>15.73</c:v>
                </c:pt>
                <c:pt idx="3980">
                  <c:v>15.72</c:v>
                </c:pt>
                <c:pt idx="3981">
                  <c:v>15.92</c:v>
                </c:pt>
                <c:pt idx="3982">
                  <c:v>15.82</c:v>
                </c:pt>
                <c:pt idx="3983">
                  <c:v>15.83</c:v>
                </c:pt>
                <c:pt idx="3984">
                  <c:v>15.78</c:v>
                </c:pt>
                <c:pt idx="3985">
                  <c:v>16</c:v>
                </c:pt>
                <c:pt idx="3986">
                  <c:v>16.14</c:v>
                </c:pt>
                <c:pt idx="3987">
                  <c:v>16.12</c:v>
                </c:pt>
                <c:pt idx="3988">
                  <c:v>15.37</c:v>
                </c:pt>
                <c:pt idx="3989">
                  <c:v>15.12</c:v>
                </c:pt>
                <c:pt idx="3990">
                  <c:v>15.36</c:v>
                </c:pt>
                <c:pt idx="3991">
                  <c:v>15.01</c:v>
                </c:pt>
                <c:pt idx="3992">
                  <c:v>14.75</c:v>
                </c:pt>
                <c:pt idx="3993">
                  <c:v>14.5</c:v>
                </c:pt>
                <c:pt idx="3994">
                  <c:v>14.78</c:v>
                </c:pt>
                <c:pt idx="3995">
                  <c:v>14.89</c:v>
                </c:pt>
                <c:pt idx="3996">
                  <c:v>14.86</c:v>
                </c:pt>
                <c:pt idx="3997">
                  <c:v>14.9</c:v>
                </c:pt>
                <c:pt idx="3998">
                  <c:v>14.83</c:v>
                </c:pt>
                <c:pt idx="3999">
                  <c:v>14.93</c:v>
                </c:pt>
                <c:pt idx="4000">
                  <c:v>14.72</c:v>
                </c:pt>
                <c:pt idx="4001">
                  <c:v>14.62</c:v>
                </c:pt>
                <c:pt idx="4002">
                  <c:v>14.42</c:v>
                </c:pt>
                <c:pt idx="4003">
                  <c:v>14.62</c:v>
                </c:pt>
                <c:pt idx="4004">
                  <c:v>14.62</c:v>
                </c:pt>
                <c:pt idx="4005">
                  <c:v>14.63</c:v>
                </c:pt>
                <c:pt idx="4006">
                  <c:v>14.49</c:v>
                </c:pt>
                <c:pt idx="4007">
                  <c:v>14.55</c:v>
                </c:pt>
                <c:pt idx="4008">
                  <c:v>14.63</c:v>
                </c:pt>
                <c:pt idx="4009">
                  <c:v>14.89</c:v>
                </c:pt>
                <c:pt idx="4010">
                  <c:v>15.18</c:v>
                </c:pt>
                <c:pt idx="4011">
                  <c:v>15.15</c:v>
                </c:pt>
                <c:pt idx="4012">
                  <c:v>15.41</c:v>
                </c:pt>
                <c:pt idx="4013">
                  <c:v>15.51</c:v>
                </c:pt>
                <c:pt idx="4014">
                  <c:v>15.49</c:v>
                </c:pt>
                <c:pt idx="4015">
                  <c:v>15.39</c:v>
                </c:pt>
                <c:pt idx="4016">
                  <c:v>15.54</c:v>
                </c:pt>
                <c:pt idx="4017">
                  <c:v>15.43</c:v>
                </c:pt>
                <c:pt idx="4018">
                  <c:v>15.32</c:v>
                </c:pt>
                <c:pt idx="4019">
                  <c:v>15.3</c:v>
                </c:pt>
                <c:pt idx="4020">
                  <c:v>15.22</c:v>
                </c:pt>
                <c:pt idx="4021">
                  <c:v>15.46</c:v>
                </c:pt>
                <c:pt idx="4022">
                  <c:v>15.18</c:v>
                </c:pt>
                <c:pt idx="4023">
                  <c:v>15.27</c:v>
                </c:pt>
                <c:pt idx="4024">
                  <c:v>15.07</c:v>
                </c:pt>
                <c:pt idx="4025">
                  <c:v>15.1</c:v>
                </c:pt>
                <c:pt idx="4026">
                  <c:v>14.99</c:v>
                </c:pt>
                <c:pt idx="4027">
                  <c:v>14.88</c:v>
                </c:pt>
                <c:pt idx="4028">
                  <c:v>15.06</c:v>
                </c:pt>
                <c:pt idx="4029">
                  <c:v>14.87</c:v>
                </c:pt>
                <c:pt idx="4030">
                  <c:v>14.79</c:v>
                </c:pt>
                <c:pt idx="4031">
                  <c:v>15.01</c:v>
                </c:pt>
                <c:pt idx="4032">
                  <c:v>15.49</c:v>
                </c:pt>
                <c:pt idx="4033">
                  <c:v>15.4</c:v>
                </c:pt>
                <c:pt idx="4034">
                  <c:v>15.6</c:v>
                </c:pt>
                <c:pt idx="4035">
                  <c:v>15.33</c:v>
                </c:pt>
                <c:pt idx="4036">
                  <c:v>15.43</c:v>
                </c:pt>
                <c:pt idx="4037">
                  <c:v>15.5</c:v>
                </c:pt>
                <c:pt idx="4038">
                  <c:v>15.53</c:v>
                </c:pt>
                <c:pt idx="4039">
                  <c:v>15.57</c:v>
                </c:pt>
                <c:pt idx="4040">
                  <c:v>15.54</c:v>
                </c:pt>
                <c:pt idx="4041">
                  <c:v>15.63</c:v>
                </c:pt>
                <c:pt idx="4042">
                  <c:v>15.67</c:v>
                </c:pt>
                <c:pt idx="4043">
                  <c:v>15.4</c:v>
                </c:pt>
                <c:pt idx="4044">
                  <c:v>15.15</c:v>
                </c:pt>
                <c:pt idx="4045">
                  <c:v>15.35</c:v>
                </c:pt>
                <c:pt idx="4046">
                  <c:v>15.36</c:v>
                </c:pt>
                <c:pt idx="4047">
                  <c:v>15.3</c:v>
                </c:pt>
                <c:pt idx="4048">
                  <c:v>15.44</c:v>
                </c:pt>
                <c:pt idx="4049">
                  <c:v>15.19</c:v>
                </c:pt>
                <c:pt idx="4050">
                  <c:v>15.5</c:v>
                </c:pt>
                <c:pt idx="4051">
                  <c:v>15.4</c:v>
                </c:pt>
                <c:pt idx="4052">
                  <c:v>15.28</c:v>
                </c:pt>
                <c:pt idx="4053">
                  <c:v>14.87</c:v>
                </c:pt>
                <c:pt idx="4054">
                  <c:v>15.42</c:v>
                </c:pt>
                <c:pt idx="4055">
                  <c:v>15.58</c:v>
                </c:pt>
                <c:pt idx="4056">
                  <c:v>15.29</c:v>
                </c:pt>
                <c:pt idx="4057">
                  <c:v>15.38</c:v>
                </c:pt>
                <c:pt idx="4058">
                  <c:v>15.35</c:v>
                </c:pt>
                <c:pt idx="4059">
                  <c:v>15.36</c:v>
                </c:pt>
                <c:pt idx="4060">
                  <c:v>15.47</c:v>
                </c:pt>
                <c:pt idx="4061">
                  <c:v>15.25</c:v>
                </c:pt>
                <c:pt idx="4062">
                  <c:v>15.24</c:v>
                </c:pt>
                <c:pt idx="4063">
                  <c:v>14.92</c:v>
                </c:pt>
                <c:pt idx="4064">
                  <c:v>15.01</c:v>
                </c:pt>
                <c:pt idx="4065">
                  <c:v>15.1</c:v>
                </c:pt>
                <c:pt idx="4066">
                  <c:v>15.36</c:v>
                </c:pt>
                <c:pt idx="4067">
                  <c:v>15.36</c:v>
                </c:pt>
                <c:pt idx="4068">
                  <c:v>15.65</c:v>
                </c:pt>
                <c:pt idx="4069">
                  <c:v>15.3</c:v>
                </c:pt>
                <c:pt idx="4070">
                  <c:v>15.47</c:v>
                </c:pt>
                <c:pt idx="4071">
                  <c:v>15.34</c:v>
                </c:pt>
                <c:pt idx="4072">
                  <c:v>15.36</c:v>
                </c:pt>
                <c:pt idx="4073">
                  <c:v>15.36</c:v>
                </c:pt>
                <c:pt idx="4074">
                  <c:v>15.49</c:v>
                </c:pt>
                <c:pt idx="4075">
                  <c:v>15.65</c:v>
                </c:pt>
                <c:pt idx="4076">
                  <c:v>15.74</c:v>
                </c:pt>
                <c:pt idx="4077">
                  <c:v>15.52</c:v>
                </c:pt>
                <c:pt idx="4078">
                  <c:v>15.61</c:v>
                </c:pt>
                <c:pt idx="4079">
                  <c:v>15.44</c:v>
                </c:pt>
                <c:pt idx="4080">
                  <c:v>15.35</c:v>
                </c:pt>
                <c:pt idx="4081">
                  <c:v>15.52</c:v>
                </c:pt>
                <c:pt idx="4082">
                  <c:v>15.45</c:v>
                </c:pt>
                <c:pt idx="4083">
                  <c:v>15.83</c:v>
                </c:pt>
                <c:pt idx="4084">
                  <c:v>15.84</c:v>
                </c:pt>
                <c:pt idx="4085">
                  <c:v>15.98</c:v>
                </c:pt>
                <c:pt idx="4086">
                  <c:v>15.85</c:v>
                </c:pt>
                <c:pt idx="4087">
                  <c:v>15.78</c:v>
                </c:pt>
                <c:pt idx="4088">
                  <c:v>15.75</c:v>
                </c:pt>
                <c:pt idx="4089">
                  <c:v>15.82</c:v>
                </c:pt>
                <c:pt idx="4090">
                  <c:v>15.8</c:v>
                </c:pt>
                <c:pt idx="4091">
                  <c:v>15.69</c:v>
                </c:pt>
                <c:pt idx="4092">
                  <c:v>15.74</c:v>
                </c:pt>
                <c:pt idx="4093">
                  <c:v>15.65</c:v>
                </c:pt>
                <c:pt idx="4094">
                  <c:v>15.6</c:v>
                </c:pt>
                <c:pt idx="4095">
                  <c:v>15.7</c:v>
                </c:pt>
                <c:pt idx="4096">
                  <c:v>15.73</c:v>
                </c:pt>
                <c:pt idx="4097">
                  <c:v>15.92</c:v>
                </c:pt>
                <c:pt idx="4098">
                  <c:v>15.76</c:v>
                </c:pt>
                <c:pt idx="4099">
                  <c:v>15.43</c:v>
                </c:pt>
                <c:pt idx="4100">
                  <c:v>15.5</c:v>
                </c:pt>
                <c:pt idx="4101">
                  <c:v>15.8</c:v>
                </c:pt>
                <c:pt idx="4102">
                  <c:v>16.11</c:v>
                </c:pt>
                <c:pt idx="4103">
                  <c:v>15.98</c:v>
                </c:pt>
                <c:pt idx="4104">
                  <c:v>15.84</c:v>
                </c:pt>
                <c:pt idx="4105">
                  <c:v>15.99</c:v>
                </c:pt>
                <c:pt idx="4106">
                  <c:v>15.75</c:v>
                </c:pt>
                <c:pt idx="4107">
                  <c:v>15.97</c:v>
                </c:pt>
                <c:pt idx="4108">
                  <c:v>16.04</c:v>
                </c:pt>
                <c:pt idx="4109">
                  <c:v>16.22</c:v>
                </c:pt>
                <c:pt idx="4110">
                  <c:v>16.170000000000002</c:v>
                </c:pt>
                <c:pt idx="4111">
                  <c:v>16.010000000000002</c:v>
                </c:pt>
                <c:pt idx="4112">
                  <c:v>15.15</c:v>
                </c:pt>
                <c:pt idx="4113">
                  <c:v>15.02</c:v>
                </c:pt>
                <c:pt idx="4114">
                  <c:v>14.73</c:v>
                </c:pt>
                <c:pt idx="4115">
                  <c:v>14.76</c:v>
                </c:pt>
                <c:pt idx="4116">
                  <c:v>14.99</c:v>
                </c:pt>
                <c:pt idx="4117">
                  <c:v>15.03</c:v>
                </c:pt>
                <c:pt idx="4118">
                  <c:v>14.96</c:v>
                </c:pt>
                <c:pt idx="4119">
                  <c:v>14.97</c:v>
                </c:pt>
                <c:pt idx="4120">
                  <c:v>14.92</c:v>
                </c:pt>
                <c:pt idx="4121">
                  <c:v>14.87</c:v>
                </c:pt>
                <c:pt idx="4122">
                  <c:v>14.92</c:v>
                </c:pt>
                <c:pt idx="4123">
                  <c:v>14.85</c:v>
                </c:pt>
                <c:pt idx="4124">
                  <c:v>14.72</c:v>
                </c:pt>
                <c:pt idx="4125">
                  <c:v>14.84</c:v>
                </c:pt>
                <c:pt idx="4126">
                  <c:v>14.67</c:v>
                </c:pt>
                <c:pt idx="4127">
                  <c:v>14.65</c:v>
                </c:pt>
                <c:pt idx="4128">
                  <c:v>14.89</c:v>
                </c:pt>
                <c:pt idx="4129">
                  <c:v>15.09</c:v>
                </c:pt>
                <c:pt idx="4130">
                  <c:v>15.11</c:v>
                </c:pt>
                <c:pt idx="4131">
                  <c:v>15.22</c:v>
                </c:pt>
                <c:pt idx="4132">
                  <c:v>15.11</c:v>
                </c:pt>
                <c:pt idx="4133">
                  <c:v>15.16</c:v>
                </c:pt>
                <c:pt idx="4134">
                  <c:v>15.4</c:v>
                </c:pt>
                <c:pt idx="4135">
                  <c:v>15.6</c:v>
                </c:pt>
                <c:pt idx="4136">
                  <c:v>15.77</c:v>
                </c:pt>
                <c:pt idx="4137">
                  <c:v>15.68</c:v>
                </c:pt>
                <c:pt idx="4138">
                  <c:v>15.91</c:v>
                </c:pt>
                <c:pt idx="4139">
                  <c:v>15.86</c:v>
                </c:pt>
                <c:pt idx="4140">
                  <c:v>15.79</c:v>
                </c:pt>
                <c:pt idx="4141">
                  <c:v>15.74</c:v>
                </c:pt>
                <c:pt idx="4142">
                  <c:v>16</c:v>
                </c:pt>
                <c:pt idx="4143">
                  <c:v>15.68</c:v>
                </c:pt>
                <c:pt idx="4144">
                  <c:v>15.61</c:v>
                </c:pt>
                <c:pt idx="4145">
                  <c:v>16.04</c:v>
                </c:pt>
                <c:pt idx="4146">
                  <c:v>15.98</c:v>
                </c:pt>
                <c:pt idx="4147">
                  <c:v>15.83</c:v>
                </c:pt>
                <c:pt idx="4148">
                  <c:v>15.94</c:v>
                </c:pt>
                <c:pt idx="4149">
                  <c:v>16.21</c:v>
                </c:pt>
                <c:pt idx="4150">
                  <c:v>16.27</c:v>
                </c:pt>
                <c:pt idx="4151">
                  <c:v>16.09</c:v>
                </c:pt>
                <c:pt idx="4152">
                  <c:v>16.03</c:v>
                </c:pt>
                <c:pt idx="4153">
                  <c:v>15.85</c:v>
                </c:pt>
                <c:pt idx="4154">
                  <c:v>15.83</c:v>
                </c:pt>
                <c:pt idx="4155">
                  <c:v>15.92</c:v>
                </c:pt>
                <c:pt idx="4156">
                  <c:v>15.88</c:v>
                </c:pt>
                <c:pt idx="4157">
                  <c:v>15.68</c:v>
                </c:pt>
                <c:pt idx="4158">
                  <c:v>15.92</c:v>
                </c:pt>
                <c:pt idx="4159">
                  <c:v>16.09</c:v>
                </c:pt>
                <c:pt idx="4160">
                  <c:v>16</c:v>
                </c:pt>
                <c:pt idx="4161">
                  <c:v>15.84</c:v>
                </c:pt>
                <c:pt idx="4162">
                  <c:v>15.77</c:v>
                </c:pt>
                <c:pt idx="4163">
                  <c:v>16.670000000000002</c:v>
                </c:pt>
                <c:pt idx="4164">
                  <c:v>16.55</c:v>
                </c:pt>
                <c:pt idx="4165">
                  <c:v>16.61</c:v>
                </c:pt>
                <c:pt idx="4166">
                  <c:v>16.79</c:v>
                </c:pt>
                <c:pt idx="4167">
                  <c:v>16.84</c:v>
                </c:pt>
                <c:pt idx="4168">
                  <c:v>16.95</c:v>
                </c:pt>
                <c:pt idx="4169">
                  <c:v>17.11</c:v>
                </c:pt>
                <c:pt idx="4170">
                  <c:v>17.37</c:v>
                </c:pt>
                <c:pt idx="4171">
                  <c:v>17.46</c:v>
                </c:pt>
                <c:pt idx="4172">
                  <c:v>17.39</c:v>
                </c:pt>
                <c:pt idx="4173">
                  <c:v>17.239999999999998</c:v>
                </c:pt>
                <c:pt idx="4174">
                  <c:v>17.260000000000002</c:v>
                </c:pt>
                <c:pt idx="4175">
                  <c:v>17.510000000000002</c:v>
                </c:pt>
                <c:pt idx="4176">
                  <c:v>17.850000000000001</c:v>
                </c:pt>
                <c:pt idx="4177">
                  <c:v>17.829999999999998</c:v>
                </c:pt>
                <c:pt idx="4178">
                  <c:v>17.89</c:v>
                </c:pt>
                <c:pt idx="4179">
                  <c:v>17.86</c:v>
                </c:pt>
                <c:pt idx="4180">
                  <c:v>18.36</c:v>
                </c:pt>
                <c:pt idx="4181">
                  <c:v>18.239999999999998</c:v>
                </c:pt>
                <c:pt idx="4182">
                  <c:v>18.399999999999999</c:v>
                </c:pt>
                <c:pt idx="4183">
                  <c:v>18.57</c:v>
                </c:pt>
                <c:pt idx="4184">
                  <c:v>18.760000000000002</c:v>
                </c:pt>
                <c:pt idx="4185">
                  <c:v>18.93</c:v>
                </c:pt>
                <c:pt idx="4186">
                  <c:v>18.91</c:v>
                </c:pt>
                <c:pt idx="4187">
                  <c:v>18.87</c:v>
                </c:pt>
                <c:pt idx="4188">
                  <c:v>18.77</c:v>
                </c:pt>
                <c:pt idx="4189">
                  <c:v>18.55</c:v>
                </c:pt>
                <c:pt idx="4190">
                  <c:v>18.93</c:v>
                </c:pt>
                <c:pt idx="4191">
                  <c:v>18.89</c:v>
                </c:pt>
                <c:pt idx="4192">
                  <c:v>19.2</c:v>
                </c:pt>
                <c:pt idx="4193">
                  <c:v>19.2</c:v>
                </c:pt>
                <c:pt idx="4194">
                  <c:v>19.43</c:v>
                </c:pt>
                <c:pt idx="4195">
                  <c:v>19.52</c:v>
                </c:pt>
                <c:pt idx="4196">
                  <c:v>19.38</c:v>
                </c:pt>
                <c:pt idx="4197">
                  <c:v>19.350000000000001</c:v>
                </c:pt>
                <c:pt idx="4198">
                  <c:v>19.64</c:v>
                </c:pt>
                <c:pt idx="4199">
                  <c:v>19.690000000000001</c:v>
                </c:pt>
                <c:pt idx="4200">
                  <c:v>19.62</c:v>
                </c:pt>
                <c:pt idx="4201">
                  <c:v>19.600000000000001</c:v>
                </c:pt>
                <c:pt idx="4202">
                  <c:v>19.690000000000001</c:v>
                </c:pt>
                <c:pt idx="4203">
                  <c:v>19.350000000000001</c:v>
                </c:pt>
                <c:pt idx="4204">
                  <c:v>19.649999999999999</c:v>
                </c:pt>
                <c:pt idx="4205">
                  <c:v>19.57</c:v>
                </c:pt>
                <c:pt idx="4206">
                  <c:v>19.600000000000001</c:v>
                </c:pt>
                <c:pt idx="4207">
                  <c:v>19.5</c:v>
                </c:pt>
                <c:pt idx="4208">
                  <c:v>19.899999999999999</c:v>
                </c:pt>
                <c:pt idx="4209">
                  <c:v>20.079999999999998</c:v>
                </c:pt>
                <c:pt idx="4210">
                  <c:v>19.78</c:v>
                </c:pt>
                <c:pt idx="4211">
                  <c:v>19.86</c:v>
                </c:pt>
                <c:pt idx="4212">
                  <c:v>19.399999999999999</c:v>
                </c:pt>
                <c:pt idx="4213">
                  <c:v>19.66</c:v>
                </c:pt>
                <c:pt idx="4214">
                  <c:v>19.32</c:v>
                </c:pt>
                <c:pt idx="4215">
                  <c:v>18.989999999999998</c:v>
                </c:pt>
                <c:pt idx="4216">
                  <c:v>19.29</c:v>
                </c:pt>
                <c:pt idx="4217">
                  <c:v>19.43</c:v>
                </c:pt>
                <c:pt idx="4218">
                  <c:v>19.52</c:v>
                </c:pt>
                <c:pt idx="4219">
                  <c:v>20.07</c:v>
                </c:pt>
                <c:pt idx="4220">
                  <c:v>20.13</c:v>
                </c:pt>
                <c:pt idx="4221">
                  <c:v>20.02</c:v>
                </c:pt>
                <c:pt idx="4222">
                  <c:v>19.899999999999999</c:v>
                </c:pt>
                <c:pt idx="4223">
                  <c:v>20.11</c:v>
                </c:pt>
                <c:pt idx="4224">
                  <c:v>20.440000000000001</c:v>
                </c:pt>
                <c:pt idx="4225">
                  <c:v>20.37</c:v>
                </c:pt>
                <c:pt idx="4226">
                  <c:v>20.309999999999999</c:v>
                </c:pt>
                <c:pt idx="4227">
                  <c:v>19.7</c:v>
                </c:pt>
                <c:pt idx="4228">
                  <c:v>20.12</c:v>
                </c:pt>
                <c:pt idx="4229">
                  <c:v>19.63</c:v>
                </c:pt>
                <c:pt idx="4230">
                  <c:v>19.760000000000002</c:v>
                </c:pt>
                <c:pt idx="4231">
                  <c:v>19.34</c:v>
                </c:pt>
                <c:pt idx="4232">
                  <c:v>19.66</c:v>
                </c:pt>
                <c:pt idx="4233">
                  <c:v>19.850000000000001</c:v>
                </c:pt>
                <c:pt idx="4234">
                  <c:v>20.32</c:v>
                </c:pt>
                <c:pt idx="4235">
                  <c:v>20.5</c:v>
                </c:pt>
                <c:pt idx="4236">
                  <c:v>20.9</c:v>
                </c:pt>
                <c:pt idx="4237">
                  <c:v>21.21</c:v>
                </c:pt>
                <c:pt idx="4238">
                  <c:v>21.15</c:v>
                </c:pt>
                <c:pt idx="4239">
                  <c:v>21.18</c:v>
                </c:pt>
                <c:pt idx="4240">
                  <c:v>21.02</c:v>
                </c:pt>
                <c:pt idx="4241">
                  <c:v>21.29</c:v>
                </c:pt>
                <c:pt idx="4242">
                  <c:v>20.92</c:v>
                </c:pt>
                <c:pt idx="4243">
                  <c:v>20.83</c:v>
                </c:pt>
                <c:pt idx="4244">
                  <c:v>21.22</c:v>
                </c:pt>
                <c:pt idx="4245">
                  <c:v>20.73</c:v>
                </c:pt>
                <c:pt idx="4246">
                  <c:v>20.76</c:v>
                </c:pt>
                <c:pt idx="4247">
                  <c:v>21.16</c:v>
                </c:pt>
                <c:pt idx="4248">
                  <c:v>21.31</c:v>
                </c:pt>
                <c:pt idx="4249">
                  <c:v>21.94</c:v>
                </c:pt>
                <c:pt idx="4250">
                  <c:v>22.7</c:v>
                </c:pt>
                <c:pt idx="4251">
                  <c:v>22.95</c:v>
                </c:pt>
                <c:pt idx="4252">
                  <c:v>22.8</c:v>
                </c:pt>
                <c:pt idx="4253">
                  <c:v>22.7</c:v>
                </c:pt>
                <c:pt idx="4254">
                  <c:v>22.9</c:v>
                </c:pt>
                <c:pt idx="4255">
                  <c:v>22.6</c:v>
                </c:pt>
                <c:pt idx="4256">
                  <c:v>22.4</c:v>
                </c:pt>
                <c:pt idx="4257">
                  <c:v>22.34</c:v>
                </c:pt>
                <c:pt idx="4258">
                  <c:v>22.43</c:v>
                </c:pt>
                <c:pt idx="4259">
                  <c:v>22.07</c:v>
                </c:pt>
                <c:pt idx="4260">
                  <c:v>22.01</c:v>
                </c:pt>
                <c:pt idx="4261">
                  <c:v>22.17</c:v>
                </c:pt>
                <c:pt idx="4262">
                  <c:v>22.1</c:v>
                </c:pt>
                <c:pt idx="4263">
                  <c:v>22.86</c:v>
                </c:pt>
                <c:pt idx="4264">
                  <c:v>23.26</c:v>
                </c:pt>
                <c:pt idx="4265">
                  <c:v>23.38</c:v>
                </c:pt>
                <c:pt idx="4266">
                  <c:v>23.59</c:v>
                </c:pt>
                <c:pt idx="4267">
                  <c:v>23.59</c:v>
                </c:pt>
                <c:pt idx="4268">
                  <c:v>23.53</c:v>
                </c:pt>
                <c:pt idx="4269">
                  <c:v>23.5</c:v>
                </c:pt>
                <c:pt idx="4270">
                  <c:v>23.78</c:v>
                </c:pt>
                <c:pt idx="4271">
                  <c:v>23.38</c:v>
                </c:pt>
                <c:pt idx="4272">
                  <c:v>23.52</c:v>
                </c:pt>
                <c:pt idx="4273">
                  <c:v>23.3</c:v>
                </c:pt>
                <c:pt idx="4274">
                  <c:v>23.48</c:v>
                </c:pt>
                <c:pt idx="4275">
                  <c:v>23.83</c:v>
                </c:pt>
                <c:pt idx="4276">
                  <c:v>24.2</c:v>
                </c:pt>
                <c:pt idx="4277">
                  <c:v>24.49</c:v>
                </c:pt>
                <c:pt idx="4278">
                  <c:v>24.69</c:v>
                </c:pt>
                <c:pt idx="4279">
                  <c:v>23.98</c:v>
                </c:pt>
                <c:pt idx="4280">
                  <c:v>23.79</c:v>
                </c:pt>
                <c:pt idx="4281">
                  <c:v>23.7</c:v>
                </c:pt>
                <c:pt idx="4282">
                  <c:v>23.26</c:v>
                </c:pt>
                <c:pt idx="4283">
                  <c:v>23.47</c:v>
                </c:pt>
                <c:pt idx="4284">
                  <c:v>23.95</c:v>
                </c:pt>
                <c:pt idx="4285">
                  <c:v>24.38</c:v>
                </c:pt>
                <c:pt idx="4286">
                  <c:v>24.75</c:v>
                </c:pt>
                <c:pt idx="4287">
                  <c:v>25.2</c:v>
                </c:pt>
                <c:pt idx="4288">
                  <c:v>24.68</c:v>
                </c:pt>
                <c:pt idx="4289">
                  <c:v>24.43</c:v>
                </c:pt>
                <c:pt idx="4290">
                  <c:v>24.73</c:v>
                </c:pt>
                <c:pt idx="4291">
                  <c:v>24.3</c:v>
                </c:pt>
                <c:pt idx="4292">
                  <c:v>24.97</c:v>
                </c:pt>
                <c:pt idx="4293">
                  <c:v>25.07</c:v>
                </c:pt>
                <c:pt idx="4294">
                  <c:v>25.17</c:v>
                </c:pt>
                <c:pt idx="4295">
                  <c:v>26.07</c:v>
                </c:pt>
                <c:pt idx="4296">
                  <c:v>26.41</c:v>
                </c:pt>
                <c:pt idx="4297">
                  <c:v>26.24</c:v>
                </c:pt>
                <c:pt idx="4298">
                  <c:v>26.83</c:v>
                </c:pt>
                <c:pt idx="4299">
                  <c:v>26.39</c:v>
                </c:pt>
                <c:pt idx="4300">
                  <c:v>26.64</c:v>
                </c:pt>
                <c:pt idx="4301">
                  <c:v>27.34</c:v>
                </c:pt>
                <c:pt idx="4302">
                  <c:v>26.58</c:v>
                </c:pt>
                <c:pt idx="4303">
                  <c:v>26.52</c:v>
                </c:pt>
                <c:pt idx="4304">
                  <c:v>26.58</c:v>
                </c:pt>
                <c:pt idx="4305">
                  <c:v>27</c:v>
                </c:pt>
                <c:pt idx="4306">
                  <c:v>26.54</c:v>
                </c:pt>
                <c:pt idx="4307">
                  <c:v>26.02</c:v>
                </c:pt>
                <c:pt idx="4308">
                  <c:v>26.33</c:v>
                </c:pt>
                <c:pt idx="4309">
                  <c:v>26.07</c:v>
                </c:pt>
                <c:pt idx="4310">
                  <c:v>25.81</c:v>
                </c:pt>
                <c:pt idx="4311">
                  <c:v>26.33</c:v>
                </c:pt>
                <c:pt idx="4312">
                  <c:v>26.3</c:v>
                </c:pt>
                <c:pt idx="4313">
                  <c:v>26.39</c:v>
                </c:pt>
                <c:pt idx="4314">
                  <c:v>26.26</c:v>
                </c:pt>
                <c:pt idx="4315">
                  <c:v>25.75</c:v>
                </c:pt>
                <c:pt idx="4316">
                  <c:v>26.21</c:v>
                </c:pt>
                <c:pt idx="4317">
                  <c:v>27.04</c:v>
                </c:pt>
                <c:pt idx="4318">
                  <c:v>26.74</c:v>
                </c:pt>
                <c:pt idx="4319">
                  <c:v>26.4</c:v>
                </c:pt>
                <c:pt idx="4320">
                  <c:v>25.89</c:v>
                </c:pt>
                <c:pt idx="4321">
                  <c:v>26.37</c:v>
                </c:pt>
                <c:pt idx="4322">
                  <c:v>26.28</c:v>
                </c:pt>
                <c:pt idx="4323">
                  <c:v>26.54</c:v>
                </c:pt>
                <c:pt idx="4324">
                  <c:v>26.66</c:v>
                </c:pt>
                <c:pt idx="4325">
                  <c:v>26.24</c:v>
                </c:pt>
                <c:pt idx="4326">
                  <c:v>25.35</c:v>
                </c:pt>
                <c:pt idx="4327">
                  <c:v>25.19</c:v>
                </c:pt>
                <c:pt idx="4328">
                  <c:v>24.07</c:v>
                </c:pt>
                <c:pt idx="4329">
                  <c:v>24.96</c:v>
                </c:pt>
                <c:pt idx="4330">
                  <c:v>25.29</c:v>
                </c:pt>
                <c:pt idx="4331">
                  <c:v>25.47</c:v>
                </c:pt>
                <c:pt idx="4332">
                  <c:v>25.13</c:v>
                </c:pt>
                <c:pt idx="4333">
                  <c:v>25.24</c:v>
                </c:pt>
                <c:pt idx="4334">
                  <c:v>24.99</c:v>
                </c:pt>
                <c:pt idx="4335">
                  <c:v>25.59</c:v>
                </c:pt>
                <c:pt idx="4336">
                  <c:v>25.68</c:v>
                </c:pt>
                <c:pt idx="4337">
                  <c:v>25.53</c:v>
                </c:pt>
                <c:pt idx="4338">
                  <c:v>26.68</c:v>
                </c:pt>
                <c:pt idx="4339">
                  <c:v>26.56</c:v>
                </c:pt>
                <c:pt idx="4340">
                  <c:v>27.04</c:v>
                </c:pt>
                <c:pt idx="4341">
                  <c:v>27.23</c:v>
                </c:pt>
                <c:pt idx="4342">
                  <c:v>27.34</c:v>
                </c:pt>
                <c:pt idx="4343">
                  <c:v>26.88</c:v>
                </c:pt>
                <c:pt idx="4344">
                  <c:v>29.66</c:v>
                </c:pt>
                <c:pt idx="4345">
                  <c:v>29.66</c:v>
                </c:pt>
                <c:pt idx="4346">
                  <c:v>29.11</c:v>
                </c:pt>
                <c:pt idx="4347">
                  <c:v>27.86</c:v>
                </c:pt>
                <c:pt idx="4348">
                  <c:v>27.36</c:v>
                </c:pt>
                <c:pt idx="4349">
                  <c:v>27.84</c:v>
                </c:pt>
                <c:pt idx="4350">
                  <c:v>28.27</c:v>
                </c:pt>
                <c:pt idx="4351">
                  <c:v>28.11</c:v>
                </c:pt>
                <c:pt idx="4352">
                  <c:v>27.93</c:v>
                </c:pt>
                <c:pt idx="4353">
                  <c:v>28.05</c:v>
                </c:pt>
                <c:pt idx="4354">
                  <c:v>28.09</c:v>
                </c:pt>
                <c:pt idx="4355">
                  <c:v>27.96</c:v>
                </c:pt>
                <c:pt idx="4356">
                  <c:v>27.65</c:v>
                </c:pt>
                <c:pt idx="4357">
                  <c:v>27.67</c:v>
                </c:pt>
                <c:pt idx="4358">
                  <c:v>27.32</c:v>
                </c:pt>
                <c:pt idx="4359">
                  <c:v>27.39</c:v>
                </c:pt>
                <c:pt idx="4360">
                  <c:v>27.48</c:v>
                </c:pt>
                <c:pt idx="4361">
                  <c:v>27.68</c:v>
                </c:pt>
                <c:pt idx="4362">
                  <c:v>28.35</c:v>
                </c:pt>
                <c:pt idx="4363">
                  <c:v>28.34</c:v>
                </c:pt>
                <c:pt idx="4364">
                  <c:v>28.05</c:v>
                </c:pt>
                <c:pt idx="4365">
                  <c:v>27.14</c:v>
                </c:pt>
                <c:pt idx="4366">
                  <c:v>27.32</c:v>
                </c:pt>
                <c:pt idx="4367">
                  <c:v>26.91</c:v>
                </c:pt>
                <c:pt idx="4368">
                  <c:v>27.12</c:v>
                </c:pt>
                <c:pt idx="4369">
                  <c:v>27.06</c:v>
                </c:pt>
                <c:pt idx="4370">
                  <c:v>27.9</c:v>
                </c:pt>
                <c:pt idx="4371">
                  <c:v>27.99</c:v>
                </c:pt>
                <c:pt idx="4372">
                  <c:v>27.7</c:v>
                </c:pt>
                <c:pt idx="4373">
                  <c:v>27</c:v>
                </c:pt>
                <c:pt idx="4374">
                  <c:v>27.11</c:v>
                </c:pt>
                <c:pt idx="4375">
                  <c:v>27.3</c:v>
                </c:pt>
                <c:pt idx="4376">
                  <c:v>27.12</c:v>
                </c:pt>
                <c:pt idx="4377">
                  <c:v>27.78</c:v>
                </c:pt>
                <c:pt idx="4378">
                  <c:v>28.07</c:v>
                </c:pt>
                <c:pt idx="4379">
                  <c:v>28.23</c:v>
                </c:pt>
                <c:pt idx="4380">
                  <c:v>28.17</c:v>
                </c:pt>
                <c:pt idx="4381">
                  <c:v>29.24</c:v>
                </c:pt>
                <c:pt idx="4382">
                  <c:v>29.48</c:v>
                </c:pt>
                <c:pt idx="4383">
                  <c:v>29.19</c:v>
                </c:pt>
                <c:pt idx="4384">
                  <c:v>29.65</c:v>
                </c:pt>
                <c:pt idx="4385">
                  <c:v>29.26</c:v>
                </c:pt>
                <c:pt idx="4386">
                  <c:v>29.62</c:v>
                </c:pt>
                <c:pt idx="4387">
                  <c:v>30</c:v>
                </c:pt>
                <c:pt idx="4388">
                  <c:v>30.44</c:v>
                </c:pt>
                <c:pt idx="4389">
                  <c:v>31.03</c:v>
                </c:pt>
                <c:pt idx="4390">
                  <c:v>30.93</c:v>
                </c:pt>
                <c:pt idx="4391">
                  <c:v>30.26</c:v>
                </c:pt>
                <c:pt idx="4392">
                  <c:v>31.27</c:v>
                </c:pt>
                <c:pt idx="4393">
                  <c:v>31.34</c:v>
                </c:pt>
                <c:pt idx="4394">
                  <c:v>32.75</c:v>
                </c:pt>
                <c:pt idx="4395">
                  <c:v>33.549999999999997</c:v>
                </c:pt>
                <c:pt idx="4396">
                  <c:v>33.17</c:v>
                </c:pt>
                <c:pt idx="4397">
                  <c:v>34.31</c:v>
                </c:pt>
                <c:pt idx="4398">
                  <c:v>34.14</c:v>
                </c:pt>
                <c:pt idx="4399">
                  <c:v>33.880000000000003</c:v>
                </c:pt>
                <c:pt idx="4400">
                  <c:v>34.89</c:v>
                </c:pt>
                <c:pt idx="4401">
                  <c:v>34.14</c:v>
                </c:pt>
                <c:pt idx="4402">
                  <c:v>32.93</c:v>
                </c:pt>
                <c:pt idx="4403">
                  <c:v>33.01</c:v>
                </c:pt>
                <c:pt idx="4404">
                  <c:v>33.869999999999997</c:v>
                </c:pt>
                <c:pt idx="4405">
                  <c:v>34.15</c:v>
                </c:pt>
                <c:pt idx="4406">
                  <c:v>34</c:v>
                </c:pt>
                <c:pt idx="4407">
                  <c:v>33.380000000000003</c:v>
                </c:pt>
                <c:pt idx="4408">
                  <c:v>33.090000000000003</c:v>
                </c:pt>
                <c:pt idx="4409">
                  <c:v>32.74</c:v>
                </c:pt>
                <c:pt idx="4410">
                  <c:v>33.43</c:v>
                </c:pt>
                <c:pt idx="4411">
                  <c:v>34.06</c:v>
                </c:pt>
                <c:pt idx="4412">
                  <c:v>33.94</c:v>
                </c:pt>
                <c:pt idx="4413">
                  <c:v>33.1</c:v>
                </c:pt>
                <c:pt idx="4414">
                  <c:v>33.08</c:v>
                </c:pt>
                <c:pt idx="4415">
                  <c:v>32.25</c:v>
                </c:pt>
                <c:pt idx="4416">
                  <c:v>32.35</c:v>
                </c:pt>
                <c:pt idx="4417">
                  <c:v>33.17</c:v>
                </c:pt>
                <c:pt idx="4418">
                  <c:v>32.57</c:v>
                </c:pt>
                <c:pt idx="4419">
                  <c:v>32.94</c:v>
                </c:pt>
                <c:pt idx="4420">
                  <c:v>33.18</c:v>
                </c:pt>
                <c:pt idx="4421">
                  <c:v>33.19</c:v>
                </c:pt>
                <c:pt idx="4422">
                  <c:v>32.97</c:v>
                </c:pt>
                <c:pt idx="4423">
                  <c:v>32.880000000000003</c:v>
                </c:pt>
                <c:pt idx="4424">
                  <c:v>32.11</c:v>
                </c:pt>
                <c:pt idx="4425">
                  <c:v>33.119999999999997</c:v>
                </c:pt>
                <c:pt idx="4426">
                  <c:v>33.82</c:v>
                </c:pt>
                <c:pt idx="4427">
                  <c:v>34.07</c:v>
                </c:pt>
                <c:pt idx="4428">
                  <c:v>35.1</c:v>
                </c:pt>
                <c:pt idx="4429">
                  <c:v>35.69</c:v>
                </c:pt>
                <c:pt idx="4430">
                  <c:v>35.47</c:v>
                </c:pt>
                <c:pt idx="4431">
                  <c:v>34.979999999999997</c:v>
                </c:pt>
                <c:pt idx="4432">
                  <c:v>34.630000000000003</c:v>
                </c:pt>
                <c:pt idx="4433">
                  <c:v>35.619999999999997</c:v>
                </c:pt>
                <c:pt idx="4434">
                  <c:v>36.299999999999997</c:v>
                </c:pt>
                <c:pt idx="4435">
                  <c:v>36.49</c:v>
                </c:pt>
                <c:pt idx="4436">
                  <c:v>36.29</c:v>
                </c:pt>
                <c:pt idx="4437">
                  <c:v>36.64</c:v>
                </c:pt>
                <c:pt idx="4438">
                  <c:v>36.96</c:v>
                </c:pt>
                <c:pt idx="4439">
                  <c:v>36.979999999999997</c:v>
                </c:pt>
                <c:pt idx="4440">
                  <c:v>37.01</c:v>
                </c:pt>
                <c:pt idx="4441">
                  <c:v>36.56</c:v>
                </c:pt>
                <c:pt idx="4442">
                  <c:v>38.130000000000003</c:v>
                </c:pt>
                <c:pt idx="4443">
                  <c:v>38.869999999999997</c:v>
                </c:pt>
                <c:pt idx="4444">
                  <c:v>38.86</c:v>
                </c:pt>
                <c:pt idx="4445">
                  <c:v>38.869999999999997</c:v>
                </c:pt>
                <c:pt idx="4446">
                  <c:v>40.22</c:v>
                </c:pt>
                <c:pt idx="4447">
                  <c:v>39.159999999999997</c:v>
                </c:pt>
                <c:pt idx="4448">
                  <c:v>39.35</c:v>
                </c:pt>
                <c:pt idx="4449">
                  <c:v>39.729999999999997</c:v>
                </c:pt>
                <c:pt idx="4450">
                  <c:v>39.729999999999997</c:v>
                </c:pt>
                <c:pt idx="4451">
                  <c:v>39.51</c:v>
                </c:pt>
                <c:pt idx="4452">
                  <c:v>40.04</c:v>
                </c:pt>
                <c:pt idx="4453">
                  <c:v>40.200000000000003</c:v>
                </c:pt>
                <c:pt idx="4454">
                  <c:v>40.119999999999997</c:v>
                </c:pt>
                <c:pt idx="4455">
                  <c:v>40.770000000000003</c:v>
                </c:pt>
                <c:pt idx="4456">
                  <c:v>40.85</c:v>
                </c:pt>
                <c:pt idx="4457">
                  <c:v>40.65</c:v>
                </c:pt>
                <c:pt idx="4458">
                  <c:v>40.49</c:v>
                </c:pt>
                <c:pt idx="4459">
                  <c:v>40.200000000000003</c:v>
                </c:pt>
                <c:pt idx="4460">
                  <c:v>40.44</c:v>
                </c:pt>
                <c:pt idx="4461">
                  <c:v>39.590000000000003</c:v>
                </c:pt>
                <c:pt idx="4462">
                  <c:v>40.119999999999997</c:v>
                </c:pt>
                <c:pt idx="4463">
                  <c:v>39.93</c:v>
                </c:pt>
                <c:pt idx="4464">
                  <c:v>40.92</c:v>
                </c:pt>
                <c:pt idx="4465">
                  <c:v>41.02</c:v>
                </c:pt>
                <c:pt idx="4466">
                  <c:v>40.92</c:v>
                </c:pt>
                <c:pt idx="4467">
                  <c:v>41.23</c:v>
                </c:pt>
                <c:pt idx="4468">
                  <c:v>39.99</c:v>
                </c:pt>
                <c:pt idx="4469">
                  <c:v>41.14</c:v>
                </c:pt>
                <c:pt idx="4470">
                  <c:v>41.07</c:v>
                </c:pt>
                <c:pt idx="4471">
                  <c:v>40.340000000000003</c:v>
                </c:pt>
                <c:pt idx="4472">
                  <c:v>40.01</c:v>
                </c:pt>
                <c:pt idx="4473">
                  <c:v>39.520000000000003</c:v>
                </c:pt>
                <c:pt idx="4474">
                  <c:v>40.18</c:v>
                </c:pt>
                <c:pt idx="4475">
                  <c:v>39.39</c:v>
                </c:pt>
                <c:pt idx="4476">
                  <c:v>37.909999999999997</c:v>
                </c:pt>
                <c:pt idx="4477">
                  <c:v>36.65</c:v>
                </c:pt>
                <c:pt idx="4478">
                  <c:v>38.22</c:v>
                </c:pt>
                <c:pt idx="4479">
                  <c:v>34.89</c:v>
                </c:pt>
                <c:pt idx="4480">
                  <c:v>35.31</c:v>
                </c:pt>
                <c:pt idx="4481">
                  <c:v>36.01</c:v>
                </c:pt>
                <c:pt idx="4482">
                  <c:v>34.9</c:v>
                </c:pt>
                <c:pt idx="4483">
                  <c:v>35.659999999999997</c:v>
                </c:pt>
                <c:pt idx="4484">
                  <c:v>35.49</c:v>
                </c:pt>
                <c:pt idx="4485">
                  <c:v>36.24</c:v>
                </c:pt>
                <c:pt idx="4486">
                  <c:v>37.229999999999997</c:v>
                </c:pt>
                <c:pt idx="4487">
                  <c:v>37.76</c:v>
                </c:pt>
                <c:pt idx="4488">
                  <c:v>38.5</c:v>
                </c:pt>
                <c:pt idx="4489">
                  <c:v>38.11</c:v>
                </c:pt>
                <c:pt idx="4490">
                  <c:v>38.520000000000003</c:v>
                </c:pt>
                <c:pt idx="4491">
                  <c:v>38.229999999999997</c:v>
                </c:pt>
                <c:pt idx="4492">
                  <c:v>38.31</c:v>
                </c:pt>
                <c:pt idx="4493">
                  <c:v>37.81</c:v>
                </c:pt>
                <c:pt idx="4494">
                  <c:v>37.79</c:v>
                </c:pt>
                <c:pt idx="4495">
                  <c:v>37.29</c:v>
                </c:pt>
                <c:pt idx="4496">
                  <c:v>37.42</c:v>
                </c:pt>
                <c:pt idx="4497">
                  <c:v>37.26</c:v>
                </c:pt>
                <c:pt idx="4498">
                  <c:v>37.619999999999997</c:v>
                </c:pt>
                <c:pt idx="4499">
                  <c:v>38.47</c:v>
                </c:pt>
                <c:pt idx="4500">
                  <c:v>38.67</c:v>
                </c:pt>
                <c:pt idx="4501">
                  <c:v>38.25</c:v>
                </c:pt>
                <c:pt idx="4502">
                  <c:v>39.630000000000003</c:v>
                </c:pt>
                <c:pt idx="4503">
                  <c:v>39.5</c:v>
                </c:pt>
                <c:pt idx="4504">
                  <c:v>39.659999999999997</c:v>
                </c:pt>
                <c:pt idx="4505">
                  <c:v>38.700000000000003</c:v>
                </c:pt>
                <c:pt idx="4506">
                  <c:v>38.049999999999997</c:v>
                </c:pt>
                <c:pt idx="4507">
                  <c:v>37.56</c:v>
                </c:pt>
                <c:pt idx="4508">
                  <c:v>37.5</c:v>
                </c:pt>
                <c:pt idx="4509">
                  <c:v>37.229999999999997</c:v>
                </c:pt>
                <c:pt idx="4510">
                  <c:v>37.6</c:v>
                </c:pt>
                <c:pt idx="4511">
                  <c:v>39.11</c:v>
                </c:pt>
                <c:pt idx="4512">
                  <c:v>39.450000000000003</c:v>
                </c:pt>
                <c:pt idx="4513">
                  <c:v>38.61</c:v>
                </c:pt>
                <c:pt idx="4514">
                  <c:v>37.770000000000003</c:v>
                </c:pt>
                <c:pt idx="4515">
                  <c:v>37.94</c:v>
                </c:pt>
                <c:pt idx="4516">
                  <c:v>36.68</c:v>
                </c:pt>
                <c:pt idx="4517">
                  <c:v>35.93</c:v>
                </c:pt>
                <c:pt idx="4518">
                  <c:v>35.450000000000003</c:v>
                </c:pt>
                <c:pt idx="4519">
                  <c:v>35.590000000000003</c:v>
                </c:pt>
                <c:pt idx="4520">
                  <c:v>35.9</c:v>
                </c:pt>
                <c:pt idx="4521">
                  <c:v>35.9</c:v>
                </c:pt>
                <c:pt idx="4522">
                  <c:v>36.49</c:v>
                </c:pt>
                <c:pt idx="4523">
                  <c:v>36.64</c:v>
                </c:pt>
                <c:pt idx="4524">
                  <c:v>35.76</c:v>
                </c:pt>
                <c:pt idx="4525">
                  <c:v>34.26</c:v>
                </c:pt>
                <c:pt idx="4526">
                  <c:v>33.07</c:v>
                </c:pt>
                <c:pt idx="4527">
                  <c:v>33.83</c:v>
                </c:pt>
                <c:pt idx="4528">
                  <c:v>34.869999999999997</c:v>
                </c:pt>
                <c:pt idx="4529">
                  <c:v>33.4</c:v>
                </c:pt>
                <c:pt idx="4530">
                  <c:v>32.869999999999997</c:v>
                </c:pt>
                <c:pt idx="4531">
                  <c:v>33.450000000000003</c:v>
                </c:pt>
                <c:pt idx="4532">
                  <c:v>34.21</c:v>
                </c:pt>
                <c:pt idx="4533">
                  <c:v>36.35</c:v>
                </c:pt>
                <c:pt idx="4534">
                  <c:v>36.380000000000003</c:v>
                </c:pt>
                <c:pt idx="4535">
                  <c:v>36.4</c:v>
                </c:pt>
                <c:pt idx="4536">
                  <c:v>36.14</c:v>
                </c:pt>
                <c:pt idx="4537">
                  <c:v>35.44</c:v>
                </c:pt>
                <c:pt idx="4538">
                  <c:v>35.24</c:v>
                </c:pt>
                <c:pt idx="4539">
                  <c:v>34.479999999999997</c:v>
                </c:pt>
                <c:pt idx="4540">
                  <c:v>33.99</c:v>
                </c:pt>
                <c:pt idx="4541">
                  <c:v>35.83</c:v>
                </c:pt>
                <c:pt idx="4542">
                  <c:v>35.950000000000003</c:v>
                </c:pt>
                <c:pt idx="4543">
                  <c:v>36.51</c:v>
                </c:pt>
                <c:pt idx="4544">
                  <c:v>36.869999999999997</c:v>
                </c:pt>
                <c:pt idx="4545">
                  <c:v>36.909999999999997</c:v>
                </c:pt>
                <c:pt idx="4546">
                  <c:v>36.49</c:v>
                </c:pt>
                <c:pt idx="4547">
                  <c:v>34.07</c:v>
                </c:pt>
                <c:pt idx="4548">
                  <c:v>33.92</c:v>
                </c:pt>
                <c:pt idx="4549">
                  <c:v>33.76</c:v>
                </c:pt>
                <c:pt idx="4550">
                  <c:v>34.450000000000003</c:v>
                </c:pt>
                <c:pt idx="4551">
                  <c:v>34.4</c:v>
                </c:pt>
                <c:pt idx="4552">
                  <c:v>34.17</c:v>
                </c:pt>
                <c:pt idx="4553">
                  <c:v>33.799999999999997</c:v>
                </c:pt>
                <c:pt idx="4554">
                  <c:v>33.409999999999997</c:v>
                </c:pt>
                <c:pt idx="4555">
                  <c:v>33.89</c:v>
                </c:pt>
                <c:pt idx="4556">
                  <c:v>33.869999999999997</c:v>
                </c:pt>
                <c:pt idx="4557">
                  <c:v>34.36</c:v>
                </c:pt>
                <c:pt idx="4558">
                  <c:v>34.700000000000003</c:v>
                </c:pt>
                <c:pt idx="4559">
                  <c:v>35.020000000000003</c:v>
                </c:pt>
                <c:pt idx="4560">
                  <c:v>35.119999999999997</c:v>
                </c:pt>
                <c:pt idx="4561">
                  <c:v>34.78</c:v>
                </c:pt>
                <c:pt idx="4562">
                  <c:v>34.9</c:v>
                </c:pt>
                <c:pt idx="4563">
                  <c:v>34.65</c:v>
                </c:pt>
                <c:pt idx="4564">
                  <c:v>34.869999999999997</c:v>
                </c:pt>
                <c:pt idx="4565">
                  <c:v>34.65</c:v>
                </c:pt>
                <c:pt idx="4566">
                  <c:v>34.729999999999997</c:v>
                </c:pt>
                <c:pt idx="4567">
                  <c:v>34.94</c:v>
                </c:pt>
                <c:pt idx="4568">
                  <c:v>35.92</c:v>
                </c:pt>
                <c:pt idx="4569">
                  <c:v>36.04</c:v>
                </c:pt>
                <c:pt idx="4570">
                  <c:v>36.31</c:v>
                </c:pt>
                <c:pt idx="4571">
                  <c:v>36.630000000000003</c:v>
                </c:pt>
                <c:pt idx="4572">
                  <c:v>36.78</c:v>
                </c:pt>
                <c:pt idx="4573">
                  <c:v>36.94</c:v>
                </c:pt>
                <c:pt idx="4574">
                  <c:v>34.81</c:v>
                </c:pt>
                <c:pt idx="4575">
                  <c:v>34.43</c:v>
                </c:pt>
                <c:pt idx="4576">
                  <c:v>34.94</c:v>
                </c:pt>
                <c:pt idx="4577">
                  <c:v>34.68</c:v>
                </c:pt>
                <c:pt idx="4578">
                  <c:v>34.049999999999997</c:v>
                </c:pt>
                <c:pt idx="4579">
                  <c:v>33.64</c:v>
                </c:pt>
                <c:pt idx="4580">
                  <c:v>33.479999999999997</c:v>
                </c:pt>
                <c:pt idx="4581">
                  <c:v>33.25</c:v>
                </c:pt>
                <c:pt idx="4582">
                  <c:v>33.659999999999997</c:v>
                </c:pt>
                <c:pt idx="4583">
                  <c:v>34.25</c:v>
                </c:pt>
                <c:pt idx="4584">
                  <c:v>35.130000000000003</c:v>
                </c:pt>
                <c:pt idx="4585">
                  <c:v>35.35</c:v>
                </c:pt>
                <c:pt idx="4586">
                  <c:v>35.880000000000003</c:v>
                </c:pt>
                <c:pt idx="4587">
                  <c:v>36.14</c:v>
                </c:pt>
                <c:pt idx="4588">
                  <c:v>35.520000000000003</c:v>
                </c:pt>
                <c:pt idx="4589">
                  <c:v>34.53</c:v>
                </c:pt>
                <c:pt idx="4590">
                  <c:v>34.85</c:v>
                </c:pt>
                <c:pt idx="4591">
                  <c:v>34.93</c:v>
                </c:pt>
                <c:pt idx="4592">
                  <c:v>35.43</c:v>
                </c:pt>
                <c:pt idx="4593">
                  <c:v>35.700000000000003</c:v>
                </c:pt>
                <c:pt idx="4594">
                  <c:v>35.61</c:v>
                </c:pt>
                <c:pt idx="4595">
                  <c:v>33.79</c:v>
                </c:pt>
                <c:pt idx="4596">
                  <c:v>33.21</c:v>
                </c:pt>
                <c:pt idx="4597">
                  <c:v>33.33</c:v>
                </c:pt>
                <c:pt idx="4598">
                  <c:v>33.28</c:v>
                </c:pt>
                <c:pt idx="4599">
                  <c:v>33.6</c:v>
                </c:pt>
                <c:pt idx="4600">
                  <c:v>34.71</c:v>
                </c:pt>
                <c:pt idx="4601">
                  <c:v>36.17</c:v>
                </c:pt>
                <c:pt idx="4602">
                  <c:v>36.119999999999997</c:v>
                </c:pt>
                <c:pt idx="4603">
                  <c:v>35.9</c:v>
                </c:pt>
                <c:pt idx="4604">
                  <c:v>35.68</c:v>
                </c:pt>
                <c:pt idx="4605">
                  <c:v>36.6</c:v>
                </c:pt>
                <c:pt idx="4606">
                  <c:v>35.81</c:v>
                </c:pt>
                <c:pt idx="4607">
                  <c:v>35.619999999999997</c:v>
                </c:pt>
                <c:pt idx="4608">
                  <c:v>36.53</c:v>
                </c:pt>
                <c:pt idx="4609">
                  <c:v>35.700000000000003</c:v>
                </c:pt>
                <c:pt idx="4610">
                  <c:v>35.79</c:v>
                </c:pt>
                <c:pt idx="4611">
                  <c:v>35.659999999999997</c:v>
                </c:pt>
                <c:pt idx="4612">
                  <c:v>35.909999999999997</c:v>
                </c:pt>
                <c:pt idx="4613">
                  <c:v>35.79</c:v>
                </c:pt>
                <c:pt idx="4614">
                  <c:v>35.520000000000003</c:v>
                </c:pt>
                <c:pt idx="4615">
                  <c:v>36.19</c:v>
                </c:pt>
                <c:pt idx="4616">
                  <c:v>36.36</c:v>
                </c:pt>
                <c:pt idx="4617">
                  <c:v>36.47</c:v>
                </c:pt>
                <c:pt idx="4618">
                  <c:v>37.380000000000003</c:v>
                </c:pt>
                <c:pt idx="4619">
                  <c:v>37.83</c:v>
                </c:pt>
                <c:pt idx="4620">
                  <c:v>37.5</c:v>
                </c:pt>
                <c:pt idx="4621">
                  <c:v>37.64</c:v>
                </c:pt>
                <c:pt idx="4622">
                  <c:v>38.01</c:v>
                </c:pt>
                <c:pt idx="4623">
                  <c:v>37.71</c:v>
                </c:pt>
                <c:pt idx="4624">
                  <c:v>37.79</c:v>
                </c:pt>
                <c:pt idx="4625">
                  <c:v>38.18</c:v>
                </c:pt>
                <c:pt idx="4626">
                  <c:v>38.31</c:v>
                </c:pt>
                <c:pt idx="4627">
                  <c:v>38.51</c:v>
                </c:pt>
                <c:pt idx="4628">
                  <c:v>39.270000000000003</c:v>
                </c:pt>
                <c:pt idx="4629">
                  <c:v>38.869999999999997</c:v>
                </c:pt>
                <c:pt idx="4630">
                  <c:v>39.19</c:v>
                </c:pt>
                <c:pt idx="4631">
                  <c:v>39.590000000000003</c:v>
                </c:pt>
                <c:pt idx="4632">
                  <c:v>41.81</c:v>
                </c:pt>
                <c:pt idx="4633">
                  <c:v>40.78</c:v>
                </c:pt>
                <c:pt idx="4634">
                  <c:v>41.14</c:v>
                </c:pt>
                <c:pt idx="4635">
                  <c:v>41.26</c:v>
                </c:pt>
                <c:pt idx="4636">
                  <c:v>42.88</c:v>
                </c:pt>
                <c:pt idx="4637">
                  <c:v>42.55</c:v>
                </c:pt>
                <c:pt idx="4638">
                  <c:v>42.71</c:v>
                </c:pt>
                <c:pt idx="4639">
                  <c:v>42.59</c:v>
                </c:pt>
                <c:pt idx="4640">
                  <c:v>42.09</c:v>
                </c:pt>
                <c:pt idx="4641">
                  <c:v>40.93</c:v>
                </c:pt>
                <c:pt idx="4642">
                  <c:v>38.65</c:v>
                </c:pt>
                <c:pt idx="4643">
                  <c:v>39.049999999999997</c:v>
                </c:pt>
                <c:pt idx="4644">
                  <c:v>39.880000000000003</c:v>
                </c:pt>
                <c:pt idx="4645">
                  <c:v>38.950000000000003</c:v>
                </c:pt>
                <c:pt idx="4646">
                  <c:v>40.659999999999997</c:v>
                </c:pt>
                <c:pt idx="4647">
                  <c:v>40.520000000000003</c:v>
                </c:pt>
                <c:pt idx="4648">
                  <c:v>40.75</c:v>
                </c:pt>
                <c:pt idx="4649">
                  <c:v>40.32</c:v>
                </c:pt>
                <c:pt idx="4650">
                  <c:v>40.5</c:v>
                </c:pt>
                <c:pt idx="4651">
                  <c:v>41.03</c:v>
                </c:pt>
                <c:pt idx="4652">
                  <c:v>41.52</c:v>
                </c:pt>
                <c:pt idx="4653">
                  <c:v>40.93</c:v>
                </c:pt>
                <c:pt idx="4654">
                  <c:v>41.08</c:v>
                </c:pt>
                <c:pt idx="4655">
                  <c:v>41.1</c:v>
                </c:pt>
                <c:pt idx="4656">
                  <c:v>39.6</c:v>
                </c:pt>
                <c:pt idx="4657">
                  <c:v>38.380000000000003</c:v>
                </c:pt>
                <c:pt idx="4658">
                  <c:v>37.97</c:v>
                </c:pt>
                <c:pt idx="4659">
                  <c:v>37.82</c:v>
                </c:pt>
                <c:pt idx="4660">
                  <c:v>38.119999999999997</c:v>
                </c:pt>
                <c:pt idx="4661">
                  <c:v>38.450000000000003</c:v>
                </c:pt>
                <c:pt idx="4662">
                  <c:v>39.28</c:v>
                </c:pt>
                <c:pt idx="4663">
                  <c:v>40.18</c:v>
                </c:pt>
                <c:pt idx="4664">
                  <c:v>42</c:v>
                </c:pt>
                <c:pt idx="4665">
                  <c:v>42.6</c:v>
                </c:pt>
                <c:pt idx="4666">
                  <c:v>43.5</c:v>
                </c:pt>
                <c:pt idx="4667">
                  <c:v>44.7</c:v>
                </c:pt>
                <c:pt idx="4668">
                  <c:v>45.87</c:v>
                </c:pt>
                <c:pt idx="4669">
                  <c:v>45.43</c:v>
                </c:pt>
                <c:pt idx="4670">
                  <c:v>45.63</c:v>
                </c:pt>
                <c:pt idx="4671">
                  <c:v>46.05</c:v>
                </c:pt>
                <c:pt idx="4672">
                  <c:v>46.34</c:v>
                </c:pt>
                <c:pt idx="4673">
                  <c:v>47.08</c:v>
                </c:pt>
                <c:pt idx="4674">
                  <c:v>47.46</c:v>
                </c:pt>
                <c:pt idx="4675">
                  <c:v>47.93</c:v>
                </c:pt>
                <c:pt idx="4676">
                  <c:v>48.55</c:v>
                </c:pt>
                <c:pt idx="4677">
                  <c:v>49.41</c:v>
                </c:pt>
                <c:pt idx="4678">
                  <c:v>49.05</c:v>
                </c:pt>
                <c:pt idx="4679">
                  <c:v>50.6</c:v>
                </c:pt>
                <c:pt idx="4680">
                  <c:v>50.5</c:v>
                </c:pt>
                <c:pt idx="4681">
                  <c:v>51.75</c:v>
                </c:pt>
                <c:pt idx="4682">
                  <c:v>52.37</c:v>
                </c:pt>
                <c:pt idx="4683">
                  <c:v>51.75</c:v>
                </c:pt>
                <c:pt idx="4684">
                  <c:v>50.58</c:v>
                </c:pt>
                <c:pt idx="4685">
                  <c:v>51.25</c:v>
                </c:pt>
                <c:pt idx="4686">
                  <c:v>51.04</c:v>
                </c:pt>
                <c:pt idx="4687">
                  <c:v>51.83</c:v>
                </c:pt>
                <c:pt idx="4688">
                  <c:v>51.72</c:v>
                </c:pt>
                <c:pt idx="4689">
                  <c:v>51.93</c:v>
                </c:pt>
                <c:pt idx="4690">
                  <c:v>51.74</c:v>
                </c:pt>
                <c:pt idx="4691">
                  <c:v>50.1</c:v>
                </c:pt>
                <c:pt idx="4692">
                  <c:v>50.67</c:v>
                </c:pt>
                <c:pt idx="4693">
                  <c:v>50.28</c:v>
                </c:pt>
                <c:pt idx="4694">
                  <c:v>50.41</c:v>
                </c:pt>
                <c:pt idx="4695">
                  <c:v>50.99</c:v>
                </c:pt>
                <c:pt idx="4696">
                  <c:v>49.62</c:v>
                </c:pt>
                <c:pt idx="4697">
                  <c:v>50.51</c:v>
                </c:pt>
                <c:pt idx="4698">
                  <c:v>49.21</c:v>
                </c:pt>
                <c:pt idx="4699">
                  <c:v>49.94</c:v>
                </c:pt>
                <c:pt idx="4700">
                  <c:v>50.24</c:v>
                </c:pt>
              </c:numCache>
            </c:numRef>
          </c:val>
          <c:smooth val="0"/>
          <c:extLst>
            <c:ext xmlns:c16="http://schemas.microsoft.com/office/drawing/2014/chart" uri="{C3380CC4-5D6E-409C-BE32-E72D297353CC}">
              <c16:uniqueId val="{00000000-C148-4C2A-ACBB-D3012403F099}"/>
            </c:ext>
          </c:extLst>
        </c:ser>
        <c:dLbls>
          <c:showLegendKey val="0"/>
          <c:showVal val="0"/>
          <c:showCatName val="0"/>
          <c:showSerName val="0"/>
          <c:showPercent val="0"/>
          <c:showBubbleSize val="0"/>
        </c:dLbls>
        <c:marker val="1"/>
        <c:smooth val="0"/>
        <c:axId val="1357669488"/>
        <c:axId val="1357672288"/>
      </c:lineChart>
      <c:dateAx>
        <c:axId val="1357669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672288"/>
        <c:crosses val="autoZero"/>
        <c:auto val="1"/>
        <c:lblOffset val="100"/>
        <c:baseTimeUnit val="days"/>
      </c:dateAx>
      <c:valAx>
        <c:axId val="135767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669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2">
  <dgm:title val=""/>
  <dgm:desc val=""/>
  <dgm:catLst>
    <dgm:cat type="colorful" pri="10200"/>
  </dgm:catLst>
  <dgm:styleLbl name="node0">
    <dgm:fillClrLst meth="repeat">
      <a:schemeClr val="accent1"/>
    </dgm:fillClrLst>
    <dgm:linClrLst meth="repeat">
      <a:schemeClr val="lt1"/>
    </dgm:linClrLst>
    <dgm:effectClrLst/>
    <dgm:txLinClrLst/>
    <dgm:txFillClrLst/>
    <dgm:txEffectClrLst/>
  </dgm:styleLbl>
  <dgm:styleLbl name="node1">
    <dgm:fillClrLst>
      <a:schemeClr val="accent2"/>
      <a:schemeClr val="accent3"/>
    </dgm:fillClrLst>
    <dgm:linClrLst meth="repeat">
      <a:schemeClr val="lt1"/>
    </dgm:linClrLst>
    <dgm:effectClrLst/>
    <dgm:txLinClrLst/>
    <dgm:txFillClrLst/>
    <dgm:txEffectClrLst/>
  </dgm:styleLbl>
  <dgm:styleLbl name="alignNode1">
    <dgm:fillClrLst>
      <a:schemeClr val="accent2"/>
      <a:schemeClr val="accent3"/>
    </dgm:fillClrLst>
    <dgm:linClrLst>
      <a:schemeClr val="accent2"/>
      <a:schemeClr val="accent3"/>
    </dgm:linClrLst>
    <dgm:effectClrLst/>
    <dgm:txLinClrLst/>
    <dgm:txFillClrLst/>
    <dgm:txEffectClrLst/>
  </dgm:styleLbl>
  <dgm:styleLbl name="lnNode1">
    <dgm:fillClrLst>
      <a:schemeClr val="accent2"/>
      <a:schemeClr val="accent3"/>
    </dgm:fillClrLst>
    <dgm:linClrLst meth="repeat">
      <a:schemeClr val="lt1"/>
    </dgm:linClrLst>
    <dgm:effectClrLst/>
    <dgm:txLinClrLst/>
    <dgm:txFillClrLst/>
    <dgm:txEffectClrLst/>
  </dgm:styleLbl>
  <dgm:styleLbl name="vennNode1">
    <dgm:fillClrLst>
      <a:schemeClr val="accent2">
        <a:alpha val="50000"/>
      </a:schemeClr>
      <a:schemeClr val="accent3">
        <a:alpha val="50000"/>
      </a:schemeClr>
    </dgm:fillClrLst>
    <dgm:linClrLst meth="repeat">
      <a:schemeClr val="lt1"/>
    </dgm:linClrLst>
    <dgm:effectClrLst/>
    <dgm:txLinClrLst/>
    <dgm:txFillClrLst/>
    <dgm:txEffectClrLst/>
  </dgm:styleLbl>
  <dgm:styleLbl name="node2">
    <dgm:fillClrLst>
      <a:schemeClr val="accent3"/>
    </dgm:fillClrLst>
    <dgm:linClrLst meth="repeat">
      <a:schemeClr val="lt1"/>
    </dgm:linClrLst>
    <dgm:effectClrLst/>
    <dgm:txLinClrLst/>
    <dgm:txFillClrLst/>
    <dgm:txEffectClrLst/>
  </dgm:styleLbl>
  <dgm:styleLbl name="node3">
    <dgm:fillClrLst>
      <a:schemeClr val="accent4"/>
    </dgm:fillClrLst>
    <dgm:linClrLst meth="repeat">
      <a:schemeClr val="lt1"/>
    </dgm:linClrLst>
    <dgm:effectClrLst/>
    <dgm:txLinClrLst/>
    <dgm:txFillClrLst/>
    <dgm:txEffectClrLst/>
  </dgm:styleLbl>
  <dgm:styleLbl name="node4">
    <dgm:fillClrLst>
      <a:schemeClr val="accent5"/>
    </dgm:fillClrLst>
    <dgm:linClrLst meth="repeat">
      <a:schemeClr val="lt1"/>
    </dgm:linClrLst>
    <dgm:effectClrLst/>
    <dgm:txLinClrLst/>
    <dgm:txFillClrLst/>
    <dgm:txEffectClrLst/>
  </dgm:styleLbl>
  <dgm:styleLbl name="fgImgPlace1">
    <dgm:fillClrLst>
      <a:schemeClr val="accent2">
        <a:tint val="50000"/>
      </a:schemeClr>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2"/>
      <a:schemeClr val="accent3"/>
    </dgm:fillClrLst>
    <dgm:linClrLst meth="repeat">
      <a:schemeClr val="lt1"/>
    </dgm:linClrLst>
    <dgm:effectClrLst/>
    <dgm:txLinClrLst/>
    <dgm:txFillClrLst/>
    <dgm:txEffectClrLst/>
  </dgm:styleLbl>
  <dgm:styleLbl name="fgSibTrans2D1">
    <dgm:fillClrLst>
      <a:schemeClr val="accent2"/>
      <a:schemeClr val="accent3"/>
    </dgm:fillClrLst>
    <dgm:linClrLst meth="repeat">
      <a:schemeClr val="lt1"/>
    </dgm:linClrLst>
    <dgm:effectClrLst/>
    <dgm:txLinClrLst/>
    <dgm:txFillClrLst meth="repeat">
      <a:schemeClr val="lt1"/>
    </dgm:txFillClrLst>
    <dgm:txEffectClrLst/>
  </dgm:styleLbl>
  <dgm:styleLbl name="bgSibTrans2D1">
    <dgm:fillClrLst>
      <a:schemeClr val="accent2"/>
      <a:schemeClr val="accent3"/>
    </dgm:fillClrLst>
    <dgm:linClrLst meth="repeat">
      <a:schemeClr val="lt1"/>
    </dgm:linClrLst>
    <dgm:effectClrLst/>
    <dgm:txLinClrLst/>
    <dgm:txFillClrLst meth="repeat">
      <a:schemeClr val="lt1"/>
    </dgm:txFillClrLst>
    <dgm:txEffectClrLst/>
  </dgm:styleLbl>
  <dgm:styleLbl name="sibTrans1D1">
    <dgm:fillClrLst/>
    <dgm:linClrLst>
      <a:schemeClr val="accent2"/>
      <a:schemeClr val="accent3"/>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a:shade val="80000"/>
      </a:schemeClr>
    </dgm:linClrLst>
    <dgm:effectClrLst/>
    <dgm:txLinClrLst/>
    <dgm:txFillClrLst/>
    <dgm:txEffectClrLst/>
  </dgm:styleLbl>
  <dgm:styleLbl name="asst1">
    <dgm:fillClrLst meth="repeat">
      <a:schemeClr val="accent3"/>
    </dgm:fillClrLst>
    <dgm:linClrLst meth="repeat">
      <a:schemeClr val="lt1">
        <a:shade val="80000"/>
      </a:schemeClr>
    </dgm:linClrLst>
    <dgm:effectClrLst/>
    <dgm:txLinClrLst/>
    <dgm:txFillClrLst/>
    <dgm:txEffectClrLst/>
  </dgm:styleLbl>
  <dgm:styleLbl name="asst2">
    <dgm:fillClrLst>
      <a:schemeClr val="accent4"/>
    </dgm:fillClrLst>
    <dgm:linClrLst meth="repeat">
      <a:schemeClr val="lt1"/>
    </dgm:linClrLst>
    <dgm:effectClrLst/>
    <dgm:txLinClrLst/>
    <dgm:txFillClrLst/>
    <dgm:txEffectClrLst/>
  </dgm:styleLbl>
  <dgm:styleLbl name="asst3">
    <dgm:fillClrLst>
      <a:schemeClr val="accent5"/>
    </dgm:fillClrLst>
    <dgm:linClrLst meth="repeat">
      <a:schemeClr val="lt1"/>
    </dgm:linClrLst>
    <dgm:effectClrLst/>
    <dgm:txLinClrLst/>
    <dgm:txFillClrLst/>
    <dgm:txEffectClrLst/>
  </dgm:styleLbl>
  <dgm:styleLbl name="asst4">
    <dgm:fillClrLst>
      <a:schemeClr val="accent6"/>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2"/>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3"/>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4"/>
    </dgm:linClrLst>
    <dgm:effectClrLst/>
    <dgm:txLinClrLst/>
    <dgm:txFillClrLst meth="repeat">
      <a:schemeClr val="tx1"/>
    </dgm:txFillClrLst>
    <dgm:txEffectClrLst/>
  </dgm:styleLbl>
  <dgm:styleLbl name="parChTrans1D4">
    <dgm:fillClrLst meth="repeat">
      <a:schemeClr val="accent2">
        <a:tint val="50000"/>
      </a:schemeClr>
    </dgm:fillClrLst>
    <dgm:linClrLst meth="repeat">
      <a:schemeClr val="accent5"/>
    </dgm:linClrLst>
    <dgm:effectClrLst/>
    <dgm:txLinClrLst/>
    <dgm:txFillClrLst meth="repeat">
      <a:schemeClr val="tx1"/>
    </dgm:txFillClrLst>
    <dgm:txEffectClrLst/>
  </dgm:styleLbl>
  <dgm:styleLbl name="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solidFgAcc1">
    <dgm:fillClrLst meth="repeat">
      <a:schemeClr val="lt1"/>
    </dgm:fillClrLst>
    <dgm:linClrLst>
      <a:schemeClr val="accent2"/>
      <a:schemeClr val="accent3"/>
    </dgm:linClrLst>
    <dgm:effectClrLst/>
    <dgm:txLinClrLst/>
    <dgm:txFillClrLst meth="repeat">
      <a:schemeClr val="dk1"/>
    </dgm:txFillClrLst>
    <dgm:txEffectClrLst/>
  </dgm:styleLbl>
  <dgm:styleLbl name="solidAlignAcc1">
    <dgm:fillClrLst meth="repeat">
      <a:schemeClr val="lt1"/>
    </dgm:fillClrLst>
    <dgm:linClrLst>
      <a:schemeClr val="accent2"/>
      <a:schemeClr val="accent3"/>
    </dgm:linClrLst>
    <dgm:effectClrLst/>
    <dgm:txLinClrLst/>
    <dgm:txFillClrLst meth="repeat">
      <a:schemeClr val="dk1"/>
    </dgm:txFillClrLst>
    <dgm:txEffectClrLst/>
  </dgm:styleLbl>
  <dgm:styleLbl name="solidBgAcc1">
    <dgm:fillClrLst meth="repeat">
      <a:schemeClr val="lt1"/>
    </dgm:fillClrLst>
    <dgm:linClrLst>
      <a:schemeClr val="accent2"/>
      <a:schemeClr val="accent3"/>
    </dgm:linClrLst>
    <dgm:effectClrLst/>
    <dgm:txLinClrLst/>
    <dgm:txFillClrLst meth="repeat">
      <a:schemeClr val="dk1"/>
    </dgm:txFillClrLst>
    <dgm:txEffectClrLst/>
  </dgm:styleLbl>
  <dgm:styleLbl name="f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align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b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3"/>
    </dgm:linClrLst>
    <dgm:effectClrLst/>
    <dgm:txLinClrLst/>
    <dgm:txFillClrLst meth="repeat">
      <a:schemeClr val="dk1"/>
    </dgm:txFillClrLst>
    <dgm:txEffectClrLst/>
  </dgm:styleLbl>
  <dgm:styleLbl name="fgAcc3">
    <dgm:fillClrLst meth="repeat">
      <a:schemeClr val="lt1">
        <a:alpha val="90000"/>
      </a:schemeClr>
    </dgm:fillClrLst>
    <dgm:linClrLst>
      <a:schemeClr val="accent4"/>
    </dgm:linClrLst>
    <dgm:effectClrLst/>
    <dgm:txLinClrLst/>
    <dgm:txFillClrLst meth="repeat">
      <a:schemeClr val="dk1"/>
    </dgm:txFillClrLst>
    <dgm:txEffectClrLst/>
  </dgm:styleLbl>
  <dgm:styleLbl name="fgAcc4">
    <dgm:fillClrLst meth="repeat">
      <a:schemeClr val="lt1">
        <a:alpha val="90000"/>
      </a:schemeClr>
    </dgm:fillClrLst>
    <dgm:linClrLst>
      <a:schemeClr val="accent5"/>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74F7777-6D5F-4924-B90D-3EC60478AA34}" type="doc">
      <dgm:prSet loTypeId="urn:microsoft.com/office/officeart/2005/8/layout/hierarchy6" loCatId="hierarchy" qsTypeId="urn:microsoft.com/office/officeart/2005/8/quickstyle/3d2" qsCatId="3D" csTypeId="urn:microsoft.com/office/officeart/2005/8/colors/colorful2" csCatId="colorful" phldr="1"/>
      <dgm:spPr/>
      <dgm:t>
        <a:bodyPr/>
        <a:lstStyle/>
        <a:p>
          <a:endParaRPr lang="en-US"/>
        </a:p>
      </dgm:t>
    </dgm:pt>
    <dgm:pt modelId="{D069AB19-4735-4DB8-A779-F9C176A83EFD}">
      <dgm:prSet phldrT="[Text]"/>
      <dgm:spPr>
        <a:solidFill>
          <a:srgbClr val="002060"/>
        </a:solidFill>
      </dgm:spPr>
      <dgm:t>
        <a:bodyPr/>
        <a:lstStyle/>
        <a:p>
          <a:r>
            <a:rPr lang="en-US"/>
            <a:t>Data</a:t>
          </a:r>
        </a:p>
      </dgm:t>
    </dgm:pt>
    <dgm:pt modelId="{A211F1C6-0801-4B2D-A71F-7B17642EED90}" type="parTrans" cxnId="{56F372D6-246E-45F8-8CAD-7679F540321A}">
      <dgm:prSet/>
      <dgm:spPr/>
      <dgm:t>
        <a:bodyPr/>
        <a:lstStyle/>
        <a:p>
          <a:endParaRPr lang="en-US"/>
        </a:p>
      </dgm:t>
    </dgm:pt>
    <dgm:pt modelId="{DC07EE87-8F82-40D1-8B13-01E4BF3598EB}" type="sibTrans" cxnId="{56F372D6-246E-45F8-8CAD-7679F540321A}">
      <dgm:prSet/>
      <dgm:spPr/>
      <dgm:t>
        <a:bodyPr/>
        <a:lstStyle/>
        <a:p>
          <a:endParaRPr lang="en-US"/>
        </a:p>
      </dgm:t>
    </dgm:pt>
    <dgm:pt modelId="{CDC29206-C146-4E6D-9EB4-A7FB3D82F743}">
      <dgm:prSet phldrT="[Text]"/>
      <dgm:spPr>
        <a:solidFill>
          <a:srgbClr val="FF0000"/>
        </a:solidFill>
      </dgm:spPr>
      <dgm:t>
        <a:bodyPr/>
        <a:lstStyle/>
        <a:p>
          <a:r>
            <a:rPr lang="en-US"/>
            <a:t>Categorical</a:t>
          </a:r>
        </a:p>
      </dgm:t>
    </dgm:pt>
    <dgm:pt modelId="{A40BBD17-96F9-4B1F-AAA8-407DEC45AFD3}" type="parTrans" cxnId="{C96ABFBA-5C9B-4911-8275-1E49F97CF73A}">
      <dgm:prSet/>
      <dgm:spPr/>
      <dgm:t>
        <a:bodyPr/>
        <a:lstStyle/>
        <a:p>
          <a:endParaRPr lang="en-US"/>
        </a:p>
      </dgm:t>
    </dgm:pt>
    <dgm:pt modelId="{44BF12CC-8E13-4BF9-8AFA-73980EF51314}" type="sibTrans" cxnId="{C96ABFBA-5C9B-4911-8275-1E49F97CF73A}">
      <dgm:prSet/>
      <dgm:spPr/>
      <dgm:t>
        <a:bodyPr/>
        <a:lstStyle/>
        <a:p>
          <a:endParaRPr lang="en-US"/>
        </a:p>
      </dgm:t>
    </dgm:pt>
    <dgm:pt modelId="{47B2E65E-C362-4CF1-8A86-E8670D3CBB2B}">
      <dgm:prSet phldrT="[Text]"/>
      <dgm:spPr>
        <a:solidFill>
          <a:schemeClr val="accent4">
            <a:lumMod val="40000"/>
            <a:lumOff val="60000"/>
          </a:schemeClr>
        </a:solidFill>
      </dgm:spPr>
      <dgm:t>
        <a:bodyPr/>
        <a:lstStyle/>
        <a:p>
          <a:r>
            <a:rPr lang="en-US">
              <a:solidFill>
                <a:schemeClr val="tx1"/>
              </a:solidFill>
            </a:rPr>
            <a:t>Non-Numeric</a:t>
          </a:r>
        </a:p>
      </dgm:t>
    </dgm:pt>
    <dgm:pt modelId="{0C907E3A-48B4-4521-BFB3-517765CD17E2}" type="parTrans" cxnId="{5B06A2AD-565F-4EAC-B63F-E70BE00803F2}">
      <dgm:prSet/>
      <dgm:spPr/>
      <dgm:t>
        <a:bodyPr/>
        <a:lstStyle/>
        <a:p>
          <a:endParaRPr lang="en-US"/>
        </a:p>
      </dgm:t>
    </dgm:pt>
    <dgm:pt modelId="{A81F089D-7AA1-4BF9-A6E9-219A028ED579}" type="sibTrans" cxnId="{5B06A2AD-565F-4EAC-B63F-E70BE00803F2}">
      <dgm:prSet/>
      <dgm:spPr/>
      <dgm:t>
        <a:bodyPr/>
        <a:lstStyle/>
        <a:p>
          <a:endParaRPr lang="en-US"/>
        </a:p>
      </dgm:t>
    </dgm:pt>
    <dgm:pt modelId="{AC18B901-D360-4200-99EA-44224AA9F576}">
      <dgm:prSet phldrT="[Text]"/>
      <dgm:spPr>
        <a:solidFill>
          <a:srgbClr val="7030A0"/>
        </a:solidFill>
      </dgm:spPr>
      <dgm:t>
        <a:bodyPr/>
        <a:lstStyle/>
        <a:p>
          <a:r>
            <a:rPr lang="en-US"/>
            <a:t>Numeric</a:t>
          </a:r>
        </a:p>
      </dgm:t>
    </dgm:pt>
    <dgm:pt modelId="{0E17C12B-2979-43EF-A8FE-8BD565FAC1CF}" type="parTrans" cxnId="{35FA3D1F-69E2-405E-9F4F-C71B749BD068}">
      <dgm:prSet/>
      <dgm:spPr/>
      <dgm:t>
        <a:bodyPr/>
        <a:lstStyle/>
        <a:p>
          <a:endParaRPr lang="en-US"/>
        </a:p>
      </dgm:t>
    </dgm:pt>
    <dgm:pt modelId="{D624A68D-ACEE-45A3-9228-EC3E4096723A}" type="sibTrans" cxnId="{35FA3D1F-69E2-405E-9F4F-C71B749BD068}">
      <dgm:prSet/>
      <dgm:spPr/>
      <dgm:t>
        <a:bodyPr/>
        <a:lstStyle/>
        <a:p>
          <a:endParaRPr lang="en-US"/>
        </a:p>
      </dgm:t>
    </dgm:pt>
    <dgm:pt modelId="{0B1E41DC-863E-40EF-B8DD-83D3F66D8AA6}">
      <dgm:prSet phldrT="[Text]"/>
      <dgm:spPr>
        <a:solidFill>
          <a:srgbClr val="FFFF00"/>
        </a:solidFill>
      </dgm:spPr>
      <dgm:t>
        <a:bodyPr/>
        <a:lstStyle/>
        <a:p>
          <a:r>
            <a:rPr lang="en-US">
              <a:solidFill>
                <a:schemeClr val="tx1"/>
              </a:solidFill>
            </a:rPr>
            <a:t>Quantitative</a:t>
          </a:r>
        </a:p>
      </dgm:t>
    </dgm:pt>
    <dgm:pt modelId="{DD01AF77-3479-496D-974F-50D2410C420F}" type="parTrans" cxnId="{55ABC546-5200-45EA-BE2D-EC6C56159FCF}">
      <dgm:prSet/>
      <dgm:spPr/>
      <dgm:t>
        <a:bodyPr/>
        <a:lstStyle/>
        <a:p>
          <a:endParaRPr lang="en-US"/>
        </a:p>
      </dgm:t>
    </dgm:pt>
    <dgm:pt modelId="{2B94D48E-0772-4A9C-97D3-2406F2E34A8A}" type="sibTrans" cxnId="{55ABC546-5200-45EA-BE2D-EC6C56159FCF}">
      <dgm:prSet/>
      <dgm:spPr/>
      <dgm:t>
        <a:bodyPr/>
        <a:lstStyle/>
        <a:p>
          <a:endParaRPr lang="en-US"/>
        </a:p>
      </dgm:t>
    </dgm:pt>
    <dgm:pt modelId="{5CE5607D-B97E-4A9A-AE07-D69DAEE68A47}">
      <dgm:prSet phldrT="[Text]"/>
      <dgm:spPr>
        <a:solidFill>
          <a:schemeClr val="accent3">
            <a:lumMod val="50000"/>
          </a:schemeClr>
        </a:solidFill>
      </dgm:spPr>
      <dgm:t>
        <a:bodyPr/>
        <a:lstStyle/>
        <a:p>
          <a:r>
            <a:rPr lang="en-US"/>
            <a:t>Numeric</a:t>
          </a:r>
        </a:p>
      </dgm:t>
    </dgm:pt>
    <dgm:pt modelId="{38AFB9B1-813C-4E73-86E9-239A8E319E8C}" type="parTrans" cxnId="{52CAB1D1-3297-46E1-B5DF-AA214C7F2B60}">
      <dgm:prSet/>
      <dgm:spPr/>
      <dgm:t>
        <a:bodyPr/>
        <a:lstStyle/>
        <a:p>
          <a:endParaRPr lang="en-US"/>
        </a:p>
      </dgm:t>
    </dgm:pt>
    <dgm:pt modelId="{614640CD-0987-45C6-807C-D7B4EE84CF34}" type="sibTrans" cxnId="{52CAB1D1-3297-46E1-B5DF-AA214C7F2B60}">
      <dgm:prSet/>
      <dgm:spPr/>
      <dgm:t>
        <a:bodyPr/>
        <a:lstStyle/>
        <a:p>
          <a:endParaRPr lang="en-US"/>
        </a:p>
      </dgm:t>
    </dgm:pt>
    <dgm:pt modelId="{15BE7320-D437-41DA-A6A3-9E3953F628F7}">
      <dgm:prSet/>
      <dgm:spPr>
        <a:solidFill>
          <a:schemeClr val="accent4">
            <a:lumMod val="50000"/>
          </a:schemeClr>
        </a:solidFill>
      </dgm:spPr>
      <dgm:t>
        <a:bodyPr/>
        <a:lstStyle/>
        <a:p>
          <a:r>
            <a:rPr lang="en-US"/>
            <a:t>Nominal</a:t>
          </a:r>
        </a:p>
      </dgm:t>
    </dgm:pt>
    <dgm:pt modelId="{70A3A791-FCE4-4A10-8048-570AF83EF484}" type="parTrans" cxnId="{515F7472-888E-402A-8D36-D06D6F5D872D}">
      <dgm:prSet/>
      <dgm:spPr/>
      <dgm:t>
        <a:bodyPr/>
        <a:lstStyle/>
        <a:p>
          <a:endParaRPr lang="en-US"/>
        </a:p>
      </dgm:t>
    </dgm:pt>
    <dgm:pt modelId="{AFD52E94-4ACA-420B-B165-1212AC2C34C9}" type="sibTrans" cxnId="{515F7472-888E-402A-8D36-D06D6F5D872D}">
      <dgm:prSet/>
      <dgm:spPr/>
      <dgm:t>
        <a:bodyPr/>
        <a:lstStyle/>
        <a:p>
          <a:endParaRPr lang="en-US"/>
        </a:p>
      </dgm:t>
    </dgm:pt>
    <dgm:pt modelId="{1D9C1229-C939-4D6F-9815-3D01D6BEF571}">
      <dgm:prSet/>
      <dgm:spPr>
        <a:solidFill>
          <a:schemeClr val="accent2">
            <a:lumMod val="60000"/>
            <a:lumOff val="40000"/>
          </a:schemeClr>
        </a:solidFill>
      </dgm:spPr>
      <dgm:t>
        <a:bodyPr/>
        <a:lstStyle/>
        <a:p>
          <a:r>
            <a:rPr lang="en-US">
              <a:solidFill>
                <a:schemeClr val="tx1"/>
              </a:solidFill>
            </a:rPr>
            <a:t>Ordinal</a:t>
          </a:r>
        </a:p>
      </dgm:t>
    </dgm:pt>
    <dgm:pt modelId="{0D72C4C5-4CA7-4001-AB47-AA5AD4868B11}" type="parTrans" cxnId="{C30E22D0-20ED-4BDE-8DCF-7778B4D6DF28}">
      <dgm:prSet/>
      <dgm:spPr/>
      <dgm:t>
        <a:bodyPr/>
        <a:lstStyle/>
        <a:p>
          <a:endParaRPr lang="en-US"/>
        </a:p>
      </dgm:t>
    </dgm:pt>
    <dgm:pt modelId="{56D67FA3-9189-4998-ACD9-216D44A7E938}" type="sibTrans" cxnId="{C30E22D0-20ED-4BDE-8DCF-7778B4D6DF28}">
      <dgm:prSet/>
      <dgm:spPr/>
      <dgm:t>
        <a:bodyPr/>
        <a:lstStyle/>
        <a:p>
          <a:endParaRPr lang="en-US"/>
        </a:p>
      </dgm:t>
    </dgm:pt>
    <dgm:pt modelId="{1B1F9204-E006-47F6-81DC-9B5BC14A21FE}">
      <dgm:prSet/>
      <dgm:spPr>
        <a:solidFill>
          <a:schemeClr val="accent4">
            <a:lumMod val="50000"/>
          </a:schemeClr>
        </a:solidFill>
      </dgm:spPr>
      <dgm:t>
        <a:bodyPr/>
        <a:lstStyle/>
        <a:p>
          <a:r>
            <a:rPr lang="en-US"/>
            <a:t>Nominal</a:t>
          </a:r>
        </a:p>
      </dgm:t>
    </dgm:pt>
    <dgm:pt modelId="{B8318FF4-BBF1-4A9D-BC65-A0CD6F58615F}" type="parTrans" cxnId="{3B57CF5D-EF14-4AE0-B362-812C5DD4722E}">
      <dgm:prSet/>
      <dgm:spPr/>
      <dgm:t>
        <a:bodyPr/>
        <a:lstStyle/>
        <a:p>
          <a:endParaRPr lang="en-US"/>
        </a:p>
      </dgm:t>
    </dgm:pt>
    <dgm:pt modelId="{3ACE4E75-532E-4958-8D9C-B1BD28615BE0}" type="sibTrans" cxnId="{3B57CF5D-EF14-4AE0-B362-812C5DD4722E}">
      <dgm:prSet/>
      <dgm:spPr/>
      <dgm:t>
        <a:bodyPr/>
        <a:lstStyle/>
        <a:p>
          <a:endParaRPr lang="en-US"/>
        </a:p>
      </dgm:t>
    </dgm:pt>
    <dgm:pt modelId="{28C7AAA6-469D-43C6-B4C1-B75F86B3050D}">
      <dgm:prSet/>
      <dgm:spPr>
        <a:solidFill>
          <a:schemeClr val="accent2">
            <a:lumMod val="60000"/>
            <a:lumOff val="40000"/>
          </a:schemeClr>
        </a:solidFill>
      </dgm:spPr>
      <dgm:t>
        <a:bodyPr/>
        <a:lstStyle/>
        <a:p>
          <a:r>
            <a:rPr lang="en-US">
              <a:solidFill>
                <a:schemeClr val="tx1"/>
              </a:solidFill>
            </a:rPr>
            <a:t>Ordinal</a:t>
          </a:r>
        </a:p>
      </dgm:t>
    </dgm:pt>
    <dgm:pt modelId="{A24B418A-29BD-4FEC-9115-E2E62EFCDA76}" type="parTrans" cxnId="{A25BDC8C-3A8F-4E5E-948F-8440DB1D7FC0}">
      <dgm:prSet/>
      <dgm:spPr/>
      <dgm:t>
        <a:bodyPr/>
        <a:lstStyle/>
        <a:p>
          <a:endParaRPr lang="en-US"/>
        </a:p>
      </dgm:t>
    </dgm:pt>
    <dgm:pt modelId="{1626B323-6274-4FF0-9C3D-BDBCF09AD3F7}" type="sibTrans" cxnId="{A25BDC8C-3A8F-4E5E-948F-8440DB1D7FC0}">
      <dgm:prSet/>
      <dgm:spPr/>
      <dgm:t>
        <a:bodyPr/>
        <a:lstStyle/>
        <a:p>
          <a:endParaRPr lang="en-US"/>
        </a:p>
      </dgm:t>
    </dgm:pt>
    <dgm:pt modelId="{CDD62A8D-AA63-4F2A-B69F-EAD9B0FF9713}">
      <dgm:prSet/>
      <dgm:spPr>
        <a:solidFill>
          <a:schemeClr val="bg2">
            <a:lumMod val="25000"/>
          </a:schemeClr>
        </a:solidFill>
      </dgm:spPr>
      <dgm:t>
        <a:bodyPr/>
        <a:lstStyle/>
        <a:p>
          <a:r>
            <a:rPr lang="en-US"/>
            <a:t>Interval</a:t>
          </a:r>
        </a:p>
      </dgm:t>
    </dgm:pt>
    <dgm:pt modelId="{D5EC093D-F9C5-49F5-9CAE-0261EBED1D28}" type="parTrans" cxnId="{2087DCA3-FB98-4DB2-A28D-AE2905B49AEE}">
      <dgm:prSet/>
      <dgm:spPr/>
      <dgm:t>
        <a:bodyPr/>
        <a:lstStyle/>
        <a:p>
          <a:endParaRPr lang="en-US"/>
        </a:p>
      </dgm:t>
    </dgm:pt>
    <dgm:pt modelId="{73DDDD44-4919-481A-8695-C111E7A22A71}" type="sibTrans" cxnId="{2087DCA3-FB98-4DB2-A28D-AE2905B49AEE}">
      <dgm:prSet/>
      <dgm:spPr/>
      <dgm:t>
        <a:bodyPr/>
        <a:lstStyle/>
        <a:p>
          <a:endParaRPr lang="en-US"/>
        </a:p>
      </dgm:t>
    </dgm:pt>
    <dgm:pt modelId="{37038E8A-1FF7-4E87-94B6-B9A44A97F5AB}">
      <dgm:prSet/>
      <dgm:spPr>
        <a:solidFill>
          <a:schemeClr val="accent5">
            <a:lumMod val="50000"/>
          </a:schemeClr>
        </a:solidFill>
      </dgm:spPr>
      <dgm:t>
        <a:bodyPr/>
        <a:lstStyle/>
        <a:p>
          <a:r>
            <a:rPr lang="en-US"/>
            <a:t>Ratio</a:t>
          </a:r>
        </a:p>
      </dgm:t>
    </dgm:pt>
    <dgm:pt modelId="{FB879D93-4AA9-4533-A840-825E85E237E5}" type="parTrans" cxnId="{8B696E28-D4C3-445F-BAE2-7C16865BF887}">
      <dgm:prSet/>
      <dgm:spPr/>
      <dgm:t>
        <a:bodyPr/>
        <a:lstStyle/>
        <a:p>
          <a:endParaRPr lang="en-US"/>
        </a:p>
      </dgm:t>
    </dgm:pt>
    <dgm:pt modelId="{83BE232F-ABED-4997-93D6-F1070CD704B2}" type="sibTrans" cxnId="{8B696E28-D4C3-445F-BAE2-7C16865BF887}">
      <dgm:prSet/>
      <dgm:spPr/>
      <dgm:t>
        <a:bodyPr/>
        <a:lstStyle/>
        <a:p>
          <a:endParaRPr lang="en-US"/>
        </a:p>
      </dgm:t>
    </dgm:pt>
    <dgm:pt modelId="{98F9C466-7EAD-4ACE-914D-9FA1E176C8D2}" type="pres">
      <dgm:prSet presAssocID="{974F7777-6D5F-4924-B90D-3EC60478AA34}" presName="mainComposite" presStyleCnt="0">
        <dgm:presLayoutVars>
          <dgm:chPref val="1"/>
          <dgm:dir/>
          <dgm:animOne val="branch"/>
          <dgm:animLvl val="lvl"/>
          <dgm:resizeHandles val="exact"/>
        </dgm:presLayoutVars>
      </dgm:prSet>
      <dgm:spPr/>
    </dgm:pt>
    <dgm:pt modelId="{C670D478-B91B-4C0D-BF64-2B0F22D7FB5D}" type="pres">
      <dgm:prSet presAssocID="{974F7777-6D5F-4924-B90D-3EC60478AA34}" presName="hierFlow" presStyleCnt="0"/>
      <dgm:spPr/>
    </dgm:pt>
    <dgm:pt modelId="{464BA547-9E3B-48E7-957D-5ADE7983FF9E}" type="pres">
      <dgm:prSet presAssocID="{974F7777-6D5F-4924-B90D-3EC60478AA34}" presName="hierChild1" presStyleCnt="0">
        <dgm:presLayoutVars>
          <dgm:chPref val="1"/>
          <dgm:animOne val="branch"/>
          <dgm:animLvl val="lvl"/>
        </dgm:presLayoutVars>
      </dgm:prSet>
      <dgm:spPr/>
    </dgm:pt>
    <dgm:pt modelId="{A43EFFDE-A7B3-485B-B152-8565E38A893C}" type="pres">
      <dgm:prSet presAssocID="{D069AB19-4735-4DB8-A779-F9C176A83EFD}" presName="Name14" presStyleCnt="0"/>
      <dgm:spPr/>
    </dgm:pt>
    <dgm:pt modelId="{667CF756-323F-4E8B-AAB2-6CD189A72627}" type="pres">
      <dgm:prSet presAssocID="{D069AB19-4735-4DB8-A779-F9C176A83EFD}" presName="level1Shape" presStyleLbl="node0" presStyleIdx="0" presStyleCnt="1">
        <dgm:presLayoutVars>
          <dgm:chPref val="3"/>
        </dgm:presLayoutVars>
      </dgm:prSet>
      <dgm:spPr/>
    </dgm:pt>
    <dgm:pt modelId="{5FC57598-85D2-42C5-9BC7-BFF9CFAEA7F5}" type="pres">
      <dgm:prSet presAssocID="{D069AB19-4735-4DB8-A779-F9C176A83EFD}" presName="hierChild2" presStyleCnt="0"/>
      <dgm:spPr/>
    </dgm:pt>
    <dgm:pt modelId="{89FCEC8D-E38D-4DC5-831E-02D5AEFDC432}" type="pres">
      <dgm:prSet presAssocID="{A40BBD17-96F9-4B1F-AAA8-407DEC45AFD3}" presName="Name19" presStyleLbl="parChTrans1D2" presStyleIdx="0" presStyleCnt="2"/>
      <dgm:spPr/>
    </dgm:pt>
    <dgm:pt modelId="{30007849-4799-4D59-8B41-DC04EE4F82ED}" type="pres">
      <dgm:prSet presAssocID="{CDC29206-C146-4E6D-9EB4-A7FB3D82F743}" presName="Name21" presStyleCnt="0"/>
      <dgm:spPr/>
    </dgm:pt>
    <dgm:pt modelId="{435D738A-DC25-457B-8385-5C63FF52D344}" type="pres">
      <dgm:prSet presAssocID="{CDC29206-C146-4E6D-9EB4-A7FB3D82F743}" presName="level2Shape" presStyleLbl="node2" presStyleIdx="0" presStyleCnt="2"/>
      <dgm:spPr/>
    </dgm:pt>
    <dgm:pt modelId="{A49B169B-AFC6-4806-9F96-5A10C21ED692}" type="pres">
      <dgm:prSet presAssocID="{CDC29206-C146-4E6D-9EB4-A7FB3D82F743}" presName="hierChild3" presStyleCnt="0"/>
      <dgm:spPr/>
    </dgm:pt>
    <dgm:pt modelId="{99352773-F1D6-425F-BE08-A3BC549C2A76}" type="pres">
      <dgm:prSet presAssocID="{0C907E3A-48B4-4521-BFB3-517765CD17E2}" presName="Name19" presStyleLbl="parChTrans1D3" presStyleIdx="0" presStyleCnt="3"/>
      <dgm:spPr/>
    </dgm:pt>
    <dgm:pt modelId="{95223040-C85A-4CC4-B2BA-70C0C3DD83E2}" type="pres">
      <dgm:prSet presAssocID="{47B2E65E-C362-4CF1-8A86-E8670D3CBB2B}" presName="Name21" presStyleCnt="0"/>
      <dgm:spPr/>
    </dgm:pt>
    <dgm:pt modelId="{084D46CF-B262-4751-BF98-333A66D7A615}" type="pres">
      <dgm:prSet presAssocID="{47B2E65E-C362-4CF1-8A86-E8670D3CBB2B}" presName="level2Shape" presStyleLbl="node3" presStyleIdx="0" presStyleCnt="3"/>
      <dgm:spPr/>
    </dgm:pt>
    <dgm:pt modelId="{454884F1-02E8-44D6-8EE3-FE463BFED9AD}" type="pres">
      <dgm:prSet presAssocID="{47B2E65E-C362-4CF1-8A86-E8670D3CBB2B}" presName="hierChild3" presStyleCnt="0"/>
      <dgm:spPr/>
    </dgm:pt>
    <dgm:pt modelId="{1E8734DF-21B9-4911-96FB-1AC55BCA74BA}" type="pres">
      <dgm:prSet presAssocID="{B8318FF4-BBF1-4A9D-BC65-A0CD6F58615F}" presName="Name19" presStyleLbl="parChTrans1D4" presStyleIdx="0" presStyleCnt="6"/>
      <dgm:spPr/>
    </dgm:pt>
    <dgm:pt modelId="{963502B9-FF0F-420C-AE38-08ED30A1DCD8}" type="pres">
      <dgm:prSet presAssocID="{1B1F9204-E006-47F6-81DC-9B5BC14A21FE}" presName="Name21" presStyleCnt="0"/>
      <dgm:spPr/>
    </dgm:pt>
    <dgm:pt modelId="{CCEF10BE-80B8-427F-978E-8B929CD1FB36}" type="pres">
      <dgm:prSet presAssocID="{1B1F9204-E006-47F6-81DC-9B5BC14A21FE}" presName="level2Shape" presStyleLbl="node4" presStyleIdx="0" presStyleCnt="6"/>
      <dgm:spPr/>
    </dgm:pt>
    <dgm:pt modelId="{94952709-1A5D-4E31-AB85-DBE1750E875C}" type="pres">
      <dgm:prSet presAssocID="{1B1F9204-E006-47F6-81DC-9B5BC14A21FE}" presName="hierChild3" presStyleCnt="0"/>
      <dgm:spPr/>
    </dgm:pt>
    <dgm:pt modelId="{6ABF492C-0735-4B65-8363-02138E4A4A3D}" type="pres">
      <dgm:prSet presAssocID="{A24B418A-29BD-4FEC-9115-E2E62EFCDA76}" presName="Name19" presStyleLbl="parChTrans1D4" presStyleIdx="1" presStyleCnt="6"/>
      <dgm:spPr/>
    </dgm:pt>
    <dgm:pt modelId="{9A2C6318-D7C2-4111-BFB4-FB699ADA3243}" type="pres">
      <dgm:prSet presAssocID="{28C7AAA6-469D-43C6-B4C1-B75F86B3050D}" presName="Name21" presStyleCnt="0"/>
      <dgm:spPr/>
    </dgm:pt>
    <dgm:pt modelId="{797A491A-374D-4FC7-90DE-6302BA2EB3F7}" type="pres">
      <dgm:prSet presAssocID="{28C7AAA6-469D-43C6-B4C1-B75F86B3050D}" presName="level2Shape" presStyleLbl="node4" presStyleIdx="1" presStyleCnt="6"/>
      <dgm:spPr/>
    </dgm:pt>
    <dgm:pt modelId="{5E8378D7-5225-4CC4-B444-3C060770AEB4}" type="pres">
      <dgm:prSet presAssocID="{28C7AAA6-469D-43C6-B4C1-B75F86B3050D}" presName="hierChild3" presStyleCnt="0"/>
      <dgm:spPr/>
    </dgm:pt>
    <dgm:pt modelId="{86EC2B21-22D5-4D17-B299-701FB2FDC70C}" type="pres">
      <dgm:prSet presAssocID="{0E17C12B-2979-43EF-A8FE-8BD565FAC1CF}" presName="Name19" presStyleLbl="parChTrans1D3" presStyleIdx="1" presStyleCnt="3"/>
      <dgm:spPr/>
    </dgm:pt>
    <dgm:pt modelId="{B1E34CE6-2A69-49C9-A925-D6BDE92C5180}" type="pres">
      <dgm:prSet presAssocID="{AC18B901-D360-4200-99EA-44224AA9F576}" presName="Name21" presStyleCnt="0"/>
      <dgm:spPr/>
    </dgm:pt>
    <dgm:pt modelId="{15BFF7AF-C471-443B-B6BE-B36131CA5D93}" type="pres">
      <dgm:prSet presAssocID="{AC18B901-D360-4200-99EA-44224AA9F576}" presName="level2Shape" presStyleLbl="node3" presStyleIdx="1" presStyleCnt="3"/>
      <dgm:spPr/>
    </dgm:pt>
    <dgm:pt modelId="{A8C09449-633B-412C-83AD-2D15297D47E7}" type="pres">
      <dgm:prSet presAssocID="{AC18B901-D360-4200-99EA-44224AA9F576}" presName="hierChild3" presStyleCnt="0"/>
      <dgm:spPr/>
    </dgm:pt>
    <dgm:pt modelId="{704E5DEE-ED3C-48E3-88BE-6646E84D8DE8}" type="pres">
      <dgm:prSet presAssocID="{70A3A791-FCE4-4A10-8048-570AF83EF484}" presName="Name19" presStyleLbl="parChTrans1D4" presStyleIdx="2" presStyleCnt="6"/>
      <dgm:spPr/>
    </dgm:pt>
    <dgm:pt modelId="{46B8028F-D77C-4B67-8B6A-D78B70740901}" type="pres">
      <dgm:prSet presAssocID="{15BE7320-D437-41DA-A6A3-9E3953F628F7}" presName="Name21" presStyleCnt="0"/>
      <dgm:spPr/>
    </dgm:pt>
    <dgm:pt modelId="{EEDCFFF1-AFBD-4B2D-A857-05E6295F46B5}" type="pres">
      <dgm:prSet presAssocID="{15BE7320-D437-41DA-A6A3-9E3953F628F7}" presName="level2Shape" presStyleLbl="node4" presStyleIdx="2" presStyleCnt="6"/>
      <dgm:spPr/>
    </dgm:pt>
    <dgm:pt modelId="{94D46138-135F-473B-A323-F4675AC292D4}" type="pres">
      <dgm:prSet presAssocID="{15BE7320-D437-41DA-A6A3-9E3953F628F7}" presName="hierChild3" presStyleCnt="0"/>
      <dgm:spPr/>
    </dgm:pt>
    <dgm:pt modelId="{DD3FDBF3-E705-4A4D-99E6-A491094E13AE}" type="pres">
      <dgm:prSet presAssocID="{0D72C4C5-4CA7-4001-AB47-AA5AD4868B11}" presName="Name19" presStyleLbl="parChTrans1D4" presStyleIdx="3" presStyleCnt="6"/>
      <dgm:spPr/>
    </dgm:pt>
    <dgm:pt modelId="{8F90D995-4F16-4E09-B3F2-96DE37401EBA}" type="pres">
      <dgm:prSet presAssocID="{1D9C1229-C939-4D6F-9815-3D01D6BEF571}" presName="Name21" presStyleCnt="0"/>
      <dgm:spPr/>
    </dgm:pt>
    <dgm:pt modelId="{86CDF0E8-DAB5-4C93-A9A7-7C6B2E82508C}" type="pres">
      <dgm:prSet presAssocID="{1D9C1229-C939-4D6F-9815-3D01D6BEF571}" presName="level2Shape" presStyleLbl="node4" presStyleIdx="3" presStyleCnt="6"/>
      <dgm:spPr/>
    </dgm:pt>
    <dgm:pt modelId="{51B2C8B5-D395-418F-BD12-D245FC70AE80}" type="pres">
      <dgm:prSet presAssocID="{1D9C1229-C939-4D6F-9815-3D01D6BEF571}" presName="hierChild3" presStyleCnt="0"/>
      <dgm:spPr/>
    </dgm:pt>
    <dgm:pt modelId="{0A8A0D6B-AF15-4F34-BEA3-500CE26B6BFE}" type="pres">
      <dgm:prSet presAssocID="{DD01AF77-3479-496D-974F-50D2410C420F}" presName="Name19" presStyleLbl="parChTrans1D2" presStyleIdx="1" presStyleCnt="2"/>
      <dgm:spPr/>
    </dgm:pt>
    <dgm:pt modelId="{CF899255-FC89-4145-984F-E051C1DE1C8A}" type="pres">
      <dgm:prSet presAssocID="{0B1E41DC-863E-40EF-B8DD-83D3F66D8AA6}" presName="Name21" presStyleCnt="0"/>
      <dgm:spPr/>
    </dgm:pt>
    <dgm:pt modelId="{43EACA0B-6620-4254-BE65-0962346143D8}" type="pres">
      <dgm:prSet presAssocID="{0B1E41DC-863E-40EF-B8DD-83D3F66D8AA6}" presName="level2Shape" presStyleLbl="node2" presStyleIdx="1" presStyleCnt="2"/>
      <dgm:spPr/>
    </dgm:pt>
    <dgm:pt modelId="{8305AB6E-F58B-49DF-A5C2-C919A338F412}" type="pres">
      <dgm:prSet presAssocID="{0B1E41DC-863E-40EF-B8DD-83D3F66D8AA6}" presName="hierChild3" presStyleCnt="0"/>
      <dgm:spPr/>
    </dgm:pt>
    <dgm:pt modelId="{DE1AEFF9-FB87-4496-AF34-B71DB915EE94}" type="pres">
      <dgm:prSet presAssocID="{38AFB9B1-813C-4E73-86E9-239A8E319E8C}" presName="Name19" presStyleLbl="parChTrans1D3" presStyleIdx="2" presStyleCnt="3"/>
      <dgm:spPr/>
    </dgm:pt>
    <dgm:pt modelId="{0B84EA5C-26DB-4360-B49C-64069DCB4FCD}" type="pres">
      <dgm:prSet presAssocID="{5CE5607D-B97E-4A9A-AE07-D69DAEE68A47}" presName="Name21" presStyleCnt="0"/>
      <dgm:spPr/>
    </dgm:pt>
    <dgm:pt modelId="{CDFC8343-864E-4BE0-9685-EA7BE7669CCA}" type="pres">
      <dgm:prSet presAssocID="{5CE5607D-B97E-4A9A-AE07-D69DAEE68A47}" presName="level2Shape" presStyleLbl="node3" presStyleIdx="2" presStyleCnt="3"/>
      <dgm:spPr/>
    </dgm:pt>
    <dgm:pt modelId="{26CBB055-2EA3-40B4-877B-8A1E251A1A14}" type="pres">
      <dgm:prSet presAssocID="{5CE5607D-B97E-4A9A-AE07-D69DAEE68A47}" presName="hierChild3" presStyleCnt="0"/>
      <dgm:spPr/>
    </dgm:pt>
    <dgm:pt modelId="{2B0E83D5-4BEA-4AE7-BEC7-9944DF4BF5EE}" type="pres">
      <dgm:prSet presAssocID="{D5EC093D-F9C5-49F5-9CAE-0261EBED1D28}" presName="Name19" presStyleLbl="parChTrans1D4" presStyleIdx="4" presStyleCnt="6"/>
      <dgm:spPr/>
    </dgm:pt>
    <dgm:pt modelId="{941E17E8-D776-4216-BE0D-4E0D7265491A}" type="pres">
      <dgm:prSet presAssocID="{CDD62A8D-AA63-4F2A-B69F-EAD9B0FF9713}" presName="Name21" presStyleCnt="0"/>
      <dgm:spPr/>
    </dgm:pt>
    <dgm:pt modelId="{D2A8786A-5BC1-4CF7-A27B-84B47244CE59}" type="pres">
      <dgm:prSet presAssocID="{CDD62A8D-AA63-4F2A-B69F-EAD9B0FF9713}" presName="level2Shape" presStyleLbl="node4" presStyleIdx="4" presStyleCnt="6"/>
      <dgm:spPr/>
    </dgm:pt>
    <dgm:pt modelId="{E71B7CD7-6A33-45FC-999E-B1EA07BFA315}" type="pres">
      <dgm:prSet presAssocID="{CDD62A8D-AA63-4F2A-B69F-EAD9B0FF9713}" presName="hierChild3" presStyleCnt="0"/>
      <dgm:spPr/>
    </dgm:pt>
    <dgm:pt modelId="{716CD9C0-6951-46C6-841F-8E303317B93F}" type="pres">
      <dgm:prSet presAssocID="{FB879D93-4AA9-4533-A840-825E85E237E5}" presName="Name19" presStyleLbl="parChTrans1D4" presStyleIdx="5" presStyleCnt="6"/>
      <dgm:spPr/>
    </dgm:pt>
    <dgm:pt modelId="{47718F7E-FB69-4EF5-8D76-0C8A7D479F33}" type="pres">
      <dgm:prSet presAssocID="{37038E8A-1FF7-4E87-94B6-B9A44A97F5AB}" presName="Name21" presStyleCnt="0"/>
      <dgm:spPr/>
    </dgm:pt>
    <dgm:pt modelId="{9232CDBB-BCB1-40B0-9715-644FA1BE4033}" type="pres">
      <dgm:prSet presAssocID="{37038E8A-1FF7-4E87-94B6-B9A44A97F5AB}" presName="level2Shape" presStyleLbl="node4" presStyleIdx="5" presStyleCnt="6"/>
      <dgm:spPr/>
    </dgm:pt>
    <dgm:pt modelId="{ADEE52A7-9E08-447E-AE0C-38C2FE74B45B}" type="pres">
      <dgm:prSet presAssocID="{37038E8A-1FF7-4E87-94B6-B9A44A97F5AB}" presName="hierChild3" presStyleCnt="0"/>
      <dgm:spPr/>
    </dgm:pt>
    <dgm:pt modelId="{66B08741-B596-4C11-83C3-CE25AB47F08C}" type="pres">
      <dgm:prSet presAssocID="{974F7777-6D5F-4924-B90D-3EC60478AA34}" presName="bgShapesFlow" presStyleCnt="0"/>
      <dgm:spPr/>
    </dgm:pt>
  </dgm:ptLst>
  <dgm:cxnLst>
    <dgm:cxn modelId="{D19CD202-60CC-4721-9233-1F2C0B6BA402}" type="presOf" srcId="{A40BBD17-96F9-4B1F-AAA8-407DEC45AFD3}" destId="{89FCEC8D-E38D-4DC5-831E-02D5AEFDC432}" srcOrd="0" destOrd="0" presId="urn:microsoft.com/office/officeart/2005/8/layout/hierarchy6"/>
    <dgm:cxn modelId="{EBA3AB14-A43B-4319-8005-AAE026A3E141}" type="presOf" srcId="{A24B418A-29BD-4FEC-9115-E2E62EFCDA76}" destId="{6ABF492C-0735-4B65-8363-02138E4A4A3D}" srcOrd="0" destOrd="0" presId="urn:microsoft.com/office/officeart/2005/8/layout/hierarchy6"/>
    <dgm:cxn modelId="{0FCCDE14-F9B8-40EE-9A2D-95D4C13F6031}" type="presOf" srcId="{DD01AF77-3479-496D-974F-50D2410C420F}" destId="{0A8A0D6B-AF15-4F34-BEA3-500CE26B6BFE}" srcOrd="0" destOrd="0" presId="urn:microsoft.com/office/officeart/2005/8/layout/hierarchy6"/>
    <dgm:cxn modelId="{35FA3D1F-69E2-405E-9F4F-C71B749BD068}" srcId="{CDC29206-C146-4E6D-9EB4-A7FB3D82F743}" destId="{AC18B901-D360-4200-99EA-44224AA9F576}" srcOrd="1" destOrd="0" parTransId="{0E17C12B-2979-43EF-A8FE-8BD565FAC1CF}" sibTransId="{D624A68D-ACEE-45A3-9228-EC3E4096723A}"/>
    <dgm:cxn modelId="{8B696E28-D4C3-445F-BAE2-7C16865BF887}" srcId="{5CE5607D-B97E-4A9A-AE07-D69DAEE68A47}" destId="{37038E8A-1FF7-4E87-94B6-B9A44A97F5AB}" srcOrd="1" destOrd="0" parTransId="{FB879D93-4AA9-4533-A840-825E85E237E5}" sibTransId="{83BE232F-ABED-4997-93D6-F1070CD704B2}"/>
    <dgm:cxn modelId="{08B38731-A63D-44F2-B370-CABA4CB453E7}" type="presOf" srcId="{1D9C1229-C939-4D6F-9815-3D01D6BEF571}" destId="{86CDF0E8-DAB5-4C93-A9A7-7C6B2E82508C}" srcOrd="0" destOrd="0" presId="urn:microsoft.com/office/officeart/2005/8/layout/hierarchy6"/>
    <dgm:cxn modelId="{9374B236-B07F-4AA1-AD36-B900CD36C453}" type="presOf" srcId="{B8318FF4-BBF1-4A9D-BC65-A0CD6F58615F}" destId="{1E8734DF-21B9-4911-96FB-1AC55BCA74BA}" srcOrd="0" destOrd="0" presId="urn:microsoft.com/office/officeart/2005/8/layout/hierarchy6"/>
    <dgm:cxn modelId="{56B2043A-9BC2-4C46-B49F-A2BBE3E24B50}" type="presOf" srcId="{38AFB9B1-813C-4E73-86E9-239A8E319E8C}" destId="{DE1AEFF9-FB87-4496-AF34-B71DB915EE94}" srcOrd="0" destOrd="0" presId="urn:microsoft.com/office/officeart/2005/8/layout/hierarchy6"/>
    <dgm:cxn modelId="{B3BBDC40-ADE8-4AF3-B062-F94C5C24E393}" type="presOf" srcId="{5CE5607D-B97E-4A9A-AE07-D69DAEE68A47}" destId="{CDFC8343-864E-4BE0-9685-EA7BE7669CCA}" srcOrd="0" destOrd="0" presId="urn:microsoft.com/office/officeart/2005/8/layout/hierarchy6"/>
    <dgm:cxn modelId="{3B57CF5D-EF14-4AE0-B362-812C5DD4722E}" srcId="{47B2E65E-C362-4CF1-8A86-E8670D3CBB2B}" destId="{1B1F9204-E006-47F6-81DC-9B5BC14A21FE}" srcOrd="0" destOrd="0" parTransId="{B8318FF4-BBF1-4A9D-BC65-A0CD6F58615F}" sibTransId="{3ACE4E75-532E-4958-8D9C-B1BD28615BE0}"/>
    <dgm:cxn modelId="{47D00166-65A4-49E6-976C-205532198F63}" type="presOf" srcId="{28C7AAA6-469D-43C6-B4C1-B75F86B3050D}" destId="{797A491A-374D-4FC7-90DE-6302BA2EB3F7}" srcOrd="0" destOrd="0" presId="urn:microsoft.com/office/officeart/2005/8/layout/hierarchy6"/>
    <dgm:cxn modelId="{55ABC546-5200-45EA-BE2D-EC6C56159FCF}" srcId="{D069AB19-4735-4DB8-A779-F9C176A83EFD}" destId="{0B1E41DC-863E-40EF-B8DD-83D3F66D8AA6}" srcOrd="1" destOrd="0" parTransId="{DD01AF77-3479-496D-974F-50D2410C420F}" sibTransId="{2B94D48E-0772-4A9C-97D3-2406F2E34A8A}"/>
    <dgm:cxn modelId="{F60AB247-4536-45C4-A1C7-531A44C1C4DF}" type="presOf" srcId="{15BE7320-D437-41DA-A6A3-9E3953F628F7}" destId="{EEDCFFF1-AFBD-4B2D-A857-05E6295F46B5}" srcOrd="0" destOrd="0" presId="urn:microsoft.com/office/officeart/2005/8/layout/hierarchy6"/>
    <dgm:cxn modelId="{18594348-5267-43CD-8044-AFD9B755E1A0}" type="presOf" srcId="{AC18B901-D360-4200-99EA-44224AA9F576}" destId="{15BFF7AF-C471-443B-B6BE-B36131CA5D93}" srcOrd="0" destOrd="0" presId="urn:microsoft.com/office/officeart/2005/8/layout/hierarchy6"/>
    <dgm:cxn modelId="{1E54796B-23C8-4300-A1B8-E269D9A2F511}" type="presOf" srcId="{70A3A791-FCE4-4A10-8048-570AF83EF484}" destId="{704E5DEE-ED3C-48E3-88BE-6646E84D8DE8}" srcOrd="0" destOrd="0" presId="urn:microsoft.com/office/officeart/2005/8/layout/hierarchy6"/>
    <dgm:cxn modelId="{9956AB71-555F-4C1D-9C73-3C82086133CF}" type="presOf" srcId="{0E17C12B-2979-43EF-A8FE-8BD565FAC1CF}" destId="{86EC2B21-22D5-4D17-B299-701FB2FDC70C}" srcOrd="0" destOrd="0" presId="urn:microsoft.com/office/officeart/2005/8/layout/hierarchy6"/>
    <dgm:cxn modelId="{515F7472-888E-402A-8D36-D06D6F5D872D}" srcId="{AC18B901-D360-4200-99EA-44224AA9F576}" destId="{15BE7320-D437-41DA-A6A3-9E3953F628F7}" srcOrd="0" destOrd="0" parTransId="{70A3A791-FCE4-4A10-8048-570AF83EF484}" sibTransId="{AFD52E94-4ACA-420B-B165-1212AC2C34C9}"/>
    <dgm:cxn modelId="{06B34178-6D5E-4DF7-BC3D-A02E6D84DA41}" type="presOf" srcId="{FB879D93-4AA9-4533-A840-825E85E237E5}" destId="{716CD9C0-6951-46C6-841F-8E303317B93F}" srcOrd="0" destOrd="0" presId="urn:microsoft.com/office/officeart/2005/8/layout/hierarchy6"/>
    <dgm:cxn modelId="{FFC5517E-B0F2-4156-A125-BC0C2B5843B6}" type="presOf" srcId="{1B1F9204-E006-47F6-81DC-9B5BC14A21FE}" destId="{CCEF10BE-80B8-427F-978E-8B929CD1FB36}" srcOrd="0" destOrd="0" presId="urn:microsoft.com/office/officeart/2005/8/layout/hierarchy6"/>
    <dgm:cxn modelId="{8503067F-18D9-4C0E-9DC7-F8894B29225A}" type="presOf" srcId="{D5EC093D-F9C5-49F5-9CAE-0261EBED1D28}" destId="{2B0E83D5-4BEA-4AE7-BEC7-9944DF4BF5EE}" srcOrd="0" destOrd="0" presId="urn:microsoft.com/office/officeart/2005/8/layout/hierarchy6"/>
    <dgm:cxn modelId="{EE08E783-E600-4DE9-97EF-9C8FEDF18BCA}" type="presOf" srcId="{CDD62A8D-AA63-4F2A-B69F-EAD9B0FF9713}" destId="{D2A8786A-5BC1-4CF7-A27B-84B47244CE59}" srcOrd="0" destOrd="0" presId="urn:microsoft.com/office/officeart/2005/8/layout/hierarchy6"/>
    <dgm:cxn modelId="{A25BDC8C-3A8F-4E5E-948F-8440DB1D7FC0}" srcId="{47B2E65E-C362-4CF1-8A86-E8670D3CBB2B}" destId="{28C7AAA6-469D-43C6-B4C1-B75F86B3050D}" srcOrd="1" destOrd="0" parTransId="{A24B418A-29BD-4FEC-9115-E2E62EFCDA76}" sibTransId="{1626B323-6274-4FF0-9C3D-BDBCF09AD3F7}"/>
    <dgm:cxn modelId="{DF881999-20C1-4C71-8411-1AAEEE91A970}" type="presOf" srcId="{37038E8A-1FF7-4E87-94B6-B9A44A97F5AB}" destId="{9232CDBB-BCB1-40B0-9715-644FA1BE4033}" srcOrd="0" destOrd="0" presId="urn:microsoft.com/office/officeart/2005/8/layout/hierarchy6"/>
    <dgm:cxn modelId="{88208C9A-2A9E-48D9-9D69-A0F86FA792E0}" type="presOf" srcId="{974F7777-6D5F-4924-B90D-3EC60478AA34}" destId="{98F9C466-7EAD-4ACE-914D-9FA1E176C8D2}" srcOrd="0" destOrd="0" presId="urn:microsoft.com/office/officeart/2005/8/layout/hierarchy6"/>
    <dgm:cxn modelId="{4C992AA0-F175-4F39-9ACC-1B9119F79518}" type="presOf" srcId="{D069AB19-4735-4DB8-A779-F9C176A83EFD}" destId="{667CF756-323F-4E8B-AAB2-6CD189A72627}" srcOrd="0" destOrd="0" presId="urn:microsoft.com/office/officeart/2005/8/layout/hierarchy6"/>
    <dgm:cxn modelId="{2087DCA3-FB98-4DB2-A28D-AE2905B49AEE}" srcId="{5CE5607D-B97E-4A9A-AE07-D69DAEE68A47}" destId="{CDD62A8D-AA63-4F2A-B69F-EAD9B0FF9713}" srcOrd="0" destOrd="0" parTransId="{D5EC093D-F9C5-49F5-9CAE-0261EBED1D28}" sibTransId="{73DDDD44-4919-481A-8695-C111E7A22A71}"/>
    <dgm:cxn modelId="{BDDFA1A6-1B92-4ECE-B3ED-8BB78C380407}" type="presOf" srcId="{47B2E65E-C362-4CF1-8A86-E8670D3CBB2B}" destId="{084D46CF-B262-4751-BF98-333A66D7A615}" srcOrd="0" destOrd="0" presId="urn:microsoft.com/office/officeart/2005/8/layout/hierarchy6"/>
    <dgm:cxn modelId="{5B06A2AD-565F-4EAC-B63F-E70BE00803F2}" srcId="{CDC29206-C146-4E6D-9EB4-A7FB3D82F743}" destId="{47B2E65E-C362-4CF1-8A86-E8670D3CBB2B}" srcOrd="0" destOrd="0" parTransId="{0C907E3A-48B4-4521-BFB3-517765CD17E2}" sibTransId="{A81F089D-7AA1-4BF9-A6E9-219A028ED579}"/>
    <dgm:cxn modelId="{C96ABFBA-5C9B-4911-8275-1E49F97CF73A}" srcId="{D069AB19-4735-4DB8-A779-F9C176A83EFD}" destId="{CDC29206-C146-4E6D-9EB4-A7FB3D82F743}" srcOrd="0" destOrd="0" parTransId="{A40BBD17-96F9-4B1F-AAA8-407DEC45AFD3}" sibTransId="{44BF12CC-8E13-4BF9-8AFA-73980EF51314}"/>
    <dgm:cxn modelId="{C30E22D0-20ED-4BDE-8DCF-7778B4D6DF28}" srcId="{AC18B901-D360-4200-99EA-44224AA9F576}" destId="{1D9C1229-C939-4D6F-9815-3D01D6BEF571}" srcOrd="1" destOrd="0" parTransId="{0D72C4C5-4CA7-4001-AB47-AA5AD4868B11}" sibTransId="{56D67FA3-9189-4998-ACD9-216D44A7E938}"/>
    <dgm:cxn modelId="{52CAB1D1-3297-46E1-B5DF-AA214C7F2B60}" srcId="{0B1E41DC-863E-40EF-B8DD-83D3F66D8AA6}" destId="{5CE5607D-B97E-4A9A-AE07-D69DAEE68A47}" srcOrd="0" destOrd="0" parTransId="{38AFB9B1-813C-4E73-86E9-239A8E319E8C}" sibTransId="{614640CD-0987-45C6-807C-D7B4EE84CF34}"/>
    <dgm:cxn modelId="{56F372D6-246E-45F8-8CAD-7679F540321A}" srcId="{974F7777-6D5F-4924-B90D-3EC60478AA34}" destId="{D069AB19-4735-4DB8-A779-F9C176A83EFD}" srcOrd="0" destOrd="0" parTransId="{A211F1C6-0801-4B2D-A71F-7B17642EED90}" sibTransId="{DC07EE87-8F82-40D1-8B13-01E4BF3598EB}"/>
    <dgm:cxn modelId="{C5715ADA-DBD0-4D50-9444-E98FEC8A24E7}" type="presOf" srcId="{0D72C4C5-4CA7-4001-AB47-AA5AD4868B11}" destId="{DD3FDBF3-E705-4A4D-99E6-A491094E13AE}" srcOrd="0" destOrd="0" presId="urn:microsoft.com/office/officeart/2005/8/layout/hierarchy6"/>
    <dgm:cxn modelId="{AFF221E1-87BF-408D-B6F7-0FBA264A51DA}" type="presOf" srcId="{0C907E3A-48B4-4521-BFB3-517765CD17E2}" destId="{99352773-F1D6-425F-BE08-A3BC549C2A76}" srcOrd="0" destOrd="0" presId="urn:microsoft.com/office/officeart/2005/8/layout/hierarchy6"/>
    <dgm:cxn modelId="{88DD35F7-5132-4331-97EC-B19160EE27DB}" type="presOf" srcId="{CDC29206-C146-4E6D-9EB4-A7FB3D82F743}" destId="{435D738A-DC25-457B-8385-5C63FF52D344}" srcOrd="0" destOrd="0" presId="urn:microsoft.com/office/officeart/2005/8/layout/hierarchy6"/>
    <dgm:cxn modelId="{D96523FC-51AD-480F-8835-358ABD084CCE}" type="presOf" srcId="{0B1E41DC-863E-40EF-B8DD-83D3F66D8AA6}" destId="{43EACA0B-6620-4254-BE65-0962346143D8}" srcOrd="0" destOrd="0" presId="urn:microsoft.com/office/officeart/2005/8/layout/hierarchy6"/>
    <dgm:cxn modelId="{059DC912-7738-42C7-A536-42B43516C1C7}" type="presParOf" srcId="{98F9C466-7EAD-4ACE-914D-9FA1E176C8D2}" destId="{C670D478-B91B-4C0D-BF64-2B0F22D7FB5D}" srcOrd="0" destOrd="0" presId="urn:microsoft.com/office/officeart/2005/8/layout/hierarchy6"/>
    <dgm:cxn modelId="{DD1DA8A7-D73D-41C6-B541-6EE546BAF4D0}" type="presParOf" srcId="{C670D478-B91B-4C0D-BF64-2B0F22D7FB5D}" destId="{464BA547-9E3B-48E7-957D-5ADE7983FF9E}" srcOrd="0" destOrd="0" presId="urn:microsoft.com/office/officeart/2005/8/layout/hierarchy6"/>
    <dgm:cxn modelId="{C381C9DC-7C05-4802-BC50-4898667B5B7E}" type="presParOf" srcId="{464BA547-9E3B-48E7-957D-5ADE7983FF9E}" destId="{A43EFFDE-A7B3-485B-B152-8565E38A893C}" srcOrd="0" destOrd="0" presId="urn:microsoft.com/office/officeart/2005/8/layout/hierarchy6"/>
    <dgm:cxn modelId="{F6C9E8EA-5F3A-49F8-A48C-2BEB6C5F5B65}" type="presParOf" srcId="{A43EFFDE-A7B3-485B-B152-8565E38A893C}" destId="{667CF756-323F-4E8B-AAB2-6CD189A72627}" srcOrd="0" destOrd="0" presId="urn:microsoft.com/office/officeart/2005/8/layout/hierarchy6"/>
    <dgm:cxn modelId="{27A25D84-ECF1-4512-9193-BDD5EB33D2EF}" type="presParOf" srcId="{A43EFFDE-A7B3-485B-B152-8565E38A893C}" destId="{5FC57598-85D2-42C5-9BC7-BFF9CFAEA7F5}" srcOrd="1" destOrd="0" presId="urn:microsoft.com/office/officeart/2005/8/layout/hierarchy6"/>
    <dgm:cxn modelId="{14505078-D721-46CE-911B-85A06C054E0E}" type="presParOf" srcId="{5FC57598-85D2-42C5-9BC7-BFF9CFAEA7F5}" destId="{89FCEC8D-E38D-4DC5-831E-02D5AEFDC432}" srcOrd="0" destOrd="0" presId="urn:microsoft.com/office/officeart/2005/8/layout/hierarchy6"/>
    <dgm:cxn modelId="{10E8221B-EFA0-4701-8450-602AAA4BFACE}" type="presParOf" srcId="{5FC57598-85D2-42C5-9BC7-BFF9CFAEA7F5}" destId="{30007849-4799-4D59-8B41-DC04EE4F82ED}" srcOrd="1" destOrd="0" presId="urn:microsoft.com/office/officeart/2005/8/layout/hierarchy6"/>
    <dgm:cxn modelId="{9C34EB77-1C81-459E-AE3A-4E53864CFB1F}" type="presParOf" srcId="{30007849-4799-4D59-8B41-DC04EE4F82ED}" destId="{435D738A-DC25-457B-8385-5C63FF52D344}" srcOrd="0" destOrd="0" presId="urn:microsoft.com/office/officeart/2005/8/layout/hierarchy6"/>
    <dgm:cxn modelId="{A376D3D4-D02A-4A36-82BA-0063553A8545}" type="presParOf" srcId="{30007849-4799-4D59-8B41-DC04EE4F82ED}" destId="{A49B169B-AFC6-4806-9F96-5A10C21ED692}" srcOrd="1" destOrd="0" presId="urn:microsoft.com/office/officeart/2005/8/layout/hierarchy6"/>
    <dgm:cxn modelId="{8A6AE434-6F1D-4D33-91C5-05F3E1E7CC70}" type="presParOf" srcId="{A49B169B-AFC6-4806-9F96-5A10C21ED692}" destId="{99352773-F1D6-425F-BE08-A3BC549C2A76}" srcOrd="0" destOrd="0" presId="urn:microsoft.com/office/officeart/2005/8/layout/hierarchy6"/>
    <dgm:cxn modelId="{915388D1-FACC-4F45-AA68-F8EF350FFFA3}" type="presParOf" srcId="{A49B169B-AFC6-4806-9F96-5A10C21ED692}" destId="{95223040-C85A-4CC4-B2BA-70C0C3DD83E2}" srcOrd="1" destOrd="0" presId="urn:microsoft.com/office/officeart/2005/8/layout/hierarchy6"/>
    <dgm:cxn modelId="{B7C30295-9C5D-4599-AC4A-6925F235B780}" type="presParOf" srcId="{95223040-C85A-4CC4-B2BA-70C0C3DD83E2}" destId="{084D46CF-B262-4751-BF98-333A66D7A615}" srcOrd="0" destOrd="0" presId="urn:microsoft.com/office/officeart/2005/8/layout/hierarchy6"/>
    <dgm:cxn modelId="{8ABE6FB0-4FC0-49F2-B5C2-B9D3334D0170}" type="presParOf" srcId="{95223040-C85A-4CC4-B2BA-70C0C3DD83E2}" destId="{454884F1-02E8-44D6-8EE3-FE463BFED9AD}" srcOrd="1" destOrd="0" presId="urn:microsoft.com/office/officeart/2005/8/layout/hierarchy6"/>
    <dgm:cxn modelId="{1B0F1E7E-8BA0-49A0-B296-B432F405FA1C}" type="presParOf" srcId="{454884F1-02E8-44D6-8EE3-FE463BFED9AD}" destId="{1E8734DF-21B9-4911-96FB-1AC55BCA74BA}" srcOrd="0" destOrd="0" presId="urn:microsoft.com/office/officeart/2005/8/layout/hierarchy6"/>
    <dgm:cxn modelId="{87580227-A750-460D-99A6-BE97F7D7A687}" type="presParOf" srcId="{454884F1-02E8-44D6-8EE3-FE463BFED9AD}" destId="{963502B9-FF0F-420C-AE38-08ED30A1DCD8}" srcOrd="1" destOrd="0" presId="urn:microsoft.com/office/officeart/2005/8/layout/hierarchy6"/>
    <dgm:cxn modelId="{BB54CCFC-4CFC-4ED3-911E-52256A8F30FC}" type="presParOf" srcId="{963502B9-FF0F-420C-AE38-08ED30A1DCD8}" destId="{CCEF10BE-80B8-427F-978E-8B929CD1FB36}" srcOrd="0" destOrd="0" presId="urn:microsoft.com/office/officeart/2005/8/layout/hierarchy6"/>
    <dgm:cxn modelId="{00312696-F7C3-4E97-A67B-E15DE79F0B1F}" type="presParOf" srcId="{963502B9-FF0F-420C-AE38-08ED30A1DCD8}" destId="{94952709-1A5D-4E31-AB85-DBE1750E875C}" srcOrd="1" destOrd="0" presId="urn:microsoft.com/office/officeart/2005/8/layout/hierarchy6"/>
    <dgm:cxn modelId="{B3D0517A-85A2-4C5C-AD16-DCB897883A6D}" type="presParOf" srcId="{454884F1-02E8-44D6-8EE3-FE463BFED9AD}" destId="{6ABF492C-0735-4B65-8363-02138E4A4A3D}" srcOrd="2" destOrd="0" presId="urn:microsoft.com/office/officeart/2005/8/layout/hierarchy6"/>
    <dgm:cxn modelId="{73473AB1-C523-454C-881C-8B1AF3E51724}" type="presParOf" srcId="{454884F1-02E8-44D6-8EE3-FE463BFED9AD}" destId="{9A2C6318-D7C2-4111-BFB4-FB699ADA3243}" srcOrd="3" destOrd="0" presId="urn:microsoft.com/office/officeart/2005/8/layout/hierarchy6"/>
    <dgm:cxn modelId="{C9ABF2B2-0A2B-4BBA-911C-416E68233403}" type="presParOf" srcId="{9A2C6318-D7C2-4111-BFB4-FB699ADA3243}" destId="{797A491A-374D-4FC7-90DE-6302BA2EB3F7}" srcOrd="0" destOrd="0" presId="urn:microsoft.com/office/officeart/2005/8/layout/hierarchy6"/>
    <dgm:cxn modelId="{F4D71D74-4907-4183-AF6B-9F02B58FEE8C}" type="presParOf" srcId="{9A2C6318-D7C2-4111-BFB4-FB699ADA3243}" destId="{5E8378D7-5225-4CC4-B444-3C060770AEB4}" srcOrd="1" destOrd="0" presId="urn:microsoft.com/office/officeart/2005/8/layout/hierarchy6"/>
    <dgm:cxn modelId="{EA1E9CA8-E800-4E43-BF40-9908299A0303}" type="presParOf" srcId="{A49B169B-AFC6-4806-9F96-5A10C21ED692}" destId="{86EC2B21-22D5-4D17-B299-701FB2FDC70C}" srcOrd="2" destOrd="0" presId="urn:microsoft.com/office/officeart/2005/8/layout/hierarchy6"/>
    <dgm:cxn modelId="{9BC69F2A-09D3-4A70-A0E7-A66679A1BAEB}" type="presParOf" srcId="{A49B169B-AFC6-4806-9F96-5A10C21ED692}" destId="{B1E34CE6-2A69-49C9-A925-D6BDE92C5180}" srcOrd="3" destOrd="0" presId="urn:microsoft.com/office/officeart/2005/8/layout/hierarchy6"/>
    <dgm:cxn modelId="{1003B03D-ACFE-4C85-8C13-EE14D1F2A488}" type="presParOf" srcId="{B1E34CE6-2A69-49C9-A925-D6BDE92C5180}" destId="{15BFF7AF-C471-443B-B6BE-B36131CA5D93}" srcOrd="0" destOrd="0" presId="urn:microsoft.com/office/officeart/2005/8/layout/hierarchy6"/>
    <dgm:cxn modelId="{FE409F2A-F5A9-4879-8CE9-49EBCD91D24F}" type="presParOf" srcId="{B1E34CE6-2A69-49C9-A925-D6BDE92C5180}" destId="{A8C09449-633B-412C-83AD-2D15297D47E7}" srcOrd="1" destOrd="0" presId="urn:microsoft.com/office/officeart/2005/8/layout/hierarchy6"/>
    <dgm:cxn modelId="{A6E9ECB3-3A7F-4271-AC3E-671B63C2CE80}" type="presParOf" srcId="{A8C09449-633B-412C-83AD-2D15297D47E7}" destId="{704E5DEE-ED3C-48E3-88BE-6646E84D8DE8}" srcOrd="0" destOrd="0" presId="urn:microsoft.com/office/officeart/2005/8/layout/hierarchy6"/>
    <dgm:cxn modelId="{6C4B99F5-0460-45E8-A2DE-3149DF664270}" type="presParOf" srcId="{A8C09449-633B-412C-83AD-2D15297D47E7}" destId="{46B8028F-D77C-4B67-8B6A-D78B70740901}" srcOrd="1" destOrd="0" presId="urn:microsoft.com/office/officeart/2005/8/layout/hierarchy6"/>
    <dgm:cxn modelId="{4DBFB1C5-53AA-4D8C-92C2-C0B6FA02051C}" type="presParOf" srcId="{46B8028F-D77C-4B67-8B6A-D78B70740901}" destId="{EEDCFFF1-AFBD-4B2D-A857-05E6295F46B5}" srcOrd="0" destOrd="0" presId="urn:microsoft.com/office/officeart/2005/8/layout/hierarchy6"/>
    <dgm:cxn modelId="{C7C53D16-BBF7-4D48-A4D4-4851A21364F9}" type="presParOf" srcId="{46B8028F-D77C-4B67-8B6A-D78B70740901}" destId="{94D46138-135F-473B-A323-F4675AC292D4}" srcOrd="1" destOrd="0" presId="urn:microsoft.com/office/officeart/2005/8/layout/hierarchy6"/>
    <dgm:cxn modelId="{8F410832-1609-40B7-ABAE-5F23B3321962}" type="presParOf" srcId="{A8C09449-633B-412C-83AD-2D15297D47E7}" destId="{DD3FDBF3-E705-4A4D-99E6-A491094E13AE}" srcOrd="2" destOrd="0" presId="urn:microsoft.com/office/officeart/2005/8/layout/hierarchy6"/>
    <dgm:cxn modelId="{6DE5312C-C623-4328-943A-CF97042474EC}" type="presParOf" srcId="{A8C09449-633B-412C-83AD-2D15297D47E7}" destId="{8F90D995-4F16-4E09-B3F2-96DE37401EBA}" srcOrd="3" destOrd="0" presId="urn:microsoft.com/office/officeart/2005/8/layout/hierarchy6"/>
    <dgm:cxn modelId="{28B7625B-991F-4785-B2B2-8E3A88E75529}" type="presParOf" srcId="{8F90D995-4F16-4E09-B3F2-96DE37401EBA}" destId="{86CDF0E8-DAB5-4C93-A9A7-7C6B2E82508C}" srcOrd="0" destOrd="0" presId="urn:microsoft.com/office/officeart/2005/8/layout/hierarchy6"/>
    <dgm:cxn modelId="{90A6101D-7FF3-49B4-88C8-9CBC716AF253}" type="presParOf" srcId="{8F90D995-4F16-4E09-B3F2-96DE37401EBA}" destId="{51B2C8B5-D395-418F-BD12-D245FC70AE80}" srcOrd="1" destOrd="0" presId="urn:microsoft.com/office/officeart/2005/8/layout/hierarchy6"/>
    <dgm:cxn modelId="{B59A4635-F432-41DE-B6B5-E3B029AF23FD}" type="presParOf" srcId="{5FC57598-85D2-42C5-9BC7-BFF9CFAEA7F5}" destId="{0A8A0D6B-AF15-4F34-BEA3-500CE26B6BFE}" srcOrd="2" destOrd="0" presId="urn:microsoft.com/office/officeart/2005/8/layout/hierarchy6"/>
    <dgm:cxn modelId="{812BC0DE-2EDF-45EC-A84B-087D29D05298}" type="presParOf" srcId="{5FC57598-85D2-42C5-9BC7-BFF9CFAEA7F5}" destId="{CF899255-FC89-4145-984F-E051C1DE1C8A}" srcOrd="3" destOrd="0" presId="urn:microsoft.com/office/officeart/2005/8/layout/hierarchy6"/>
    <dgm:cxn modelId="{AD33E3AE-0031-4D6A-9570-75E1180496F4}" type="presParOf" srcId="{CF899255-FC89-4145-984F-E051C1DE1C8A}" destId="{43EACA0B-6620-4254-BE65-0962346143D8}" srcOrd="0" destOrd="0" presId="urn:microsoft.com/office/officeart/2005/8/layout/hierarchy6"/>
    <dgm:cxn modelId="{CB0F461E-D10D-4B18-AA87-B1360800B8E1}" type="presParOf" srcId="{CF899255-FC89-4145-984F-E051C1DE1C8A}" destId="{8305AB6E-F58B-49DF-A5C2-C919A338F412}" srcOrd="1" destOrd="0" presId="urn:microsoft.com/office/officeart/2005/8/layout/hierarchy6"/>
    <dgm:cxn modelId="{6B45EBF1-94E1-4800-86EE-BBC805AAD20E}" type="presParOf" srcId="{8305AB6E-F58B-49DF-A5C2-C919A338F412}" destId="{DE1AEFF9-FB87-4496-AF34-B71DB915EE94}" srcOrd="0" destOrd="0" presId="urn:microsoft.com/office/officeart/2005/8/layout/hierarchy6"/>
    <dgm:cxn modelId="{ACF11A47-53BA-4B40-B6B9-B265E20EE7B5}" type="presParOf" srcId="{8305AB6E-F58B-49DF-A5C2-C919A338F412}" destId="{0B84EA5C-26DB-4360-B49C-64069DCB4FCD}" srcOrd="1" destOrd="0" presId="urn:microsoft.com/office/officeart/2005/8/layout/hierarchy6"/>
    <dgm:cxn modelId="{ED45733F-AECA-4A7D-A51C-77F8555ED731}" type="presParOf" srcId="{0B84EA5C-26DB-4360-B49C-64069DCB4FCD}" destId="{CDFC8343-864E-4BE0-9685-EA7BE7669CCA}" srcOrd="0" destOrd="0" presId="urn:microsoft.com/office/officeart/2005/8/layout/hierarchy6"/>
    <dgm:cxn modelId="{A32ED832-628B-48BD-A002-10560A3FF600}" type="presParOf" srcId="{0B84EA5C-26DB-4360-B49C-64069DCB4FCD}" destId="{26CBB055-2EA3-40B4-877B-8A1E251A1A14}" srcOrd="1" destOrd="0" presId="urn:microsoft.com/office/officeart/2005/8/layout/hierarchy6"/>
    <dgm:cxn modelId="{5DD4128E-0216-4CD9-9929-A70972997C73}" type="presParOf" srcId="{26CBB055-2EA3-40B4-877B-8A1E251A1A14}" destId="{2B0E83D5-4BEA-4AE7-BEC7-9944DF4BF5EE}" srcOrd="0" destOrd="0" presId="urn:microsoft.com/office/officeart/2005/8/layout/hierarchy6"/>
    <dgm:cxn modelId="{5F05DCD0-4F20-4C43-A0B1-D7C05A6F63B1}" type="presParOf" srcId="{26CBB055-2EA3-40B4-877B-8A1E251A1A14}" destId="{941E17E8-D776-4216-BE0D-4E0D7265491A}" srcOrd="1" destOrd="0" presId="urn:microsoft.com/office/officeart/2005/8/layout/hierarchy6"/>
    <dgm:cxn modelId="{27A9A92C-AFE0-4B64-8CEE-0974A3B7872A}" type="presParOf" srcId="{941E17E8-D776-4216-BE0D-4E0D7265491A}" destId="{D2A8786A-5BC1-4CF7-A27B-84B47244CE59}" srcOrd="0" destOrd="0" presId="urn:microsoft.com/office/officeart/2005/8/layout/hierarchy6"/>
    <dgm:cxn modelId="{BEFDD8DE-B645-4A93-AC46-60DC29373CC2}" type="presParOf" srcId="{941E17E8-D776-4216-BE0D-4E0D7265491A}" destId="{E71B7CD7-6A33-45FC-999E-B1EA07BFA315}" srcOrd="1" destOrd="0" presId="urn:microsoft.com/office/officeart/2005/8/layout/hierarchy6"/>
    <dgm:cxn modelId="{E8951577-D6BB-4C83-9551-1B543E462284}" type="presParOf" srcId="{26CBB055-2EA3-40B4-877B-8A1E251A1A14}" destId="{716CD9C0-6951-46C6-841F-8E303317B93F}" srcOrd="2" destOrd="0" presId="urn:microsoft.com/office/officeart/2005/8/layout/hierarchy6"/>
    <dgm:cxn modelId="{BCD0DF11-1736-4EE5-909F-A632C3CB10C7}" type="presParOf" srcId="{26CBB055-2EA3-40B4-877B-8A1E251A1A14}" destId="{47718F7E-FB69-4EF5-8D76-0C8A7D479F33}" srcOrd="3" destOrd="0" presId="urn:microsoft.com/office/officeart/2005/8/layout/hierarchy6"/>
    <dgm:cxn modelId="{B56BD8F2-6DE6-46F8-BC8F-4CF5B0D72DA7}" type="presParOf" srcId="{47718F7E-FB69-4EF5-8D76-0C8A7D479F33}" destId="{9232CDBB-BCB1-40B0-9715-644FA1BE4033}" srcOrd="0" destOrd="0" presId="urn:microsoft.com/office/officeart/2005/8/layout/hierarchy6"/>
    <dgm:cxn modelId="{63BC5092-A80E-4419-8AFB-C7E8B7E28FA6}" type="presParOf" srcId="{47718F7E-FB69-4EF5-8D76-0C8A7D479F33}" destId="{ADEE52A7-9E08-447E-AE0C-38C2FE74B45B}" srcOrd="1" destOrd="0" presId="urn:microsoft.com/office/officeart/2005/8/layout/hierarchy6"/>
    <dgm:cxn modelId="{2B7AB103-396B-4050-86C9-04F3A481011C}" type="presParOf" srcId="{98F9C466-7EAD-4ACE-914D-9FA1E176C8D2}" destId="{66B08741-B596-4C11-83C3-CE25AB47F08C}" srcOrd="1" destOrd="0" presId="urn:microsoft.com/office/officeart/2005/8/layout/hierarchy6"/>
  </dgm:cxnLst>
  <dgm:bg/>
  <dgm:whole/>
  <dgm:extLst>
    <a:ext uri="http://schemas.microsoft.com/office/drawing/2008/diagram">
      <dsp:dataModelExt xmlns:dsp="http://schemas.microsoft.com/office/drawing/2008/diagram" relId="rId5" minVer="http://schemas.openxmlformats.org/drawingml/2006/diagram"/>
    </a:ext>
    <a:ext uri="{C62137D5-CB1D-491B-B009-E17868A290BF}">
      <dgm14:recolorImg xmlns:dgm14="http://schemas.microsoft.com/office/drawing/2010/diagram" val="1"/>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67CF756-323F-4E8B-AAB2-6CD189A72627}">
      <dsp:nvSpPr>
        <dsp:cNvPr id="0" name=""/>
        <dsp:cNvSpPr/>
      </dsp:nvSpPr>
      <dsp:spPr>
        <a:xfrm>
          <a:off x="4635964" y="378137"/>
          <a:ext cx="1188429" cy="792286"/>
        </a:xfrm>
        <a:prstGeom prst="roundRect">
          <a:avLst>
            <a:gd name="adj" fmla="val 10000"/>
          </a:avLst>
        </a:prstGeom>
        <a:solidFill>
          <a:srgbClr val="002060"/>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Data</a:t>
          </a:r>
        </a:p>
      </dsp:txBody>
      <dsp:txXfrm>
        <a:off x="4659169" y="401342"/>
        <a:ext cx="1142019" cy="745876"/>
      </dsp:txXfrm>
    </dsp:sp>
    <dsp:sp modelId="{89FCEC8D-E38D-4DC5-831E-02D5AEFDC432}">
      <dsp:nvSpPr>
        <dsp:cNvPr id="0" name=""/>
        <dsp:cNvSpPr/>
      </dsp:nvSpPr>
      <dsp:spPr>
        <a:xfrm>
          <a:off x="2912741" y="1170424"/>
          <a:ext cx="2317438" cy="316914"/>
        </a:xfrm>
        <a:custGeom>
          <a:avLst/>
          <a:gdLst/>
          <a:ahLst/>
          <a:cxnLst/>
          <a:rect l="0" t="0" r="0" b="0"/>
          <a:pathLst>
            <a:path>
              <a:moveTo>
                <a:pt x="2317438" y="0"/>
              </a:moveTo>
              <a:lnTo>
                <a:pt x="2317438" y="158457"/>
              </a:lnTo>
              <a:lnTo>
                <a:pt x="0" y="158457"/>
              </a:lnTo>
              <a:lnTo>
                <a:pt x="0" y="316914"/>
              </a:lnTo>
            </a:path>
          </a:pathLst>
        </a:custGeom>
        <a:noFill/>
        <a:ln w="12700" cap="flat" cmpd="sng" algn="ctr">
          <a:solidFill>
            <a:schemeClr val="accent3">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435D738A-DC25-457B-8385-5C63FF52D344}">
      <dsp:nvSpPr>
        <dsp:cNvPr id="0" name=""/>
        <dsp:cNvSpPr/>
      </dsp:nvSpPr>
      <dsp:spPr>
        <a:xfrm>
          <a:off x="2318526" y="1487338"/>
          <a:ext cx="1188429" cy="792286"/>
        </a:xfrm>
        <a:prstGeom prst="roundRect">
          <a:avLst>
            <a:gd name="adj" fmla="val 10000"/>
          </a:avLst>
        </a:prstGeom>
        <a:solidFill>
          <a:srgbClr val="FF0000"/>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Categorical</a:t>
          </a:r>
        </a:p>
      </dsp:txBody>
      <dsp:txXfrm>
        <a:off x="2341731" y="1510543"/>
        <a:ext cx="1142019" cy="745876"/>
      </dsp:txXfrm>
    </dsp:sp>
    <dsp:sp modelId="{99352773-F1D6-425F-BE08-A3BC549C2A76}">
      <dsp:nvSpPr>
        <dsp:cNvPr id="0" name=""/>
        <dsp:cNvSpPr/>
      </dsp:nvSpPr>
      <dsp:spPr>
        <a:xfrm>
          <a:off x="1367782" y="2279625"/>
          <a:ext cx="1544958" cy="316914"/>
        </a:xfrm>
        <a:custGeom>
          <a:avLst/>
          <a:gdLst/>
          <a:ahLst/>
          <a:cxnLst/>
          <a:rect l="0" t="0" r="0" b="0"/>
          <a:pathLst>
            <a:path>
              <a:moveTo>
                <a:pt x="1544958" y="0"/>
              </a:moveTo>
              <a:lnTo>
                <a:pt x="1544958" y="158457"/>
              </a:lnTo>
              <a:lnTo>
                <a:pt x="0" y="158457"/>
              </a:lnTo>
              <a:lnTo>
                <a:pt x="0" y="316914"/>
              </a:lnTo>
            </a:path>
          </a:pathLst>
        </a:custGeom>
        <a:noFill/>
        <a:ln w="12700" cap="flat" cmpd="sng" algn="ctr">
          <a:solidFill>
            <a:schemeClr val="accent4">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084D46CF-B262-4751-BF98-333A66D7A615}">
      <dsp:nvSpPr>
        <dsp:cNvPr id="0" name=""/>
        <dsp:cNvSpPr/>
      </dsp:nvSpPr>
      <dsp:spPr>
        <a:xfrm>
          <a:off x="773567" y="2596539"/>
          <a:ext cx="1188429" cy="792286"/>
        </a:xfrm>
        <a:prstGeom prst="roundRect">
          <a:avLst>
            <a:gd name="adj" fmla="val 10000"/>
          </a:avLst>
        </a:prstGeom>
        <a:solidFill>
          <a:schemeClr val="accent4">
            <a:lumMod val="40000"/>
            <a:lumOff val="6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solidFill>
                <a:schemeClr val="tx1"/>
              </a:solidFill>
            </a:rPr>
            <a:t>Non-Numeric</a:t>
          </a:r>
        </a:p>
      </dsp:txBody>
      <dsp:txXfrm>
        <a:off x="796772" y="2619744"/>
        <a:ext cx="1142019" cy="745876"/>
      </dsp:txXfrm>
    </dsp:sp>
    <dsp:sp modelId="{1E8734DF-21B9-4911-96FB-1AC55BCA74BA}">
      <dsp:nvSpPr>
        <dsp:cNvPr id="0" name=""/>
        <dsp:cNvSpPr/>
      </dsp:nvSpPr>
      <dsp:spPr>
        <a:xfrm>
          <a:off x="595303" y="3388826"/>
          <a:ext cx="772479" cy="316914"/>
        </a:xfrm>
        <a:custGeom>
          <a:avLst/>
          <a:gdLst/>
          <a:ahLst/>
          <a:cxnLst/>
          <a:rect l="0" t="0" r="0" b="0"/>
          <a:pathLst>
            <a:path>
              <a:moveTo>
                <a:pt x="772479" y="0"/>
              </a:moveTo>
              <a:lnTo>
                <a:pt x="772479" y="158457"/>
              </a:lnTo>
              <a:lnTo>
                <a:pt x="0" y="158457"/>
              </a:lnTo>
              <a:lnTo>
                <a:pt x="0" y="316914"/>
              </a:lnTo>
            </a:path>
          </a:pathLst>
        </a:custGeom>
        <a:noFill/>
        <a:ln w="12700" cap="flat" cmpd="sng" algn="ctr">
          <a:solidFill>
            <a:schemeClr val="accent5">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CCEF10BE-80B8-427F-978E-8B929CD1FB36}">
      <dsp:nvSpPr>
        <dsp:cNvPr id="0" name=""/>
        <dsp:cNvSpPr/>
      </dsp:nvSpPr>
      <dsp:spPr>
        <a:xfrm>
          <a:off x="1088" y="3705740"/>
          <a:ext cx="1188429" cy="792286"/>
        </a:xfrm>
        <a:prstGeom prst="roundRect">
          <a:avLst>
            <a:gd name="adj" fmla="val 10000"/>
          </a:avLst>
        </a:prstGeom>
        <a:solidFill>
          <a:schemeClr val="accent4">
            <a:lumMod val="5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Nominal</a:t>
          </a:r>
        </a:p>
      </dsp:txBody>
      <dsp:txXfrm>
        <a:off x="24293" y="3728945"/>
        <a:ext cx="1142019" cy="745876"/>
      </dsp:txXfrm>
    </dsp:sp>
    <dsp:sp modelId="{6ABF492C-0735-4B65-8363-02138E4A4A3D}">
      <dsp:nvSpPr>
        <dsp:cNvPr id="0" name=""/>
        <dsp:cNvSpPr/>
      </dsp:nvSpPr>
      <dsp:spPr>
        <a:xfrm>
          <a:off x="1367782" y="3388826"/>
          <a:ext cx="772479" cy="316914"/>
        </a:xfrm>
        <a:custGeom>
          <a:avLst/>
          <a:gdLst/>
          <a:ahLst/>
          <a:cxnLst/>
          <a:rect l="0" t="0" r="0" b="0"/>
          <a:pathLst>
            <a:path>
              <a:moveTo>
                <a:pt x="0" y="0"/>
              </a:moveTo>
              <a:lnTo>
                <a:pt x="0" y="158457"/>
              </a:lnTo>
              <a:lnTo>
                <a:pt x="772479" y="158457"/>
              </a:lnTo>
              <a:lnTo>
                <a:pt x="772479" y="316914"/>
              </a:lnTo>
            </a:path>
          </a:pathLst>
        </a:custGeom>
        <a:noFill/>
        <a:ln w="12700" cap="flat" cmpd="sng" algn="ctr">
          <a:solidFill>
            <a:schemeClr val="accent5">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797A491A-374D-4FC7-90DE-6302BA2EB3F7}">
      <dsp:nvSpPr>
        <dsp:cNvPr id="0" name=""/>
        <dsp:cNvSpPr/>
      </dsp:nvSpPr>
      <dsp:spPr>
        <a:xfrm>
          <a:off x="1546047" y="3705740"/>
          <a:ext cx="1188429" cy="792286"/>
        </a:xfrm>
        <a:prstGeom prst="roundRect">
          <a:avLst>
            <a:gd name="adj" fmla="val 10000"/>
          </a:avLst>
        </a:prstGeom>
        <a:solidFill>
          <a:schemeClr val="accent2">
            <a:lumMod val="60000"/>
            <a:lumOff val="4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solidFill>
                <a:schemeClr val="tx1"/>
              </a:solidFill>
            </a:rPr>
            <a:t>Ordinal</a:t>
          </a:r>
        </a:p>
      </dsp:txBody>
      <dsp:txXfrm>
        <a:off x="1569252" y="3728945"/>
        <a:ext cx="1142019" cy="745876"/>
      </dsp:txXfrm>
    </dsp:sp>
    <dsp:sp modelId="{86EC2B21-22D5-4D17-B299-701FB2FDC70C}">
      <dsp:nvSpPr>
        <dsp:cNvPr id="0" name=""/>
        <dsp:cNvSpPr/>
      </dsp:nvSpPr>
      <dsp:spPr>
        <a:xfrm>
          <a:off x="2912741" y="2279625"/>
          <a:ext cx="1544958" cy="316914"/>
        </a:xfrm>
        <a:custGeom>
          <a:avLst/>
          <a:gdLst/>
          <a:ahLst/>
          <a:cxnLst/>
          <a:rect l="0" t="0" r="0" b="0"/>
          <a:pathLst>
            <a:path>
              <a:moveTo>
                <a:pt x="0" y="0"/>
              </a:moveTo>
              <a:lnTo>
                <a:pt x="0" y="158457"/>
              </a:lnTo>
              <a:lnTo>
                <a:pt x="1544958" y="158457"/>
              </a:lnTo>
              <a:lnTo>
                <a:pt x="1544958" y="316914"/>
              </a:lnTo>
            </a:path>
          </a:pathLst>
        </a:custGeom>
        <a:noFill/>
        <a:ln w="12700" cap="flat" cmpd="sng" algn="ctr">
          <a:solidFill>
            <a:schemeClr val="accent4">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15BFF7AF-C471-443B-B6BE-B36131CA5D93}">
      <dsp:nvSpPr>
        <dsp:cNvPr id="0" name=""/>
        <dsp:cNvSpPr/>
      </dsp:nvSpPr>
      <dsp:spPr>
        <a:xfrm>
          <a:off x="3863485" y="2596539"/>
          <a:ext cx="1188429" cy="792286"/>
        </a:xfrm>
        <a:prstGeom prst="roundRect">
          <a:avLst>
            <a:gd name="adj" fmla="val 10000"/>
          </a:avLst>
        </a:prstGeom>
        <a:solidFill>
          <a:srgbClr val="7030A0"/>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Numeric</a:t>
          </a:r>
        </a:p>
      </dsp:txBody>
      <dsp:txXfrm>
        <a:off x="3886690" y="2619744"/>
        <a:ext cx="1142019" cy="745876"/>
      </dsp:txXfrm>
    </dsp:sp>
    <dsp:sp modelId="{704E5DEE-ED3C-48E3-88BE-6646E84D8DE8}">
      <dsp:nvSpPr>
        <dsp:cNvPr id="0" name=""/>
        <dsp:cNvSpPr/>
      </dsp:nvSpPr>
      <dsp:spPr>
        <a:xfrm>
          <a:off x="3685220" y="3388826"/>
          <a:ext cx="772479" cy="316914"/>
        </a:xfrm>
        <a:custGeom>
          <a:avLst/>
          <a:gdLst/>
          <a:ahLst/>
          <a:cxnLst/>
          <a:rect l="0" t="0" r="0" b="0"/>
          <a:pathLst>
            <a:path>
              <a:moveTo>
                <a:pt x="772479" y="0"/>
              </a:moveTo>
              <a:lnTo>
                <a:pt x="772479" y="158457"/>
              </a:lnTo>
              <a:lnTo>
                <a:pt x="0" y="158457"/>
              </a:lnTo>
              <a:lnTo>
                <a:pt x="0" y="316914"/>
              </a:lnTo>
            </a:path>
          </a:pathLst>
        </a:custGeom>
        <a:noFill/>
        <a:ln w="12700" cap="flat" cmpd="sng" algn="ctr">
          <a:solidFill>
            <a:schemeClr val="accent5">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EEDCFFF1-AFBD-4B2D-A857-05E6295F46B5}">
      <dsp:nvSpPr>
        <dsp:cNvPr id="0" name=""/>
        <dsp:cNvSpPr/>
      </dsp:nvSpPr>
      <dsp:spPr>
        <a:xfrm>
          <a:off x="3091005" y="3705740"/>
          <a:ext cx="1188429" cy="792286"/>
        </a:xfrm>
        <a:prstGeom prst="roundRect">
          <a:avLst>
            <a:gd name="adj" fmla="val 10000"/>
          </a:avLst>
        </a:prstGeom>
        <a:solidFill>
          <a:schemeClr val="accent4">
            <a:lumMod val="5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Nominal</a:t>
          </a:r>
        </a:p>
      </dsp:txBody>
      <dsp:txXfrm>
        <a:off x="3114210" y="3728945"/>
        <a:ext cx="1142019" cy="745876"/>
      </dsp:txXfrm>
    </dsp:sp>
    <dsp:sp modelId="{DD3FDBF3-E705-4A4D-99E6-A491094E13AE}">
      <dsp:nvSpPr>
        <dsp:cNvPr id="0" name=""/>
        <dsp:cNvSpPr/>
      </dsp:nvSpPr>
      <dsp:spPr>
        <a:xfrm>
          <a:off x="4457699" y="3388826"/>
          <a:ext cx="772479" cy="316914"/>
        </a:xfrm>
        <a:custGeom>
          <a:avLst/>
          <a:gdLst/>
          <a:ahLst/>
          <a:cxnLst/>
          <a:rect l="0" t="0" r="0" b="0"/>
          <a:pathLst>
            <a:path>
              <a:moveTo>
                <a:pt x="0" y="0"/>
              </a:moveTo>
              <a:lnTo>
                <a:pt x="0" y="158457"/>
              </a:lnTo>
              <a:lnTo>
                <a:pt x="772479" y="158457"/>
              </a:lnTo>
              <a:lnTo>
                <a:pt x="772479" y="316914"/>
              </a:lnTo>
            </a:path>
          </a:pathLst>
        </a:custGeom>
        <a:noFill/>
        <a:ln w="12700" cap="flat" cmpd="sng" algn="ctr">
          <a:solidFill>
            <a:schemeClr val="accent5">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86CDF0E8-DAB5-4C93-A9A7-7C6B2E82508C}">
      <dsp:nvSpPr>
        <dsp:cNvPr id="0" name=""/>
        <dsp:cNvSpPr/>
      </dsp:nvSpPr>
      <dsp:spPr>
        <a:xfrm>
          <a:off x="4635964" y="3705740"/>
          <a:ext cx="1188429" cy="792286"/>
        </a:xfrm>
        <a:prstGeom prst="roundRect">
          <a:avLst>
            <a:gd name="adj" fmla="val 10000"/>
          </a:avLst>
        </a:prstGeom>
        <a:solidFill>
          <a:schemeClr val="accent2">
            <a:lumMod val="60000"/>
            <a:lumOff val="4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solidFill>
                <a:schemeClr val="tx1"/>
              </a:solidFill>
            </a:rPr>
            <a:t>Ordinal</a:t>
          </a:r>
        </a:p>
      </dsp:txBody>
      <dsp:txXfrm>
        <a:off x="4659169" y="3728945"/>
        <a:ext cx="1142019" cy="745876"/>
      </dsp:txXfrm>
    </dsp:sp>
    <dsp:sp modelId="{0A8A0D6B-AF15-4F34-BEA3-500CE26B6BFE}">
      <dsp:nvSpPr>
        <dsp:cNvPr id="0" name=""/>
        <dsp:cNvSpPr/>
      </dsp:nvSpPr>
      <dsp:spPr>
        <a:xfrm>
          <a:off x="5230179" y="1170424"/>
          <a:ext cx="2317438" cy="316914"/>
        </a:xfrm>
        <a:custGeom>
          <a:avLst/>
          <a:gdLst/>
          <a:ahLst/>
          <a:cxnLst/>
          <a:rect l="0" t="0" r="0" b="0"/>
          <a:pathLst>
            <a:path>
              <a:moveTo>
                <a:pt x="0" y="0"/>
              </a:moveTo>
              <a:lnTo>
                <a:pt x="0" y="158457"/>
              </a:lnTo>
              <a:lnTo>
                <a:pt x="2317438" y="158457"/>
              </a:lnTo>
              <a:lnTo>
                <a:pt x="2317438" y="316914"/>
              </a:lnTo>
            </a:path>
          </a:pathLst>
        </a:custGeom>
        <a:noFill/>
        <a:ln w="12700" cap="flat" cmpd="sng" algn="ctr">
          <a:solidFill>
            <a:schemeClr val="accent3">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43EACA0B-6620-4254-BE65-0962346143D8}">
      <dsp:nvSpPr>
        <dsp:cNvPr id="0" name=""/>
        <dsp:cNvSpPr/>
      </dsp:nvSpPr>
      <dsp:spPr>
        <a:xfrm>
          <a:off x="6953402" y="1487338"/>
          <a:ext cx="1188429" cy="792286"/>
        </a:xfrm>
        <a:prstGeom prst="roundRect">
          <a:avLst>
            <a:gd name="adj" fmla="val 10000"/>
          </a:avLst>
        </a:prstGeom>
        <a:solidFill>
          <a:srgbClr val="FFFF00"/>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solidFill>
                <a:schemeClr val="tx1"/>
              </a:solidFill>
            </a:rPr>
            <a:t>Quantitative</a:t>
          </a:r>
        </a:p>
      </dsp:txBody>
      <dsp:txXfrm>
        <a:off x="6976607" y="1510543"/>
        <a:ext cx="1142019" cy="745876"/>
      </dsp:txXfrm>
    </dsp:sp>
    <dsp:sp modelId="{DE1AEFF9-FB87-4496-AF34-B71DB915EE94}">
      <dsp:nvSpPr>
        <dsp:cNvPr id="0" name=""/>
        <dsp:cNvSpPr/>
      </dsp:nvSpPr>
      <dsp:spPr>
        <a:xfrm>
          <a:off x="7501897" y="2279625"/>
          <a:ext cx="91440" cy="316914"/>
        </a:xfrm>
        <a:custGeom>
          <a:avLst/>
          <a:gdLst/>
          <a:ahLst/>
          <a:cxnLst/>
          <a:rect l="0" t="0" r="0" b="0"/>
          <a:pathLst>
            <a:path>
              <a:moveTo>
                <a:pt x="45720" y="0"/>
              </a:moveTo>
              <a:lnTo>
                <a:pt x="45720" y="316914"/>
              </a:lnTo>
            </a:path>
          </a:pathLst>
        </a:custGeom>
        <a:noFill/>
        <a:ln w="12700" cap="flat" cmpd="sng" algn="ctr">
          <a:solidFill>
            <a:schemeClr val="accent4">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CDFC8343-864E-4BE0-9685-EA7BE7669CCA}">
      <dsp:nvSpPr>
        <dsp:cNvPr id="0" name=""/>
        <dsp:cNvSpPr/>
      </dsp:nvSpPr>
      <dsp:spPr>
        <a:xfrm>
          <a:off x="6953402" y="2596539"/>
          <a:ext cx="1188429" cy="792286"/>
        </a:xfrm>
        <a:prstGeom prst="roundRect">
          <a:avLst>
            <a:gd name="adj" fmla="val 10000"/>
          </a:avLst>
        </a:prstGeom>
        <a:solidFill>
          <a:schemeClr val="accent3">
            <a:lumMod val="5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Numeric</a:t>
          </a:r>
        </a:p>
      </dsp:txBody>
      <dsp:txXfrm>
        <a:off x="6976607" y="2619744"/>
        <a:ext cx="1142019" cy="745876"/>
      </dsp:txXfrm>
    </dsp:sp>
    <dsp:sp modelId="{2B0E83D5-4BEA-4AE7-BEC7-9944DF4BF5EE}">
      <dsp:nvSpPr>
        <dsp:cNvPr id="0" name=""/>
        <dsp:cNvSpPr/>
      </dsp:nvSpPr>
      <dsp:spPr>
        <a:xfrm>
          <a:off x="6775138" y="3388826"/>
          <a:ext cx="772479" cy="316914"/>
        </a:xfrm>
        <a:custGeom>
          <a:avLst/>
          <a:gdLst/>
          <a:ahLst/>
          <a:cxnLst/>
          <a:rect l="0" t="0" r="0" b="0"/>
          <a:pathLst>
            <a:path>
              <a:moveTo>
                <a:pt x="772479" y="0"/>
              </a:moveTo>
              <a:lnTo>
                <a:pt x="772479" y="158457"/>
              </a:lnTo>
              <a:lnTo>
                <a:pt x="0" y="158457"/>
              </a:lnTo>
              <a:lnTo>
                <a:pt x="0" y="316914"/>
              </a:lnTo>
            </a:path>
          </a:pathLst>
        </a:custGeom>
        <a:noFill/>
        <a:ln w="12700" cap="flat" cmpd="sng" algn="ctr">
          <a:solidFill>
            <a:schemeClr val="accent5">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D2A8786A-5BC1-4CF7-A27B-84B47244CE59}">
      <dsp:nvSpPr>
        <dsp:cNvPr id="0" name=""/>
        <dsp:cNvSpPr/>
      </dsp:nvSpPr>
      <dsp:spPr>
        <a:xfrm>
          <a:off x="6180923" y="3705740"/>
          <a:ext cx="1188429" cy="792286"/>
        </a:xfrm>
        <a:prstGeom prst="roundRect">
          <a:avLst>
            <a:gd name="adj" fmla="val 10000"/>
          </a:avLst>
        </a:prstGeom>
        <a:solidFill>
          <a:schemeClr val="bg2">
            <a:lumMod val="25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Interval</a:t>
          </a:r>
        </a:p>
      </dsp:txBody>
      <dsp:txXfrm>
        <a:off x="6204128" y="3728945"/>
        <a:ext cx="1142019" cy="745876"/>
      </dsp:txXfrm>
    </dsp:sp>
    <dsp:sp modelId="{716CD9C0-6951-46C6-841F-8E303317B93F}">
      <dsp:nvSpPr>
        <dsp:cNvPr id="0" name=""/>
        <dsp:cNvSpPr/>
      </dsp:nvSpPr>
      <dsp:spPr>
        <a:xfrm>
          <a:off x="7547617" y="3388826"/>
          <a:ext cx="772479" cy="316914"/>
        </a:xfrm>
        <a:custGeom>
          <a:avLst/>
          <a:gdLst/>
          <a:ahLst/>
          <a:cxnLst/>
          <a:rect l="0" t="0" r="0" b="0"/>
          <a:pathLst>
            <a:path>
              <a:moveTo>
                <a:pt x="0" y="0"/>
              </a:moveTo>
              <a:lnTo>
                <a:pt x="0" y="158457"/>
              </a:lnTo>
              <a:lnTo>
                <a:pt x="772479" y="158457"/>
              </a:lnTo>
              <a:lnTo>
                <a:pt x="772479" y="316914"/>
              </a:lnTo>
            </a:path>
          </a:pathLst>
        </a:custGeom>
        <a:noFill/>
        <a:ln w="12700" cap="flat" cmpd="sng" algn="ctr">
          <a:solidFill>
            <a:schemeClr val="accent5">
              <a:hueOff val="0"/>
              <a:satOff val="0"/>
              <a:lumOff val="0"/>
              <a:alphaOff val="0"/>
            </a:schemeClr>
          </a:solidFill>
          <a:prstDash val="solid"/>
          <a:miter lim="800000"/>
        </a:ln>
        <a:effectLst/>
        <a:scene3d>
          <a:camera prst="orthographicFront"/>
          <a:lightRig rig="threePt" dir="t">
            <a:rot lat="0" lon="0" rev="7500000"/>
          </a:lightRig>
        </a:scene3d>
        <a:sp3d z="-40000" prstMaterial="matte"/>
      </dsp:spPr>
      <dsp:style>
        <a:lnRef idx="2">
          <a:scrgbClr r="0" g="0" b="0"/>
        </a:lnRef>
        <a:fillRef idx="0">
          <a:scrgbClr r="0" g="0" b="0"/>
        </a:fillRef>
        <a:effectRef idx="0">
          <a:scrgbClr r="0" g="0" b="0"/>
        </a:effectRef>
        <a:fontRef idx="minor"/>
      </dsp:style>
    </dsp:sp>
    <dsp:sp modelId="{9232CDBB-BCB1-40B0-9715-644FA1BE4033}">
      <dsp:nvSpPr>
        <dsp:cNvPr id="0" name=""/>
        <dsp:cNvSpPr/>
      </dsp:nvSpPr>
      <dsp:spPr>
        <a:xfrm>
          <a:off x="7725881" y="3705740"/>
          <a:ext cx="1188429" cy="792286"/>
        </a:xfrm>
        <a:prstGeom prst="roundRect">
          <a:avLst>
            <a:gd name="adj" fmla="val 10000"/>
          </a:avLst>
        </a:prstGeom>
        <a:solidFill>
          <a:schemeClr val="accent5">
            <a:lumMod val="50000"/>
          </a:schemeClr>
        </a:solidFill>
        <a:ln>
          <a:noFill/>
        </a:ln>
        <a:effectLst/>
        <a:scene3d>
          <a:camera prst="orthographicFront"/>
          <a:lightRig rig="threePt" dir="t">
            <a:rot lat="0" lon="0" rev="7500000"/>
          </a:lightRig>
        </a:scene3d>
        <a:sp3d prstMaterial="plastic">
          <a:bevelT w="127000" h="25400" prst="relaxedInset"/>
        </a:sp3d>
      </dsp:spPr>
      <dsp:style>
        <a:lnRef idx="0">
          <a:scrgbClr r="0" g="0" b="0"/>
        </a:lnRef>
        <a:fillRef idx="3">
          <a:scrgbClr r="0" g="0" b="0"/>
        </a:fillRef>
        <a:effectRef idx="2">
          <a:scrgbClr r="0" g="0" b="0"/>
        </a:effectRef>
        <a:fontRef idx="minor">
          <a:schemeClr val="lt1"/>
        </a:fontRef>
      </dsp:style>
      <dsp: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Ratio</a:t>
          </a:r>
        </a:p>
      </dsp:txBody>
      <dsp:txXfrm>
        <a:off x="7749086" y="3728945"/>
        <a:ext cx="1142019" cy="745876"/>
      </dsp:txXfrm>
    </dsp:sp>
  </dsp:spTree>
</dsp:drawing>
</file>

<file path=xl/diagrams/layout1.xml><?xml version="1.0" encoding="utf-8"?>
<dgm:layoutDef xmlns:dgm="http://schemas.openxmlformats.org/drawingml/2006/diagram" xmlns:a="http://schemas.openxmlformats.org/drawingml/2006/main" uniqueId="urn:microsoft.com/office/officeart/2005/8/layout/hierarchy6">
  <dgm:title val=""/>
  <dgm:desc val=""/>
  <dgm:catLst>
    <dgm:cat type="hierarchy" pri="3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 modelId="4">
          <dgm:prSet phldr="1"/>
        </dgm:pt>
        <dgm:pt modelId="5">
          <dgm:prSet phldr="1"/>
        </dgm:pt>
        <dgm:pt modelId="6">
          <dgm:prSet phldr="1"/>
        </dgm:pt>
      </dgm:ptLst>
      <dgm:cxnLst>
        <dgm:cxn modelId="7" srcId="0" destId="1" srcOrd="0" destOrd="0"/>
        <dgm:cxn modelId="8" srcId="1" destId="2" srcOrd="0" destOrd="0"/>
        <dgm:cxn modelId="9" srcId="1" destId="3" srcOrd="1" destOrd="0"/>
        <dgm:cxn modelId="23" srcId="2" destId="21" srcOrd="0" destOrd="0"/>
        <dgm:cxn modelId="24" srcId="2" destId="22" srcOrd="1" destOrd="0"/>
        <dgm:cxn modelId="33" srcId="3" destId="31" srcOrd="0" destOrd="0"/>
        <dgm:cxn modelId="10" srcId="0" destId="4" srcOrd="1" destOrd="0"/>
        <dgm:cxn modelId="11" srcId="0" destId="5" srcOrd="2" destOrd="0"/>
        <dgm:cxn modelId="12" srcId="0" destId="6" srcOrd="3" destOrd="0"/>
      </dgm:cxnLst>
      <dgm:bg/>
      <dgm:whole/>
    </dgm:dataModel>
  </dgm:sampData>
  <dgm:styleData>
    <dgm:dataModel>
      <dgm:ptLst>
        <dgm:pt modelId="0" type="doc"/>
        <dgm:pt modelId="1"/>
        <dgm:pt modelId="11"/>
        <dgm:pt modelId="12"/>
        <dgm:pt modelId="2"/>
        <dgm:pt modelId="3"/>
      </dgm:ptLst>
      <dgm:cxnLst>
        <dgm:cxn modelId="4" srcId="0" destId="1" srcOrd="0" destOrd="0"/>
        <dgm:cxn modelId="13" srcId="1" destId="11" srcOrd="0" destOrd="0"/>
        <dgm:cxn modelId="14" srcId="1" destId="12" srcOrd="1" destOrd="0"/>
        <dgm:cxn modelId="5" srcId="0" destId="2" srcOrd="1" destOrd="0"/>
        <dgm:cxn modelId="6" srcId="0" destId="3" srcOrd="2" destOrd="0"/>
      </dgm:cxnLst>
      <dgm:bg/>
      <dgm:whole/>
    </dgm:dataModel>
  </dgm:styleData>
  <dgm:clrData>
    <dgm:dataModel>
      <dgm:ptLst>
        <dgm:pt modelId="0" type="doc"/>
        <dgm:pt modelId="1"/>
        <dgm:pt modelId="2"/>
        <dgm:pt modelId="21"/>
        <dgm:pt modelId="211"/>
        <dgm:pt modelId="3"/>
        <dgm:pt modelId="31"/>
        <dgm:pt modelId="311"/>
        <dgm:pt modelId="4"/>
        <dgm:pt modelId="5"/>
        <dgm:pt modelId="6"/>
        <dgm:pt modelId="7"/>
      </dgm:ptLst>
      <dgm:cxnLst>
        <dgm:cxn modelId="8" srcId="0" destId="1" srcOrd="0" destOrd="0"/>
        <dgm:cxn modelId="9" srcId="1" destId="2" srcOrd="0" destOrd="0"/>
        <dgm:cxn modelId="10" srcId="1" destId="3" srcOrd="1" destOrd="0"/>
        <dgm:cxn modelId="23" srcId="2" destId="21" srcOrd="0" destOrd="0"/>
        <dgm:cxn modelId="24" srcId="21" destId="211" srcOrd="0" destOrd="0"/>
        <dgm:cxn modelId="33" srcId="3" destId="31" srcOrd="0" destOrd="0"/>
        <dgm:cxn modelId="34" srcId="31" destId="311" srcOrd="0" destOrd="0"/>
        <dgm:cxn modelId="11" srcId="0" destId="4" srcOrd="1" destOrd="0"/>
        <dgm:cxn modelId="12" srcId="0" destId="5" srcOrd="2" destOrd="0"/>
        <dgm:cxn modelId="13" srcId="0" destId="6" srcOrd="3" destOrd="0"/>
        <dgm:cxn modelId="14" srcId="0" destId="7" srcOrd="4" destOrd="0"/>
      </dgm:cxnLst>
      <dgm:bg/>
      <dgm:whole/>
    </dgm:dataModel>
  </dgm:clrData>
  <dgm:layoutNode name="mainComposite">
    <dgm:varLst>
      <dgm:chPref val="1"/>
      <dgm:dir/>
      <dgm:animOne val="branch"/>
      <dgm:animLvl val="lvl"/>
      <dgm:resizeHandles val="exact"/>
    </dgm:varLst>
    <dgm:alg type="composite">
      <dgm:param type="vertAlign" val="mid"/>
      <dgm:param type="horzAlign" val="ctr"/>
    </dgm:alg>
    <dgm:shape xmlns:r="http://schemas.openxmlformats.org/officeDocument/2006/relationships" r:blip="">
      <dgm:adjLst/>
    </dgm:shape>
    <dgm:presOf/>
    <dgm:choose name="Name0">
      <dgm:if name="Name1" axis="ch" ptType="node" func="cnt" op="gte" val="2">
        <dgm:choose name="Name2">
          <dgm:if name="Name3" func="var" arg="dir" op="equ" val="norm">
            <dgm:constrLst>
              <dgm:constr type="l" for="ch" forName="hierFlow" refType="w" fact="0.3"/>
              <dgm:constr type="t" for="ch" forName="hierFlow"/>
              <dgm:constr type="r" for="ch" forName="hierFlow" refType="w" fact="0.98"/>
              <dgm:constr type="b" for="ch" forName="hierFlow" refType="h" fact="0.98"/>
              <dgm:constr type="l" for="ch" forName="bgShapesFlow"/>
              <dgm:constr type="t" for="ch" forName="bgShapesFlow"/>
              <dgm:constr type="r" for="ch" forName="bgShapesFlow" refType="w"/>
              <dgm:constr type="b" for="ch" forName="bgShapesFlow" refType="h"/>
              <dgm:constr type="w" for="des" forName="level1Shape" refType="w"/>
              <dgm:constr type="h" for="des" forName="level1Shape" refType="w" refFor="des" refForName="level1Shape" fact="0.66667"/>
              <dgm:constr type="w" for="des" forName="level2Shape" refType="w" refFor="des" refForName="level1Shape" op="equ"/>
              <dgm:constr type="h" for="des" forName="level2Shape" refType="h" refFor="des" refForName="level1Shape" op="equ"/>
              <dgm:constr type="sp" for="des" refType="h" refFor="des" refForName="level1Shape" op="equ" fact="0.4"/>
              <dgm:constr type="sibSp" for="des" forName="hierChild1" refType="w" refFor="des" refForName="level1Shape" op="equ" fact="0.3"/>
              <dgm:constr type="sibSp" for="des" forName="hierChild2" refType="sibSp" refFor="des" refForName="hierChild1" op="equ"/>
              <dgm:constr type="sibSp" for="des" forName="hierChild3" refType="sibSp" refFor="des" refForName="hierChild1" op="equ"/>
              <dgm:constr type="userA" for="des" refType="h" refFor="des" refForName="level1Shape" op="equ"/>
              <dgm:constr type="userB" for="des" refType="sp" refFor="des" op="equ"/>
              <dgm:constr type="h" for="des" forName="firstBuf" refType="h" refFor="des" refForName="level1Shape" fact="0.1"/>
            </dgm:constrLst>
          </dgm:if>
          <dgm:else name="Name4">
            <dgm:constrLst>
              <dgm:constr type="l" for="ch" forName="hierFlow" refType="w" fact="0.02"/>
              <dgm:constr type="t" for="ch" forName="hierFlow"/>
              <dgm:constr type="r" for="ch" forName="hierFlow" refType="w" fact="0.7"/>
              <dgm:constr type="b" for="ch" forName="hierFlow" refType="h" fact="0.98"/>
              <dgm:constr type="l" for="ch" forName="bgShapesFlow"/>
              <dgm:constr type="t" for="ch" forName="bgShapesFlow"/>
              <dgm:constr type="r" for="ch" forName="bgShapesFlow" refType="w"/>
              <dgm:constr type="b" for="ch" forName="bgShapesFlow" refType="h"/>
              <dgm:constr type="w" for="des" forName="level1Shape" refType="w"/>
              <dgm:constr type="h" for="des" forName="level1Shape" refType="w" refFor="des" refForName="level1Shape" fact="0.66667"/>
              <dgm:constr type="w" for="des" forName="level2Shape" refType="w" refFor="des" refForName="level1Shape" op="equ"/>
              <dgm:constr type="h" for="des" forName="level2Shape" refType="h" refFor="des" refForName="level1Shape" op="equ"/>
              <dgm:constr type="sp" for="des" refType="h" refFor="des" refForName="level1Shape" op="equ" fact="0.4"/>
              <dgm:constr type="sibSp" for="des" forName="hierChild1" refType="w" refFor="des" refForName="level1Shape" op="equ" fact="0.3"/>
              <dgm:constr type="sibSp" for="des" forName="hierChild2" refType="sibSp" refFor="des" refForName="hierChild1" op="equ"/>
              <dgm:constr type="sibSp" for="des" forName="hierChild3" refType="sibSp" refFor="des" refForName="hierChild1" op="equ"/>
              <dgm:constr type="userA" for="des" refType="h" refFor="des" refForName="level1Shape" op="equ"/>
              <dgm:constr type="userB" for="des" refType="sp" refFor="des" op="equ"/>
              <dgm:constr type="h" for="des" forName="firstBuf" refType="h" refFor="des" refForName="level1Shape" fact="0.1"/>
            </dgm:constrLst>
          </dgm:else>
        </dgm:choose>
      </dgm:if>
      <dgm:else name="Name5">
        <dgm:constrLst>
          <dgm:constr type="l" for="ch" forName="hierFlow"/>
          <dgm:constr type="t" for="ch" forName="hierFlow"/>
          <dgm:constr type="r" for="ch" forName="hierFlow" refType="w"/>
          <dgm:constr type="b" for="ch" forName="hierFlow" refType="h"/>
          <dgm:constr type="l" for="ch" forName="bgShapesFlow"/>
          <dgm:constr type="t" for="ch" forName="bgShapesFlow"/>
          <dgm:constr type="r" for="ch" forName="bgShapesFlow" refType="w"/>
          <dgm:constr type="b" for="ch" forName="bgShapesFlow" refType="h"/>
          <dgm:constr type="w" for="des" forName="level1Shape" refType="w"/>
          <dgm:constr type="h" for="des" forName="level1Shape" refType="w" refFor="des" refForName="level1Shape" fact="0.66667"/>
          <dgm:constr type="w" for="des" forName="level2Shape" refType="w" refFor="des" refForName="level1Shape" op="equ"/>
          <dgm:constr type="h" for="des" forName="level2Shape" refType="h" refFor="des" refForName="level1Shape" op="equ"/>
          <dgm:constr type="sp" for="des" refType="h" refFor="des" refForName="level1Shape" op="equ" fact="0.4"/>
          <dgm:constr type="sibSp" for="des" forName="hierChild1" refType="w" refFor="des" refForName="level1Shape" op="equ" fact="0.3"/>
          <dgm:constr type="sibSp" for="des" forName="hierChild2" refType="sibSp" refFor="des" refForName="hierChild1" op="equ"/>
          <dgm:constr type="sibSp" for="des" forName="hierChild3" refType="sibSp" refFor="des" refForName="hierChild1" op="equ"/>
          <dgm:constr type="userA" for="des" refType="h" refFor="des" refForName="level1Shape" op="equ"/>
          <dgm:constr type="userB" for="des" refType="sp" refFor="des" op="equ"/>
          <dgm:constr type="h" for="des" forName="firstBuf" refType="h" refFor="des" refForName="level1Shape" fact="0.1"/>
        </dgm:constrLst>
      </dgm:else>
    </dgm:choose>
    <dgm:ruleLst/>
    <dgm:layoutNode name="hierFlow">
      <dgm:alg type="lin">
        <dgm:param type="linDir" val="fromT"/>
        <dgm:param type="nodeVertAlign" val="t"/>
        <dgm:param type="vertAlign" val="t"/>
        <dgm:param type="nodeHorzAlign" val="ctr"/>
        <dgm:param type="fallback" val="2D"/>
      </dgm:alg>
      <dgm:shape xmlns:r="http://schemas.openxmlformats.org/officeDocument/2006/relationships" r:blip="">
        <dgm:adjLst/>
      </dgm:shape>
      <dgm:presOf/>
      <dgm:constrLst/>
      <dgm:ruleLst/>
      <dgm:choose name="Name6">
        <dgm:if name="Name7" axis="ch" ptType="node" func="cnt" op="gte" val="2">
          <dgm:layoutNode name="firstBuf">
            <dgm:alg type="sp"/>
            <dgm:shape xmlns:r="http://schemas.openxmlformats.org/officeDocument/2006/relationships" r:blip="">
              <dgm:adjLst/>
            </dgm:shape>
            <dgm:presOf/>
            <dgm:constrLst/>
            <dgm:ruleLst/>
          </dgm:layoutNode>
        </dgm:if>
        <dgm:else name="Name8"/>
      </dgm:choose>
      <dgm:layoutNode name="hierChild1">
        <dgm:varLst>
          <dgm:chPref val="1"/>
          <dgm:animOne val="branch"/>
          <dgm:animLvl val="lvl"/>
        </dgm:varLst>
        <dgm:choose name="Name9">
          <dgm:if name="Name10" func="var" arg="dir" op="equ" val="norm">
            <dgm:alg type="hierChild">
              <dgm:param type="linDir" val="fromL"/>
              <dgm:param type="vertAlign" val="t"/>
            </dgm:alg>
          </dgm:if>
          <dgm:else name="Name11">
            <dgm:alg type="hierChild">
              <dgm:param type="linDir" val="fromR"/>
              <dgm:param type="vertAlign" val="t"/>
            </dgm:alg>
          </dgm:else>
        </dgm:choose>
        <dgm:shape xmlns:r="http://schemas.openxmlformats.org/officeDocument/2006/relationships" r:blip="">
          <dgm:adjLst/>
        </dgm:shape>
        <dgm:presOf/>
        <dgm:constrLst>
          <dgm:constr type="primFontSz" for="des" ptType="node" op="equ"/>
        </dgm:constrLst>
        <dgm:ruleLst/>
        <dgm:forEach name="Name12" axis="ch" cnt="3">
          <dgm:forEach name="Name13" axis="self" ptType="node">
            <dgm:layoutNode name="Name14">
              <dgm:alg type="hierRoot"/>
              <dgm:shape xmlns:r="http://schemas.openxmlformats.org/officeDocument/2006/relationships" r:blip="">
                <dgm:adjLst/>
              </dgm:shape>
              <dgm:presOf/>
              <dgm:constrLst/>
              <dgm:ruleLst/>
              <dgm:layoutNode name="level1Shape" styleLbl="node0">
                <dgm:varLst>
                  <dgm:chPref val="3"/>
                </dgm:varLst>
                <dgm:alg type="tx"/>
                <dgm:shape xmlns:r="http://schemas.openxmlformats.org/officeDocument/2006/relationships" type="roundRect" r:blip="">
                  <dgm:adjLst>
                    <dgm:adj idx="1" val="0.1"/>
                  </dgm:adjLst>
                </dgm:shape>
                <dgm:presOf axis="self"/>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hierChild2">
                <dgm:choose name="Name15">
                  <dgm:if name="Name16" func="var" arg="dir" op="equ" val="norm">
                    <dgm:alg type="hierChild">
                      <dgm:param type="linDir" val="fromL"/>
                    </dgm:alg>
                  </dgm:if>
                  <dgm:else name="Name17">
                    <dgm:alg type="hierChild">
                      <dgm:param type="linDir" val="fromR"/>
                    </dgm:alg>
                  </dgm:else>
                </dgm:choose>
                <dgm:shape xmlns:r="http://schemas.openxmlformats.org/officeDocument/2006/relationships" r:blip="">
                  <dgm:adjLst/>
                </dgm:shape>
                <dgm:presOf/>
                <dgm:constrLst/>
                <dgm:ruleLst/>
                <dgm:forEach name="repeat" axis="ch">
                  <dgm:forEach name="Name18" axis="self" ptType="parTrans" cnt="1">
                    <dgm:layoutNode name="Name19">
                      <dgm:alg type="conn">
                        <dgm:param type="dim" val="1D"/>
                        <dgm:param type="endSty" val="noArr"/>
                        <dgm:param type="connRout" val="bend"/>
                        <dgm:param type="begPts" val="bCtr"/>
                        <dgm:param type="endPts" val="tCtr"/>
                      </dgm:alg>
                      <dgm:shape xmlns:r="http://schemas.openxmlformats.org/officeDocument/2006/relationships" type="conn" r:blip="">
                        <dgm:adjLst/>
                      </dgm:shape>
                      <dgm:presOf axis="self"/>
                      <dgm:constrLst>
                        <dgm:constr type="w" val="1"/>
                        <dgm:constr type="h" val="1"/>
                        <dgm:constr type="begPad"/>
                        <dgm:constr type="endPad"/>
                      </dgm:constrLst>
                      <dgm:ruleLst/>
                    </dgm:layoutNode>
                  </dgm:forEach>
                  <dgm:forEach name="Name20" axis="self" ptType="node">
                    <dgm:layoutNode name="Name21">
                      <dgm:alg type="hierRoot"/>
                      <dgm:shape xmlns:r="http://schemas.openxmlformats.org/officeDocument/2006/relationships" r:blip="">
                        <dgm:adjLst/>
                      </dgm:shape>
                      <dgm:presOf/>
                      <dgm:constrLst/>
                      <dgm:ruleLst/>
                      <dgm:layoutNode name="level2Shape">
                        <dgm:alg type="tx"/>
                        <dgm:shape xmlns:r="http://schemas.openxmlformats.org/officeDocument/2006/relationships" type="roundRect" r:blip="">
                          <dgm:adjLst>
                            <dgm:adj idx="1" val="0.1"/>
                          </dgm:adjLst>
                        </dgm:shape>
                        <dgm:presOf axis="self"/>
                        <dgm:constrLst>
                          <dgm:constr type="primFontSz" val="65"/>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hierChild3">
                        <dgm:choose name="Name22">
                          <dgm:if name="Name23" func="var" arg="dir" op="equ" val="norm">
                            <dgm:alg type="hierChild">
                              <dgm:param type="linDir" val="fromL"/>
                            </dgm:alg>
                          </dgm:if>
                          <dgm:else name="Name24">
                            <dgm:alg type="hierChild">
                              <dgm:param type="linDir" val="fromR"/>
                            </dgm:alg>
                          </dgm:else>
                        </dgm:choose>
                        <dgm:shape xmlns:r="http://schemas.openxmlformats.org/officeDocument/2006/relationships" r:blip="">
                          <dgm:adjLst/>
                        </dgm:shape>
                        <dgm:presOf/>
                        <dgm:constrLst/>
                        <dgm:ruleLst/>
                        <dgm:forEach name="Name25" ref="repeat"/>
                      </dgm:layoutNode>
                    </dgm:layoutNode>
                  </dgm:forEach>
                </dgm:forEach>
              </dgm:layoutNode>
            </dgm:layoutNode>
          </dgm:forEach>
        </dgm:forEach>
      </dgm:layoutNode>
    </dgm:layoutNode>
    <dgm:layoutNode name="bgShapesFlow">
      <dgm:alg type="lin">
        <dgm:param type="linDir" val="fromT"/>
        <dgm:param type="nodeVertAlign" val="t"/>
        <dgm:param type="vertAlign" val="t"/>
        <dgm:param type="nodeHorzAlign" val="ctr"/>
      </dgm:alg>
      <dgm:shape xmlns:r="http://schemas.openxmlformats.org/officeDocument/2006/relationships" r:blip="">
        <dgm:adjLst/>
      </dgm:shape>
      <dgm:presOf/>
      <dgm:constrLst>
        <dgm:constr type="userB"/>
        <dgm:constr type="w" for="ch" forName="rectComp" refType="w"/>
        <dgm:constr type="h" for="ch" forName="rectComp" refType="h"/>
        <dgm:constr type="w" for="des" forName="bgRect" refType="w"/>
        <dgm:constr type="primFontSz" for="des" forName="bgRectTx" op="equ"/>
      </dgm:constrLst>
      <dgm:ruleLst/>
      <dgm:forEach name="Name26" axis="ch" ptType="node" st="2">
        <dgm:layoutNode name="rectComp">
          <dgm:alg type="composite">
            <dgm:param type="vertAlign" val="t"/>
            <dgm:param type="horzAlign" val="ctr"/>
          </dgm:alg>
          <dgm:shape xmlns:r="http://schemas.openxmlformats.org/officeDocument/2006/relationships" r:blip="">
            <dgm:adjLst/>
          </dgm:shape>
          <dgm:presOf/>
          <dgm:choose name="Name27">
            <dgm:if name="Name28" func="var" arg="dir" op="equ" val="norm">
              <dgm:constrLst>
                <dgm:constr type="userA"/>
                <dgm:constr type="l" for="ch" forName="bgRect"/>
                <dgm:constr type="t" for="ch" forName="bgRect"/>
                <dgm:constr type="h" for="ch" forName="bgRect" refType="userA" fact="1.2"/>
                <dgm:constr type="l" for="ch" forName="bgRectTx"/>
                <dgm:constr type="t" for="ch" forName="bgRectTx"/>
                <dgm:constr type="w" for="ch" forName="bgRectTx" refType="w" refFor="ch" refForName="bgRect" fact="0.3"/>
                <dgm:constr type="h" for="ch" forName="bgRectTx" refType="h" refFor="ch" refForName="bgRect" op="equ"/>
              </dgm:constrLst>
            </dgm:if>
            <dgm:else name="Name29">
              <dgm:constrLst>
                <dgm:constr type="userA"/>
                <dgm:constr type="l" for="ch" forName="bgRect"/>
                <dgm:constr type="t" for="ch" forName="bgRect"/>
                <dgm:constr type="h" for="ch" forName="bgRect" refType="userA" fact="1.2"/>
                <dgm:constr type="r" for="ch" forName="bgRectTx" refType="w"/>
                <dgm:constr type="t" for="ch" forName="bgRectTx"/>
                <dgm:constr type="w" for="ch" forName="bgRectTx" refType="w" refFor="ch" refForName="bgRect" fact="0.3"/>
                <dgm:constr type="h" for="ch" forName="bgRectTx" refType="h" refFor="ch" refForName="bgRect" op="equ"/>
              </dgm:constrLst>
            </dgm:else>
          </dgm:choose>
          <dgm:ruleLst/>
          <dgm:layoutNode name="bgRect" styleLbl="bgShp">
            <dgm:alg type="sp"/>
            <dgm:shape xmlns:r="http://schemas.openxmlformats.org/officeDocument/2006/relationships" type="roundRect" r:blip="" zOrderOff="-999">
              <dgm:adjLst>
                <dgm:adj idx="1" val="0.1"/>
              </dgm:adjLst>
            </dgm:shape>
            <dgm:presOf axis="desOrSelf" ptType="node"/>
            <dgm:constrLst/>
            <dgm:ruleLst/>
          </dgm:layoutNode>
          <dgm:layoutNode name="bgRectTx" styleLbl="bgShp">
            <dgm:varLst>
              <dgm:bulletEnabled val="1"/>
            </dgm:varLst>
            <dgm:alg type="tx"/>
            <dgm:presOf axis="desOrSelf" ptType="node"/>
            <dgm:shape xmlns:r="http://schemas.openxmlformats.org/officeDocument/2006/relationships" type="rect" r:blip="" zOrderOff="-999" hideGeom="1">
              <dgm:adjLst/>
            </dgm:shape>
            <dgm:constrLst>
              <dgm:constr type="primFontSz" val="65"/>
            </dgm:constrLst>
            <dgm:ruleLst>
              <dgm:rule type="primFontSz" val="5" fact="NaN" max="NaN"/>
            </dgm:ruleLst>
          </dgm:layoutNode>
        </dgm:layoutNode>
        <dgm:choose name="Name30">
          <dgm:if name="Name31" axis="self" ptType="node" func="revPos" op="gte" val="2">
            <dgm:layoutNode name="spComp">
              <dgm:alg type="composite">
                <dgm:param type="vertAlign" val="t"/>
                <dgm:param type="horzAlign" val="ctr"/>
              </dgm:alg>
              <dgm:shape xmlns:r="http://schemas.openxmlformats.org/officeDocument/2006/relationships" r:blip="">
                <dgm:adjLst/>
              </dgm:shape>
              <dgm:presOf/>
              <dgm:constrLst>
                <dgm:constr type="userA"/>
                <dgm:constr type="userB"/>
                <dgm:constr type="l" for="ch" forName="vSp"/>
                <dgm:constr type="t" for="ch" forName="vSp"/>
                <dgm:constr type="h" for="ch" forName="vSp" refType="userB"/>
                <dgm:constr type="hOff" for="ch" forName="vSp" refType="userA" fact="-0.2"/>
              </dgm:constrLst>
              <dgm:ruleLst/>
              <dgm:layoutNode name="vSp">
                <dgm:alg type="sp"/>
                <dgm:shape xmlns:r="http://schemas.openxmlformats.org/officeDocument/2006/relationships" r:blip="">
                  <dgm:adjLst/>
                </dgm:shape>
                <dgm:presOf/>
                <dgm:constrLst/>
                <dgm:ruleLst/>
              </dgm:layoutNode>
            </dgm:layoutNode>
          </dgm:if>
          <dgm:else name="Name32"/>
        </dgm:choos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3d2">
  <dgm:title val=""/>
  <dgm:desc val=""/>
  <dgm:catLst>
    <dgm:cat type="3D" pri="11200"/>
  </dgm:catLst>
  <dgm:scene3d>
    <a:camera prst="orthographicFront"/>
    <a:lightRig rig="threePt" dir="t"/>
  </dgm:scene3d>
  <dgm:styleLbl name="node0">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a:rot lat="0" lon="0" rev="7500000"/>
      </a:lightRig>
    </dgm:scene3d>
    <dgm:sp3d prstMaterial="plastic">
      <a:bevelT w="127000" h="25400" prst="relaxedInset"/>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tx1"/>
      </a:fontRef>
    </dgm:style>
  </dgm:styleLbl>
  <dgm:styleLbl name="alingNode1">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node1">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a:rot lat="0" lon="0" rev="7500000"/>
      </a:lightRig>
    </dgm:scene3d>
    <dgm:sp3d z="152400" extrusionH="63500" prstMaterial="matte">
      <a:bevelT w="50800" h="19050" prst="relaxedInset"/>
      <a:contourClr>
        <a:schemeClr val="bg1"/>
      </a:contourClr>
    </dgm:sp3d>
    <dgm:txPr/>
    <dgm:style>
      <a:lnRef idx="0">
        <a:scrgbClr r="0" g="0" b="0"/>
      </a:lnRef>
      <a:fillRef idx="1">
        <a:scrgbClr r="0" g="0" b="0"/>
      </a:fillRef>
      <a:effectRef idx="0">
        <a:scrgbClr r="0" g="0" b="0"/>
      </a:effectRef>
      <a:fontRef idx="minor"/>
    </dgm:style>
  </dgm:styleLbl>
  <dgm:styleLbl name="alignImgPlace1">
    <dgm:scene3d>
      <a:camera prst="orthographicFront"/>
      <a:lightRig rig="threePt" dir="t">
        <a:rot lat="0" lon="0" rev="7500000"/>
      </a:lightRig>
    </dgm:scene3d>
    <dgm:sp3d z="2540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bgImgPlace1">
    <dgm:scene3d>
      <a:camera prst="orthographicFront"/>
      <a:lightRig rig="threePt" dir="t">
        <a:rot lat="0" lon="0" rev="7500000"/>
      </a:lightRig>
    </dgm:scene3d>
    <dgm:sp3d z="-1524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threePt" dir="t">
        <a:rot lat="0" lon="0" rev="7500000"/>
      </a:lightRig>
    </dgm:scene3d>
    <dgm:sp3d z="-70000" extrusionH="63500" prstMaterial="matte">
      <a:bevelT w="25400" h="6350" prst="relaxedInset"/>
      <a:contourClr>
        <a:schemeClr val="bg1"/>
      </a:contourClr>
    </dgm:sp3d>
    <dgm:txPr/>
    <dgm:style>
      <a:lnRef idx="0">
        <a:scrgbClr r="0" g="0" b="0"/>
      </a:lnRef>
      <a:fillRef idx="1">
        <a:scrgbClr r="0" g="0" b="0"/>
      </a:fillRef>
      <a:effectRef idx="2">
        <a:scrgbClr r="0" g="0" b="0"/>
      </a:effectRef>
      <a:fontRef idx="minor">
        <a:schemeClr val="lt1"/>
      </a:fontRef>
    </dgm:style>
  </dgm:styleLbl>
  <dgm:styleLbl name="fgSibTrans2D1">
    <dgm:scene3d>
      <a:camera prst="orthographicFront"/>
      <a:lightRig rig="threePt" dir="t">
        <a:rot lat="0" lon="0" rev="7500000"/>
      </a:lightRig>
    </dgm:scene3d>
    <dgm:sp3d z="152400" extrusionH="63500" prstMaterial="matte">
      <a:bevelT w="25400" h="6350" prst="relaxedInset"/>
      <a:contourClr>
        <a:schemeClr val="bg1"/>
      </a:contourClr>
    </dgm:sp3d>
    <dgm:txPr/>
    <dgm:style>
      <a:lnRef idx="0">
        <a:scrgbClr r="0" g="0" b="0"/>
      </a:lnRef>
      <a:fillRef idx="1">
        <a:scrgbClr r="0" g="0" b="0"/>
      </a:fillRef>
      <a:effectRef idx="2">
        <a:scrgbClr r="0" g="0" b="0"/>
      </a:effectRef>
      <a:fontRef idx="minor">
        <a:schemeClr val="lt1"/>
      </a:fontRef>
    </dgm:style>
  </dgm:styleLbl>
  <dgm:styleLbl name="bgSibTrans2D1">
    <dgm:scene3d>
      <a:camera prst="orthographicFront"/>
      <a:lightRig rig="threePt" dir="t">
        <a:rot lat="0" lon="0" rev="7500000"/>
      </a:lightRig>
    </dgm:scene3d>
    <dgm:sp3d z="-152400" extrusionH="63500" prstMaterial="matte">
      <a:bevelT w="25400" h="6350" prst="relaxedInset"/>
      <a:contourClr>
        <a:schemeClr val="bg1"/>
      </a:contourClr>
    </dgm:sp3d>
    <dgm:txPr/>
    <dgm:style>
      <a:lnRef idx="0">
        <a:scrgbClr r="0" g="0" b="0"/>
      </a:lnRef>
      <a:fillRef idx="1">
        <a:scrgbClr r="0" g="0" b="0"/>
      </a:fillRef>
      <a:effectRef idx="2">
        <a:scrgbClr r="0" g="0" b="0"/>
      </a:effectRef>
      <a:fontRef idx="minor">
        <a:schemeClr val="lt1"/>
      </a:fontRef>
    </dgm:style>
  </dgm:styleLbl>
  <dgm:styleLbl name="sibTrans1D1">
    <dgm:scene3d>
      <a:camera prst="orthographicFront"/>
      <a:lightRig rig="threePt" dir="t">
        <a:rot lat="0" lon="0" rev="7500000"/>
      </a:lightRig>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a:rot lat="0" lon="0" rev="7500000"/>
      </a:lightRig>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a:rot lat="0" lon="0" rev="7500000"/>
      </a:lightRig>
    </dgm:scene3d>
    <dgm:sp3d prstMaterial="plastic">
      <a:bevelT w="127000" h="25400" prst="relaxedInset"/>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a:rot lat="0" lon="0" rev="7500000"/>
      </a:lightRig>
    </dgm:scene3d>
    <dgm:sp3d extrusionH="63500" prstMaterial="matte">
      <a:bevelT w="50800" h="19050" prst="relaxedInset"/>
      <a:contourClr>
        <a:schemeClr val="bg1"/>
      </a:contourClr>
    </dgm:sp3d>
    <dgm:txPr/>
    <dgm:style>
      <a:lnRef idx="0">
        <a:scrgbClr r="0" g="0" b="0"/>
      </a:lnRef>
      <a:fillRef idx="1">
        <a:scrgbClr r="0" g="0" b="0"/>
      </a:fillRef>
      <a:effectRef idx="2">
        <a:scrgbClr r="0" g="0" b="0"/>
      </a:effectRef>
      <a:fontRef idx="minor">
        <a:schemeClr val="lt1"/>
      </a:fontRef>
    </dgm:style>
  </dgm:styleLbl>
  <dgm:styleLbl name="parChTrans2D2">
    <dgm:scene3d>
      <a:camera prst="orthographicFront"/>
      <a:lightRig rig="threePt" dir="t">
        <a:rot lat="0" lon="0" rev="7500000"/>
      </a:lightRig>
    </dgm:scene3d>
    <dgm:sp3d extrusionH="63500" prstMaterial="matte">
      <a:bevelT w="50800" h="19050" prst="relaxedInset"/>
      <a:contourClr>
        <a:schemeClr val="bg1"/>
      </a:contourClr>
    </dgm:sp3d>
    <dgm:txPr/>
    <dgm:style>
      <a:lnRef idx="0">
        <a:scrgbClr r="0" g="0" b="0"/>
      </a:lnRef>
      <a:fillRef idx="1">
        <a:scrgbClr r="0" g="0" b="0"/>
      </a:fillRef>
      <a:effectRef idx="0">
        <a:scrgbClr r="0" g="0" b="0"/>
      </a:effectRef>
      <a:fontRef idx="minor">
        <a:schemeClr val="lt1"/>
      </a:fontRef>
    </dgm:style>
  </dgm:styleLbl>
  <dgm:styleLbl name="parChTrans2D3">
    <dgm:scene3d>
      <a:camera prst="orthographicFront"/>
      <a:lightRig rig="threePt" dir="t">
        <a:rot lat="0" lon="0" rev="7500000"/>
      </a:lightRig>
    </dgm:scene3d>
    <dgm:sp3d z="60000" prstMaterial="flat">
      <a:bevelT w="120900" h="88900"/>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threePt" dir="t">
        <a:rot lat="0" lon="0" rev="7500000"/>
      </a:lightRig>
    </dgm:scene3d>
    <dgm:sp3d z="60000" prstMaterial="flat">
      <a:bevelT w="120900" h="88900"/>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threePt" dir="t">
        <a:rot lat="0" lon="0" rev="7500000"/>
      </a:lightRig>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a:rot lat="0" lon="0" rev="7500000"/>
      </a:lightRig>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a:rot lat="0" lon="0" rev="7500000"/>
      </a:lightRig>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a:rot lat="0" lon="0" rev="7500000"/>
      </a:lightRig>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threePt" dir="t">
        <a:rot lat="0" lon="0" rev="7500000"/>
      </a:lightRig>
    </dgm:scene3d>
    <dgm:sp3d z="152400" extrusionH="63500" prstMaterial="dkEdge">
      <a:bevelT w="135400" h="16350" prst="relaxedInset"/>
      <a:contourClr>
        <a:schemeClr val="bg1"/>
      </a:contourClr>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a:rot lat="0" lon="0" rev="7500000"/>
      </a:lightRig>
    </dgm:scene3d>
    <dgm:sp3d z="152400" extrusionH="63500" prstMaterial="dkEdge">
      <a:bevelT w="135400" h="16350" prst="relaxedInset"/>
      <a:contourClr>
        <a:schemeClr val="bg1"/>
      </a:contourClr>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a:rot lat="0" lon="0" rev="7500000"/>
      </a:lightRig>
    </dgm:scene3d>
    <dgm:sp3d extrusionH="190500" prstMaterial="dkEdge">
      <a:bevelT w="135400" h="16350" prst="relaxedInset"/>
      <a:contourClr>
        <a:schemeClr val="bg1"/>
      </a:contourClr>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a:rot lat="0" lon="0" rev="7500000"/>
      </a:lightRig>
    </dgm:scene3d>
    <dgm:sp3d prstMaterial="plastic">
      <a:bevelT w="127000" h="35400"/>
    </dgm:sp3d>
    <dgm:txPr/>
    <dgm:style>
      <a:lnRef idx="1">
        <a:scrgbClr r="0" g="0" b="0"/>
      </a:lnRef>
      <a:fillRef idx="1">
        <a:scrgbClr r="0" g="0" b="0"/>
      </a:fillRef>
      <a:effectRef idx="2">
        <a:scrgbClr r="0" g="0" b="0"/>
      </a:effectRef>
      <a:fontRef idx="minor">
        <a:schemeClr val="lt1"/>
      </a:fontRef>
    </dgm:style>
  </dgm:styleLbl>
  <dgm:styleLbl name="bgAcc1">
    <dgm:scene3d>
      <a:camera prst="orthographicFront"/>
      <a:lightRig rig="threePt" dir="t">
        <a:rot lat="0" lon="0" rev="7500000"/>
      </a:lightRig>
    </dgm:scene3d>
    <dgm:sp3d z="-152400" extrusionH="63500" prstMaterial="dkEdge">
      <a:bevelT w="124450" h="16350" prst="relaxedInset"/>
      <a:contourClr>
        <a:schemeClr val="bg1"/>
      </a:contourClr>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a:rot lat="0" lon="0" rev="7500000"/>
      </a:lightRig>
    </dgm:scene3d>
    <dgm:sp3d z="152400" extrusionH="63500" prstMaterial="dkEdge">
      <a:bevelT w="120800" h="19050" prst="relaxedInset"/>
      <a:contourClr>
        <a:schemeClr val="bg1"/>
      </a:contourClr>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a:rot lat="0" lon="0" rev="7500000"/>
      </a:lightRig>
    </dgm:scene3d>
    <dgm:sp3d extrusionH="190500" prstMaterial="dkEdge">
      <a:bevelT w="120650" h="38100" prst="relaxedInset"/>
      <a:contourClr>
        <a:schemeClr val="bg1"/>
      </a:contourClr>
    </dgm:sp3d>
    <dgm:txPr/>
    <dgm:style>
      <a:lnRef idx="1">
        <a:scrgbClr r="0" g="0" b="0"/>
      </a:lnRef>
      <a:fillRef idx="1">
        <a:scrgbClr r="0" g="0" b="0"/>
      </a:fillRef>
      <a:effectRef idx="2">
        <a:scrgbClr r="0" g="0" b="0"/>
      </a:effectRef>
      <a:fontRef idx="minor"/>
    </dgm:style>
  </dgm:styleLbl>
  <dgm:styleLbl name="solidBgAcc1">
    <dgm:scene3d>
      <a:camera prst="orthographicFront"/>
      <a:lightRig rig="threePt" dir="t">
        <a:rot lat="0" lon="0" rev="7500000"/>
      </a:lightRig>
    </dgm:scene3d>
    <dgm:sp3d z="-152400" extrusionH="63500" prstMaterial="dkEdge">
      <a:bevelT w="144450" h="36350" prst="relaxedInset"/>
      <a:contourClr>
        <a:schemeClr val="bg1"/>
      </a:contourClr>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a:rot lat="0" lon="0" rev="7500000"/>
      </a:lightRig>
    </dgm:scene3d>
    <dgm:sp3d z="152400" extrusionH="63500" prstMaterial="dkEdge">
      <a:bevelT w="125400" h="36350" prst="relaxedInset"/>
      <a:contourClr>
        <a:schemeClr val="bg1"/>
      </a:contourClr>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a:rot lat="0" lon="0" rev="7500000"/>
      </a:lightRig>
    </dgm:scene3d>
    <dgm:sp3d extrusionH="190500" prstMaterial="dkEdge">
      <a:bevelT w="120650" h="38100" prst="relaxedInset"/>
      <a:bevelB w="120650" h="57150" prst="relaxedInset"/>
      <a:contourClr>
        <a:schemeClr val="bg1"/>
      </a:contourClr>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a:rot lat="0" lon="0" rev="7500000"/>
      </a:lightRig>
    </dgm:scene3d>
    <dgm:sp3d z="-152400" extrusionH="63500" prstMaterial="dkEdge">
      <a:bevelT w="144450" h="36350" prst="relaxedInset"/>
      <a:contourClr>
        <a:schemeClr val="bg1"/>
      </a:contourClr>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a:rot lat="0" lon="0" rev="7500000"/>
      </a:lightRig>
    </dgm:scene3d>
    <dgm:sp3d z="152400" extrusionH="63500" prstMaterial="dkEdge">
      <a:bevelT w="125400" h="36350" prst="relaxedInset"/>
      <a:contourClr>
        <a:schemeClr val="bg1"/>
      </a:contourClr>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a:rot lat="0" lon="0" rev="7500000"/>
      </a:lightRig>
    </dgm:scene3d>
    <dgm:sp3d z="152400" extrusionH="63500" prstMaterial="dkEdge">
      <a:bevelT w="125400" h="36350" prst="relaxedInset"/>
      <a:contourClr>
        <a:schemeClr val="bg1"/>
      </a:contourClr>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a:rot lat="0" lon="0" rev="7500000"/>
      </a:lightRig>
    </dgm:scene3d>
    <dgm:sp3d z="152400" extrusionH="63500" prstMaterial="dkEdge">
      <a:bevelT w="125400" h="36350" prst="relaxedInset"/>
      <a:contourClr>
        <a:schemeClr val="bg1"/>
      </a:contourClr>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a:rot lat="0" lon="0" rev="7500000"/>
      </a:lightRig>
    </dgm:scene3d>
    <dgm:sp3d z="152400" extrusionH="63500" prstMaterial="dkEdge">
      <a:bevelT w="125400" h="36350" prst="relaxedInset"/>
      <a:contourClr>
        <a:schemeClr val="bg1"/>
      </a:contourClr>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a:rot lat="0" lon="0" rev="7500000"/>
      </a:lightRig>
    </dgm:scene3d>
    <dgm:sp3d z="-152400" extrusionH="63500" prstMaterial="matte">
      <a:bevelT w="144450" h="6350" prst="relaxedInset"/>
      <a:contourClr>
        <a:schemeClr val="bg1"/>
      </a:contourClr>
    </dgm:sp3d>
    <dgm:txPr/>
    <dgm:style>
      <a:lnRef idx="0">
        <a:scrgbClr r="0" g="0" b="0"/>
      </a:lnRef>
      <a:fillRef idx="3">
        <a:scrgbClr r="0" g="0" b="0"/>
      </a:fillRef>
      <a:effectRef idx="0">
        <a:scrgbClr r="0" g="0" b="0"/>
      </a:effectRef>
      <a:fontRef idx="minor"/>
    </dgm:style>
  </dgm:styleLbl>
  <dgm:styleLbl name="dkBgShp">
    <dgm:scene3d>
      <a:camera prst="orthographicFront"/>
      <a:lightRig rig="threePt" dir="t">
        <a:rot lat="0" lon="0" rev="7500000"/>
      </a:lightRig>
    </dgm:scene3d>
    <dgm:sp3d prstMaterial="plastic">
      <a:bevelT w="127000" h="25400" prst="relaxedInset"/>
      <a:bevelB w="88900" h="121750" prst="angle"/>
    </dgm:sp3d>
    <dgm:txPr/>
    <dgm:style>
      <a:lnRef idx="0">
        <a:scrgbClr r="0" g="0" b="0"/>
      </a:lnRef>
      <a:fillRef idx="1">
        <a:scrgbClr r="0" g="0" b="0"/>
      </a:fillRef>
      <a:effectRef idx="2">
        <a:scrgbClr r="0" g="0" b="0"/>
      </a:effectRef>
      <a:fontRef idx="minor">
        <a:schemeClr val="lt1"/>
      </a:fontRef>
    </dgm:style>
  </dgm:styleLbl>
  <dgm:styleLbl name="trBgShp">
    <dgm:scene3d>
      <a:camera prst="orthographicFront"/>
      <a:lightRig rig="threePt"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threePt" dir="t">
        <a:rot lat="0" lon="0" rev="7500000"/>
      </a:lightRig>
    </dgm:scene3d>
    <dgm:sp3d z="152400" extrusionH="63500" prstMaterial="matte">
      <a:bevelT w="50800" h="19050" prst="relaxedInset"/>
      <a:contourClr>
        <a:schemeClr val="bg1"/>
      </a:contourClr>
    </dgm:sp3d>
    <dgm:txPr/>
    <dgm:style>
      <a:lnRef idx="0">
        <a:scrgbClr r="0" g="0" b="0"/>
      </a:lnRef>
      <a:fillRef idx="1">
        <a:scrgbClr r="0" g="0" b="0"/>
      </a:fillRef>
      <a:effectRef idx="2">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98533</xdr:colOff>
      <xdr:row>0</xdr:row>
      <xdr:rowOff>39414</xdr:rowOff>
    </xdr:from>
    <xdr:to>
      <xdr:col>13</xdr:col>
      <xdr:colOff>545222</xdr:colOff>
      <xdr:row>10</xdr:row>
      <xdr:rowOff>52551</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220980</xdr:colOff>
      <xdr:row>0</xdr:row>
      <xdr:rowOff>53340</xdr:rowOff>
    </xdr:from>
    <xdr:to>
      <xdr:col>11</xdr:col>
      <xdr:colOff>38100</xdr:colOff>
      <xdr:row>18</xdr:row>
      <xdr:rowOff>144780</xdr:rowOff>
    </xdr:to>
    <xdr:graphicFrame macro="">
      <xdr:nvGraphicFramePr>
        <xdr:cNvPr id="2" name="Chart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9525</xdr:colOff>
          <xdr:row>16</xdr:row>
          <xdr:rowOff>57150</xdr:rowOff>
        </xdr:from>
        <xdr:to>
          <xdr:col>1</xdr:col>
          <xdr:colOff>857250</xdr:colOff>
          <xdr:row>17</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95250</xdr:rowOff>
        </xdr:from>
        <xdr:to>
          <xdr:col>1</xdr:col>
          <xdr:colOff>857250</xdr:colOff>
          <xdr:row>19</xdr:row>
          <xdr:rowOff>171450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139211</xdr:colOff>
      <xdr:row>4</xdr:row>
      <xdr:rowOff>112101</xdr:rowOff>
    </xdr:from>
    <xdr:to>
      <xdr:col>10</xdr:col>
      <xdr:colOff>344365</xdr:colOff>
      <xdr:row>18</xdr:row>
      <xdr:rowOff>188301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381000</xdr:colOff>
      <xdr:row>25</xdr:row>
      <xdr:rowOff>113665</xdr:rowOff>
    </xdr:to>
    <xdr:graphicFrame macro="">
      <xdr:nvGraphicFramePr>
        <xdr:cNvPr id="5" name="Diagram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38100</xdr:colOff>
      <xdr:row>11</xdr:row>
      <xdr:rowOff>161925</xdr:rowOff>
    </xdr:from>
    <xdr:to>
      <xdr:col>6</xdr:col>
      <xdr:colOff>47625</xdr:colOff>
      <xdr:row>22</xdr:row>
      <xdr:rowOff>171450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2257425"/>
          <a:ext cx="6858000" cy="2105025"/>
        </a:xfrm>
        <a:prstGeom prst="rect">
          <a:avLst/>
        </a:prstGeom>
        <a:solidFill>
          <a:schemeClr val="accent4">
            <a:lumMod val="20000"/>
            <a:lumOff val="80000"/>
          </a:schemeClr>
        </a:solidFill>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995.65696724537" createdVersion="5" refreshedVersion="5" minRefreshableVersion="3" recordCount="385" xr:uid="{00000000-000A-0000-FFFF-FFFF0C000000}">
  <cacheSource type="worksheet">
    <worksheetSource ref="A4:C389" sheet="SofM-2"/>
  </cacheSource>
  <cacheFields count="3">
    <cacheField name="Student" numFmtId="0">
      <sharedItems/>
    </cacheField>
    <cacheField name="Phone Type" numFmtId="0">
      <sharedItems count="6">
        <s v="Motorola"/>
        <s v="Samsung"/>
        <s v="Nokia"/>
        <s v="Sprint"/>
        <s v="iPhone"/>
        <s v="Sony Erickson"/>
      </sharedItems>
    </cacheField>
    <cacheField name="Phone Type No." numFmtId="0">
      <sharedItems containsSemiMixedTypes="0" containsString="0" containsNumber="1" containsInteger="1" minValue="1" maxValue="6" count="6">
        <n v="2"/>
        <n v="4"/>
        <n v="3"/>
        <n v="6"/>
        <n v="1"/>
        <n v="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5">
  <r>
    <s v="Student 01"/>
    <x v="0"/>
    <x v="0"/>
  </r>
  <r>
    <s v="Student 02"/>
    <x v="0"/>
    <x v="0"/>
  </r>
  <r>
    <s v="Student 03"/>
    <x v="1"/>
    <x v="1"/>
  </r>
  <r>
    <s v="Student 04"/>
    <x v="2"/>
    <x v="2"/>
  </r>
  <r>
    <s v="Student 05"/>
    <x v="0"/>
    <x v="0"/>
  </r>
  <r>
    <s v="Student 06"/>
    <x v="2"/>
    <x v="2"/>
  </r>
  <r>
    <s v="Student 07"/>
    <x v="3"/>
    <x v="3"/>
  </r>
  <r>
    <s v="Student 08"/>
    <x v="4"/>
    <x v="4"/>
  </r>
  <r>
    <s v="Student 09"/>
    <x v="0"/>
    <x v="0"/>
  </r>
  <r>
    <s v="Student 10"/>
    <x v="4"/>
    <x v="4"/>
  </r>
  <r>
    <s v="Student 11"/>
    <x v="1"/>
    <x v="1"/>
  </r>
  <r>
    <s v="Student 12"/>
    <x v="0"/>
    <x v="0"/>
  </r>
  <r>
    <s v="Student 13"/>
    <x v="1"/>
    <x v="1"/>
  </r>
  <r>
    <s v="Student 14"/>
    <x v="4"/>
    <x v="4"/>
  </r>
  <r>
    <s v="Student 15"/>
    <x v="2"/>
    <x v="2"/>
  </r>
  <r>
    <s v="Student 16"/>
    <x v="2"/>
    <x v="2"/>
  </r>
  <r>
    <s v="Student 17"/>
    <x v="3"/>
    <x v="3"/>
  </r>
  <r>
    <s v="Student 18"/>
    <x v="5"/>
    <x v="5"/>
  </r>
  <r>
    <s v="Student 19"/>
    <x v="2"/>
    <x v="2"/>
  </r>
  <r>
    <s v="Student 20"/>
    <x v="2"/>
    <x v="2"/>
  </r>
  <r>
    <s v="Student 21"/>
    <x v="4"/>
    <x v="4"/>
  </r>
  <r>
    <s v="Student 22"/>
    <x v="4"/>
    <x v="4"/>
  </r>
  <r>
    <s v="Student 23"/>
    <x v="2"/>
    <x v="2"/>
  </r>
  <r>
    <s v="Student 24"/>
    <x v="1"/>
    <x v="1"/>
  </r>
  <r>
    <s v="Student 25"/>
    <x v="4"/>
    <x v="4"/>
  </r>
  <r>
    <s v="Student 26"/>
    <x v="4"/>
    <x v="4"/>
  </r>
  <r>
    <s v="Student 27"/>
    <x v="4"/>
    <x v="4"/>
  </r>
  <r>
    <s v="Student 28"/>
    <x v="3"/>
    <x v="3"/>
  </r>
  <r>
    <s v="Student 29"/>
    <x v="4"/>
    <x v="4"/>
  </r>
  <r>
    <s v="Student 30"/>
    <x v="5"/>
    <x v="5"/>
  </r>
  <r>
    <s v="Student 31"/>
    <x v="1"/>
    <x v="1"/>
  </r>
  <r>
    <s v="Student 32"/>
    <x v="2"/>
    <x v="2"/>
  </r>
  <r>
    <s v="Student 33"/>
    <x v="4"/>
    <x v="4"/>
  </r>
  <r>
    <s v="Student 34"/>
    <x v="2"/>
    <x v="2"/>
  </r>
  <r>
    <s v="Student 35"/>
    <x v="4"/>
    <x v="4"/>
  </r>
  <r>
    <s v="Student 36"/>
    <x v="1"/>
    <x v="1"/>
  </r>
  <r>
    <s v="Student 37"/>
    <x v="5"/>
    <x v="5"/>
  </r>
  <r>
    <s v="Student 38"/>
    <x v="4"/>
    <x v="4"/>
  </r>
  <r>
    <s v="Student 39"/>
    <x v="5"/>
    <x v="5"/>
  </r>
  <r>
    <s v="Student 40"/>
    <x v="2"/>
    <x v="2"/>
  </r>
  <r>
    <s v="Student 41"/>
    <x v="2"/>
    <x v="2"/>
  </r>
  <r>
    <s v="Student 42"/>
    <x v="5"/>
    <x v="5"/>
  </r>
  <r>
    <s v="Student 43"/>
    <x v="3"/>
    <x v="3"/>
  </r>
  <r>
    <s v="Student 44"/>
    <x v="2"/>
    <x v="2"/>
  </r>
  <r>
    <s v="Student 45"/>
    <x v="2"/>
    <x v="2"/>
  </r>
  <r>
    <s v="Student 46"/>
    <x v="0"/>
    <x v="0"/>
  </r>
  <r>
    <s v="Student 47"/>
    <x v="1"/>
    <x v="1"/>
  </r>
  <r>
    <s v="Student 48"/>
    <x v="4"/>
    <x v="4"/>
  </r>
  <r>
    <s v="Student 49"/>
    <x v="2"/>
    <x v="2"/>
  </r>
  <r>
    <s v="Student 50"/>
    <x v="2"/>
    <x v="2"/>
  </r>
  <r>
    <s v="Student 51"/>
    <x v="3"/>
    <x v="3"/>
  </r>
  <r>
    <s v="Student 52"/>
    <x v="2"/>
    <x v="2"/>
  </r>
  <r>
    <s v="Student 53"/>
    <x v="2"/>
    <x v="2"/>
  </r>
  <r>
    <s v="Student 54"/>
    <x v="3"/>
    <x v="3"/>
  </r>
  <r>
    <s v="Student 55"/>
    <x v="5"/>
    <x v="5"/>
  </r>
  <r>
    <s v="Student 56"/>
    <x v="2"/>
    <x v="2"/>
  </r>
  <r>
    <s v="Student 57"/>
    <x v="4"/>
    <x v="4"/>
  </r>
  <r>
    <s v="Student 58"/>
    <x v="1"/>
    <x v="1"/>
  </r>
  <r>
    <s v="Student 59"/>
    <x v="0"/>
    <x v="0"/>
  </r>
  <r>
    <s v="Student 60"/>
    <x v="4"/>
    <x v="4"/>
  </r>
  <r>
    <s v="Student 61"/>
    <x v="5"/>
    <x v="5"/>
  </r>
  <r>
    <s v="Student 62"/>
    <x v="2"/>
    <x v="2"/>
  </r>
  <r>
    <s v="Student 63"/>
    <x v="2"/>
    <x v="2"/>
  </r>
  <r>
    <s v="Student 64"/>
    <x v="4"/>
    <x v="4"/>
  </r>
  <r>
    <s v="Student 65"/>
    <x v="4"/>
    <x v="4"/>
  </r>
  <r>
    <s v="Student 66"/>
    <x v="4"/>
    <x v="4"/>
  </r>
  <r>
    <s v="Student 67"/>
    <x v="4"/>
    <x v="4"/>
  </r>
  <r>
    <s v="Student 68"/>
    <x v="3"/>
    <x v="3"/>
  </r>
  <r>
    <s v="Student 69"/>
    <x v="4"/>
    <x v="4"/>
  </r>
  <r>
    <s v="Student 70"/>
    <x v="2"/>
    <x v="2"/>
  </r>
  <r>
    <s v="Student 71"/>
    <x v="0"/>
    <x v="0"/>
  </r>
  <r>
    <s v="Student 72"/>
    <x v="3"/>
    <x v="3"/>
  </r>
  <r>
    <s v="Student 73"/>
    <x v="4"/>
    <x v="4"/>
  </r>
  <r>
    <s v="Student 74"/>
    <x v="5"/>
    <x v="5"/>
  </r>
  <r>
    <s v="Student 75"/>
    <x v="2"/>
    <x v="2"/>
  </r>
  <r>
    <s v="Student 76"/>
    <x v="0"/>
    <x v="0"/>
  </r>
  <r>
    <s v="Student 77"/>
    <x v="4"/>
    <x v="4"/>
  </r>
  <r>
    <s v="Student 78"/>
    <x v="0"/>
    <x v="0"/>
  </r>
  <r>
    <s v="Student 79"/>
    <x v="2"/>
    <x v="2"/>
  </r>
  <r>
    <s v="Student 80"/>
    <x v="0"/>
    <x v="0"/>
  </r>
  <r>
    <s v="Student 81"/>
    <x v="2"/>
    <x v="2"/>
  </r>
  <r>
    <s v="Student 82"/>
    <x v="3"/>
    <x v="3"/>
  </r>
  <r>
    <s v="Student 83"/>
    <x v="3"/>
    <x v="3"/>
  </r>
  <r>
    <s v="Student 84"/>
    <x v="4"/>
    <x v="4"/>
  </r>
  <r>
    <s v="Student 85"/>
    <x v="4"/>
    <x v="4"/>
  </r>
  <r>
    <s v="Student 86"/>
    <x v="4"/>
    <x v="4"/>
  </r>
  <r>
    <s v="Student 87"/>
    <x v="4"/>
    <x v="4"/>
  </r>
  <r>
    <s v="Student 88"/>
    <x v="3"/>
    <x v="3"/>
  </r>
  <r>
    <s v="Student 89"/>
    <x v="0"/>
    <x v="0"/>
  </r>
  <r>
    <s v="Student 90"/>
    <x v="5"/>
    <x v="5"/>
  </r>
  <r>
    <s v="Student 91"/>
    <x v="0"/>
    <x v="0"/>
  </r>
  <r>
    <s v="Student 92"/>
    <x v="1"/>
    <x v="1"/>
  </r>
  <r>
    <s v="Student 93"/>
    <x v="2"/>
    <x v="2"/>
  </r>
  <r>
    <s v="Student 94"/>
    <x v="5"/>
    <x v="5"/>
  </r>
  <r>
    <s v="Student 95"/>
    <x v="4"/>
    <x v="4"/>
  </r>
  <r>
    <s v="Student 96"/>
    <x v="2"/>
    <x v="2"/>
  </r>
  <r>
    <s v="Student 97"/>
    <x v="4"/>
    <x v="4"/>
  </r>
  <r>
    <s v="Student 98"/>
    <x v="2"/>
    <x v="2"/>
  </r>
  <r>
    <s v="Student 99"/>
    <x v="5"/>
    <x v="5"/>
  </r>
  <r>
    <s v="Student 100"/>
    <x v="3"/>
    <x v="3"/>
  </r>
  <r>
    <s v="Student 101"/>
    <x v="2"/>
    <x v="2"/>
  </r>
  <r>
    <s v="Student 102"/>
    <x v="4"/>
    <x v="4"/>
  </r>
  <r>
    <s v="Student 103"/>
    <x v="3"/>
    <x v="3"/>
  </r>
  <r>
    <s v="Student 104"/>
    <x v="5"/>
    <x v="5"/>
  </r>
  <r>
    <s v="Student 105"/>
    <x v="0"/>
    <x v="0"/>
  </r>
  <r>
    <s v="Student 106"/>
    <x v="2"/>
    <x v="2"/>
  </r>
  <r>
    <s v="Student 107"/>
    <x v="4"/>
    <x v="4"/>
  </r>
  <r>
    <s v="Student 108"/>
    <x v="2"/>
    <x v="2"/>
  </r>
  <r>
    <s v="Student 109"/>
    <x v="2"/>
    <x v="2"/>
  </r>
  <r>
    <s v="Student 110"/>
    <x v="0"/>
    <x v="0"/>
  </r>
  <r>
    <s v="Student 111"/>
    <x v="4"/>
    <x v="4"/>
  </r>
  <r>
    <s v="Student 112"/>
    <x v="2"/>
    <x v="2"/>
  </r>
  <r>
    <s v="Student 113"/>
    <x v="2"/>
    <x v="2"/>
  </r>
  <r>
    <s v="Student 114"/>
    <x v="2"/>
    <x v="2"/>
  </r>
  <r>
    <s v="Student 115"/>
    <x v="0"/>
    <x v="0"/>
  </r>
  <r>
    <s v="Student 116"/>
    <x v="3"/>
    <x v="3"/>
  </r>
  <r>
    <s v="Student 117"/>
    <x v="3"/>
    <x v="3"/>
  </r>
  <r>
    <s v="Student 118"/>
    <x v="3"/>
    <x v="3"/>
  </r>
  <r>
    <s v="Student 119"/>
    <x v="2"/>
    <x v="2"/>
  </r>
  <r>
    <s v="Student 120"/>
    <x v="2"/>
    <x v="2"/>
  </r>
  <r>
    <s v="Student 121"/>
    <x v="3"/>
    <x v="3"/>
  </r>
  <r>
    <s v="Student 122"/>
    <x v="2"/>
    <x v="2"/>
  </r>
  <r>
    <s v="Student 123"/>
    <x v="1"/>
    <x v="1"/>
  </r>
  <r>
    <s v="Student 124"/>
    <x v="1"/>
    <x v="1"/>
  </r>
  <r>
    <s v="Student 125"/>
    <x v="1"/>
    <x v="1"/>
  </r>
  <r>
    <s v="Student 126"/>
    <x v="1"/>
    <x v="1"/>
  </r>
  <r>
    <s v="Student 127"/>
    <x v="0"/>
    <x v="0"/>
  </r>
  <r>
    <s v="Student 128"/>
    <x v="5"/>
    <x v="5"/>
  </r>
  <r>
    <s v="Student 129"/>
    <x v="0"/>
    <x v="0"/>
  </r>
  <r>
    <s v="Student 130"/>
    <x v="4"/>
    <x v="4"/>
  </r>
  <r>
    <s v="Student 131"/>
    <x v="4"/>
    <x v="4"/>
  </r>
  <r>
    <s v="Student 132"/>
    <x v="3"/>
    <x v="3"/>
  </r>
  <r>
    <s v="Student 133"/>
    <x v="1"/>
    <x v="1"/>
  </r>
  <r>
    <s v="Student 134"/>
    <x v="2"/>
    <x v="2"/>
  </r>
  <r>
    <s v="Student 135"/>
    <x v="0"/>
    <x v="0"/>
  </r>
  <r>
    <s v="Student 136"/>
    <x v="2"/>
    <x v="2"/>
  </r>
  <r>
    <s v="Student 137"/>
    <x v="0"/>
    <x v="0"/>
  </r>
  <r>
    <s v="Student 138"/>
    <x v="5"/>
    <x v="5"/>
  </r>
  <r>
    <s v="Student 139"/>
    <x v="1"/>
    <x v="1"/>
  </r>
  <r>
    <s v="Student 140"/>
    <x v="2"/>
    <x v="2"/>
  </r>
  <r>
    <s v="Student 141"/>
    <x v="4"/>
    <x v="4"/>
  </r>
  <r>
    <s v="Student 142"/>
    <x v="0"/>
    <x v="0"/>
  </r>
  <r>
    <s v="Student 143"/>
    <x v="4"/>
    <x v="4"/>
  </r>
  <r>
    <s v="Student 144"/>
    <x v="1"/>
    <x v="1"/>
  </r>
  <r>
    <s v="Student 145"/>
    <x v="0"/>
    <x v="0"/>
  </r>
  <r>
    <s v="Student 146"/>
    <x v="2"/>
    <x v="2"/>
  </r>
  <r>
    <s v="Student 147"/>
    <x v="0"/>
    <x v="0"/>
  </r>
  <r>
    <s v="Student 148"/>
    <x v="1"/>
    <x v="1"/>
  </r>
  <r>
    <s v="Student 149"/>
    <x v="3"/>
    <x v="3"/>
  </r>
  <r>
    <s v="Student 150"/>
    <x v="1"/>
    <x v="1"/>
  </r>
  <r>
    <s v="Student 151"/>
    <x v="5"/>
    <x v="5"/>
  </r>
  <r>
    <s v="Student 152"/>
    <x v="2"/>
    <x v="2"/>
  </r>
  <r>
    <s v="Student 153"/>
    <x v="4"/>
    <x v="4"/>
  </r>
  <r>
    <s v="Student 154"/>
    <x v="3"/>
    <x v="3"/>
  </r>
  <r>
    <s v="Student 155"/>
    <x v="4"/>
    <x v="4"/>
  </r>
  <r>
    <s v="Student 156"/>
    <x v="4"/>
    <x v="4"/>
  </r>
  <r>
    <s v="Student 157"/>
    <x v="1"/>
    <x v="1"/>
  </r>
  <r>
    <s v="Student 158"/>
    <x v="2"/>
    <x v="2"/>
  </r>
  <r>
    <s v="Student 159"/>
    <x v="2"/>
    <x v="2"/>
  </r>
  <r>
    <s v="Student 160"/>
    <x v="4"/>
    <x v="4"/>
  </r>
  <r>
    <s v="Student 161"/>
    <x v="5"/>
    <x v="5"/>
  </r>
  <r>
    <s v="Student 162"/>
    <x v="2"/>
    <x v="2"/>
  </r>
  <r>
    <s v="Student 163"/>
    <x v="3"/>
    <x v="3"/>
  </r>
  <r>
    <s v="Student 164"/>
    <x v="2"/>
    <x v="2"/>
  </r>
  <r>
    <s v="Student 165"/>
    <x v="1"/>
    <x v="1"/>
  </r>
  <r>
    <s v="Student 166"/>
    <x v="4"/>
    <x v="4"/>
  </r>
  <r>
    <s v="Student 167"/>
    <x v="1"/>
    <x v="1"/>
  </r>
  <r>
    <s v="Student 168"/>
    <x v="0"/>
    <x v="0"/>
  </r>
  <r>
    <s v="Student 169"/>
    <x v="5"/>
    <x v="5"/>
  </r>
  <r>
    <s v="Student 170"/>
    <x v="2"/>
    <x v="2"/>
  </r>
  <r>
    <s v="Student 171"/>
    <x v="2"/>
    <x v="2"/>
  </r>
  <r>
    <s v="Student 172"/>
    <x v="2"/>
    <x v="2"/>
  </r>
  <r>
    <s v="Student 173"/>
    <x v="2"/>
    <x v="2"/>
  </r>
  <r>
    <s v="Student 174"/>
    <x v="4"/>
    <x v="4"/>
  </r>
  <r>
    <s v="Student 175"/>
    <x v="0"/>
    <x v="0"/>
  </r>
  <r>
    <s v="Student 176"/>
    <x v="3"/>
    <x v="3"/>
  </r>
  <r>
    <s v="Student 177"/>
    <x v="4"/>
    <x v="4"/>
  </r>
  <r>
    <s v="Student 178"/>
    <x v="0"/>
    <x v="0"/>
  </r>
  <r>
    <s v="Student 179"/>
    <x v="2"/>
    <x v="2"/>
  </r>
  <r>
    <s v="Student 180"/>
    <x v="4"/>
    <x v="4"/>
  </r>
  <r>
    <s v="Student 181"/>
    <x v="4"/>
    <x v="4"/>
  </r>
  <r>
    <s v="Student 182"/>
    <x v="4"/>
    <x v="4"/>
  </r>
  <r>
    <s v="Student 183"/>
    <x v="3"/>
    <x v="3"/>
  </r>
  <r>
    <s v="Student 184"/>
    <x v="2"/>
    <x v="2"/>
  </r>
  <r>
    <s v="Student 185"/>
    <x v="4"/>
    <x v="4"/>
  </r>
  <r>
    <s v="Student 186"/>
    <x v="4"/>
    <x v="4"/>
  </r>
  <r>
    <s v="Student 187"/>
    <x v="3"/>
    <x v="3"/>
  </r>
  <r>
    <s v="Student 188"/>
    <x v="0"/>
    <x v="0"/>
  </r>
  <r>
    <s v="Student 189"/>
    <x v="4"/>
    <x v="4"/>
  </r>
  <r>
    <s v="Student 190"/>
    <x v="4"/>
    <x v="4"/>
  </r>
  <r>
    <s v="Student 191"/>
    <x v="4"/>
    <x v="4"/>
  </r>
  <r>
    <s v="Student 192"/>
    <x v="5"/>
    <x v="5"/>
  </r>
  <r>
    <s v="Student 193"/>
    <x v="4"/>
    <x v="4"/>
  </r>
  <r>
    <s v="Student 194"/>
    <x v="0"/>
    <x v="0"/>
  </r>
  <r>
    <s v="Student 195"/>
    <x v="4"/>
    <x v="4"/>
  </r>
  <r>
    <s v="Student 196"/>
    <x v="2"/>
    <x v="2"/>
  </r>
  <r>
    <s v="Student 197"/>
    <x v="5"/>
    <x v="5"/>
  </r>
  <r>
    <s v="Student 198"/>
    <x v="1"/>
    <x v="1"/>
  </r>
  <r>
    <s v="Student 199"/>
    <x v="3"/>
    <x v="3"/>
  </r>
  <r>
    <s v="Student 200"/>
    <x v="4"/>
    <x v="4"/>
  </r>
  <r>
    <s v="Student 201"/>
    <x v="0"/>
    <x v="0"/>
  </r>
  <r>
    <s v="Student 202"/>
    <x v="4"/>
    <x v="4"/>
  </r>
  <r>
    <s v="Student 203"/>
    <x v="4"/>
    <x v="4"/>
  </r>
  <r>
    <s v="Student 204"/>
    <x v="3"/>
    <x v="3"/>
  </r>
  <r>
    <s v="Student 205"/>
    <x v="3"/>
    <x v="3"/>
  </r>
  <r>
    <s v="Student 206"/>
    <x v="4"/>
    <x v="4"/>
  </r>
  <r>
    <s v="Student 207"/>
    <x v="5"/>
    <x v="5"/>
  </r>
  <r>
    <s v="Student 208"/>
    <x v="0"/>
    <x v="0"/>
  </r>
  <r>
    <s v="Student 209"/>
    <x v="4"/>
    <x v="4"/>
  </r>
  <r>
    <s v="Student 210"/>
    <x v="4"/>
    <x v="4"/>
  </r>
  <r>
    <s v="Student 211"/>
    <x v="1"/>
    <x v="1"/>
  </r>
  <r>
    <s v="Student 212"/>
    <x v="3"/>
    <x v="3"/>
  </r>
  <r>
    <s v="Student 213"/>
    <x v="4"/>
    <x v="4"/>
  </r>
  <r>
    <s v="Student 214"/>
    <x v="4"/>
    <x v="4"/>
  </r>
  <r>
    <s v="Student 215"/>
    <x v="2"/>
    <x v="2"/>
  </r>
  <r>
    <s v="Student 216"/>
    <x v="4"/>
    <x v="4"/>
  </r>
  <r>
    <s v="Student 217"/>
    <x v="3"/>
    <x v="3"/>
  </r>
  <r>
    <s v="Student 218"/>
    <x v="4"/>
    <x v="4"/>
  </r>
  <r>
    <s v="Student 219"/>
    <x v="2"/>
    <x v="2"/>
  </r>
  <r>
    <s v="Student 220"/>
    <x v="4"/>
    <x v="4"/>
  </r>
  <r>
    <s v="Student 221"/>
    <x v="2"/>
    <x v="2"/>
  </r>
  <r>
    <s v="Student 222"/>
    <x v="3"/>
    <x v="3"/>
  </r>
  <r>
    <s v="Student 223"/>
    <x v="2"/>
    <x v="2"/>
  </r>
  <r>
    <s v="Student 224"/>
    <x v="2"/>
    <x v="2"/>
  </r>
  <r>
    <s v="Student 225"/>
    <x v="1"/>
    <x v="1"/>
  </r>
  <r>
    <s v="Student 226"/>
    <x v="4"/>
    <x v="4"/>
  </r>
  <r>
    <s v="Student 227"/>
    <x v="4"/>
    <x v="4"/>
  </r>
  <r>
    <s v="Student 228"/>
    <x v="3"/>
    <x v="3"/>
  </r>
  <r>
    <s v="Student 229"/>
    <x v="0"/>
    <x v="0"/>
  </r>
  <r>
    <s v="Student 230"/>
    <x v="3"/>
    <x v="3"/>
  </r>
  <r>
    <s v="Student 231"/>
    <x v="4"/>
    <x v="4"/>
  </r>
  <r>
    <s v="Student 232"/>
    <x v="4"/>
    <x v="4"/>
  </r>
  <r>
    <s v="Student 233"/>
    <x v="5"/>
    <x v="5"/>
  </r>
  <r>
    <s v="Student 234"/>
    <x v="3"/>
    <x v="3"/>
  </r>
  <r>
    <s v="Student 235"/>
    <x v="4"/>
    <x v="4"/>
  </r>
  <r>
    <s v="Student 236"/>
    <x v="4"/>
    <x v="4"/>
  </r>
  <r>
    <s v="Student 237"/>
    <x v="1"/>
    <x v="1"/>
  </r>
  <r>
    <s v="Student 238"/>
    <x v="5"/>
    <x v="5"/>
  </r>
  <r>
    <s v="Student 239"/>
    <x v="5"/>
    <x v="5"/>
  </r>
  <r>
    <s v="Student 240"/>
    <x v="4"/>
    <x v="4"/>
  </r>
  <r>
    <s v="Student 241"/>
    <x v="0"/>
    <x v="0"/>
  </r>
  <r>
    <s v="Student 242"/>
    <x v="1"/>
    <x v="1"/>
  </r>
  <r>
    <s v="Student 243"/>
    <x v="4"/>
    <x v="4"/>
  </r>
  <r>
    <s v="Student 244"/>
    <x v="2"/>
    <x v="2"/>
  </r>
  <r>
    <s v="Student 245"/>
    <x v="5"/>
    <x v="5"/>
  </r>
  <r>
    <s v="Student 246"/>
    <x v="1"/>
    <x v="1"/>
  </r>
  <r>
    <s v="Student 247"/>
    <x v="2"/>
    <x v="2"/>
  </r>
  <r>
    <s v="Student 248"/>
    <x v="0"/>
    <x v="0"/>
  </r>
  <r>
    <s v="Student 249"/>
    <x v="5"/>
    <x v="5"/>
  </r>
  <r>
    <s v="Student 250"/>
    <x v="3"/>
    <x v="3"/>
  </r>
  <r>
    <s v="Student 251"/>
    <x v="2"/>
    <x v="2"/>
  </r>
  <r>
    <s v="Student 252"/>
    <x v="5"/>
    <x v="5"/>
  </r>
  <r>
    <s v="Student 253"/>
    <x v="2"/>
    <x v="2"/>
  </r>
  <r>
    <s v="Student 254"/>
    <x v="5"/>
    <x v="5"/>
  </r>
  <r>
    <s v="Student 255"/>
    <x v="4"/>
    <x v="4"/>
  </r>
  <r>
    <s v="Student 256"/>
    <x v="4"/>
    <x v="4"/>
  </r>
  <r>
    <s v="Student 257"/>
    <x v="0"/>
    <x v="0"/>
  </r>
  <r>
    <s v="Student 258"/>
    <x v="5"/>
    <x v="5"/>
  </r>
  <r>
    <s v="Student 259"/>
    <x v="1"/>
    <x v="1"/>
  </r>
  <r>
    <s v="Student 260"/>
    <x v="1"/>
    <x v="1"/>
  </r>
  <r>
    <s v="Student 261"/>
    <x v="0"/>
    <x v="0"/>
  </r>
  <r>
    <s v="Student 262"/>
    <x v="4"/>
    <x v="4"/>
  </r>
  <r>
    <s v="Student 263"/>
    <x v="4"/>
    <x v="4"/>
  </r>
  <r>
    <s v="Student 264"/>
    <x v="1"/>
    <x v="1"/>
  </r>
  <r>
    <s v="Student 265"/>
    <x v="5"/>
    <x v="5"/>
  </r>
  <r>
    <s v="Student 266"/>
    <x v="5"/>
    <x v="5"/>
  </r>
  <r>
    <s v="Student 267"/>
    <x v="0"/>
    <x v="0"/>
  </r>
  <r>
    <s v="Student 268"/>
    <x v="0"/>
    <x v="0"/>
  </r>
  <r>
    <s v="Student 269"/>
    <x v="4"/>
    <x v="4"/>
  </r>
  <r>
    <s v="Student 270"/>
    <x v="2"/>
    <x v="2"/>
  </r>
  <r>
    <s v="Student 271"/>
    <x v="5"/>
    <x v="5"/>
  </r>
  <r>
    <s v="Student 272"/>
    <x v="2"/>
    <x v="2"/>
  </r>
  <r>
    <s v="Student 273"/>
    <x v="3"/>
    <x v="3"/>
  </r>
  <r>
    <s v="Student 274"/>
    <x v="4"/>
    <x v="4"/>
  </r>
  <r>
    <s v="Student 275"/>
    <x v="2"/>
    <x v="2"/>
  </r>
  <r>
    <s v="Student 276"/>
    <x v="2"/>
    <x v="2"/>
  </r>
  <r>
    <s v="Student 277"/>
    <x v="1"/>
    <x v="1"/>
  </r>
  <r>
    <s v="Student 278"/>
    <x v="5"/>
    <x v="5"/>
  </r>
  <r>
    <s v="Student 279"/>
    <x v="1"/>
    <x v="1"/>
  </r>
  <r>
    <s v="Student 280"/>
    <x v="2"/>
    <x v="2"/>
  </r>
  <r>
    <s v="Student 281"/>
    <x v="1"/>
    <x v="1"/>
  </r>
  <r>
    <s v="Student 282"/>
    <x v="3"/>
    <x v="3"/>
  </r>
  <r>
    <s v="Student 283"/>
    <x v="5"/>
    <x v="5"/>
  </r>
  <r>
    <s v="Student 284"/>
    <x v="0"/>
    <x v="0"/>
  </r>
  <r>
    <s v="Student 285"/>
    <x v="1"/>
    <x v="1"/>
  </r>
  <r>
    <s v="Student 286"/>
    <x v="2"/>
    <x v="2"/>
  </r>
  <r>
    <s v="Student 287"/>
    <x v="1"/>
    <x v="1"/>
  </r>
  <r>
    <s v="Student 288"/>
    <x v="1"/>
    <x v="1"/>
  </r>
  <r>
    <s v="Student 289"/>
    <x v="0"/>
    <x v="0"/>
  </r>
  <r>
    <s v="Student 290"/>
    <x v="4"/>
    <x v="4"/>
  </r>
  <r>
    <s v="Student 291"/>
    <x v="2"/>
    <x v="2"/>
  </r>
  <r>
    <s v="Student 292"/>
    <x v="2"/>
    <x v="2"/>
  </r>
  <r>
    <s v="Student 293"/>
    <x v="2"/>
    <x v="2"/>
  </r>
  <r>
    <s v="Student 294"/>
    <x v="0"/>
    <x v="0"/>
  </r>
  <r>
    <s v="Student 295"/>
    <x v="3"/>
    <x v="3"/>
  </r>
  <r>
    <s v="Student 296"/>
    <x v="0"/>
    <x v="0"/>
  </r>
  <r>
    <s v="Student 297"/>
    <x v="0"/>
    <x v="0"/>
  </r>
  <r>
    <s v="Student 298"/>
    <x v="2"/>
    <x v="2"/>
  </r>
  <r>
    <s v="Student 299"/>
    <x v="3"/>
    <x v="3"/>
  </r>
  <r>
    <s v="Student 300"/>
    <x v="4"/>
    <x v="4"/>
  </r>
  <r>
    <s v="Student 301"/>
    <x v="4"/>
    <x v="4"/>
  </r>
  <r>
    <s v="Student 302"/>
    <x v="2"/>
    <x v="2"/>
  </r>
  <r>
    <s v="Student 303"/>
    <x v="2"/>
    <x v="2"/>
  </r>
  <r>
    <s v="Student 304"/>
    <x v="2"/>
    <x v="2"/>
  </r>
  <r>
    <s v="Student 305"/>
    <x v="2"/>
    <x v="2"/>
  </r>
  <r>
    <s v="Student 306"/>
    <x v="1"/>
    <x v="1"/>
  </r>
  <r>
    <s v="Student 307"/>
    <x v="1"/>
    <x v="1"/>
  </r>
  <r>
    <s v="Student 308"/>
    <x v="4"/>
    <x v="4"/>
  </r>
  <r>
    <s v="Student 309"/>
    <x v="0"/>
    <x v="0"/>
  </r>
  <r>
    <s v="Student 310"/>
    <x v="3"/>
    <x v="3"/>
  </r>
  <r>
    <s v="Student 311"/>
    <x v="4"/>
    <x v="4"/>
  </r>
  <r>
    <s v="Student 312"/>
    <x v="4"/>
    <x v="4"/>
  </r>
  <r>
    <s v="Student 313"/>
    <x v="2"/>
    <x v="2"/>
  </r>
  <r>
    <s v="Student 314"/>
    <x v="1"/>
    <x v="1"/>
  </r>
  <r>
    <s v="Student 315"/>
    <x v="1"/>
    <x v="1"/>
  </r>
  <r>
    <s v="Student 316"/>
    <x v="4"/>
    <x v="4"/>
  </r>
  <r>
    <s v="Student 317"/>
    <x v="1"/>
    <x v="1"/>
  </r>
  <r>
    <s v="Student 318"/>
    <x v="1"/>
    <x v="1"/>
  </r>
  <r>
    <s v="Student 319"/>
    <x v="0"/>
    <x v="0"/>
  </r>
  <r>
    <s v="Student 320"/>
    <x v="5"/>
    <x v="5"/>
  </r>
  <r>
    <s v="Student 321"/>
    <x v="4"/>
    <x v="4"/>
  </r>
  <r>
    <s v="Student 322"/>
    <x v="2"/>
    <x v="2"/>
  </r>
  <r>
    <s v="Student 323"/>
    <x v="4"/>
    <x v="4"/>
  </r>
  <r>
    <s v="Student 324"/>
    <x v="1"/>
    <x v="1"/>
  </r>
  <r>
    <s v="Student 325"/>
    <x v="5"/>
    <x v="5"/>
  </r>
  <r>
    <s v="Student 326"/>
    <x v="0"/>
    <x v="0"/>
  </r>
  <r>
    <s v="Student 327"/>
    <x v="4"/>
    <x v="4"/>
  </r>
  <r>
    <s v="Student 328"/>
    <x v="3"/>
    <x v="3"/>
  </r>
  <r>
    <s v="Student 329"/>
    <x v="0"/>
    <x v="0"/>
  </r>
  <r>
    <s v="Student 330"/>
    <x v="1"/>
    <x v="1"/>
  </r>
  <r>
    <s v="Student 331"/>
    <x v="2"/>
    <x v="2"/>
  </r>
  <r>
    <s v="Student 332"/>
    <x v="5"/>
    <x v="5"/>
  </r>
  <r>
    <s v="Student 333"/>
    <x v="4"/>
    <x v="4"/>
  </r>
  <r>
    <s v="Student 334"/>
    <x v="1"/>
    <x v="1"/>
  </r>
  <r>
    <s v="Student 335"/>
    <x v="4"/>
    <x v="4"/>
  </r>
  <r>
    <s v="Student 336"/>
    <x v="4"/>
    <x v="4"/>
  </r>
  <r>
    <s v="Student 337"/>
    <x v="2"/>
    <x v="2"/>
  </r>
  <r>
    <s v="Student 338"/>
    <x v="0"/>
    <x v="0"/>
  </r>
  <r>
    <s v="Student 339"/>
    <x v="2"/>
    <x v="2"/>
  </r>
  <r>
    <s v="Student 340"/>
    <x v="2"/>
    <x v="2"/>
  </r>
  <r>
    <s v="Student 341"/>
    <x v="1"/>
    <x v="1"/>
  </r>
  <r>
    <s v="Student 342"/>
    <x v="4"/>
    <x v="4"/>
  </r>
  <r>
    <s v="Student 343"/>
    <x v="4"/>
    <x v="4"/>
  </r>
  <r>
    <s v="Student 344"/>
    <x v="3"/>
    <x v="3"/>
  </r>
  <r>
    <s v="Student 345"/>
    <x v="2"/>
    <x v="2"/>
  </r>
  <r>
    <s v="Student 346"/>
    <x v="3"/>
    <x v="3"/>
  </r>
  <r>
    <s v="Student 347"/>
    <x v="5"/>
    <x v="5"/>
  </r>
  <r>
    <s v="Student 348"/>
    <x v="0"/>
    <x v="0"/>
  </r>
  <r>
    <s v="Student 349"/>
    <x v="4"/>
    <x v="4"/>
  </r>
  <r>
    <s v="Student 350"/>
    <x v="3"/>
    <x v="3"/>
  </r>
  <r>
    <s v="Student 351"/>
    <x v="5"/>
    <x v="5"/>
  </r>
  <r>
    <s v="Student 352"/>
    <x v="4"/>
    <x v="4"/>
  </r>
  <r>
    <s v="Student 353"/>
    <x v="4"/>
    <x v="4"/>
  </r>
  <r>
    <s v="Student 354"/>
    <x v="0"/>
    <x v="0"/>
  </r>
  <r>
    <s v="Student 355"/>
    <x v="0"/>
    <x v="0"/>
  </r>
  <r>
    <s v="Student 356"/>
    <x v="1"/>
    <x v="1"/>
  </r>
  <r>
    <s v="Student 357"/>
    <x v="2"/>
    <x v="2"/>
  </r>
  <r>
    <s v="Student 358"/>
    <x v="4"/>
    <x v="4"/>
  </r>
  <r>
    <s v="Student 359"/>
    <x v="3"/>
    <x v="3"/>
  </r>
  <r>
    <s v="Student 360"/>
    <x v="3"/>
    <x v="3"/>
  </r>
  <r>
    <s v="Student 361"/>
    <x v="4"/>
    <x v="4"/>
  </r>
  <r>
    <s v="Student 362"/>
    <x v="5"/>
    <x v="5"/>
  </r>
  <r>
    <s v="Student 363"/>
    <x v="2"/>
    <x v="2"/>
  </r>
  <r>
    <s v="Student 364"/>
    <x v="2"/>
    <x v="2"/>
  </r>
  <r>
    <s v="Student 365"/>
    <x v="0"/>
    <x v="0"/>
  </r>
  <r>
    <s v="Student 366"/>
    <x v="5"/>
    <x v="5"/>
  </r>
  <r>
    <s v="Student 367"/>
    <x v="2"/>
    <x v="2"/>
  </r>
  <r>
    <s v="Student 368"/>
    <x v="4"/>
    <x v="4"/>
  </r>
  <r>
    <s v="Student 369"/>
    <x v="5"/>
    <x v="5"/>
  </r>
  <r>
    <s v="Student 370"/>
    <x v="2"/>
    <x v="2"/>
  </r>
  <r>
    <s v="Student 371"/>
    <x v="1"/>
    <x v="1"/>
  </r>
  <r>
    <s v="Student 372"/>
    <x v="4"/>
    <x v="4"/>
  </r>
  <r>
    <s v="Student 373"/>
    <x v="0"/>
    <x v="0"/>
  </r>
  <r>
    <s v="Student 374"/>
    <x v="4"/>
    <x v="4"/>
  </r>
  <r>
    <s v="Student 375"/>
    <x v="3"/>
    <x v="3"/>
  </r>
  <r>
    <s v="Student 376"/>
    <x v="2"/>
    <x v="2"/>
  </r>
  <r>
    <s v="Student 377"/>
    <x v="5"/>
    <x v="5"/>
  </r>
  <r>
    <s v="Student 378"/>
    <x v="3"/>
    <x v="3"/>
  </r>
  <r>
    <s v="Student 379"/>
    <x v="1"/>
    <x v="1"/>
  </r>
  <r>
    <s v="Student 380"/>
    <x v="1"/>
    <x v="1"/>
  </r>
  <r>
    <s v="Student 381"/>
    <x v="3"/>
    <x v="3"/>
  </r>
  <r>
    <s v="Student 382"/>
    <x v="4"/>
    <x v="4"/>
  </r>
  <r>
    <s v="Student 383"/>
    <x v="4"/>
    <x v="4"/>
  </r>
  <r>
    <s v="Student 384"/>
    <x v="4"/>
    <x v="4"/>
  </r>
  <r>
    <s v="Student 385"/>
    <x v="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5" cacheId="17"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E4:F11" firstHeaderRow="1" firstDataRow="1" firstDataCol="1"/>
  <pivotFields count="3">
    <pivotField compact="0" showAll="0"/>
    <pivotField axis="axisRow" dataField="1" compact="0" showAll="0">
      <items count="7">
        <item x="4"/>
        <item x="0"/>
        <item x="2"/>
        <item x="1"/>
        <item x="5"/>
        <item x="3"/>
        <item t="default"/>
      </items>
    </pivotField>
    <pivotField compact="0" showAll="0"/>
  </pivotFields>
  <rowFields count="1">
    <field x="1"/>
  </rowFields>
  <rowItems count="7">
    <i>
      <x/>
    </i>
    <i>
      <x v="1"/>
    </i>
    <i>
      <x v="2"/>
    </i>
    <i>
      <x v="3"/>
    </i>
    <i>
      <x v="4"/>
    </i>
    <i>
      <x v="5"/>
    </i>
    <i t="grand">
      <x/>
    </i>
  </rowItems>
  <colItems count="1">
    <i/>
  </colItems>
  <dataFields count="1">
    <dataField name="Count of Phone Typ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6" cacheId="17"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E13:F20" firstHeaderRow="1" firstDataRow="1" firstDataCol="1"/>
  <pivotFields count="3">
    <pivotField compact="0" showAll="0"/>
    <pivotField compact="0" showAll="0"/>
    <pivotField axis="axisRow" dataField="1" compact="0" showAll="0">
      <items count="7">
        <item x="4"/>
        <item x="0"/>
        <item x="2"/>
        <item x="1"/>
        <item x="5"/>
        <item x="3"/>
        <item t="default"/>
      </items>
    </pivotField>
  </pivotFields>
  <rowFields count="1">
    <field x="2"/>
  </rowFields>
  <rowItems count="7">
    <i>
      <x/>
    </i>
    <i>
      <x v="1"/>
    </i>
    <i>
      <x v="2"/>
    </i>
    <i>
      <x v="3"/>
    </i>
    <i>
      <x v="4"/>
    </i>
    <i>
      <x v="5"/>
    </i>
    <i t="grand">
      <x/>
    </i>
  </rowItems>
  <colItems count="1">
    <i/>
  </colItems>
  <dataFields count="1">
    <dataField name="Count of Phone Type No."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KeyBoardTable" displayName="KeyBoardTable" ref="A1:D33" totalsRowShown="0" headerRowDxfId="13" headerRowBorderDxfId="12" tableBorderDxfId="11" totalsRowBorderDxfId="10">
  <autoFilter ref="A1:D33" xr:uid="{00000000-0009-0000-0100-000002000000}"/>
  <sortState xmlns:xlrd2="http://schemas.microsoft.com/office/spreadsheetml/2017/richdata2" ref="A2:D25">
    <sortCondition ref="A1:A25"/>
  </sortState>
  <tableColumns count="4">
    <tableColumn id="5" xr3:uid="{00000000-0010-0000-0000-000005000000}" name="Primary Key" dataDxfId="9"/>
    <tableColumn id="1" xr3:uid="{00000000-0010-0000-0000-000001000000}" name="Action" dataDxfId="8"/>
    <tableColumn id="2" xr3:uid="{00000000-0010-0000-0000-000002000000}" name="Keyboard Short Cut" dataDxfId="7"/>
    <tableColumn id="3" xr3:uid="{00000000-0010-0000-0000-000003000000}" name="Category"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hyperlink" Target="http://nces.ed.gov/" TargetMode="External"/><Relationship Id="rId7" Type="http://schemas.openxmlformats.org/officeDocument/2006/relationships/hyperlink" Target="http://www.bls.gov/data/" TargetMode="External"/><Relationship Id="rId2" Type="http://schemas.openxmlformats.org/officeDocument/2006/relationships/hyperlink" Target="http://bigcharts.com/historical/default.asp" TargetMode="External"/><Relationship Id="rId1" Type="http://schemas.openxmlformats.org/officeDocument/2006/relationships/hyperlink" Target="http://finance.yahoo.com/market-overview/" TargetMode="External"/><Relationship Id="rId6" Type="http://schemas.openxmlformats.org/officeDocument/2006/relationships/hyperlink" Target="http://www.census.gov/data.html" TargetMode="External"/><Relationship Id="rId5" Type="http://schemas.openxmlformats.org/officeDocument/2006/relationships/hyperlink" Target="http://www.ncdc.noaa.gov/" TargetMode="External"/><Relationship Id="rId4" Type="http://schemas.openxmlformats.org/officeDocument/2006/relationships/hyperlink" Target="http://www.bea.gov/" TargetMode="Externa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B12"/>
  <sheetViews>
    <sheetView zoomScale="160" zoomScaleNormal="160" workbookViewId="0">
      <selection activeCell="B8" sqref="B8"/>
    </sheetView>
  </sheetViews>
  <sheetFormatPr defaultRowHeight="15" x14ac:dyDescent="0.25"/>
  <cols>
    <col min="1" max="1" width="40.28515625" bestFit="1" customWidth="1"/>
    <col min="2" max="2" width="24.7109375" bestFit="1" customWidth="1"/>
  </cols>
  <sheetData>
    <row r="1" spans="1:2" x14ac:dyDescent="0.25">
      <c r="A1" s="1" t="s">
        <v>0</v>
      </c>
      <c r="B1" s="1" t="s">
        <v>1</v>
      </c>
    </row>
    <row r="2" spans="1:2" x14ac:dyDescent="0.25">
      <c r="A2" s="9" t="s">
        <v>86</v>
      </c>
      <c r="B2" s="97" t="s">
        <v>86</v>
      </c>
    </row>
    <row r="3" spans="1:2" x14ac:dyDescent="0.25">
      <c r="A3" s="9" t="s">
        <v>111</v>
      </c>
      <c r="B3" s="98" t="s">
        <v>111</v>
      </c>
    </row>
    <row r="4" spans="1:2" x14ac:dyDescent="0.25">
      <c r="A4" s="9" t="s">
        <v>78</v>
      </c>
      <c r="B4" s="97" t="s">
        <v>78</v>
      </c>
    </row>
    <row r="5" spans="1:2" x14ac:dyDescent="0.25">
      <c r="A5" s="9" t="s">
        <v>112</v>
      </c>
      <c r="B5" s="97" t="s">
        <v>112</v>
      </c>
    </row>
    <row r="6" spans="1:2" x14ac:dyDescent="0.25">
      <c r="A6" s="9" t="s">
        <v>773</v>
      </c>
      <c r="B6" s="97" t="s">
        <v>3</v>
      </c>
    </row>
    <row r="7" spans="1:2" s="17" customFormat="1" x14ac:dyDescent="0.25">
      <c r="A7" s="9" t="s">
        <v>775</v>
      </c>
      <c r="B7" s="97" t="s">
        <v>772</v>
      </c>
    </row>
    <row r="8" spans="1:2" x14ac:dyDescent="0.25">
      <c r="A8" s="9"/>
      <c r="B8" s="98" t="s">
        <v>771</v>
      </c>
    </row>
    <row r="9" spans="1:2" x14ac:dyDescent="0.25">
      <c r="A9" s="9" t="s">
        <v>774</v>
      </c>
      <c r="B9" s="98" t="s">
        <v>770</v>
      </c>
    </row>
    <row r="10" spans="1:2" x14ac:dyDescent="0.25">
      <c r="A10" s="9" t="s">
        <v>681</v>
      </c>
      <c r="B10" s="97" t="s">
        <v>769</v>
      </c>
    </row>
    <row r="11" spans="1:2" x14ac:dyDescent="0.25">
      <c r="A11" s="9" t="s">
        <v>113</v>
      </c>
      <c r="B11" s="98" t="s">
        <v>113</v>
      </c>
    </row>
    <row r="12" spans="1:2" x14ac:dyDescent="0.25">
      <c r="A12" s="9" t="s">
        <v>798</v>
      </c>
      <c r="B12" s="97" t="s">
        <v>799</v>
      </c>
    </row>
  </sheetData>
  <hyperlinks>
    <hyperlink ref="B2" location="Statistics!A1" display="Statistics!A1" xr:uid="{00000000-0004-0000-0000-000000000000}"/>
    <hyperlink ref="B3" location="'Descriptive v Inferential'!A1" display="Descriptive v Inferential" xr:uid="{00000000-0004-0000-0000-000001000000}"/>
    <hyperlink ref="B4" location="'Example of Statistics'!A1" display="Example of Statistics" xr:uid="{00000000-0004-0000-0000-000002000000}"/>
    <hyperlink ref="B5" location="'Example of Inferential Stats'!A1" display="Example of Inferential Stats" xr:uid="{00000000-0004-0000-0000-000003000000}"/>
    <hyperlink ref="B6" location="Data!A1" display="Data" xr:uid="{00000000-0004-0000-0000-000004000000}"/>
    <hyperlink ref="B7" location="SofM!A1" display="SofM" xr:uid="{00000000-0004-0000-0000-000005000000}"/>
    <hyperlink ref="B8" location="'SofM-2'!A1" display="'SofM-2'!A1" xr:uid="{00000000-0004-0000-0000-000006000000}"/>
    <hyperlink ref="B9" location="'CS Data'!A1" display="'CS Data'!A1" xr:uid="{00000000-0004-0000-0000-000007000000}"/>
    <hyperlink ref="B10" location="'TS Data'!A1" display="TS Data" xr:uid="{00000000-0004-0000-0000-000008000000}"/>
    <hyperlink ref="B11" location="'Data Diagram'!A1" display="'Data Diagram'!A1" xr:uid="{00000000-0004-0000-0000-000009000000}"/>
    <hyperlink ref="B12" location="'Entering Data In Excel'!A1" display="Entering Data In Excel"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M34"/>
  <sheetViews>
    <sheetView zoomScale="85" zoomScaleNormal="85" workbookViewId="0">
      <selection activeCell="D1" sqref="D1"/>
    </sheetView>
  </sheetViews>
  <sheetFormatPr defaultRowHeight="15" x14ac:dyDescent="0.25"/>
  <cols>
    <col min="2" max="2" width="96.85546875" customWidth="1"/>
    <col min="3" max="3" width="17.42578125" customWidth="1"/>
    <col min="9" max="12" width="9.140625" style="17"/>
    <col min="13" max="13" width="255.7109375" bestFit="1" customWidth="1"/>
  </cols>
  <sheetData>
    <row r="1" spans="1:13" x14ac:dyDescent="0.25">
      <c r="A1" s="77" t="s">
        <v>833</v>
      </c>
      <c r="B1" s="110" t="s">
        <v>829</v>
      </c>
      <c r="C1" s="111"/>
    </row>
    <row r="2" spans="1:13" s="17" customFormat="1" x14ac:dyDescent="0.25"/>
    <row r="3" spans="1:13" x14ac:dyDescent="0.25">
      <c r="A3" s="77" t="s">
        <v>834</v>
      </c>
      <c r="B3" s="110" t="s">
        <v>830</v>
      </c>
      <c r="C3" s="111"/>
    </row>
    <row r="4" spans="1:13" s="17" customFormat="1" x14ac:dyDescent="0.25"/>
    <row r="5" spans="1:13" x14ac:dyDescent="0.25">
      <c r="A5" s="77" t="s">
        <v>835</v>
      </c>
      <c r="B5" s="110" t="s">
        <v>831</v>
      </c>
      <c r="C5" s="111"/>
    </row>
    <row r="6" spans="1:13" x14ac:dyDescent="0.25">
      <c r="A6" s="49" t="s">
        <v>19</v>
      </c>
      <c r="B6" s="49" t="s">
        <v>20</v>
      </c>
      <c r="C6" s="49" t="s">
        <v>21</v>
      </c>
      <c r="M6" s="49" t="s">
        <v>860</v>
      </c>
    </row>
    <row r="7" spans="1:13" x14ac:dyDescent="0.25">
      <c r="A7" s="9">
        <f>ROWS(A$7:A7)</f>
        <v>1</v>
      </c>
      <c r="B7" s="3" t="str">
        <f>TRIM(REPLACE(M7,1,SEARCH(")",M7)+1,""))</f>
        <v>What Is / Are Statistics? Define Statistics</v>
      </c>
      <c r="C7" s="10" t="str">
        <f>TRIM(LEFT(M7,SEARCH(")",M7)))</f>
        <v>(00:21)</v>
      </c>
      <c r="M7" s="9" t="s">
        <v>837</v>
      </c>
    </row>
    <row r="8" spans="1:13" x14ac:dyDescent="0.25">
      <c r="A8" s="9">
        <f>ROWS(A$7:A8)</f>
        <v>2</v>
      </c>
      <c r="B8" s="3" t="str">
        <f t="shared" ref="B8:B19" si="0">TRIM(REPLACE(M8,1,SEARCH(")",M8)+1,""))</f>
        <v>Descriptive Statistics and Inferential Statistics</v>
      </c>
      <c r="C8" s="10" t="s">
        <v>856</v>
      </c>
      <c r="M8" s="9" t="s">
        <v>838</v>
      </c>
    </row>
    <row r="9" spans="1:13" ht="30" x14ac:dyDescent="0.25">
      <c r="A9" s="9">
        <f>ROWS(A$7:A9)</f>
        <v>3</v>
      </c>
      <c r="B9" s="3" t="str">
        <f t="shared" si="0"/>
        <v>Collect, analyze and present raw data on Yahoo Stock Price: Search the internet, download, create formulas and crate a Chart and present the information in a useful way.</v>
      </c>
      <c r="C9" s="10" t="s">
        <v>857</v>
      </c>
      <c r="M9" s="9" t="s">
        <v>839</v>
      </c>
    </row>
    <row r="10" spans="1:13" x14ac:dyDescent="0.25">
      <c r="A10" s="9">
        <f>ROWS(A$7:A10)</f>
        <v>4</v>
      </c>
      <c r="B10" s="3" t="str">
        <f t="shared" si="0"/>
        <v>Get Data from http://finance.yahoo.com/</v>
      </c>
      <c r="C10" s="10" t="s">
        <v>858</v>
      </c>
      <c r="M10" s="9" t="s">
        <v>840</v>
      </c>
    </row>
    <row r="11" spans="1:13" x14ac:dyDescent="0.25">
      <c r="A11" s="9">
        <f>ROWS(A$7:A11)</f>
        <v>5</v>
      </c>
      <c r="B11" s="3" t="str">
        <f t="shared" si="0"/>
        <v>Copy and paste data from internet into an Excel spreadsheet. Learn about Paste Special, Text</v>
      </c>
      <c r="C11" s="10" t="s">
        <v>859</v>
      </c>
      <c r="M11" s="9" t="s">
        <v>841</v>
      </c>
    </row>
    <row r="12" spans="1:13" ht="60" x14ac:dyDescent="0.25">
      <c r="A12" s="9">
        <f>ROWS(A$7:A12)</f>
        <v>6</v>
      </c>
      <c r="B12" s="3" t="str">
        <f t="shared" si="0"/>
        <v>Download a “.csv” file. “.csv” and “.txt” file types (file extensions) are text files. When you open them, they look like Excel, but it is not. We can copy and paste into a real Excel file. Text files are common files types that allow raw data to be transferred from one system to another. Text files are intermediate steps between the original Database and your Excel Spreadhseet.</v>
      </c>
      <c r="C12" s="10" t="s">
        <v>861</v>
      </c>
      <c r="M12" s="9" t="s">
        <v>842</v>
      </c>
    </row>
    <row r="13" spans="1:13" x14ac:dyDescent="0.25">
      <c r="A13" s="9">
        <f>ROWS(A$7:A13)</f>
        <v>7</v>
      </c>
      <c r="B13" s="3" t="str">
        <f t="shared" si="0"/>
        <v>Control Panel, Folder Options, View Tab, Uncheck “Hide extensions for known file types”</v>
      </c>
      <c r="C13" s="10" t="s">
        <v>862</v>
      </c>
      <c r="M13" s="9" t="s">
        <v>843</v>
      </c>
    </row>
    <row r="14" spans="1:13" x14ac:dyDescent="0.25">
      <c r="A14" s="9">
        <f>ROWS(A$7:A14)</f>
        <v>8</v>
      </c>
      <c r="B14" s="3" t="str">
        <f t="shared" si="0"/>
        <v>Highlight whole table keyboard is Ctrl + *</v>
      </c>
      <c r="C14" s="10" t="s">
        <v>863</v>
      </c>
      <c r="M14" s="9" t="s">
        <v>844</v>
      </c>
    </row>
    <row r="15" spans="1:13" ht="30" x14ac:dyDescent="0.25">
      <c r="A15" s="9">
        <f>ROWS(A$7:A15)</f>
        <v>9</v>
      </c>
      <c r="B15" s="3" t="str">
        <f t="shared" si="0"/>
        <v>Calculate maximum stock price with MAX function, minimum stock price with MIN and Mean using the AVERAGE function.</v>
      </c>
      <c r="C15" s="10" t="s">
        <v>864</v>
      </c>
      <c r="M15" s="9" t="s">
        <v>845</v>
      </c>
    </row>
    <row r="16" spans="1:13" ht="30" x14ac:dyDescent="0.25">
      <c r="A16" s="9">
        <f>ROWS(A$7:A16)</f>
        <v>10</v>
      </c>
      <c r="B16" s="3" t="str">
        <f t="shared" si="0"/>
        <v>Keyboard shortcuts for highlighting ranges that are not next to each other (noncontiguous ranges): Ctrl + Mouse Click</v>
      </c>
      <c r="C16" s="10" t="s">
        <v>865</v>
      </c>
      <c r="M16" s="9" t="s">
        <v>846</v>
      </c>
    </row>
    <row r="17" spans="1:13" x14ac:dyDescent="0.25">
      <c r="A17" s="9">
        <f>ROWS(A$7:A17)</f>
        <v>11</v>
      </c>
      <c r="B17" s="3" t="str">
        <f t="shared" si="0"/>
        <v>Create Line Chart from Historical Data</v>
      </c>
      <c r="C17" s="10" t="s">
        <v>866</v>
      </c>
      <c r="M17" s="9" t="s">
        <v>847</v>
      </c>
    </row>
    <row r="18" spans="1:13" x14ac:dyDescent="0.25">
      <c r="A18" s="9">
        <f>ROWS(A$7:A18)</f>
        <v>12</v>
      </c>
      <c r="B18" s="3" t="str">
        <f t="shared" si="0"/>
        <v>Page Setup</v>
      </c>
      <c r="C18" s="10" t="s">
        <v>867</v>
      </c>
      <c r="M18" s="9" t="s">
        <v>848</v>
      </c>
    </row>
    <row r="19" spans="1:13" x14ac:dyDescent="0.25">
      <c r="A19" s="9">
        <f>ROWS(A$7:A19)</f>
        <v>13</v>
      </c>
      <c r="B19" s="3" t="str">
        <f t="shared" si="0"/>
        <v>Example of Inferential Statistics</v>
      </c>
      <c r="C19" s="10" t="s">
        <v>868</v>
      </c>
      <c r="M19" s="9" t="s">
        <v>849</v>
      </c>
    </row>
    <row r="20" spans="1:13" s="17" customFormat="1" x14ac:dyDescent="0.25"/>
    <row r="21" spans="1:13" x14ac:dyDescent="0.25">
      <c r="A21" s="77" t="s">
        <v>836</v>
      </c>
      <c r="B21" s="110" t="s">
        <v>832</v>
      </c>
      <c r="C21" s="111"/>
    </row>
    <row r="22" spans="1:13" x14ac:dyDescent="0.25">
      <c r="A22" s="109" t="s">
        <v>19</v>
      </c>
      <c r="B22" s="16" t="s">
        <v>20</v>
      </c>
      <c r="C22" s="16" t="s">
        <v>21</v>
      </c>
      <c r="M22" s="49" t="s">
        <v>860</v>
      </c>
    </row>
    <row r="23" spans="1:13" x14ac:dyDescent="0.25">
      <c r="A23" s="9">
        <f>ROWS(A$23:A23)</f>
        <v>1</v>
      </c>
      <c r="B23" s="3" t="str">
        <f>TRIM(REPLACE(M23,1,SEARCH(")",M23)+1,""))</f>
        <v>Categorical Data vs. Quantitative Data</v>
      </c>
      <c r="C23" s="10" t="str">
        <f>TRIM(LEFT(M23,SEARCH(")",M23)))</f>
        <v>(00:43)</v>
      </c>
      <c r="M23" s="108" t="s">
        <v>850</v>
      </c>
    </row>
    <row r="24" spans="1:13" x14ac:dyDescent="0.25">
      <c r="A24" s="9">
        <f>ROWS(A$23:A24)</f>
        <v>2</v>
      </c>
      <c r="B24" s="3" t="str">
        <f t="shared" ref="B24:B28" si="1">TRIM(REPLACE(M24,1,SEARCH(")",M24)+1,""))</f>
        <v>Scales of Measurement (Levels of Measurement): Nominal, Ordinal, Interval, Ratio</v>
      </c>
      <c r="C24" s="10" t="str">
        <f t="shared" ref="C24:C28" si="2">TRIM(LEFT(M24,SEARCH(")",M24)))</f>
        <v>(02:00)</v>
      </c>
      <c r="M24" s="108" t="s">
        <v>851</v>
      </c>
    </row>
    <row r="25" spans="1:13" x14ac:dyDescent="0.25">
      <c r="A25" s="9">
        <f>ROWS(A$23:A25)</f>
        <v>3</v>
      </c>
      <c r="B25" s="3" t="str">
        <f t="shared" si="1"/>
        <v>Cross Sectional Data vs. Time Series Data</v>
      </c>
      <c r="C25" s="10" t="str">
        <f t="shared" si="2"/>
        <v>(14:42)</v>
      </c>
      <c r="M25" s="108" t="s">
        <v>852</v>
      </c>
    </row>
    <row r="26" spans="1:13" x14ac:dyDescent="0.25">
      <c r="A26" s="9">
        <f>ROWS(A$23:A26)</f>
        <v>4</v>
      </c>
      <c r="B26" s="3" t="str">
        <f t="shared" si="1"/>
        <v>Graphical Display of types of Data</v>
      </c>
      <c r="C26" s="10" t="str">
        <f t="shared" si="2"/>
        <v>(15:48)</v>
      </c>
      <c r="M26" s="108" t="s">
        <v>853</v>
      </c>
    </row>
    <row r="27" spans="1:13" x14ac:dyDescent="0.25">
      <c r="A27" s="9">
        <f>ROWS(A$23:A27)</f>
        <v>5</v>
      </c>
      <c r="B27" s="3" t="str">
        <f t="shared" si="1"/>
        <v>How to Enter Data into the spreadsheet and use the Auto Complete (Auto Text) to your benefit</v>
      </c>
      <c r="C27" s="10" t="str">
        <f t="shared" si="2"/>
        <v>(16:22)</v>
      </c>
      <c r="M27" s="108" t="s">
        <v>854</v>
      </c>
    </row>
    <row r="28" spans="1:13" x14ac:dyDescent="0.25">
      <c r="A28" s="9">
        <f>ROWS(A$23:A28)</f>
        <v>6</v>
      </c>
      <c r="B28" s="3" t="str">
        <f t="shared" si="1"/>
        <v>How to create a new Excel Workbook to do your Homework from the Textbook</v>
      </c>
      <c r="C28" s="10" t="str">
        <f t="shared" si="2"/>
        <v>(18:50)</v>
      </c>
      <c r="M28" s="108" t="s">
        <v>855</v>
      </c>
    </row>
    <row r="34" spans="1:1" x14ac:dyDescent="0.25">
      <c r="A34" s="1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D33"/>
  <sheetViews>
    <sheetView workbookViewId="0">
      <pane ySplit="1" topLeftCell="A23" activePane="bottomLeft" state="frozen"/>
      <selection pane="bottomLeft" activeCell="A34" sqref="A34"/>
    </sheetView>
  </sheetViews>
  <sheetFormatPr defaultRowHeight="15" x14ac:dyDescent="0.25"/>
  <cols>
    <col min="1" max="1" width="13.85546875" customWidth="1"/>
    <col min="2" max="2" width="47.5703125" customWidth="1"/>
    <col min="3" max="3" width="28.140625" customWidth="1"/>
    <col min="4" max="4" width="23.5703125" customWidth="1"/>
  </cols>
  <sheetData>
    <row r="1" spans="1:4" x14ac:dyDescent="0.25">
      <c r="A1" s="11" t="s">
        <v>22</v>
      </c>
      <c r="B1" s="12" t="s">
        <v>23</v>
      </c>
      <c r="C1" s="12" t="s">
        <v>24</v>
      </c>
      <c r="D1" s="12" t="s">
        <v>25</v>
      </c>
    </row>
    <row r="2" spans="1:4" x14ac:dyDescent="0.25">
      <c r="A2" s="13">
        <v>1</v>
      </c>
      <c r="B2" s="3" t="s">
        <v>26</v>
      </c>
      <c r="C2" s="2" t="s">
        <v>27</v>
      </c>
      <c r="D2" s="2" t="s">
        <v>28</v>
      </c>
    </row>
    <row r="3" spans="1:4" x14ac:dyDescent="0.25">
      <c r="A3" s="13">
        <v>2</v>
      </c>
      <c r="B3" s="3" t="s">
        <v>29</v>
      </c>
      <c r="C3" s="2" t="s">
        <v>30</v>
      </c>
      <c r="D3" s="2" t="s">
        <v>31</v>
      </c>
    </row>
    <row r="4" spans="1:4" x14ac:dyDescent="0.25">
      <c r="A4" s="13">
        <v>3</v>
      </c>
      <c r="B4" s="3" t="s">
        <v>32</v>
      </c>
      <c r="C4" s="2" t="s">
        <v>33</v>
      </c>
      <c r="D4" s="2" t="s">
        <v>31</v>
      </c>
    </row>
    <row r="5" spans="1:4" x14ac:dyDescent="0.25">
      <c r="A5" s="13">
        <v>4</v>
      </c>
      <c r="B5" s="3" t="s">
        <v>34</v>
      </c>
      <c r="C5" s="2" t="s">
        <v>35</v>
      </c>
      <c r="D5" s="2" t="s">
        <v>36</v>
      </c>
    </row>
    <row r="6" spans="1:4" x14ac:dyDescent="0.25">
      <c r="A6" s="13">
        <v>5</v>
      </c>
      <c r="B6" s="3" t="s">
        <v>37</v>
      </c>
      <c r="C6" s="2" t="s">
        <v>38</v>
      </c>
      <c r="D6" s="2" t="s">
        <v>36</v>
      </c>
    </row>
    <row r="7" spans="1:4" x14ac:dyDescent="0.25">
      <c r="A7" s="13">
        <v>6</v>
      </c>
      <c r="B7" s="3" t="s">
        <v>39</v>
      </c>
      <c r="C7" s="2" t="s">
        <v>40</v>
      </c>
      <c r="D7" s="2" t="s">
        <v>36</v>
      </c>
    </row>
    <row r="8" spans="1:4" x14ac:dyDescent="0.25">
      <c r="A8" s="13">
        <v>7</v>
      </c>
      <c r="B8" s="3" t="s">
        <v>41</v>
      </c>
      <c r="C8" s="2" t="s">
        <v>42</v>
      </c>
      <c r="D8" s="2" t="s">
        <v>36</v>
      </c>
    </row>
    <row r="9" spans="1:4" x14ac:dyDescent="0.25">
      <c r="A9" s="13">
        <v>8</v>
      </c>
      <c r="B9" s="3" t="s">
        <v>43</v>
      </c>
      <c r="C9" s="2" t="s">
        <v>44</v>
      </c>
      <c r="D9" s="2" t="s">
        <v>36</v>
      </c>
    </row>
    <row r="10" spans="1:4" x14ac:dyDescent="0.25">
      <c r="A10" s="13">
        <v>9</v>
      </c>
      <c r="B10" s="3" t="s">
        <v>45</v>
      </c>
      <c r="C10" s="2" t="s">
        <v>46</v>
      </c>
      <c r="D10" s="2" t="s">
        <v>47</v>
      </c>
    </row>
    <row r="11" spans="1:4" x14ac:dyDescent="0.25">
      <c r="A11" s="13">
        <v>10</v>
      </c>
      <c r="B11" s="102" t="s">
        <v>48</v>
      </c>
      <c r="C11" s="14" t="s">
        <v>49</v>
      </c>
      <c r="D11" s="14" t="s">
        <v>47</v>
      </c>
    </row>
    <row r="12" spans="1:4" x14ac:dyDescent="0.25">
      <c r="A12" s="13">
        <v>11</v>
      </c>
      <c r="B12" s="102" t="s">
        <v>50</v>
      </c>
      <c r="C12" s="14" t="s">
        <v>51</v>
      </c>
      <c r="D12" s="14" t="s">
        <v>47</v>
      </c>
    </row>
    <row r="13" spans="1:4" x14ac:dyDescent="0.25">
      <c r="A13" s="13">
        <v>12</v>
      </c>
      <c r="B13" s="102" t="s">
        <v>52</v>
      </c>
      <c r="C13" s="14" t="s">
        <v>53</v>
      </c>
      <c r="D13" s="14" t="s">
        <v>36</v>
      </c>
    </row>
    <row r="14" spans="1:4" x14ac:dyDescent="0.25">
      <c r="A14" s="13">
        <v>13</v>
      </c>
      <c r="B14" s="102" t="s">
        <v>54</v>
      </c>
      <c r="C14" s="14" t="s">
        <v>55</v>
      </c>
      <c r="D14" s="14" t="s">
        <v>47</v>
      </c>
    </row>
    <row r="15" spans="1:4" x14ac:dyDescent="0.25">
      <c r="A15" s="13">
        <v>14</v>
      </c>
      <c r="B15" s="3" t="s">
        <v>56</v>
      </c>
      <c r="C15" s="2" t="s">
        <v>57</v>
      </c>
      <c r="D15" s="2" t="s">
        <v>31</v>
      </c>
    </row>
    <row r="16" spans="1:4" x14ac:dyDescent="0.25">
      <c r="A16" s="13">
        <v>15</v>
      </c>
      <c r="B16" s="3" t="s">
        <v>58</v>
      </c>
      <c r="C16" s="2" t="s">
        <v>59</v>
      </c>
      <c r="D16" s="2" t="s">
        <v>31</v>
      </c>
    </row>
    <row r="17" spans="1:4" x14ac:dyDescent="0.25">
      <c r="A17" s="13">
        <v>16</v>
      </c>
      <c r="B17" s="102" t="s">
        <v>777</v>
      </c>
      <c r="C17" s="14" t="s">
        <v>60</v>
      </c>
      <c r="D17" s="14" t="s">
        <v>28</v>
      </c>
    </row>
    <row r="18" spans="1:4" x14ac:dyDescent="0.25">
      <c r="A18" s="13">
        <v>17</v>
      </c>
      <c r="B18" s="102" t="s">
        <v>778</v>
      </c>
      <c r="C18" s="14" t="s">
        <v>61</v>
      </c>
      <c r="D18" s="14" t="s">
        <v>47</v>
      </c>
    </row>
    <row r="19" spans="1:4" x14ac:dyDescent="0.25">
      <c r="A19" s="13">
        <v>18</v>
      </c>
      <c r="B19" s="102" t="s">
        <v>62</v>
      </c>
      <c r="C19" s="14" t="s">
        <v>63</v>
      </c>
      <c r="D19" s="14" t="s">
        <v>31</v>
      </c>
    </row>
    <row r="20" spans="1:4" x14ac:dyDescent="0.25">
      <c r="A20" s="13">
        <v>19</v>
      </c>
      <c r="B20" s="102" t="s">
        <v>64</v>
      </c>
      <c r="C20" s="14" t="s">
        <v>65</v>
      </c>
      <c r="D20" s="14" t="s">
        <v>47</v>
      </c>
    </row>
    <row r="21" spans="1:4" x14ac:dyDescent="0.25">
      <c r="A21" s="13">
        <v>20</v>
      </c>
      <c r="B21" s="102" t="s">
        <v>66</v>
      </c>
      <c r="C21" s="14" t="s">
        <v>67</v>
      </c>
      <c r="D21" s="14" t="s">
        <v>68</v>
      </c>
    </row>
    <row r="22" spans="1:4" x14ac:dyDescent="0.25">
      <c r="A22" s="13">
        <v>21</v>
      </c>
      <c r="B22" s="102" t="s">
        <v>69</v>
      </c>
      <c r="C22" s="14" t="s">
        <v>70</v>
      </c>
      <c r="D22" s="14" t="s">
        <v>71</v>
      </c>
    </row>
    <row r="23" spans="1:4" x14ac:dyDescent="0.25">
      <c r="A23" s="13">
        <v>22</v>
      </c>
      <c r="B23" s="103" t="s">
        <v>72</v>
      </c>
      <c r="C23" s="15" t="s">
        <v>70</v>
      </c>
      <c r="D23" s="15" t="s">
        <v>73</v>
      </c>
    </row>
    <row r="24" spans="1:4" x14ac:dyDescent="0.25">
      <c r="A24" s="13">
        <v>23</v>
      </c>
      <c r="B24" s="102" t="s">
        <v>74</v>
      </c>
      <c r="C24" s="14" t="s">
        <v>75</v>
      </c>
      <c r="D24" s="14" t="s">
        <v>28</v>
      </c>
    </row>
    <row r="25" spans="1:4" x14ac:dyDescent="0.25">
      <c r="A25" s="13">
        <v>24</v>
      </c>
      <c r="B25" s="102" t="s">
        <v>76</v>
      </c>
      <c r="C25" s="14" t="s">
        <v>77</v>
      </c>
      <c r="D25" s="14" t="s">
        <v>28</v>
      </c>
    </row>
    <row r="26" spans="1:4" x14ac:dyDescent="0.25">
      <c r="A26" s="99">
        <v>25</v>
      </c>
      <c r="B26" s="102" t="s">
        <v>800</v>
      </c>
      <c r="C26" s="14" t="s">
        <v>801</v>
      </c>
      <c r="D26" s="14" t="s">
        <v>802</v>
      </c>
    </row>
    <row r="27" spans="1:4" ht="45" x14ac:dyDescent="0.25">
      <c r="A27" s="99">
        <v>26</v>
      </c>
      <c r="B27" s="102" t="s">
        <v>803</v>
      </c>
      <c r="C27" s="102" t="s">
        <v>811</v>
      </c>
      <c r="D27" s="14" t="s">
        <v>802</v>
      </c>
    </row>
    <row r="28" spans="1:4" ht="45" x14ac:dyDescent="0.25">
      <c r="A28" s="99">
        <v>27</v>
      </c>
      <c r="B28" s="102" t="s">
        <v>809</v>
      </c>
      <c r="C28" s="102" t="s">
        <v>810</v>
      </c>
      <c r="D28" s="14" t="s">
        <v>812</v>
      </c>
    </row>
    <row r="29" spans="1:4" ht="30" x14ac:dyDescent="0.25">
      <c r="A29" s="99">
        <v>28</v>
      </c>
      <c r="B29" s="102" t="s">
        <v>817</v>
      </c>
      <c r="C29" s="14" t="s">
        <v>816</v>
      </c>
      <c r="D29" s="14" t="s">
        <v>812</v>
      </c>
    </row>
    <row r="30" spans="1:4" x14ac:dyDescent="0.25">
      <c r="A30" s="99">
        <v>29</v>
      </c>
      <c r="B30" s="102" t="s">
        <v>869</v>
      </c>
      <c r="C30" s="14" t="s">
        <v>818</v>
      </c>
      <c r="D30" s="14" t="s">
        <v>36</v>
      </c>
    </row>
    <row r="31" spans="1:4" x14ac:dyDescent="0.25">
      <c r="A31" s="99">
        <v>30</v>
      </c>
      <c r="B31" s="102" t="s">
        <v>870</v>
      </c>
      <c r="C31" s="14" t="s">
        <v>819</v>
      </c>
      <c r="D31" s="14" t="s">
        <v>36</v>
      </c>
    </row>
    <row r="32" spans="1:4" x14ac:dyDescent="0.25">
      <c r="A32" s="99">
        <v>31</v>
      </c>
      <c r="B32" s="102" t="s">
        <v>825</v>
      </c>
      <c r="C32" s="14" t="s">
        <v>826</v>
      </c>
      <c r="D32" s="14" t="s">
        <v>36</v>
      </c>
    </row>
    <row r="33" spans="1:4" x14ac:dyDescent="0.25">
      <c r="A33" s="99">
        <v>32</v>
      </c>
      <c r="B33" s="102" t="s">
        <v>827</v>
      </c>
      <c r="C33" s="14" t="s">
        <v>828</v>
      </c>
      <c r="D33" s="14" t="s">
        <v>36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00FF"/>
  </sheetPr>
  <dimension ref="A1:A39"/>
  <sheetViews>
    <sheetView zoomScale="130" zoomScaleNormal="130" workbookViewId="0">
      <selection activeCell="A11" sqref="A11"/>
    </sheetView>
  </sheetViews>
  <sheetFormatPr defaultRowHeight="15" x14ac:dyDescent="0.25"/>
  <cols>
    <col min="1" max="1" width="80.85546875" style="6" customWidth="1"/>
  </cols>
  <sheetData>
    <row r="1" spans="1:1" x14ac:dyDescent="0.25">
      <c r="A1" s="4" t="s">
        <v>2</v>
      </c>
    </row>
    <row r="2" spans="1:1" x14ac:dyDescent="0.25">
      <c r="A2" s="5" t="s">
        <v>4</v>
      </c>
    </row>
    <row r="3" spans="1:1" x14ac:dyDescent="0.25">
      <c r="A3" s="7" t="s">
        <v>5</v>
      </c>
    </row>
    <row r="4" spans="1:1" x14ac:dyDescent="0.25">
      <c r="A4" s="8" t="s">
        <v>9</v>
      </c>
    </row>
    <row r="5" spans="1:1" x14ac:dyDescent="0.25">
      <c r="A5" s="7" t="s">
        <v>6</v>
      </c>
    </row>
    <row r="6" spans="1:1" x14ac:dyDescent="0.25">
      <c r="A6" s="8" t="s">
        <v>7</v>
      </c>
    </row>
    <row r="7" spans="1:1" x14ac:dyDescent="0.25">
      <c r="A7" s="8" t="s">
        <v>135</v>
      </c>
    </row>
    <row r="8" spans="1:1" x14ac:dyDescent="0.25">
      <c r="A8" s="8" t="s">
        <v>8</v>
      </c>
    </row>
    <row r="9" spans="1:1" x14ac:dyDescent="0.25">
      <c r="A9" s="5" t="s">
        <v>10</v>
      </c>
    </row>
    <row r="10" spans="1:1" x14ac:dyDescent="0.25">
      <c r="A10" s="7" t="s">
        <v>11</v>
      </c>
    </row>
    <row r="11" spans="1:1" ht="30" x14ac:dyDescent="0.25">
      <c r="A11" s="8" t="s">
        <v>13</v>
      </c>
    </row>
    <row r="12" spans="1:1" x14ac:dyDescent="0.25">
      <c r="A12" s="7" t="s">
        <v>136</v>
      </c>
    </row>
    <row r="13" spans="1:1" x14ac:dyDescent="0.25">
      <c r="A13" s="8" t="s">
        <v>12</v>
      </c>
    </row>
    <row r="14" spans="1:1" x14ac:dyDescent="0.25">
      <c r="A14"/>
    </row>
    <row r="39" spans="1:1" x14ac:dyDescent="0.25">
      <c r="A39"/>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A15"/>
  <sheetViews>
    <sheetView zoomScale="115" zoomScaleNormal="115" workbookViewId="0">
      <selection activeCell="A12" sqref="A12"/>
    </sheetView>
  </sheetViews>
  <sheetFormatPr defaultRowHeight="15" x14ac:dyDescent="0.25"/>
  <cols>
    <col min="1" max="1" width="76.85546875" customWidth="1"/>
  </cols>
  <sheetData>
    <row r="1" spans="1:1" x14ac:dyDescent="0.25">
      <c r="A1" s="18" t="s">
        <v>86</v>
      </c>
    </row>
    <row r="2" spans="1:1" x14ac:dyDescent="0.25">
      <c r="A2" s="16" t="s">
        <v>79</v>
      </c>
    </row>
    <row r="3" spans="1:1" x14ac:dyDescent="0.25">
      <c r="A3" s="46" t="s">
        <v>80</v>
      </c>
    </row>
    <row r="4" spans="1:1" x14ac:dyDescent="0.25">
      <c r="A4" s="19" t="s">
        <v>123</v>
      </c>
    </row>
    <row r="5" spans="1:1" x14ac:dyDescent="0.25">
      <c r="A5" s="19" t="s">
        <v>124</v>
      </c>
    </row>
    <row r="6" spans="1:1" x14ac:dyDescent="0.25">
      <c r="A6" s="19" t="s">
        <v>125</v>
      </c>
    </row>
    <row r="7" spans="1:1" x14ac:dyDescent="0.25">
      <c r="A7" s="42" t="s">
        <v>82</v>
      </c>
    </row>
    <row r="8" spans="1:1" x14ac:dyDescent="0.25">
      <c r="A8" s="47" t="s">
        <v>87</v>
      </c>
    </row>
    <row r="9" spans="1:1" ht="30" x14ac:dyDescent="0.25">
      <c r="A9" s="21" t="s">
        <v>89</v>
      </c>
    </row>
    <row r="10" spans="1:1" x14ac:dyDescent="0.25">
      <c r="A10" s="21" t="s">
        <v>90</v>
      </c>
    </row>
    <row r="11" spans="1:1" x14ac:dyDescent="0.25">
      <c r="A11" s="47" t="s">
        <v>88</v>
      </c>
    </row>
    <row r="12" spans="1:1" x14ac:dyDescent="0.25">
      <c r="A12" s="21" t="s">
        <v>91</v>
      </c>
    </row>
    <row r="13" spans="1:1" x14ac:dyDescent="0.25">
      <c r="A13" s="16" t="s">
        <v>81</v>
      </c>
    </row>
    <row r="14" spans="1:1" ht="30" x14ac:dyDescent="0.25">
      <c r="A14" s="3" t="s">
        <v>83</v>
      </c>
    </row>
    <row r="15" spans="1:1" ht="30" x14ac:dyDescent="0.25">
      <c r="A15" s="3" t="s">
        <v>84</v>
      </c>
    </row>
  </sheetData>
  <printOptions horizontalCentered="1"/>
  <pageMargins left="0.7" right="0.7" top="0.75" bottom="0.75" header="0.3" footer="0.3"/>
  <pageSetup orientation="portrait" r:id="rId1"/>
  <headerFooter>
    <oddFoote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A6"/>
  <sheetViews>
    <sheetView zoomScaleNormal="100" workbookViewId="0">
      <selection activeCell="A8" sqref="A8"/>
    </sheetView>
  </sheetViews>
  <sheetFormatPr defaultRowHeight="15" x14ac:dyDescent="0.25"/>
  <cols>
    <col min="1" max="1" width="12.140625" customWidth="1"/>
    <col min="6" max="6" width="16.7109375" customWidth="1"/>
  </cols>
  <sheetData>
    <row r="1" spans="1:1" x14ac:dyDescent="0.25">
      <c r="A1" t="s">
        <v>14</v>
      </c>
    </row>
    <row r="2" spans="1:1" x14ac:dyDescent="0.25">
      <c r="A2" t="s">
        <v>15</v>
      </c>
    </row>
    <row r="3" spans="1:1" x14ac:dyDescent="0.25">
      <c r="A3" t="s">
        <v>16</v>
      </c>
    </row>
    <row r="4" spans="1:1" x14ac:dyDescent="0.25">
      <c r="A4" t="s">
        <v>85</v>
      </c>
    </row>
    <row r="5" spans="1:1" x14ac:dyDescent="0.25">
      <c r="A5" t="s">
        <v>17</v>
      </c>
    </row>
    <row r="6" spans="1:1" x14ac:dyDescent="0.25">
      <c r="A6" t="s">
        <v>18</v>
      </c>
    </row>
  </sheetData>
  <printOptions horizontalCentered="1"/>
  <pageMargins left="0.7" right="0.7" top="0.75" bottom="0.75" header="0.3" footer="0.3"/>
  <pageSetup orientation="portrait" r:id="rId1"/>
  <headerFooter>
    <oddFoote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I4714"/>
  <sheetViews>
    <sheetView zoomScale="115" zoomScaleNormal="115" workbookViewId="0">
      <selection activeCell="I2" sqref="I2"/>
    </sheetView>
  </sheetViews>
  <sheetFormatPr defaultRowHeight="15" x14ac:dyDescent="0.25"/>
  <cols>
    <col min="1" max="1" width="12.140625" style="17" customWidth="1"/>
    <col min="2" max="5" width="9.140625" style="17"/>
    <col min="6" max="6" width="16.7109375" style="17" customWidth="1"/>
    <col min="7" max="16384" width="9.140625" style="17"/>
  </cols>
  <sheetData>
    <row r="1" spans="1:9" x14ac:dyDescent="0.25">
      <c r="A1" s="17" t="s">
        <v>14</v>
      </c>
      <c r="H1" s="89" t="s">
        <v>813</v>
      </c>
      <c r="I1" s="66">
        <f>MAX(G9:G4714)</f>
        <v>118.75</v>
      </c>
    </row>
    <row r="2" spans="1:9" x14ac:dyDescent="0.25">
      <c r="A2" s="17" t="s">
        <v>15</v>
      </c>
      <c r="H2" s="89" t="s">
        <v>814</v>
      </c>
      <c r="I2" s="66">
        <f>MIN(G9:G4714)</f>
        <v>0.66</v>
      </c>
    </row>
    <row r="3" spans="1:9" x14ac:dyDescent="0.25">
      <c r="A3" s="17" t="s">
        <v>16</v>
      </c>
      <c r="H3" s="89" t="s">
        <v>815</v>
      </c>
      <c r="I3" s="66">
        <f>AVERAGE(G9:G4714)</f>
        <v>22.632413939651496</v>
      </c>
    </row>
    <row r="4" spans="1:9" x14ac:dyDescent="0.25">
      <c r="A4" s="17" t="s">
        <v>85</v>
      </c>
    </row>
    <row r="5" spans="1:9" x14ac:dyDescent="0.25">
      <c r="A5" s="17" t="s">
        <v>17</v>
      </c>
    </row>
    <row r="6" spans="1:9" x14ac:dyDescent="0.25">
      <c r="A6" s="17" t="s">
        <v>18</v>
      </c>
    </row>
    <row r="8" spans="1:9" x14ac:dyDescent="0.25">
      <c r="A8" s="100" t="s">
        <v>767</v>
      </c>
      <c r="B8" s="100" t="s">
        <v>804</v>
      </c>
      <c r="C8" s="100" t="s">
        <v>805</v>
      </c>
      <c r="D8" s="100" t="s">
        <v>806</v>
      </c>
      <c r="E8" s="100" t="s">
        <v>807</v>
      </c>
      <c r="F8" s="100" t="s">
        <v>808</v>
      </c>
      <c r="G8" s="100" t="s">
        <v>768</v>
      </c>
    </row>
    <row r="9" spans="1:9" x14ac:dyDescent="0.25">
      <c r="A9" s="101">
        <v>41992</v>
      </c>
      <c r="B9" s="9">
        <v>51.06</v>
      </c>
      <c r="C9" s="9">
        <v>51.47</v>
      </c>
      <c r="D9" s="9">
        <v>50.83</v>
      </c>
      <c r="E9" s="9">
        <v>50.88</v>
      </c>
      <c r="F9" s="9">
        <v>22996200</v>
      </c>
      <c r="G9" s="9">
        <v>50.88</v>
      </c>
    </row>
    <row r="10" spans="1:9" x14ac:dyDescent="0.25">
      <c r="A10" s="101">
        <v>41991</v>
      </c>
      <c r="B10" s="9">
        <v>50.93</v>
      </c>
      <c r="C10" s="9">
        <v>51.15</v>
      </c>
      <c r="D10" s="9">
        <v>50.44</v>
      </c>
      <c r="E10" s="9">
        <v>50.91</v>
      </c>
      <c r="F10" s="9">
        <v>15285000</v>
      </c>
      <c r="G10" s="9">
        <v>50.91</v>
      </c>
    </row>
    <row r="11" spans="1:9" x14ac:dyDescent="0.25">
      <c r="A11" s="101">
        <v>41990</v>
      </c>
      <c r="B11" s="9">
        <v>49.02</v>
      </c>
      <c r="C11" s="9">
        <v>50.25</v>
      </c>
      <c r="D11" s="9">
        <v>48.9</v>
      </c>
      <c r="E11" s="9">
        <v>50.12</v>
      </c>
      <c r="F11" s="9">
        <v>17002900</v>
      </c>
      <c r="G11" s="9">
        <v>50.12</v>
      </c>
    </row>
    <row r="12" spans="1:9" x14ac:dyDescent="0.25">
      <c r="A12" s="101">
        <v>41989</v>
      </c>
      <c r="B12" s="9">
        <v>49.5</v>
      </c>
      <c r="C12" s="9">
        <v>50.08</v>
      </c>
      <c r="D12" s="9">
        <v>48.81</v>
      </c>
      <c r="E12" s="9">
        <v>48.85</v>
      </c>
      <c r="F12" s="9">
        <v>21276700</v>
      </c>
      <c r="G12" s="9">
        <v>48.85</v>
      </c>
    </row>
    <row r="13" spans="1:9" x14ac:dyDescent="0.25">
      <c r="A13" s="101">
        <v>41988</v>
      </c>
      <c r="B13" s="9">
        <v>50.42</v>
      </c>
      <c r="C13" s="9">
        <v>50.92</v>
      </c>
      <c r="D13" s="9">
        <v>49.5</v>
      </c>
      <c r="E13" s="9">
        <v>49.82</v>
      </c>
      <c r="F13" s="9">
        <v>18101100</v>
      </c>
      <c r="G13" s="9">
        <v>49.82</v>
      </c>
    </row>
    <row r="14" spans="1:9" x14ac:dyDescent="0.25">
      <c r="A14" s="101">
        <v>41985</v>
      </c>
      <c r="B14" s="9">
        <v>49.54</v>
      </c>
      <c r="C14" s="9">
        <v>51.17</v>
      </c>
      <c r="D14" s="9">
        <v>49.48</v>
      </c>
      <c r="E14" s="9">
        <v>50.24</v>
      </c>
      <c r="F14" s="9">
        <v>20354600</v>
      </c>
      <c r="G14" s="9">
        <v>50.24</v>
      </c>
    </row>
    <row r="15" spans="1:9" x14ac:dyDescent="0.25">
      <c r="A15" s="101">
        <v>41984</v>
      </c>
      <c r="B15" s="9">
        <v>49.54</v>
      </c>
      <c r="C15" s="9">
        <v>50.58</v>
      </c>
      <c r="D15" s="9">
        <v>49.43</v>
      </c>
      <c r="E15" s="9">
        <v>49.94</v>
      </c>
      <c r="F15" s="9">
        <v>21024200</v>
      </c>
      <c r="G15" s="9">
        <v>49.94</v>
      </c>
    </row>
    <row r="16" spans="1:9" x14ac:dyDescent="0.25">
      <c r="A16" s="101">
        <v>41983</v>
      </c>
      <c r="B16" s="9">
        <v>50.33</v>
      </c>
      <c r="C16" s="9">
        <v>50.69</v>
      </c>
      <c r="D16" s="9">
        <v>49.19</v>
      </c>
      <c r="E16" s="9">
        <v>49.21</v>
      </c>
      <c r="F16" s="9">
        <v>16130100</v>
      </c>
      <c r="G16" s="9">
        <v>49.21</v>
      </c>
    </row>
    <row r="17" spans="1:7" x14ac:dyDescent="0.25">
      <c r="A17" s="101">
        <v>41982</v>
      </c>
      <c r="B17" s="9">
        <v>48.75</v>
      </c>
      <c r="C17" s="9">
        <v>50.53</v>
      </c>
      <c r="D17" s="9">
        <v>48.29</v>
      </c>
      <c r="E17" s="9">
        <v>50.51</v>
      </c>
      <c r="F17" s="9">
        <v>19604100</v>
      </c>
      <c r="G17" s="9">
        <v>50.51</v>
      </c>
    </row>
    <row r="18" spans="1:7" x14ac:dyDescent="0.25">
      <c r="A18" s="101">
        <v>41981</v>
      </c>
      <c r="B18" s="9">
        <v>50.52</v>
      </c>
      <c r="C18" s="9">
        <v>50.9</v>
      </c>
      <c r="D18" s="9">
        <v>49.22</v>
      </c>
      <c r="E18" s="9">
        <v>49.62</v>
      </c>
      <c r="F18" s="9">
        <v>18152400</v>
      </c>
      <c r="G18" s="9">
        <v>49.62</v>
      </c>
    </row>
    <row r="19" spans="1:7" x14ac:dyDescent="0.25">
      <c r="A19" s="101">
        <v>41978</v>
      </c>
      <c r="B19" s="9">
        <v>51.03</v>
      </c>
      <c r="C19" s="9">
        <v>51.25</v>
      </c>
      <c r="D19" s="9">
        <v>50.51</v>
      </c>
      <c r="E19" s="9">
        <v>50.99</v>
      </c>
      <c r="F19" s="9">
        <v>14867700</v>
      </c>
      <c r="G19" s="9">
        <v>50.99</v>
      </c>
    </row>
    <row r="20" spans="1:7" x14ac:dyDescent="0.25">
      <c r="A20" s="101">
        <v>41977</v>
      </c>
      <c r="B20" s="9">
        <v>50.19</v>
      </c>
      <c r="C20" s="9">
        <v>50.67</v>
      </c>
      <c r="D20" s="9">
        <v>49.9</v>
      </c>
      <c r="E20" s="9">
        <v>50.41</v>
      </c>
      <c r="F20" s="9">
        <v>12136700</v>
      </c>
      <c r="G20" s="9">
        <v>50.41</v>
      </c>
    </row>
    <row r="21" spans="1:7" x14ac:dyDescent="0.25">
      <c r="A21" s="101">
        <v>41976</v>
      </c>
      <c r="B21" s="9">
        <v>50.71</v>
      </c>
      <c r="C21" s="9">
        <v>50.97</v>
      </c>
      <c r="D21" s="9">
        <v>50.2</v>
      </c>
      <c r="E21" s="9">
        <v>50.28</v>
      </c>
      <c r="F21" s="9">
        <v>14221200</v>
      </c>
      <c r="G21" s="9">
        <v>50.28</v>
      </c>
    </row>
    <row r="22" spans="1:7" x14ac:dyDescent="0.25">
      <c r="A22" s="101">
        <v>41975</v>
      </c>
      <c r="B22" s="9">
        <v>50.27</v>
      </c>
      <c r="C22" s="9">
        <v>51.12</v>
      </c>
      <c r="D22" s="9">
        <v>50.01</v>
      </c>
      <c r="E22" s="9">
        <v>50.67</v>
      </c>
      <c r="F22" s="9">
        <v>16099900</v>
      </c>
      <c r="G22" s="9">
        <v>50.67</v>
      </c>
    </row>
    <row r="23" spans="1:7" x14ac:dyDescent="0.25">
      <c r="A23" s="101">
        <v>41974</v>
      </c>
      <c r="B23" s="9">
        <v>51.43</v>
      </c>
      <c r="C23" s="9">
        <v>51.43</v>
      </c>
      <c r="D23" s="9">
        <v>49.66</v>
      </c>
      <c r="E23" s="9">
        <v>50.1</v>
      </c>
      <c r="F23" s="9">
        <v>23063400</v>
      </c>
      <c r="G23" s="9">
        <v>50.1</v>
      </c>
    </row>
    <row r="24" spans="1:7" x14ac:dyDescent="0.25">
      <c r="A24" s="101">
        <v>41971</v>
      </c>
      <c r="B24" s="9">
        <v>51.87</v>
      </c>
      <c r="C24" s="9">
        <v>52</v>
      </c>
      <c r="D24" s="9">
        <v>51.64</v>
      </c>
      <c r="E24" s="9">
        <v>51.74</v>
      </c>
      <c r="F24" s="9">
        <v>8913700</v>
      </c>
      <c r="G24" s="9">
        <v>51.74</v>
      </c>
    </row>
    <row r="25" spans="1:7" x14ac:dyDescent="0.25">
      <c r="A25" s="101">
        <v>41969</v>
      </c>
      <c r="B25" s="9">
        <v>51.56</v>
      </c>
      <c r="C25" s="9">
        <v>52.26</v>
      </c>
      <c r="D25" s="9">
        <v>51.52</v>
      </c>
      <c r="E25" s="9">
        <v>51.93</v>
      </c>
      <c r="F25" s="9">
        <v>13428500</v>
      </c>
      <c r="G25" s="9">
        <v>51.93</v>
      </c>
    </row>
    <row r="26" spans="1:7" x14ac:dyDescent="0.25">
      <c r="A26" s="101">
        <v>41968</v>
      </c>
      <c r="B26" s="9">
        <v>51.98</v>
      </c>
      <c r="C26" s="9">
        <v>52.19</v>
      </c>
      <c r="D26" s="9">
        <v>51.6</v>
      </c>
      <c r="E26" s="9">
        <v>51.72</v>
      </c>
      <c r="F26" s="9">
        <v>14206900</v>
      </c>
      <c r="G26" s="9">
        <v>51.72</v>
      </c>
    </row>
    <row r="27" spans="1:7" x14ac:dyDescent="0.25">
      <c r="A27" s="101">
        <v>41967</v>
      </c>
      <c r="B27" s="9">
        <v>51.25</v>
      </c>
      <c r="C27" s="9">
        <v>51.83</v>
      </c>
      <c r="D27" s="9">
        <v>51.07</v>
      </c>
      <c r="E27" s="9">
        <v>51.83</v>
      </c>
      <c r="F27" s="9">
        <v>14631000</v>
      </c>
      <c r="G27" s="9">
        <v>51.83</v>
      </c>
    </row>
    <row r="28" spans="1:7" x14ac:dyDescent="0.25">
      <c r="A28" s="101">
        <v>41964</v>
      </c>
      <c r="B28" s="9">
        <v>51.99</v>
      </c>
      <c r="C28" s="9">
        <v>52.25</v>
      </c>
      <c r="D28" s="9">
        <v>50.99</v>
      </c>
      <c r="E28" s="9">
        <v>51.04</v>
      </c>
      <c r="F28" s="9">
        <v>22225300</v>
      </c>
      <c r="G28" s="9">
        <v>51.04</v>
      </c>
    </row>
    <row r="29" spans="1:7" x14ac:dyDescent="0.25">
      <c r="A29" s="101">
        <v>41963</v>
      </c>
      <c r="B29" s="9">
        <v>50.6</v>
      </c>
      <c r="C29" s="9">
        <v>52.23</v>
      </c>
      <c r="D29" s="9">
        <v>50.27</v>
      </c>
      <c r="E29" s="9">
        <v>51.25</v>
      </c>
      <c r="F29" s="9">
        <v>28902000</v>
      </c>
      <c r="G29" s="9">
        <v>51.25</v>
      </c>
    </row>
    <row r="30" spans="1:7" x14ac:dyDescent="0.25">
      <c r="A30" s="101">
        <v>41962</v>
      </c>
      <c r="B30" s="9">
        <v>51.24</v>
      </c>
      <c r="C30" s="9">
        <v>51.37</v>
      </c>
      <c r="D30" s="9">
        <v>50</v>
      </c>
      <c r="E30" s="9">
        <v>50.58</v>
      </c>
      <c r="F30" s="9">
        <v>29239200</v>
      </c>
      <c r="G30" s="9">
        <v>50.58</v>
      </c>
    </row>
    <row r="31" spans="1:7" x14ac:dyDescent="0.25">
      <c r="A31" s="101">
        <v>41961</v>
      </c>
      <c r="B31" s="9">
        <v>52.28</v>
      </c>
      <c r="C31" s="9">
        <v>52.62</v>
      </c>
      <c r="D31" s="9">
        <v>51.34</v>
      </c>
      <c r="E31" s="9">
        <v>51.75</v>
      </c>
      <c r="F31" s="9">
        <v>26833900</v>
      </c>
      <c r="G31" s="9">
        <v>51.75</v>
      </c>
    </row>
    <row r="32" spans="1:7" x14ac:dyDescent="0.25">
      <c r="A32" s="101">
        <v>41960</v>
      </c>
      <c r="B32" s="9">
        <v>51.83</v>
      </c>
      <c r="C32" s="9">
        <v>52.42</v>
      </c>
      <c r="D32" s="9">
        <v>50.94</v>
      </c>
      <c r="E32" s="9">
        <v>52.37</v>
      </c>
      <c r="F32" s="9">
        <v>38382400</v>
      </c>
      <c r="G32" s="9">
        <v>52.37</v>
      </c>
    </row>
    <row r="33" spans="1:7" x14ac:dyDescent="0.25">
      <c r="A33" s="101">
        <v>41957</v>
      </c>
      <c r="B33" s="9">
        <v>50.52</v>
      </c>
      <c r="C33" s="9">
        <v>51.95</v>
      </c>
      <c r="D33" s="9">
        <v>50.47</v>
      </c>
      <c r="E33" s="9">
        <v>51.75</v>
      </c>
      <c r="F33" s="9">
        <v>28813000</v>
      </c>
      <c r="G33" s="9">
        <v>51.75</v>
      </c>
    </row>
    <row r="34" spans="1:7" x14ac:dyDescent="0.25">
      <c r="A34" s="101">
        <v>41956</v>
      </c>
      <c r="B34" s="9">
        <v>50.96</v>
      </c>
      <c r="C34" s="9">
        <v>51.17</v>
      </c>
      <c r="D34" s="9">
        <v>49.95</v>
      </c>
      <c r="E34" s="9">
        <v>50.5</v>
      </c>
      <c r="F34" s="9">
        <v>35513400</v>
      </c>
      <c r="G34" s="9">
        <v>50.5</v>
      </c>
    </row>
    <row r="35" spans="1:7" x14ac:dyDescent="0.25">
      <c r="A35" s="101">
        <v>41955</v>
      </c>
      <c r="B35" s="9">
        <v>49.33</v>
      </c>
      <c r="C35" s="9">
        <v>50.63</v>
      </c>
      <c r="D35" s="9">
        <v>49.22</v>
      </c>
      <c r="E35" s="9">
        <v>50.6</v>
      </c>
      <c r="F35" s="9">
        <v>30514800</v>
      </c>
      <c r="G35" s="9">
        <v>50.6</v>
      </c>
    </row>
    <row r="36" spans="1:7" x14ac:dyDescent="0.25">
      <c r="A36" s="101">
        <v>41954</v>
      </c>
      <c r="B36" s="9">
        <v>48.57</v>
      </c>
      <c r="C36" s="9">
        <v>49.18</v>
      </c>
      <c r="D36" s="9">
        <v>48.1</v>
      </c>
      <c r="E36" s="9">
        <v>49.05</v>
      </c>
      <c r="F36" s="9">
        <v>31575300</v>
      </c>
      <c r="G36" s="9">
        <v>49.05</v>
      </c>
    </row>
    <row r="37" spans="1:7" x14ac:dyDescent="0.25">
      <c r="A37" s="101">
        <v>41953</v>
      </c>
      <c r="B37" s="9">
        <v>48.8</v>
      </c>
      <c r="C37" s="9">
        <v>49.63</v>
      </c>
      <c r="D37" s="9">
        <v>48.79</v>
      </c>
      <c r="E37" s="9">
        <v>49.41</v>
      </c>
      <c r="F37" s="9">
        <v>24671400</v>
      </c>
      <c r="G37" s="9">
        <v>49.41</v>
      </c>
    </row>
    <row r="38" spans="1:7" x14ac:dyDescent="0.25">
      <c r="A38" s="101">
        <v>41950</v>
      </c>
      <c r="B38" s="9">
        <v>47.9</v>
      </c>
      <c r="C38" s="9">
        <v>48.67</v>
      </c>
      <c r="D38" s="9">
        <v>47.86</v>
      </c>
      <c r="E38" s="9">
        <v>48.55</v>
      </c>
      <c r="F38" s="9">
        <v>24166700</v>
      </c>
      <c r="G38" s="9">
        <v>48.55</v>
      </c>
    </row>
    <row r="39" spans="1:7" x14ac:dyDescent="0.25">
      <c r="A39" s="101">
        <v>41949</v>
      </c>
      <c r="B39" s="9">
        <v>47.37</v>
      </c>
      <c r="C39" s="9">
        <v>47.98</v>
      </c>
      <c r="D39" s="9">
        <v>46.6</v>
      </c>
      <c r="E39" s="9">
        <v>47.93</v>
      </c>
      <c r="F39" s="9">
        <v>22636000</v>
      </c>
      <c r="G39" s="9">
        <v>47.93</v>
      </c>
    </row>
    <row r="40" spans="1:7" x14ac:dyDescent="0.25">
      <c r="A40" s="101">
        <v>41948</v>
      </c>
      <c r="B40" s="9">
        <v>47.62</v>
      </c>
      <c r="C40" s="9">
        <v>48.28</v>
      </c>
      <c r="D40" s="9">
        <v>47.32</v>
      </c>
      <c r="E40" s="9">
        <v>47.46</v>
      </c>
      <c r="F40" s="9">
        <v>33021500</v>
      </c>
      <c r="G40" s="9">
        <v>47.46</v>
      </c>
    </row>
    <row r="41" spans="1:7" x14ac:dyDescent="0.25">
      <c r="A41" s="101">
        <v>41947</v>
      </c>
      <c r="B41" s="9">
        <v>45.99</v>
      </c>
      <c r="C41" s="9">
        <v>47.13</v>
      </c>
      <c r="D41" s="9">
        <v>45.74</v>
      </c>
      <c r="E41" s="9">
        <v>47.08</v>
      </c>
      <c r="F41" s="9">
        <v>25051500</v>
      </c>
      <c r="G41" s="9">
        <v>47.08</v>
      </c>
    </row>
    <row r="42" spans="1:7" x14ac:dyDescent="0.25">
      <c r="A42" s="101">
        <v>41946</v>
      </c>
      <c r="B42" s="9">
        <v>46.05</v>
      </c>
      <c r="C42" s="9">
        <v>46.72</v>
      </c>
      <c r="D42" s="9">
        <v>45.94</v>
      </c>
      <c r="E42" s="9">
        <v>46.34</v>
      </c>
      <c r="F42" s="9">
        <v>17181500</v>
      </c>
      <c r="G42" s="9">
        <v>46.34</v>
      </c>
    </row>
    <row r="43" spans="1:7" x14ac:dyDescent="0.25">
      <c r="A43" s="101">
        <v>41943</v>
      </c>
      <c r="B43" s="9">
        <v>46.16</v>
      </c>
      <c r="C43" s="9">
        <v>46.52</v>
      </c>
      <c r="D43" s="9">
        <v>45.67</v>
      </c>
      <c r="E43" s="9">
        <v>46.05</v>
      </c>
      <c r="F43" s="9">
        <v>18446800</v>
      </c>
      <c r="G43" s="9">
        <v>46.05</v>
      </c>
    </row>
    <row r="44" spans="1:7" x14ac:dyDescent="0.25">
      <c r="A44" s="101">
        <v>41942</v>
      </c>
      <c r="B44" s="9">
        <v>45.21</v>
      </c>
      <c r="C44" s="9">
        <v>45.84</v>
      </c>
      <c r="D44" s="9">
        <v>45.13</v>
      </c>
      <c r="E44" s="9">
        <v>45.63</v>
      </c>
      <c r="F44" s="9">
        <v>16205500</v>
      </c>
      <c r="G44" s="9">
        <v>45.63</v>
      </c>
    </row>
    <row r="45" spans="1:7" x14ac:dyDescent="0.25">
      <c r="A45" s="101">
        <v>41941</v>
      </c>
      <c r="B45" s="9">
        <v>45.94</v>
      </c>
      <c r="C45" s="9">
        <v>45.98</v>
      </c>
      <c r="D45" s="9">
        <v>45.13</v>
      </c>
      <c r="E45" s="9">
        <v>45.43</v>
      </c>
      <c r="F45" s="9">
        <v>25389100</v>
      </c>
      <c r="G45" s="9">
        <v>45.43</v>
      </c>
    </row>
    <row r="46" spans="1:7" x14ac:dyDescent="0.25">
      <c r="A46" s="101">
        <v>41940</v>
      </c>
      <c r="B46" s="9">
        <v>45.01</v>
      </c>
      <c r="C46" s="9">
        <v>46.15</v>
      </c>
      <c r="D46" s="9">
        <v>44.88</v>
      </c>
      <c r="E46" s="9">
        <v>45.87</v>
      </c>
      <c r="F46" s="9">
        <v>36834900</v>
      </c>
      <c r="G46" s="9">
        <v>45.87</v>
      </c>
    </row>
    <row r="47" spans="1:7" x14ac:dyDescent="0.25">
      <c r="A47" s="101">
        <v>41939</v>
      </c>
      <c r="B47" s="9">
        <v>43.31</v>
      </c>
      <c r="C47" s="9">
        <v>44.82</v>
      </c>
      <c r="D47" s="9">
        <v>43.29</v>
      </c>
      <c r="E47" s="9">
        <v>44.7</v>
      </c>
      <c r="F47" s="9">
        <v>36596500</v>
      </c>
      <c r="G47" s="9">
        <v>44.7</v>
      </c>
    </row>
    <row r="48" spans="1:7" x14ac:dyDescent="0.25">
      <c r="A48" s="101">
        <v>41936</v>
      </c>
      <c r="B48" s="9">
        <v>42.53</v>
      </c>
      <c r="C48" s="9">
        <v>43.65</v>
      </c>
      <c r="D48" s="9">
        <v>42.4</v>
      </c>
      <c r="E48" s="9">
        <v>43.5</v>
      </c>
      <c r="F48" s="9">
        <v>33805800</v>
      </c>
      <c r="G48" s="9">
        <v>43.5</v>
      </c>
    </row>
    <row r="49" spans="1:7" x14ac:dyDescent="0.25">
      <c r="A49" s="101">
        <v>41935</v>
      </c>
      <c r="B49" s="9">
        <v>42.4</v>
      </c>
      <c r="C49" s="9">
        <v>42.83</v>
      </c>
      <c r="D49" s="9">
        <v>42.26</v>
      </c>
      <c r="E49" s="9">
        <v>42.6</v>
      </c>
      <c r="F49" s="9">
        <v>30653400</v>
      </c>
      <c r="G49" s="9">
        <v>42.6</v>
      </c>
    </row>
    <row r="50" spans="1:7" x14ac:dyDescent="0.25">
      <c r="A50" s="101">
        <v>41934</v>
      </c>
      <c r="B50" s="9">
        <v>42.42</v>
      </c>
      <c r="C50" s="9">
        <v>42.88</v>
      </c>
      <c r="D50" s="9">
        <v>41.77</v>
      </c>
      <c r="E50" s="9">
        <v>42</v>
      </c>
      <c r="F50" s="9">
        <v>69348900</v>
      </c>
      <c r="G50" s="9">
        <v>42</v>
      </c>
    </row>
    <row r="51" spans="1:7" x14ac:dyDescent="0.25">
      <c r="A51" s="101">
        <v>41933</v>
      </c>
      <c r="B51" s="9">
        <v>39.65</v>
      </c>
      <c r="C51" s="9">
        <v>40.479999999999997</v>
      </c>
      <c r="D51" s="9">
        <v>39.46</v>
      </c>
      <c r="E51" s="9">
        <v>40.18</v>
      </c>
      <c r="F51" s="9">
        <v>41955200</v>
      </c>
      <c r="G51" s="9">
        <v>40.18</v>
      </c>
    </row>
    <row r="52" spans="1:7" x14ac:dyDescent="0.25">
      <c r="A52" s="101">
        <v>41932</v>
      </c>
      <c r="B52" s="9">
        <v>38.47</v>
      </c>
      <c r="C52" s="9">
        <v>39.4</v>
      </c>
      <c r="D52" s="9">
        <v>38.25</v>
      </c>
      <c r="E52" s="9">
        <v>39.28</v>
      </c>
      <c r="F52" s="9">
        <v>17802400</v>
      </c>
      <c r="G52" s="9">
        <v>39.28</v>
      </c>
    </row>
    <row r="53" spans="1:7" x14ac:dyDescent="0.25">
      <c r="A53" s="101">
        <v>41929</v>
      </c>
      <c r="B53" s="9">
        <v>38.74</v>
      </c>
      <c r="C53" s="9">
        <v>38.979999999999997</v>
      </c>
      <c r="D53" s="9">
        <v>38.31</v>
      </c>
      <c r="E53" s="9">
        <v>38.450000000000003</v>
      </c>
      <c r="F53" s="9">
        <v>24107000</v>
      </c>
      <c r="G53" s="9">
        <v>38.450000000000003</v>
      </c>
    </row>
    <row r="54" spans="1:7" x14ac:dyDescent="0.25">
      <c r="A54" s="101">
        <v>41928</v>
      </c>
      <c r="B54" s="9">
        <v>36.950000000000003</v>
      </c>
      <c r="C54" s="9">
        <v>38.5</v>
      </c>
      <c r="D54" s="9">
        <v>36.92</v>
      </c>
      <c r="E54" s="9">
        <v>38.119999999999997</v>
      </c>
      <c r="F54" s="9">
        <v>26998500</v>
      </c>
      <c r="G54" s="9">
        <v>38.119999999999997</v>
      </c>
    </row>
    <row r="55" spans="1:7" x14ac:dyDescent="0.25">
      <c r="A55" s="101">
        <v>41927</v>
      </c>
      <c r="B55" s="9">
        <v>37.270000000000003</v>
      </c>
      <c r="C55" s="9">
        <v>38.08</v>
      </c>
      <c r="D55" s="9">
        <v>36.200000000000003</v>
      </c>
      <c r="E55" s="9">
        <v>37.82</v>
      </c>
      <c r="F55" s="9">
        <v>41973500</v>
      </c>
      <c r="G55" s="9">
        <v>37.82</v>
      </c>
    </row>
    <row r="56" spans="1:7" x14ac:dyDescent="0.25">
      <c r="A56" s="101">
        <v>41926</v>
      </c>
      <c r="B56" s="9">
        <v>38.659999999999997</v>
      </c>
      <c r="C56" s="9">
        <v>39</v>
      </c>
      <c r="D56" s="9">
        <v>37.71</v>
      </c>
      <c r="E56" s="9">
        <v>37.97</v>
      </c>
      <c r="F56" s="9">
        <v>38509000</v>
      </c>
      <c r="G56" s="9">
        <v>37.97</v>
      </c>
    </row>
    <row r="57" spans="1:7" x14ac:dyDescent="0.25">
      <c r="A57" s="101">
        <v>41925</v>
      </c>
      <c r="B57" s="9">
        <v>39.520000000000003</v>
      </c>
      <c r="C57" s="9">
        <v>40.07</v>
      </c>
      <c r="D57" s="9">
        <v>38.29</v>
      </c>
      <c r="E57" s="9">
        <v>38.380000000000003</v>
      </c>
      <c r="F57" s="9">
        <v>38841900</v>
      </c>
      <c r="G57" s="9">
        <v>38.380000000000003</v>
      </c>
    </row>
    <row r="58" spans="1:7" x14ac:dyDescent="0.25">
      <c r="A58" s="101">
        <v>41922</v>
      </c>
      <c r="B58" s="9">
        <v>40.729999999999997</v>
      </c>
      <c r="C58" s="9">
        <v>41.07</v>
      </c>
      <c r="D58" s="9">
        <v>39.590000000000003</v>
      </c>
      <c r="E58" s="9">
        <v>39.6</v>
      </c>
      <c r="F58" s="9">
        <v>36771500</v>
      </c>
      <c r="G58" s="9">
        <v>39.6</v>
      </c>
    </row>
    <row r="59" spans="1:7" x14ac:dyDescent="0.25">
      <c r="A59" s="101">
        <v>41921</v>
      </c>
      <c r="B59" s="9">
        <v>40.9</v>
      </c>
      <c r="C59" s="9">
        <v>41.25</v>
      </c>
      <c r="D59" s="9">
        <v>40.42</v>
      </c>
      <c r="E59" s="9">
        <v>41.1</v>
      </c>
      <c r="F59" s="9">
        <v>33519600</v>
      </c>
      <c r="G59" s="9">
        <v>41.1</v>
      </c>
    </row>
    <row r="60" spans="1:7" x14ac:dyDescent="0.25">
      <c r="A60" s="101">
        <v>41920</v>
      </c>
      <c r="B60" s="9">
        <v>41</v>
      </c>
      <c r="C60" s="9">
        <v>41.29</v>
      </c>
      <c r="D60" s="9">
        <v>40.1</v>
      </c>
      <c r="E60" s="9">
        <v>41.08</v>
      </c>
      <c r="F60" s="9">
        <v>26593500</v>
      </c>
      <c r="G60" s="9">
        <v>41.08</v>
      </c>
    </row>
    <row r="61" spans="1:7" x14ac:dyDescent="0.25">
      <c r="A61" s="101">
        <v>41919</v>
      </c>
      <c r="B61" s="9">
        <v>41.06</v>
      </c>
      <c r="C61" s="9">
        <v>41.29</v>
      </c>
      <c r="D61" s="9">
        <v>40.78</v>
      </c>
      <c r="E61" s="9">
        <v>40.93</v>
      </c>
      <c r="F61" s="9">
        <v>22538300</v>
      </c>
      <c r="G61" s="9">
        <v>40.93</v>
      </c>
    </row>
    <row r="62" spans="1:7" x14ac:dyDescent="0.25">
      <c r="A62" s="101">
        <v>41918</v>
      </c>
      <c r="B62" s="9">
        <v>41.2</v>
      </c>
      <c r="C62" s="9">
        <v>41.73</v>
      </c>
      <c r="D62" s="9">
        <v>41.04</v>
      </c>
      <c r="E62" s="9">
        <v>41.52</v>
      </c>
      <c r="F62" s="9">
        <v>23576100</v>
      </c>
      <c r="G62" s="9">
        <v>41.52</v>
      </c>
    </row>
    <row r="63" spans="1:7" x14ac:dyDescent="0.25">
      <c r="A63" s="101">
        <v>41915</v>
      </c>
      <c r="B63" s="9">
        <v>40.79</v>
      </c>
      <c r="C63" s="9">
        <v>41.69</v>
      </c>
      <c r="D63" s="9">
        <v>40.65</v>
      </c>
      <c r="E63" s="9">
        <v>41.03</v>
      </c>
      <c r="F63" s="9">
        <v>38191700</v>
      </c>
      <c r="G63" s="9">
        <v>41.03</v>
      </c>
    </row>
    <row r="64" spans="1:7" x14ac:dyDescent="0.25">
      <c r="A64" s="101">
        <v>41914</v>
      </c>
      <c r="B64" s="9">
        <v>40.24</v>
      </c>
      <c r="C64" s="9">
        <v>40.64</v>
      </c>
      <c r="D64" s="9">
        <v>39.69</v>
      </c>
      <c r="E64" s="9">
        <v>40.5</v>
      </c>
      <c r="F64" s="9">
        <v>24584400</v>
      </c>
      <c r="G64" s="9">
        <v>40.5</v>
      </c>
    </row>
    <row r="65" spans="1:7" x14ac:dyDescent="0.25">
      <c r="A65" s="101">
        <v>41913</v>
      </c>
      <c r="B65" s="9">
        <v>40.659999999999997</v>
      </c>
      <c r="C65" s="9">
        <v>41.24</v>
      </c>
      <c r="D65" s="9">
        <v>40.11</v>
      </c>
      <c r="E65" s="9">
        <v>40.32</v>
      </c>
      <c r="F65" s="9">
        <v>35172900</v>
      </c>
      <c r="G65" s="9">
        <v>40.32</v>
      </c>
    </row>
    <row r="66" spans="1:7" x14ac:dyDescent="0.25">
      <c r="A66" s="101">
        <v>41912</v>
      </c>
      <c r="B66" s="9">
        <v>40.58</v>
      </c>
      <c r="C66" s="9">
        <v>41.23</v>
      </c>
      <c r="D66" s="9">
        <v>40.44</v>
      </c>
      <c r="E66" s="9">
        <v>40.75</v>
      </c>
      <c r="F66" s="9">
        <v>30386500</v>
      </c>
      <c r="G66" s="9">
        <v>40.75</v>
      </c>
    </row>
    <row r="67" spans="1:7" x14ac:dyDescent="0.25">
      <c r="A67" s="101">
        <v>41911</v>
      </c>
      <c r="B67" s="9">
        <v>40.409999999999997</v>
      </c>
      <c r="C67" s="9">
        <v>41.09</v>
      </c>
      <c r="D67" s="9">
        <v>40.159999999999997</v>
      </c>
      <c r="E67" s="9">
        <v>40.520000000000003</v>
      </c>
      <c r="F67" s="9">
        <v>35883300</v>
      </c>
      <c r="G67" s="9">
        <v>40.520000000000003</v>
      </c>
    </row>
    <row r="68" spans="1:7" x14ac:dyDescent="0.25">
      <c r="A68" s="101">
        <v>41908</v>
      </c>
      <c r="B68" s="9">
        <v>39.01</v>
      </c>
      <c r="C68" s="9">
        <v>40.799999999999997</v>
      </c>
      <c r="D68" s="9">
        <v>39</v>
      </c>
      <c r="E68" s="9">
        <v>40.659999999999997</v>
      </c>
      <c r="F68" s="9">
        <v>62189200</v>
      </c>
      <c r="G68" s="9">
        <v>40.659999999999997</v>
      </c>
    </row>
    <row r="69" spans="1:7" x14ac:dyDescent="0.25">
      <c r="A69" s="101">
        <v>41907</v>
      </c>
      <c r="B69" s="9">
        <v>39.56</v>
      </c>
      <c r="C69" s="9">
        <v>39.799999999999997</v>
      </c>
      <c r="D69" s="9">
        <v>38.82</v>
      </c>
      <c r="E69" s="9">
        <v>38.950000000000003</v>
      </c>
      <c r="F69" s="9">
        <v>35916500</v>
      </c>
      <c r="G69" s="9">
        <v>38.950000000000003</v>
      </c>
    </row>
    <row r="70" spans="1:7" x14ac:dyDescent="0.25">
      <c r="A70" s="101">
        <v>41906</v>
      </c>
      <c r="B70" s="9">
        <v>39.26</v>
      </c>
      <c r="C70" s="9">
        <v>40.1</v>
      </c>
      <c r="D70" s="9">
        <v>38.909999999999997</v>
      </c>
      <c r="E70" s="9">
        <v>39.880000000000003</v>
      </c>
      <c r="F70" s="9">
        <v>49014100</v>
      </c>
      <c r="G70" s="9">
        <v>39.880000000000003</v>
      </c>
    </row>
    <row r="71" spans="1:7" x14ac:dyDescent="0.25">
      <c r="A71" s="101">
        <v>41905</v>
      </c>
      <c r="B71" s="9">
        <v>38.15</v>
      </c>
      <c r="C71" s="9">
        <v>39.270000000000003</v>
      </c>
      <c r="D71" s="9">
        <v>37.9</v>
      </c>
      <c r="E71" s="9">
        <v>39.049999999999997</v>
      </c>
      <c r="F71" s="9">
        <v>66105300</v>
      </c>
      <c r="G71" s="9">
        <v>39.049999999999997</v>
      </c>
    </row>
    <row r="72" spans="1:7" x14ac:dyDescent="0.25">
      <c r="A72" s="101">
        <v>41904</v>
      </c>
      <c r="B72" s="9">
        <v>39.770000000000003</v>
      </c>
      <c r="C72" s="9">
        <v>40.04</v>
      </c>
      <c r="D72" s="9">
        <v>38.22</v>
      </c>
      <c r="E72" s="9">
        <v>38.65</v>
      </c>
      <c r="F72" s="9">
        <v>109217100</v>
      </c>
      <c r="G72" s="9">
        <v>38.65</v>
      </c>
    </row>
    <row r="73" spans="1:7" x14ac:dyDescent="0.25">
      <c r="A73" s="101">
        <v>41901</v>
      </c>
      <c r="B73" s="9">
        <v>42.44</v>
      </c>
      <c r="C73" s="9">
        <v>43.19</v>
      </c>
      <c r="D73" s="9">
        <v>39.549999999999997</v>
      </c>
      <c r="E73" s="9">
        <v>40.93</v>
      </c>
      <c r="F73" s="9">
        <v>233872100</v>
      </c>
      <c r="G73" s="9">
        <v>40.93</v>
      </c>
    </row>
    <row r="74" spans="1:7" x14ac:dyDescent="0.25">
      <c r="A74" s="101">
        <v>41900</v>
      </c>
      <c r="B74" s="9">
        <v>43.05</v>
      </c>
      <c r="C74" s="9">
        <v>43.32</v>
      </c>
      <c r="D74" s="9">
        <v>41.42</v>
      </c>
      <c r="E74" s="9">
        <v>42.09</v>
      </c>
      <c r="F74" s="9">
        <v>93702100</v>
      </c>
      <c r="G74" s="9">
        <v>42.09</v>
      </c>
    </row>
    <row r="75" spans="1:7" x14ac:dyDescent="0.25">
      <c r="A75" s="101">
        <v>41899</v>
      </c>
      <c r="B75" s="9">
        <v>42.37</v>
      </c>
      <c r="C75" s="9">
        <v>42.96</v>
      </c>
      <c r="D75" s="9">
        <v>42.3</v>
      </c>
      <c r="E75" s="9">
        <v>42.59</v>
      </c>
      <c r="F75" s="9">
        <v>39495500</v>
      </c>
      <c r="G75" s="9">
        <v>42.59</v>
      </c>
    </row>
    <row r="76" spans="1:7" x14ac:dyDescent="0.25">
      <c r="A76" s="101">
        <v>41898</v>
      </c>
      <c r="B76" s="9">
        <v>42.61</v>
      </c>
      <c r="C76" s="9">
        <v>42.96</v>
      </c>
      <c r="D76" s="9">
        <v>41.69</v>
      </c>
      <c r="E76" s="9">
        <v>42.71</v>
      </c>
      <c r="F76" s="9">
        <v>61490700</v>
      </c>
      <c r="G76" s="9">
        <v>42.71</v>
      </c>
    </row>
    <row r="77" spans="1:7" x14ac:dyDescent="0.25">
      <c r="A77" s="101">
        <v>41897</v>
      </c>
      <c r="B77" s="9">
        <v>43.98</v>
      </c>
      <c r="C77" s="9">
        <v>44.01</v>
      </c>
      <c r="D77" s="9">
        <v>42.14</v>
      </c>
      <c r="E77" s="9">
        <v>42.55</v>
      </c>
      <c r="F77" s="9">
        <v>72409900</v>
      </c>
      <c r="G77" s="9">
        <v>42.55</v>
      </c>
    </row>
    <row r="78" spans="1:7" x14ac:dyDescent="0.25">
      <c r="A78" s="101">
        <v>41894</v>
      </c>
      <c r="B78" s="9">
        <v>41.73</v>
      </c>
      <c r="C78" s="9">
        <v>43.2</v>
      </c>
      <c r="D78" s="9">
        <v>41.5</v>
      </c>
      <c r="E78" s="9">
        <v>42.88</v>
      </c>
      <c r="F78" s="9">
        <v>69745500</v>
      </c>
      <c r="G78" s="9">
        <v>42.88</v>
      </c>
    </row>
    <row r="79" spans="1:7" x14ac:dyDescent="0.25">
      <c r="A79" s="101">
        <v>41893</v>
      </c>
      <c r="B79" s="9">
        <v>41.02</v>
      </c>
      <c r="C79" s="9">
        <v>41.56</v>
      </c>
      <c r="D79" s="9">
        <v>40.93</v>
      </c>
      <c r="E79" s="9">
        <v>41.26</v>
      </c>
      <c r="F79" s="9">
        <v>25203000</v>
      </c>
      <c r="G79" s="9">
        <v>41.26</v>
      </c>
    </row>
    <row r="80" spans="1:7" x14ac:dyDescent="0.25">
      <c r="A80" s="101">
        <v>41892</v>
      </c>
      <c r="B80" s="9">
        <v>41.05</v>
      </c>
      <c r="C80" s="9">
        <v>41.23</v>
      </c>
      <c r="D80" s="9">
        <v>40.33</v>
      </c>
      <c r="E80" s="9">
        <v>41.14</v>
      </c>
      <c r="F80" s="9">
        <v>30741800</v>
      </c>
      <c r="G80" s="9">
        <v>41.14</v>
      </c>
    </row>
    <row r="81" spans="1:7" x14ac:dyDescent="0.25">
      <c r="A81" s="101">
        <v>41891</v>
      </c>
      <c r="B81" s="9">
        <v>42.01</v>
      </c>
      <c r="C81" s="9">
        <v>42.06</v>
      </c>
      <c r="D81" s="9">
        <v>40.6</v>
      </c>
      <c r="E81" s="9">
        <v>40.78</v>
      </c>
      <c r="F81" s="9">
        <v>52683000</v>
      </c>
      <c r="G81" s="9">
        <v>40.78</v>
      </c>
    </row>
    <row r="82" spans="1:7" x14ac:dyDescent="0.25">
      <c r="A82" s="101">
        <v>41890</v>
      </c>
      <c r="B82" s="9">
        <v>40.340000000000003</v>
      </c>
      <c r="C82" s="9">
        <v>41.82</v>
      </c>
      <c r="D82" s="9">
        <v>40.26</v>
      </c>
      <c r="E82" s="9">
        <v>41.81</v>
      </c>
      <c r="F82" s="9">
        <v>75520200</v>
      </c>
      <c r="G82" s="9">
        <v>41.81</v>
      </c>
    </row>
    <row r="83" spans="1:7" x14ac:dyDescent="0.25">
      <c r="A83" s="101">
        <v>41887</v>
      </c>
      <c r="B83" s="9">
        <v>39.049999999999997</v>
      </c>
      <c r="C83" s="9">
        <v>39.799999999999997</v>
      </c>
      <c r="D83" s="9">
        <v>39.049999999999997</v>
      </c>
      <c r="E83" s="9">
        <v>39.590000000000003</v>
      </c>
      <c r="F83" s="9">
        <v>26200400</v>
      </c>
      <c r="G83" s="9">
        <v>39.590000000000003</v>
      </c>
    </row>
    <row r="84" spans="1:7" x14ac:dyDescent="0.25">
      <c r="A84" s="101">
        <v>41886</v>
      </c>
      <c r="B84" s="9">
        <v>39.14</v>
      </c>
      <c r="C84" s="9">
        <v>39.340000000000003</v>
      </c>
      <c r="D84" s="9">
        <v>38.96</v>
      </c>
      <c r="E84" s="9">
        <v>39.19</v>
      </c>
      <c r="F84" s="9">
        <v>14763300</v>
      </c>
      <c r="G84" s="9">
        <v>39.19</v>
      </c>
    </row>
    <row r="85" spans="1:7" x14ac:dyDescent="0.25">
      <c r="A85" s="101">
        <v>41885</v>
      </c>
      <c r="B85" s="9">
        <v>39.49</v>
      </c>
      <c r="C85" s="9">
        <v>39.6</v>
      </c>
      <c r="D85" s="9">
        <v>38.69</v>
      </c>
      <c r="E85" s="9">
        <v>38.869999999999997</v>
      </c>
      <c r="F85" s="9">
        <v>16092900</v>
      </c>
      <c r="G85" s="9">
        <v>38.869999999999997</v>
      </c>
    </row>
    <row r="86" spans="1:7" x14ac:dyDescent="0.25">
      <c r="A86" s="101">
        <v>41884</v>
      </c>
      <c r="B86" s="9">
        <v>38.9</v>
      </c>
      <c r="C86" s="9">
        <v>39.299999999999997</v>
      </c>
      <c r="D86" s="9">
        <v>38.79</v>
      </c>
      <c r="E86" s="9">
        <v>39.270000000000003</v>
      </c>
      <c r="F86" s="9">
        <v>19803300</v>
      </c>
      <c r="G86" s="9">
        <v>39.270000000000003</v>
      </c>
    </row>
    <row r="87" spans="1:7" x14ac:dyDescent="0.25">
      <c r="A87" s="101">
        <v>41880</v>
      </c>
      <c r="B87" s="9">
        <v>38.57</v>
      </c>
      <c r="C87" s="9">
        <v>38.67</v>
      </c>
      <c r="D87" s="9">
        <v>38.200000000000003</v>
      </c>
      <c r="E87" s="9">
        <v>38.51</v>
      </c>
      <c r="F87" s="9">
        <v>11634100</v>
      </c>
      <c r="G87" s="9">
        <v>38.51</v>
      </c>
    </row>
    <row r="88" spans="1:7" x14ac:dyDescent="0.25">
      <c r="A88" s="101">
        <v>41879</v>
      </c>
      <c r="B88" s="9">
        <v>38.090000000000003</v>
      </c>
      <c r="C88" s="9">
        <v>38.57</v>
      </c>
      <c r="D88" s="9">
        <v>37.9</v>
      </c>
      <c r="E88" s="9">
        <v>38.31</v>
      </c>
      <c r="F88" s="9">
        <v>16490600</v>
      </c>
      <c r="G88" s="9">
        <v>38.31</v>
      </c>
    </row>
    <row r="89" spans="1:7" x14ac:dyDescent="0.25">
      <c r="A89" s="101">
        <v>41878</v>
      </c>
      <c r="B89" s="9">
        <v>38.299999999999997</v>
      </c>
      <c r="C89" s="9">
        <v>38.72</v>
      </c>
      <c r="D89" s="9">
        <v>37.83</v>
      </c>
      <c r="E89" s="9">
        <v>38.18</v>
      </c>
      <c r="F89" s="9">
        <v>24843000</v>
      </c>
      <c r="G89" s="9">
        <v>38.18</v>
      </c>
    </row>
    <row r="90" spans="1:7" x14ac:dyDescent="0.25">
      <c r="A90" s="101">
        <v>41877</v>
      </c>
      <c r="B90" s="9">
        <v>37.76</v>
      </c>
      <c r="C90" s="9">
        <v>37.92</v>
      </c>
      <c r="D90" s="9">
        <v>37.56</v>
      </c>
      <c r="E90" s="9">
        <v>37.79</v>
      </c>
      <c r="F90" s="9">
        <v>9516800</v>
      </c>
      <c r="G90" s="9">
        <v>37.79</v>
      </c>
    </row>
    <row r="91" spans="1:7" x14ac:dyDescent="0.25">
      <c r="A91" s="101">
        <v>41876</v>
      </c>
      <c r="B91" s="9">
        <v>38.14</v>
      </c>
      <c r="C91" s="9">
        <v>38.22</v>
      </c>
      <c r="D91" s="9">
        <v>37.54</v>
      </c>
      <c r="E91" s="9">
        <v>37.71</v>
      </c>
      <c r="F91" s="9">
        <v>14356400</v>
      </c>
      <c r="G91" s="9">
        <v>37.71</v>
      </c>
    </row>
    <row r="92" spans="1:7" x14ac:dyDescent="0.25">
      <c r="A92" s="101">
        <v>41873</v>
      </c>
      <c r="B92" s="9">
        <v>37.700000000000003</v>
      </c>
      <c r="C92" s="9">
        <v>38.200000000000003</v>
      </c>
      <c r="D92" s="9">
        <v>37.64</v>
      </c>
      <c r="E92" s="9">
        <v>38.01</v>
      </c>
      <c r="F92" s="9">
        <v>14879100</v>
      </c>
      <c r="G92" s="9">
        <v>38.01</v>
      </c>
    </row>
    <row r="93" spans="1:7" x14ac:dyDescent="0.25">
      <c r="A93" s="101">
        <v>41872</v>
      </c>
      <c r="B93" s="9">
        <v>37.65</v>
      </c>
      <c r="C93" s="9">
        <v>37.75</v>
      </c>
      <c r="D93" s="9">
        <v>37.31</v>
      </c>
      <c r="E93" s="9">
        <v>37.64</v>
      </c>
      <c r="F93" s="9">
        <v>12254900</v>
      </c>
      <c r="G93" s="9">
        <v>37.64</v>
      </c>
    </row>
    <row r="94" spans="1:7" x14ac:dyDescent="0.25">
      <c r="A94" s="101">
        <v>41871</v>
      </c>
      <c r="B94" s="9">
        <v>37.61</v>
      </c>
      <c r="C94" s="9">
        <v>37.75</v>
      </c>
      <c r="D94" s="9">
        <v>37.31</v>
      </c>
      <c r="E94" s="9">
        <v>37.5</v>
      </c>
      <c r="F94" s="9">
        <v>12670300</v>
      </c>
      <c r="G94" s="9">
        <v>37.5</v>
      </c>
    </row>
    <row r="95" spans="1:7" x14ac:dyDescent="0.25">
      <c r="A95" s="101">
        <v>41870</v>
      </c>
      <c r="B95" s="9">
        <v>37.56</v>
      </c>
      <c r="C95" s="9">
        <v>37.94</v>
      </c>
      <c r="D95" s="9">
        <v>37.5</v>
      </c>
      <c r="E95" s="9">
        <v>37.83</v>
      </c>
      <c r="F95" s="9">
        <v>17084900</v>
      </c>
      <c r="G95" s="9">
        <v>37.83</v>
      </c>
    </row>
    <row r="96" spans="1:7" x14ac:dyDescent="0.25">
      <c r="A96" s="101">
        <v>41869</v>
      </c>
      <c r="B96" s="9">
        <v>36.770000000000003</v>
      </c>
      <c r="C96" s="9">
        <v>37.770000000000003</v>
      </c>
      <c r="D96" s="9">
        <v>36.75</v>
      </c>
      <c r="E96" s="9">
        <v>37.380000000000003</v>
      </c>
      <c r="F96" s="9">
        <v>20153200</v>
      </c>
      <c r="G96" s="9">
        <v>37.380000000000003</v>
      </c>
    </row>
    <row r="97" spans="1:7" x14ac:dyDescent="0.25">
      <c r="A97" s="101">
        <v>41866</v>
      </c>
      <c r="B97" s="9">
        <v>36.200000000000003</v>
      </c>
      <c r="C97" s="9">
        <v>36.57</v>
      </c>
      <c r="D97" s="9">
        <v>36.119999999999997</v>
      </c>
      <c r="E97" s="9">
        <v>36.47</v>
      </c>
      <c r="F97" s="9">
        <v>13338900</v>
      </c>
      <c r="G97" s="9">
        <v>36.47</v>
      </c>
    </row>
    <row r="98" spans="1:7" x14ac:dyDescent="0.25">
      <c r="A98" s="101">
        <v>41865</v>
      </c>
      <c r="B98" s="9">
        <v>36.32</v>
      </c>
      <c r="C98" s="9">
        <v>36.42</v>
      </c>
      <c r="D98" s="9">
        <v>36.17</v>
      </c>
      <c r="E98" s="9">
        <v>36.36</v>
      </c>
      <c r="F98" s="9">
        <v>8927300</v>
      </c>
      <c r="G98" s="9">
        <v>36.36</v>
      </c>
    </row>
    <row r="99" spans="1:7" x14ac:dyDescent="0.25">
      <c r="A99" s="101">
        <v>41864</v>
      </c>
      <c r="B99" s="9">
        <v>35.96</v>
      </c>
      <c r="C99" s="9">
        <v>36.450000000000003</v>
      </c>
      <c r="D99" s="9">
        <v>35.770000000000003</v>
      </c>
      <c r="E99" s="9">
        <v>36.19</v>
      </c>
      <c r="F99" s="9">
        <v>16532300</v>
      </c>
      <c r="G99" s="9">
        <v>36.19</v>
      </c>
    </row>
    <row r="100" spans="1:7" x14ac:dyDescent="0.25">
      <c r="A100" s="101">
        <v>41863</v>
      </c>
      <c r="B100" s="9">
        <v>35.799999999999997</v>
      </c>
      <c r="C100" s="9">
        <v>35.99</v>
      </c>
      <c r="D100" s="9">
        <v>35.15</v>
      </c>
      <c r="E100" s="9">
        <v>35.520000000000003</v>
      </c>
      <c r="F100" s="9">
        <v>12902700</v>
      </c>
      <c r="G100" s="9">
        <v>35.520000000000003</v>
      </c>
    </row>
    <row r="101" spans="1:7" x14ac:dyDescent="0.25">
      <c r="A101" s="101">
        <v>41862</v>
      </c>
      <c r="B101" s="9">
        <v>36.1</v>
      </c>
      <c r="C101" s="9">
        <v>36.15</v>
      </c>
      <c r="D101" s="9">
        <v>35.75</v>
      </c>
      <c r="E101" s="9">
        <v>35.79</v>
      </c>
      <c r="F101" s="9">
        <v>8660100</v>
      </c>
      <c r="G101" s="9">
        <v>35.79</v>
      </c>
    </row>
    <row r="102" spans="1:7" x14ac:dyDescent="0.25">
      <c r="A102" s="101">
        <v>41859</v>
      </c>
      <c r="B102" s="9">
        <v>35.729999999999997</v>
      </c>
      <c r="C102" s="9">
        <v>35.96</v>
      </c>
      <c r="D102" s="9">
        <v>35.4</v>
      </c>
      <c r="E102" s="9">
        <v>35.909999999999997</v>
      </c>
      <c r="F102" s="9">
        <v>10593700</v>
      </c>
      <c r="G102" s="9">
        <v>35.909999999999997</v>
      </c>
    </row>
    <row r="103" spans="1:7" x14ac:dyDescent="0.25">
      <c r="A103" s="101">
        <v>41858</v>
      </c>
      <c r="B103" s="9">
        <v>36</v>
      </c>
      <c r="C103" s="9">
        <v>36</v>
      </c>
      <c r="D103" s="9">
        <v>35.53</v>
      </c>
      <c r="E103" s="9">
        <v>35.659999999999997</v>
      </c>
      <c r="F103" s="9">
        <v>11306600</v>
      </c>
      <c r="G103" s="9">
        <v>35.659999999999997</v>
      </c>
    </row>
    <row r="104" spans="1:7" x14ac:dyDescent="0.25">
      <c r="A104" s="101">
        <v>41857</v>
      </c>
      <c r="B104" s="9">
        <v>35.58</v>
      </c>
      <c r="C104" s="9">
        <v>35.94</v>
      </c>
      <c r="D104" s="9">
        <v>35.44</v>
      </c>
      <c r="E104" s="9">
        <v>35.79</v>
      </c>
      <c r="F104" s="9">
        <v>11770500</v>
      </c>
      <c r="G104" s="9">
        <v>35.79</v>
      </c>
    </row>
    <row r="105" spans="1:7" x14ac:dyDescent="0.25">
      <c r="A105" s="101">
        <v>41856</v>
      </c>
      <c r="B105" s="9">
        <v>36.32</v>
      </c>
      <c r="C105" s="9">
        <v>36.42</v>
      </c>
      <c r="D105" s="9">
        <v>35.619999999999997</v>
      </c>
      <c r="E105" s="9">
        <v>35.700000000000003</v>
      </c>
      <c r="F105" s="9">
        <v>17636400</v>
      </c>
      <c r="G105" s="9">
        <v>35.700000000000003</v>
      </c>
    </row>
    <row r="106" spans="1:7" x14ac:dyDescent="0.25">
      <c r="A106" s="101">
        <v>41855</v>
      </c>
      <c r="B106" s="9">
        <v>35.71</v>
      </c>
      <c r="C106" s="9">
        <v>36.659999999999997</v>
      </c>
      <c r="D106" s="9">
        <v>35.65</v>
      </c>
      <c r="E106" s="9">
        <v>36.53</v>
      </c>
      <c r="F106" s="9">
        <v>13097200</v>
      </c>
      <c r="G106" s="9">
        <v>36.53</v>
      </c>
    </row>
    <row r="107" spans="1:7" x14ac:dyDescent="0.25">
      <c r="A107" s="101">
        <v>41852</v>
      </c>
      <c r="B107" s="9">
        <v>35.69</v>
      </c>
      <c r="C107" s="9">
        <v>36.08</v>
      </c>
      <c r="D107" s="9">
        <v>35.31</v>
      </c>
      <c r="E107" s="9">
        <v>35.619999999999997</v>
      </c>
      <c r="F107" s="9">
        <v>14573000</v>
      </c>
      <c r="G107" s="9">
        <v>35.619999999999997</v>
      </c>
    </row>
    <row r="108" spans="1:7" x14ac:dyDescent="0.25">
      <c r="A108" s="101">
        <v>41851</v>
      </c>
      <c r="B108" s="9">
        <v>36.26</v>
      </c>
      <c r="C108" s="9">
        <v>36.49</v>
      </c>
      <c r="D108" s="9">
        <v>35.68</v>
      </c>
      <c r="E108" s="9">
        <v>35.81</v>
      </c>
      <c r="F108" s="9">
        <v>17937400</v>
      </c>
      <c r="G108" s="9">
        <v>35.81</v>
      </c>
    </row>
    <row r="109" spans="1:7" x14ac:dyDescent="0.25">
      <c r="A109" s="101">
        <v>41850</v>
      </c>
      <c r="B109" s="9">
        <v>35.94</v>
      </c>
      <c r="C109" s="9">
        <v>36.99</v>
      </c>
      <c r="D109" s="9">
        <v>35.799999999999997</v>
      </c>
      <c r="E109" s="9">
        <v>36.6</v>
      </c>
      <c r="F109" s="9">
        <v>29876700</v>
      </c>
      <c r="G109" s="9">
        <v>36.6</v>
      </c>
    </row>
    <row r="110" spans="1:7" x14ac:dyDescent="0.25">
      <c r="A110" s="101">
        <v>41849</v>
      </c>
      <c r="B110" s="9">
        <v>35.909999999999997</v>
      </c>
      <c r="C110" s="9">
        <v>36.159999999999997</v>
      </c>
      <c r="D110" s="9">
        <v>35.67</v>
      </c>
      <c r="E110" s="9">
        <v>35.68</v>
      </c>
      <c r="F110" s="9">
        <v>11570900</v>
      </c>
      <c r="G110" s="9">
        <v>35.68</v>
      </c>
    </row>
    <row r="111" spans="1:7" x14ac:dyDescent="0.25">
      <c r="A111" s="101">
        <v>41848</v>
      </c>
      <c r="B111" s="9">
        <v>36.229999999999997</v>
      </c>
      <c r="C111" s="9">
        <v>36.229999999999997</v>
      </c>
      <c r="D111" s="9">
        <v>35.51</v>
      </c>
      <c r="E111" s="9">
        <v>35.9</v>
      </c>
      <c r="F111" s="9">
        <v>14607200</v>
      </c>
      <c r="G111" s="9">
        <v>35.9</v>
      </c>
    </row>
    <row r="112" spans="1:7" x14ac:dyDescent="0.25">
      <c r="A112" s="101">
        <v>41845</v>
      </c>
      <c r="B112" s="9">
        <v>36</v>
      </c>
      <c r="C112" s="9">
        <v>36.33</v>
      </c>
      <c r="D112" s="9">
        <v>35.75</v>
      </c>
      <c r="E112" s="9">
        <v>36.119999999999997</v>
      </c>
      <c r="F112" s="9">
        <v>20143800</v>
      </c>
      <c r="G112" s="9">
        <v>36.119999999999997</v>
      </c>
    </row>
    <row r="113" spans="1:7" x14ac:dyDescent="0.25">
      <c r="A113" s="101">
        <v>41844</v>
      </c>
      <c r="B113" s="9">
        <v>35.090000000000003</v>
      </c>
      <c r="C113" s="9">
        <v>36.549999999999997</v>
      </c>
      <c r="D113" s="9">
        <v>35.04</v>
      </c>
      <c r="E113" s="9">
        <v>36.17</v>
      </c>
      <c r="F113" s="9">
        <v>47391000</v>
      </c>
      <c r="G113" s="9">
        <v>36.17</v>
      </c>
    </row>
    <row r="114" spans="1:7" x14ac:dyDescent="0.25">
      <c r="A114" s="101">
        <v>41843</v>
      </c>
      <c r="B114" s="9">
        <v>33.78</v>
      </c>
      <c r="C114" s="9">
        <v>34.92</v>
      </c>
      <c r="D114" s="9">
        <v>33.68</v>
      </c>
      <c r="E114" s="9">
        <v>34.71</v>
      </c>
      <c r="F114" s="9">
        <v>38622500</v>
      </c>
      <c r="G114" s="9">
        <v>34.71</v>
      </c>
    </row>
    <row r="115" spans="1:7" x14ac:dyDescent="0.25">
      <c r="A115" s="101">
        <v>41842</v>
      </c>
      <c r="B115" s="9">
        <v>33.479999999999997</v>
      </c>
      <c r="C115" s="9">
        <v>33.840000000000003</v>
      </c>
      <c r="D115" s="9">
        <v>33.4</v>
      </c>
      <c r="E115" s="9">
        <v>33.6</v>
      </c>
      <c r="F115" s="9">
        <v>18153600</v>
      </c>
      <c r="G115" s="9">
        <v>33.6</v>
      </c>
    </row>
    <row r="116" spans="1:7" x14ac:dyDescent="0.25">
      <c r="A116" s="101">
        <v>41841</v>
      </c>
      <c r="B116" s="9">
        <v>33.35</v>
      </c>
      <c r="C116" s="9">
        <v>33.64</v>
      </c>
      <c r="D116" s="9">
        <v>33.159999999999997</v>
      </c>
      <c r="E116" s="9">
        <v>33.28</v>
      </c>
      <c r="F116" s="9">
        <v>18431000</v>
      </c>
      <c r="G116" s="9">
        <v>33.28</v>
      </c>
    </row>
    <row r="117" spans="1:7" x14ac:dyDescent="0.25">
      <c r="A117" s="101">
        <v>41838</v>
      </c>
      <c r="B117" s="9">
        <v>33.18</v>
      </c>
      <c r="C117" s="9">
        <v>33.35</v>
      </c>
      <c r="D117" s="9">
        <v>32.93</v>
      </c>
      <c r="E117" s="9">
        <v>33.33</v>
      </c>
      <c r="F117" s="9">
        <v>21540900</v>
      </c>
      <c r="G117" s="9">
        <v>33.33</v>
      </c>
    </row>
    <row r="118" spans="1:7" x14ac:dyDescent="0.25">
      <c r="A118" s="101">
        <v>41837</v>
      </c>
      <c r="B118" s="9">
        <v>33.82</v>
      </c>
      <c r="C118" s="9">
        <v>33.9</v>
      </c>
      <c r="D118" s="9">
        <v>32.979999999999997</v>
      </c>
      <c r="E118" s="9">
        <v>33.21</v>
      </c>
      <c r="F118" s="9">
        <v>37535900</v>
      </c>
      <c r="G118" s="9">
        <v>33.21</v>
      </c>
    </row>
    <row r="119" spans="1:7" x14ac:dyDescent="0.25">
      <c r="A119" s="101">
        <v>41836</v>
      </c>
      <c r="B119" s="9">
        <v>34.42</v>
      </c>
      <c r="C119" s="9">
        <v>34.450000000000003</v>
      </c>
      <c r="D119" s="9">
        <v>33.72</v>
      </c>
      <c r="E119" s="9">
        <v>33.79</v>
      </c>
      <c r="F119" s="9">
        <v>56260600</v>
      </c>
      <c r="G119" s="9">
        <v>33.79</v>
      </c>
    </row>
    <row r="120" spans="1:7" x14ac:dyDescent="0.25">
      <c r="A120" s="101">
        <v>41835</v>
      </c>
      <c r="B120" s="9">
        <v>35.72</v>
      </c>
      <c r="C120" s="9">
        <v>35.94</v>
      </c>
      <c r="D120" s="9">
        <v>35.200000000000003</v>
      </c>
      <c r="E120" s="9">
        <v>35.61</v>
      </c>
      <c r="F120" s="9">
        <v>36316600</v>
      </c>
      <c r="G120" s="9">
        <v>35.61</v>
      </c>
    </row>
    <row r="121" spans="1:7" x14ac:dyDescent="0.25">
      <c r="A121" s="101">
        <v>41834</v>
      </c>
      <c r="B121" s="9">
        <v>35.799999999999997</v>
      </c>
      <c r="C121" s="9">
        <v>35.950000000000003</v>
      </c>
      <c r="D121" s="9">
        <v>35.450000000000003</v>
      </c>
      <c r="E121" s="9">
        <v>35.700000000000003</v>
      </c>
      <c r="F121" s="9">
        <v>18680500</v>
      </c>
      <c r="G121" s="9">
        <v>35.700000000000003</v>
      </c>
    </row>
    <row r="122" spans="1:7" x14ac:dyDescent="0.25">
      <c r="A122" s="101">
        <v>41831</v>
      </c>
      <c r="B122" s="9">
        <v>34.950000000000003</v>
      </c>
      <c r="C122" s="9">
        <v>35.56</v>
      </c>
      <c r="D122" s="9">
        <v>34.78</v>
      </c>
      <c r="E122" s="9">
        <v>35.43</v>
      </c>
      <c r="F122" s="9">
        <v>18379500</v>
      </c>
      <c r="G122" s="9">
        <v>35.43</v>
      </c>
    </row>
    <row r="123" spans="1:7" x14ac:dyDescent="0.25">
      <c r="A123" s="101">
        <v>41830</v>
      </c>
      <c r="B123" s="9">
        <v>34.33</v>
      </c>
      <c r="C123" s="9">
        <v>34.97</v>
      </c>
      <c r="D123" s="9">
        <v>34.1</v>
      </c>
      <c r="E123" s="9">
        <v>34.93</v>
      </c>
      <c r="F123" s="9">
        <v>18064800</v>
      </c>
      <c r="G123" s="9">
        <v>34.93</v>
      </c>
    </row>
    <row r="124" spans="1:7" x14ac:dyDescent="0.25">
      <c r="A124" s="101">
        <v>41829</v>
      </c>
      <c r="B124" s="9">
        <v>34.68</v>
      </c>
      <c r="C124" s="9">
        <v>35.07</v>
      </c>
      <c r="D124" s="9">
        <v>34.68</v>
      </c>
      <c r="E124" s="9">
        <v>34.85</v>
      </c>
      <c r="F124" s="9">
        <v>12626900</v>
      </c>
      <c r="G124" s="9">
        <v>34.85</v>
      </c>
    </row>
    <row r="125" spans="1:7" x14ac:dyDescent="0.25">
      <c r="A125" s="101">
        <v>41828</v>
      </c>
      <c r="B125" s="9">
        <v>35.64</v>
      </c>
      <c r="C125" s="9">
        <v>35.659999999999997</v>
      </c>
      <c r="D125" s="9">
        <v>34.28</v>
      </c>
      <c r="E125" s="9">
        <v>34.53</v>
      </c>
      <c r="F125" s="9">
        <v>23096900</v>
      </c>
      <c r="G125" s="9">
        <v>34.53</v>
      </c>
    </row>
    <row r="126" spans="1:7" x14ac:dyDescent="0.25">
      <c r="A126" s="101">
        <v>41827</v>
      </c>
      <c r="B126" s="9">
        <v>36.15</v>
      </c>
      <c r="C126" s="9">
        <v>36.229999999999997</v>
      </c>
      <c r="D126" s="9">
        <v>35.479999999999997</v>
      </c>
      <c r="E126" s="9">
        <v>35.520000000000003</v>
      </c>
      <c r="F126" s="9">
        <v>15716800</v>
      </c>
      <c r="G126" s="9">
        <v>35.520000000000003</v>
      </c>
    </row>
    <row r="127" spans="1:7" x14ac:dyDescent="0.25">
      <c r="A127" s="101">
        <v>41823</v>
      </c>
      <c r="B127" s="9">
        <v>36.07</v>
      </c>
      <c r="C127" s="9">
        <v>36.15</v>
      </c>
      <c r="D127" s="9">
        <v>35.9</v>
      </c>
      <c r="E127" s="9">
        <v>36.14</v>
      </c>
      <c r="F127" s="9">
        <v>8604900</v>
      </c>
      <c r="G127" s="9">
        <v>36.14</v>
      </c>
    </row>
    <row r="128" spans="1:7" x14ac:dyDescent="0.25">
      <c r="A128" s="101">
        <v>41822</v>
      </c>
      <c r="B128" s="9">
        <v>35.619999999999997</v>
      </c>
      <c r="C128" s="9">
        <v>35.909999999999997</v>
      </c>
      <c r="D128" s="9">
        <v>35.4</v>
      </c>
      <c r="E128" s="9">
        <v>35.880000000000003</v>
      </c>
      <c r="F128" s="9">
        <v>16533600</v>
      </c>
      <c r="G128" s="9">
        <v>35.880000000000003</v>
      </c>
    </row>
    <row r="129" spans="1:7" x14ac:dyDescent="0.25">
      <c r="A129" s="101">
        <v>41821</v>
      </c>
      <c r="B129" s="9">
        <v>35.5</v>
      </c>
      <c r="C129" s="9">
        <v>35.700000000000003</v>
      </c>
      <c r="D129" s="9">
        <v>35.21</v>
      </c>
      <c r="E129" s="9">
        <v>35.35</v>
      </c>
      <c r="F129" s="9">
        <v>18609600</v>
      </c>
      <c r="G129" s="9">
        <v>35.35</v>
      </c>
    </row>
    <row r="130" spans="1:7" x14ac:dyDescent="0.25">
      <c r="A130" s="101">
        <v>41820</v>
      </c>
      <c r="B130" s="9">
        <v>34.93</v>
      </c>
      <c r="C130" s="9">
        <v>35.26</v>
      </c>
      <c r="D130" s="9">
        <v>34.85</v>
      </c>
      <c r="E130" s="9">
        <v>35.130000000000003</v>
      </c>
      <c r="F130" s="9">
        <v>20450100</v>
      </c>
      <c r="G130" s="9">
        <v>35.130000000000003</v>
      </c>
    </row>
    <row r="131" spans="1:7" x14ac:dyDescent="0.25">
      <c r="A131" s="101">
        <v>41817</v>
      </c>
      <c r="B131" s="9">
        <v>33.85</v>
      </c>
      <c r="C131" s="9">
        <v>34.549999999999997</v>
      </c>
      <c r="D131" s="9">
        <v>33.700000000000003</v>
      </c>
      <c r="E131" s="9">
        <v>34.25</v>
      </c>
      <c r="F131" s="9">
        <v>25500600</v>
      </c>
      <c r="G131" s="9">
        <v>34.25</v>
      </c>
    </row>
    <row r="132" spans="1:7" x14ac:dyDescent="0.25">
      <c r="A132" s="101">
        <v>41816</v>
      </c>
      <c r="B132" s="9">
        <v>33.25</v>
      </c>
      <c r="C132" s="9">
        <v>33.75</v>
      </c>
      <c r="D132" s="9">
        <v>33.020000000000003</v>
      </c>
      <c r="E132" s="9">
        <v>33.659999999999997</v>
      </c>
      <c r="F132" s="9">
        <v>16010000</v>
      </c>
      <c r="G132" s="9">
        <v>33.659999999999997</v>
      </c>
    </row>
    <row r="133" spans="1:7" x14ac:dyDescent="0.25">
      <c r="A133" s="101">
        <v>41815</v>
      </c>
      <c r="B133" s="9">
        <v>33.380000000000003</v>
      </c>
      <c r="C133" s="9">
        <v>33.65</v>
      </c>
      <c r="D133" s="9">
        <v>33.1</v>
      </c>
      <c r="E133" s="9">
        <v>33.25</v>
      </c>
      <c r="F133" s="9">
        <v>18074400</v>
      </c>
      <c r="G133" s="9">
        <v>33.25</v>
      </c>
    </row>
    <row r="134" spans="1:7" x14ac:dyDescent="0.25">
      <c r="A134" s="101">
        <v>41814</v>
      </c>
      <c r="B134" s="9">
        <v>33.79</v>
      </c>
      <c r="C134" s="9">
        <v>33.99</v>
      </c>
      <c r="D134" s="9">
        <v>33.35</v>
      </c>
      <c r="E134" s="9">
        <v>33.479999999999997</v>
      </c>
      <c r="F134" s="9">
        <v>14589800</v>
      </c>
      <c r="G134" s="9">
        <v>33.479999999999997</v>
      </c>
    </row>
    <row r="135" spans="1:7" x14ac:dyDescent="0.25">
      <c r="A135" s="101">
        <v>41813</v>
      </c>
      <c r="B135" s="9">
        <v>34.130000000000003</v>
      </c>
      <c r="C135" s="9">
        <v>34.22</v>
      </c>
      <c r="D135" s="9">
        <v>33.369999999999997</v>
      </c>
      <c r="E135" s="9">
        <v>33.64</v>
      </c>
      <c r="F135" s="9">
        <v>26206400</v>
      </c>
      <c r="G135" s="9">
        <v>33.64</v>
      </c>
    </row>
    <row r="136" spans="1:7" x14ac:dyDescent="0.25">
      <c r="A136" s="101">
        <v>41810</v>
      </c>
      <c r="B136" s="9">
        <v>34.81</v>
      </c>
      <c r="C136" s="9">
        <v>34.81</v>
      </c>
      <c r="D136" s="9">
        <v>33.97</v>
      </c>
      <c r="E136" s="9">
        <v>34.049999999999997</v>
      </c>
      <c r="F136" s="9">
        <v>21605800</v>
      </c>
      <c r="G136" s="9">
        <v>34.049999999999997</v>
      </c>
    </row>
    <row r="137" spans="1:7" x14ac:dyDescent="0.25">
      <c r="A137" s="101">
        <v>41809</v>
      </c>
      <c r="B137" s="9">
        <v>35.14</v>
      </c>
      <c r="C137" s="9">
        <v>35.200000000000003</v>
      </c>
      <c r="D137" s="9">
        <v>34.520000000000003</v>
      </c>
      <c r="E137" s="9">
        <v>34.68</v>
      </c>
      <c r="F137" s="9">
        <v>16200000</v>
      </c>
      <c r="G137" s="9">
        <v>34.68</v>
      </c>
    </row>
    <row r="138" spans="1:7" x14ac:dyDescent="0.25">
      <c r="A138" s="101">
        <v>41808</v>
      </c>
      <c r="B138" s="9">
        <v>34.67</v>
      </c>
      <c r="C138" s="9">
        <v>35.01</v>
      </c>
      <c r="D138" s="9">
        <v>34.26</v>
      </c>
      <c r="E138" s="9">
        <v>34.94</v>
      </c>
      <c r="F138" s="9">
        <v>17836000</v>
      </c>
      <c r="G138" s="9">
        <v>34.94</v>
      </c>
    </row>
    <row r="139" spans="1:7" x14ac:dyDescent="0.25">
      <c r="A139" s="101">
        <v>41807</v>
      </c>
      <c r="B139" s="9">
        <v>34.799999999999997</v>
      </c>
      <c r="C139" s="9">
        <v>34.94</v>
      </c>
      <c r="D139" s="9">
        <v>34.299999999999997</v>
      </c>
      <c r="E139" s="9">
        <v>34.43</v>
      </c>
      <c r="F139" s="9">
        <v>24402900</v>
      </c>
      <c r="G139" s="9">
        <v>34.43</v>
      </c>
    </row>
    <row r="140" spans="1:7" x14ac:dyDescent="0.25">
      <c r="A140" s="101">
        <v>41806</v>
      </c>
      <c r="B140" s="9">
        <v>35</v>
      </c>
      <c r="C140" s="9">
        <v>35.49</v>
      </c>
      <c r="D140" s="9">
        <v>34.770000000000003</v>
      </c>
      <c r="E140" s="9">
        <v>34.81</v>
      </c>
      <c r="F140" s="9">
        <v>32432300</v>
      </c>
      <c r="G140" s="9">
        <v>34.81</v>
      </c>
    </row>
    <row r="141" spans="1:7" x14ac:dyDescent="0.25">
      <c r="A141" s="101">
        <v>41803</v>
      </c>
      <c r="B141" s="9">
        <v>36.880000000000003</v>
      </c>
      <c r="C141" s="9">
        <v>37.06</v>
      </c>
      <c r="D141" s="9">
        <v>36.64</v>
      </c>
      <c r="E141" s="9">
        <v>36.94</v>
      </c>
      <c r="F141" s="9">
        <v>12926300</v>
      </c>
      <c r="G141" s="9">
        <v>36.94</v>
      </c>
    </row>
    <row r="142" spans="1:7" x14ac:dyDescent="0.25">
      <c r="A142" s="101">
        <v>41802</v>
      </c>
      <c r="B142" s="9">
        <v>36.5</v>
      </c>
      <c r="C142" s="9">
        <v>36.79</v>
      </c>
      <c r="D142" s="9">
        <v>36.340000000000003</v>
      </c>
      <c r="E142" s="9">
        <v>36.78</v>
      </c>
      <c r="F142" s="9">
        <v>12466100</v>
      </c>
      <c r="G142" s="9">
        <v>36.78</v>
      </c>
    </row>
    <row r="143" spans="1:7" x14ac:dyDescent="0.25">
      <c r="A143" s="101">
        <v>41801</v>
      </c>
      <c r="B143" s="9">
        <v>36.25</v>
      </c>
      <c r="C143" s="9">
        <v>36.840000000000003</v>
      </c>
      <c r="D143" s="9">
        <v>36.11</v>
      </c>
      <c r="E143" s="9">
        <v>36.630000000000003</v>
      </c>
      <c r="F143" s="9">
        <v>13321500</v>
      </c>
      <c r="G143" s="9">
        <v>36.630000000000003</v>
      </c>
    </row>
    <row r="144" spans="1:7" x14ac:dyDescent="0.25">
      <c r="A144" s="101">
        <v>41800</v>
      </c>
      <c r="B144" s="9">
        <v>35.869999999999997</v>
      </c>
      <c r="C144" s="9">
        <v>36.520000000000003</v>
      </c>
      <c r="D144" s="9">
        <v>35.86</v>
      </c>
      <c r="E144" s="9">
        <v>36.31</v>
      </c>
      <c r="F144" s="9">
        <v>9179300</v>
      </c>
      <c r="G144" s="9">
        <v>36.31</v>
      </c>
    </row>
    <row r="145" spans="1:7" x14ac:dyDescent="0.25">
      <c r="A145" s="101">
        <v>41799</v>
      </c>
      <c r="B145" s="9">
        <v>35.86</v>
      </c>
      <c r="C145" s="9">
        <v>36.32</v>
      </c>
      <c r="D145" s="9">
        <v>35.54</v>
      </c>
      <c r="E145" s="9">
        <v>36.04</v>
      </c>
      <c r="F145" s="9">
        <v>14390000</v>
      </c>
      <c r="G145" s="9">
        <v>36.04</v>
      </c>
    </row>
    <row r="146" spans="1:7" x14ac:dyDescent="0.25">
      <c r="A146" s="101">
        <v>41796</v>
      </c>
      <c r="B146" s="9">
        <v>35.06</v>
      </c>
      <c r="C146" s="9">
        <v>36.08</v>
      </c>
      <c r="D146" s="9">
        <v>35.049999999999997</v>
      </c>
      <c r="E146" s="9">
        <v>35.92</v>
      </c>
      <c r="F146" s="9">
        <v>18707200</v>
      </c>
      <c r="G146" s="9">
        <v>35.92</v>
      </c>
    </row>
    <row r="147" spans="1:7" x14ac:dyDescent="0.25">
      <c r="A147" s="101">
        <v>41795</v>
      </c>
      <c r="B147" s="9">
        <v>34.79</v>
      </c>
      <c r="C147" s="9">
        <v>34.99</v>
      </c>
      <c r="D147" s="9">
        <v>34.36</v>
      </c>
      <c r="E147" s="9">
        <v>34.94</v>
      </c>
      <c r="F147" s="9">
        <v>11192800</v>
      </c>
      <c r="G147" s="9">
        <v>34.94</v>
      </c>
    </row>
    <row r="148" spans="1:7" x14ac:dyDescent="0.25">
      <c r="A148" s="101">
        <v>41794</v>
      </c>
      <c r="B148" s="9">
        <v>34.479999999999997</v>
      </c>
      <c r="C148" s="9">
        <v>34.83</v>
      </c>
      <c r="D148" s="9">
        <v>34.26</v>
      </c>
      <c r="E148" s="9">
        <v>34.729999999999997</v>
      </c>
      <c r="F148" s="9">
        <v>9434100</v>
      </c>
      <c r="G148" s="9">
        <v>34.729999999999997</v>
      </c>
    </row>
    <row r="149" spans="1:7" x14ac:dyDescent="0.25">
      <c r="A149" s="101">
        <v>41793</v>
      </c>
      <c r="B149" s="9">
        <v>34.799999999999997</v>
      </c>
      <c r="C149" s="9">
        <v>34.97</v>
      </c>
      <c r="D149" s="9">
        <v>34.58</v>
      </c>
      <c r="E149" s="9">
        <v>34.65</v>
      </c>
      <c r="F149" s="9">
        <v>6557500</v>
      </c>
      <c r="G149" s="9">
        <v>34.65</v>
      </c>
    </row>
    <row r="150" spans="1:7" x14ac:dyDescent="0.25">
      <c r="A150" s="101">
        <v>41792</v>
      </c>
      <c r="B150" s="9">
        <v>34.69</v>
      </c>
      <c r="C150" s="9">
        <v>34.950000000000003</v>
      </c>
      <c r="D150" s="9">
        <v>34.28</v>
      </c>
      <c r="E150" s="9">
        <v>34.869999999999997</v>
      </c>
      <c r="F150" s="9">
        <v>9178900</v>
      </c>
      <c r="G150" s="9">
        <v>34.869999999999997</v>
      </c>
    </row>
    <row r="151" spans="1:7" x14ac:dyDescent="0.25">
      <c r="A151" s="101">
        <v>41789</v>
      </c>
      <c r="B151" s="9">
        <v>34.92</v>
      </c>
      <c r="C151" s="9">
        <v>34.93</v>
      </c>
      <c r="D151" s="9">
        <v>34.130000000000003</v>
      </c>
      <c r="E151" s="9">
        <v>34.65</v>
      </c>
      <c r="F151" s="9">
        <v>13153000</v>
      </c>
      <c r="G151" s="9">
        <v>34.65</v>
      </c>
    </row>
    <row r="152" spans="1:7" x14ac:dyDescent="0.25">
      <c r="A152" s="101">
        <v>41788</v>
      </c>
      <c r="B152" s="9">
        <v>34.9</v>
      </c>
      <c r="C152" s="9">
        <v>35.1</v>
      </c>
      <c r="D152" s="9">
        <v>34.67</v>
      </c>
      <c r="E152" s="9">
        <v>34.9</v>
      </c>
      <c r="F152" s="9">
        <v>9780800</v>
      </c>
      <c r="G152" s="9">
        <v>34.9</v>
      </c>
    </row>
    <row r="153" spans="1:7" x14ac:dyDescent="0.25">
      <c r="A153" s="101">
        <v>41787</v>
      </c>
      <c r="B153" s="9">
        <v>35.15</v>
      </c>
      <c r="C153" s="9">
        <v>35.17</v>
      </c>
      <c r="D153" s="9">
        <v>34.42</v>
      </c>
      <c r="E153" s="9">
        <v>34.78</v>
      </c>
      <c r="F153" s="9">
        <v>16960500</v>
      </c>
      <c r="G153" s="9">
        <v>34.78</v>
      </c>
    </row>
    <row r="154" spans="1:7" x14ac:dyDescent="0.25">
      <c r="A154" s="101">
        <v>41786</v>
      </c>
      <c r="B154" s="9">
        <v>35</v>
      </c>
      <c r="C154" s="9">
        <v>35.130000000000003</v>
      </c>
      <c r="D154" s="9">
        <v>34.729999999999997</v>
      </c>
      <c r="E154" s="9">
        <v>35.119999999999997</v>
      </c>
      <c r="F154" s="9">
        <v>13057000</v>
      </c>
      <c r="G154" s="9">
        <v>35.119999999999997</v>
      </c>
    </row>
    <row r="155" spans="1:7" x14ac:dyDescent="0.25">
      <c r="A155" s="101">
        <v>41782</v>
      </c>
      <c r="B155" s="9">
        <v>34.85</v>
      </c>
      <c r="C155" s="9">
        <v>35.08</v>
      </c>
      <c r="D155" s="9">
        <v>34.51</v>
      </c>
      <c r="E155" s="9">
        <v>35.020000000000003</v>
      </c>
      <c r="F155" s="9">
        <v>16294400</v>
      </c>
      <c r="G155" s="9">
        <v>35.020000000000003</v>
      </c>
    </row>
    <row r="156" spans="1:7" x14ac:dyDescent="0.25">
      <c r="A156" s="101">
        <v>41781</v>
      </c>
      <c r="B156" s="9">
        <v>34.6</v>
      </c>
      <c r="C156" s="9">
        <v>34.86</v>
      </c>
      <c r="D156" s="9">
        <v>34.26</v>
      </c>
      <c r="E156" s="9">
        <v>34.700000000000003</v>
      </c>
      <c r="F156" s="9">
        <v>17522800</v>
      </c>
      <c r="G156" s="9">
        <v>34.700000000000003</v>
      </c>
    </row>
    <row r="157" spans="1:7" x14ac:dyDescent="0.25">
      <c r="A157" s="101">
        <v>41780</v>
      </c>
      <c r="B157" s="9">
        <v>34</v>
      </c>
      <c r="C157" s="9">
        <v>34.39</v>
      </c>
      <c r="D157" s="9">
        <v>33.89</v>
      </c>
      <c r="E157" s="9">
        <v>34.36</v>
      </c>
      <c r="F157" s="9">
        <v>13804500</v>
      </c>
      <c r="G157" s="9">
        <v>34.36</v>
      </c>
    </row>
    <row r="158" spans="1:7" x14ac:dyDescent="0.25">
      <c r="A158" s="101">
        <v>41779</v>
      </c>
      <c r="B158" s="9">
        <v>33.99</v>
      </c>
      <c r="C158" s="9">
        <v>34.47</v>
      </c>
      <c r="D158" s="9">
        <v>33.67</v>
      </c>
      <c r="E158" s="9">
        <v>33.869999999999997</v>
      </c>
      <c r="F158" s="9">
        <v>18596700</v>
      </c>
      <c r="G158" s="9">
        <v>33.869999999999997</v>
      </c>
    </row>
    <row r="159" spans="1:7" x14ac:dyDescent="0.25">
      <c r="A159" s="101">
        <v>41778</v>
      </c>
      <c r="B159" s="9">
        <v>33.409999999999997</v>
      </c>
      <c r="C159" s="9">
        <v>33.99</v>
      </c>
      <c r="D159" s="9">
        <v>33.28</v>
      </c>
      <c r="E159" s="9">
        <v>33.89</v>
      </c>
      <c r="F159" s="9">
        <v>14845700</v>
      </c>
      <c r="G159" s="9">
        <v>33.89</v>
      </c>
    </row>
    <row r="160" spans="1:7" x14ac:dyDescent="0.25">
      <c r="A160" s="101">
        <v>41775</v>
      </c>
      <c r="B160" s="9">
        <v>33.659999999999997</v>
      </c>
      <c r="C160" s="9">
        <v>33.659999999999997</v>
      </c>
      <c r="D160" s="9">
        <v>33.1</v>
      </c>
      <c r="E160" s="9">
        <v>33.409999999999997</v>
      </c>
      <c r="F160" s="9">
        <v>18847100</v>
      </c>
      <c r="G160" s="9">
        <v>33.409999999999997</v>
      </c>
    </row>
    <row r="161" spans="1:7" x14ac:dyDescent="0.25">
      <c r="A161" s="101">
        <v>41774</v>
      </c>
      <c r="B161" s="9">
        <v>34.18</v>
      </c>
      <c r="C161" s="9">
        <v>34.19</v>
      </c>
      <c r="D161" s="9">
        <v>33.4</v>
      </c>
      <c r="E161" s="9">
        <v>33.799999999999997</v>
      </c>
      <c r="F161" s="9">
        <v>18879800</v>
      </c>
      <c r="G161" s="9">
        <v>33.799999999999997</v>
      </c>
    </row>
    <row r="162" spans="1:7" x14ac:dyDescent="0.25">
      <c r="A162" s="101">
        <v>41773</v>
      </c>
      <c r="B162" s="9">
        <v>34.479999999999997</v>
      </c>
      <c r="C162" s="9">
        <v>34.65</v>
      </c>
      <c r="D162" s="9">
        <v>33.979999999999997</v>
      </c>
      <c r="E162" s="9">
        <v>34.17</v>
      </c>
      <c r="F162" s="9">
        <v>17039000</v>
      </c>
      <c r="G162" s="9">
        <v>34.17</v>
      </c>
    </row>
    <row r="163" spans="1:7" x14ac:dyDescent="0.25">
      <c r="A163" s="101">
        <v>41772</v>
      </c>
      <c r="B163" s="9">
        <v>34.43</v>
      </c>
      <c r="C163" s="9">
        <v>34.69</v>
      </c>
      <c r="D163" s="9">
        <v>34.17</v>
      </c>
      <c r="E163" s="9">
        <v>34.4</v>
      </c>
      <c r="F163" s="9">
        <v>12477100</v>
      </c>
      <c r="G163" s="9">
        <v>34.4</v>
      </c>
    </row>
    <row r="164" spans="1:7" x14ac:dyDescent="0.25">
      <c r="A164" s="101">
        <v>41771</v>
      </c>
      <c r="B164" s="9">
        <v>33.99</v>
      </c>
      <c r="C164" s="9">
        <v>34.6</v>
      </c>
      <c r="D164" s="9">
        <v>33.869999999999997</v>
      </c>
      <c r="E164" s="9">
        <v>34.450000000000003</v>
      </c>
      <c r="F164" s="9">
        <v>22520600</v>
      </c>
      <c r="G164" s="9">
        <v>34.450000000000003</v>
      </c>
    </row>
    <row r="165" spans="1:7" x14ac:dyDescent="0.25">
      <c r="A165" s="101">
        <v>41768</v>
      </c>
      <c r="B165" s="9">
        <v>34.01</v>
      </c>
      <c r="C165" s="9">
        <v>34.1</v>
      </c>
      <c r="D165" s="9">
        <v>33.409999999999997</v>
      </c>
      <c r="E165" s="9">
        <v>33.76</v>
      </c>
      <c r="F165" s="9">
        <v>20303400</v>
      </c>
      <c r="G165" s="9">
        <v>33.76</v>
      </c>
    </row>
    <row r="166" spans="1:7" x14ac:dyDescent="0.25">
      <c r="A166" s="101">
        <v>41767</v>
      </c>
      <c r="B166" s="9">
        <v>33.880000000000003</v>
      </c>
      <c r="C166" s="9">
        <v>34.57</v>
      </c>
      <c r="D166" s="9">
        <v>33.61</v>
      </c>
      <c r="E166" s="9">
        <v>33.92</v>
      </c>
      <c r="F166" s="9">
        <v>30407700</v>
      </c>
      <c r="G166" s="9">
        <v>33.92</v>
      </c>
    </row>
    <row r="167" spans="1:7" x14ac:dyDescent="0.25">
      <c r="A167" s="101">
        <v>41766</v>
      </c>
      <c r="B167" s="9">
        <v>35.99</v>
      </c>
      <c r="C167" s="9">
        <v>35.99</v>
      </c>
      <c r="D167" s="9">
        <v>33.67</v>
      </c>
      <c r="E167" s="9">
        <v>34.07</v>
      </c>
      <c r="F167" s="9">
        <v>66062700</v>
      </c>
      <c r="G167" s="9">
        <v>34.07</v>
      </c>
    </row>
    <row r="168" spans="1:7" x14ac:dyDescent="0.25">
      <c r="A168" s="101">
        <v>41765</v>
      </c>
      <c r="B168" s="9">
        <v>36.94</v>
      </c>
      <c r="C168" s="9">
        <v>37.17</v>
      </c>
      <c r="D168" s="9">
        <v>36.479999999999997</v>
      </c>
      <c r="E168" s="9">
        <v>36.49</v>
      </c>
      <c r="F168" s="9">
        <v>19156000</v>
      </c>
      <c r="G168" s="9">
        <v>36.49</v>
      </c>
    </row>
    <row r="169" spans="1:7" x14ac:dyDescent="0.25">
      <c r="A169" s="101">
        <v>41764</v>
      </c>
      <c r="B169" s="9">
        <v>36.68</v>
      </c>
      <c r="C169" s="9">
        <v>37.049999999999997</v>
      </c>
      <c r="D169" s="9">
        <v>36.299999999999997</v>
      </c>
      <c r="E169" s="9">
        <v>36.909999999999997</v>
      </c>
      <c r="F169" s="9">
        <v>13129100</v>
      </c>
      <c r="G169" s="9">
        <v>36.909999999999997</v>
      </c>
    </row>
    <row r="170" spans="1:7" x14ac:dyDescent="0.25">
      <c r="A170" s="101">
        <v>41761</v>
      </c>
      <c r="B170" s="9">
        <v>36.590000000000003</v>
      </c>
      <c r="C170" s="9">
        <v>37.119999999999997</v>
      </c>
      <c r="D170" s="9">
        <v>36.21</v>
      </c>
      <c r="E170" s="9">
        <v>36.869999999999997</v>
      </c>
      <c r="F170" s="9">
        <v>22454100</v>
      </c>
      <c r="G170" s="9">
        <v>36.869999999999997</v>
      </c>
    </row>
    <row r="171" spans="1:7" x14ac:dyDescent="0.25">
      <c r="A171" s="101">
        <v>41760</v>
      </c>
      <c r="B171" s="9">
        <v>36.26</v>
      </c>
      <c r="C171" s="9">
        <v>36.69</v>
      </c>
      <c r="D171" s="9">
        <v>36</v>
      </c>
      <c r="E171" s="9">
        <v>36.51</v>
      </c>
      <c r="F171" s="9">
        <v>19474700</v>
      </c>
      <c r="G171" s="9">
        <v>36.51</v>
      </c>
    </row>
    <row r="172" spans="1:7" x14ac:dyDescent="0.25">
      <c r="A172" s="101">
        <v>41759</v>
      </c>
      <c r="B172" s="9">
        <v>35.89</v>
      </c>
      <c r="C172" s="9">
        <v>36.44</v>
      </c>
      <c r="D172" s="9">
        <v>35.25</v>
      </c>
      <c r="E172" s="9">
        <v>35.950000000000003</v>
      </c>
      <c r="F172" s="9">
        <v>23341500</v>
      </c>
      <c r="G172" s="9">
        <v>35.950000000000003</v>
      </c>
    </row>
    <row r="173" spans="1:7" x14ac:dyDescent="0.25">
      <c r="A173" s="101">
        <v>41758</v>
      </c>
      <c r="B173" s="9">
        <v>34.369999999999997</v>
      </c>
      <c r="C173" s="9">
        <v>35.89</v>
      </c>
      <c r="D173" s="9">
        <v>34.119999999999997</v>
      </c>
      <c r="E173" s="9">
        <v>35.83</v>
      </c>
      <c r="F173" s="9">
        <v>28736000</v>
      </c>
      <c r="G173" s="9">
        <v>35.83</v>
      </c>
    </row>
    <row r="174" spans="1:7" x14ac:dyDescent="0.25">
      <c r="A174" s="101">
        <v>41757</v>
      </c>
      <c r="B174" s="9">
        <v>34.67</v>
      </c>
      <c r="C174" s="9">
        <v>35</v>
      </c>
      <c r="D174" s="9">
        <v>33.65</v>
      </c>
      <c r="E174" s="9">
        <v>33.99</v>
      </c>
      <c r="F174" s="9">
        <v>31019200</v>
      </c>
      <c r="G174" s="9">
        <v>33.99</v>
      </c>
    </row>
    <row r="175" spans="1:7" x14ac:dyDescent="0.25">
      <c r="A175" s="101">
        <v>41754</v>
      </c>
      <c r="B175" s="9">
        <v>35.03</v>
      </c>
      <c r="C175" s="9">
        <v>35.1</v>
      </c>
      <c r="D175" s="9">
        <v>34.29</v>
      </c>
      <c r="E175" s="9">
        <v>34.479999999999997</v>
      </c>
      <c r="F175" s="9">
        <v>19401600</v>
      </c>
      <c r="G175" s="9">
        <v>34.479999999999997</v>
      </c>
    </row>
    <row r="176" spans="1:7" x14ac:dyDescent="0.25">
      <c r="A176" s="101">
        <v>41753</v>
      </c>
      <c r="B176" s="9">
        <v>35.82</v>
      </c>
      <c r="C176" s="9">
        <v>35.82</v>
      </c>
      <c r="D176" s="9">
        <v>34.770000000000003</v>
      </c>
      <c r="E176" s="9">
        <v>35.24</v>
      </c>
      <c r="F176" s="9">
        <v>17242300</v>
      </c>
      <c r="G176" s="9">
        <v>35.24</v>
      </c>
    </row>
    <row r="177" spans="1:7" x14ac:dyDescent="0.25">
      <c r="A177" s="101">
        <v>41752</v>
      </c>
      <c r="B177" s="9">
        <v>36.08</v>
      </c>
      <c r="C177" s="9">
        <v>36.19</v>
      </c>
      <c r="D177" s="9">
        <v>35.4</v>
      </c>
      <c r="E177" s="9">
        <v>35.44</v>
      </c>
      <c r="F177" s="9">
        <v>19051700</v>
      </c>
      <c r="G177" s="9">
        <v>35.44</v>
      </c>
    </row>
    <row r="178" spans="1:7" x14ac:dyDescent="0.25">
      <c r="A178" s="101">
        <v>41751</v>
      </c>
      <c r="B178" s="9">
        <v>36.71</v>
      </c>
      <c r="C178" s="9">
        <v>36.85</v>
      </c>
      <c r="D178" s="9">
        <v>36.11</v>
      </c>
      <c r="E178" s="9">
        <v>36.14</v>
      </c>
      <c r="F178" s="9">
        <v>17915200</v>
      </c>
      <c r="G178" s="9">
        <v>36.14</v>
      </c>
    </row>
    <row r="179" spans="1:7" x14ac:dyDescent="0.25">
      <c r="A179" s="101">
        <v>41750</v>
      </c>
      <c r="B179" s="9">
        <v>36.6</v>
      </c>
      <c r="C179" s="9">
        <v>36.65</v>
      </c>
      <c r="D179" s="9">
        <v>35.89</v>
      </c>
      <c r="E179" s="9">
        <v>36.4</v>
      </c>
      <c r="F179" s="9">
        <v>16685400</v>
      </c>
      <c r="G179" s="9">
        <v>36.4</v>
      </c>
    </row>
    <row r="180" spans="1:7" x14ac:dyDescent="0.25">
      <c r="A180" s="101">
        <v>41746</v>
      </c>
      <c r="B180" s="9">
        <v>36.29</v>
      </c>
      <c r="C180" s="9">
        <v>36.6</v>
      </c>
      <c r="D180" s="9">
        <v>35.549999999999997</v>
      </c>
      <c r="E180" s="9">
        <v>36.380000000000003</v>
      </c>
      <c r="F180" s="9">
        <v>28932700</v>
      </c>
      <c r="G180" s="9">
        <v>36.380000000000003</v>
      </c>
    </row>
    <row r="181" spans="1:7" x14ac:dyDescent="0.25">
      <c r="A181" s="101">
        <v>41745</v>
      </c>
      <c r="B181" s="9">
        <v>36.979999999999997</v>
      </c>
      <c r="C181" s="9">
        <v>37.299999999999997</v>
      </c>
      <c r="D181" s="9">
        <v>35.81</v>
      </c>
      <c r="E181" s="9">
        <v>36.35</v>
      </c>
      <c r="F181" s="9">
        <v>61599100</v>
      </c>
      <c r="G181" s="9">
        <v>36.35</v>
      </c>
    </row>
    <row r="182" spans="1:7" x14ac:dyDescent="0.25">
      <c r="A182" s="101">
        <v>41744</v>
      </c>
      <c r="B182" s="9">
        <v>33.93</v>
      </c>
      <c r="C182" s="9">
        <v>34.28</v>
      </c>
      <c r="D182" s="9">
        <v>32.64</v>
      </c>
      <c r="E182" s="9">
        <v>34.21</v>
      </c>
      <c r="F182" s="9">
        <v>50600400</v>
      </c>
      <c r="G182" s="9">
        <v>34.21</v>
      </c>
    </row>
    <row r="183" spans="1:7" x14ac:dyDescent="0.25">
      <c r="A183" s="101">
        <v>41743</v>
      </c>
      <c r="B183" s="9">
        <v>33.549999999999997</v>
      </c>
      <c r="C183" s="9">
        <v>34.04</v>
      </c>
      <c r="D183" s="9">
        <v>33.04</v>
      </c>
      <c r="E183" s="9">
        <v>33.450000000000003</v>
      </c>
      <c r="F183" s="9">
        <v>26322600</v>
      </c>
      <c r="G183" s="9">
        <v>33.450000000000003</v>
      </c>
    </row>
    <row r="184" spans="1:7" x14ac:dyDescent="0.25">
      <c r="A184" s="101">
        <v>41740</v>
      </c>
      <c r="B184" s="9">
        <v>32.64</v>
      </c>
      <c r="C184" s="9">
        <v>33.479999999999997</v>
      </c>
      <c r="D184" s="9">
        <v>32.15</v>
      </c>
      <c r="E184" s="9">
        <v>32.869999999999997</v>
      </c>
      <c r="F184" s="9">
        <v>28040700</v>
      </c>
      <c r="G184" s="9">
        <v>32.869999999999997</v>
      </c>
    </row>
    <row r="185" spans="1:7" x14ac:dyDescent="0.25">
      <c r="A185" s="101">
        <v>41739</v>
      </c>
      <c r="B185" s="9">
        <v>34.880000000000003</v>
      </c>
      <c r="C185" s="9">
        <v>34.979999999999997</v>
      </c>
      <c r="D185" s="9">
        <v>33.090000000000003</v>
      </c>
      <c r="E185" s="9">
        <v>33.4</v>
      </c>
      <c r="F185" s="9">
        <v>34024900</v>
      </c>
      <c r="G185" s="9">
        <v>33.4</v>
      </c>
    </row>
    <row r="186" spans="1:7" x14ac:dyDescent="0.25">
      <c r="A186" s="101">
        <v>41738</v>
      </c>
      <c r="B186" s="9">
        <v>34.19</v>
      </c>
      <c r="C186" s="9">
        <v>35</v>
      </c>
      <c r="D186" s="9">
        <v>33.950000000000003</v>
      </c>
      <c r="E186" s="9">
        <v>34.869999999999997</v>
      </c>
      <c r="F186" s="9">
        <v>21651200</v>
      </c>
      <c r="G186" s="9">
        <v>34.869999999999997</v>
      </c>
    </row>
    <row r="187" spans="1:7" x14ac:dyDescent="0.25">
      <c r="A187" s="101">
        <v>41737</v>
      </c>
      <c r="B187" s="9">
        <v>33.1</v>
      </c>
      <c r="C187" s="9">
        <v>34.43</v>
      </c>
      <c r="D187" s="9">
        <v>33.020000000000003</v>
      </c>
      <c r="E187" s="9">
        <v>33.83</v>
      </c>
      <c r="F187" s="9">
        <v>35486100</v>
      </c>
      <c r="G187" s="9">
        <v>33.83</v>
      </c>
    </row>
    <row r="188" spans="1:7" x14ac:dyDescent="0.25">
      <c r="A188" s="101">
        <v>41736</v>
      </c>
      <c r="B188" s="9">
        <v>34.11</v>
      </c>
      <c r="C188" s="9">
        <v>34.369999999999997</v>
      </c>
      <c r="D188" s="9">
        <v>32.53</v>
      </c>
      <c r="E188" s="9">
        <v>33.07</v>
      </c>
      <c r="F188" s="9">
        <v>47770200</v>
      </c>
      <c r="G188" s="9">
        <v>33.07</v>
      </c>
    </row>
    <row r="189" spans="1:7" x14ac:dyDescent="0.25">
      <c r="A189" s="101">
        <v>41733</v>
      </c>
      <c r="B189" s="9">
        <v>36.01</v>
      </c>
      <c r="C189" s="9">
        <v>36.049999999999997</v>
      </c>
      <c r="D189" s="9">
        <v>33.83</v>
      </c>
      <c r="E189" s="9">
        <v>34.26</v>
      </c>
      <c r="F189" s="9">
        <v>41049900</v>
      </c>
      <c r="G189" s="9">
        <v>34.26</v>
      </c>
    </row>
    <row r="190" spans="1:7" x14ac:dyDescent="0.25">
      <c r="A190" s="101">
        <v>41732</v>
      </c>
      <c r="B190" s="9">
        <v>36.659999999999997</v>
      </c>
      <c r="C190" s="9">
        <v>36.79</v>
      </c>
      <c r="D190" s="9">
        <v>35.51</v>
      </c>
      <c r="E190" s="9">
        <v>35.76</v>
      </c>
      <c r="F190" s="9">
        <v>16827800</v>
      </c>
      <c r="G190" s="9">
        <v>35.76</v>
      </c>
    </row>
    <row r="191" spans="1:7" x14ac:dyDescent="0.25">
      <c r="A191" s="101">
        <v>41731</v>
      </c>
      <c r="B191" s="9">
        <v>36.68</v>
      </c>
      <c r="C191" s="9">
        <v>36.86</v>
      </c>
      <c r="D191" s="9">
        <v>36.56</v>
      </c>
      <c r="E191" s="9">
        <v>36.64</v>
      </c>
      <c r="F191" s="9">
        <v>14522800</v>
      </c>
      <c r="G191" s="9">
        <v>36.64</v>
      </c>
    </row>
    <row r="192" spans="1:7" x14ac:dyDescent="0.25">
      <c r="A192" s="101">
        <v>41730</v>
      </c>
      <c r="B192" s="9">
        <v>36.159999999999997</v>
      </c>
      <c r="C192" s="9">
        <v>36.86</v>
      </c>
      <c r="D192" s="9">
        <v>36.15</v>
      </c>
      <c r="E192" s="9">
        <v>36.49</v>
      </c>
      <c r="F192" s="9">
        <v>15734000</v>
      </c>
      <c r="G192" s="9">
        <v>36.49</v>
      </c>
    </row>
    <row r="193" spans="1:7" x14ac:dyDescent="0.25">
      <c r="A193" s="101">
        <v>41729</v>
      </c>
      <c r="B193" s="9">
        <v>36.46</v>
      </c>
      <c r="C193" s="9">
        <v>36.58</v>
      </c>
      <c r="D193" s="9">
        <v>35.729999999999997</v>
      </c>
      <c r="E193" s="9">
        <v>35.9</v>
      </c>
      <c r="F193" s="9">
        <v>15153200</v>
      </c>
      <c r="G193" s="9">
        <v>35.9</v>
      </c>
    </row>
    <row r="194" spans="1:7" x14ac:dyDescent="0.25">
      <c r="A194" s="101">
        <v>41726</v>
      </c>
      <c r="B194" s="9">
        <v>35.770000000000003</v>
      </c>
      <c r="C194" s="9">
        <v>36.729999999999997</v>
      </c>
      <c r="D194" s="9">
        <v>35.53</v>
      </c>
      <c r="E194" s="9">
        <v>35.9</v>
      </c>
      <c r="F194" s="9">
        <v>18292900</v>
      </c>
      <c r="G194" s="9">
        <v>35.9</v>
      </c>
    </row>
    <row r="195" spans="1:7" x14ac:dyDescent="0.25">
      <c r="A195" s="101">
        <v>41725</v>
      </c>
      <c r="B195" s="9">
        <v>35.5</v>
      </c>
      <c r="C195" s="9">
        <v>36.15</v>
      </c>
      <c r="D195" s="9">
        <v>35.049999999999997</v>
      </c>
      <c r="E195" s="9">
        <v>35.590000000000003</v>
      </c>
      <c r="F195" s="9">
        <v>21929600</v>
      </c>
      <c r="G195" s="9">
        <v>35.590000000000003</v>
      </c>
    </row>
    <row r="196" spans="1:7" x14ac:dyDescent="0.25">
      <c r="A196" s="101">
        <v>41724</v>
      </c>
      <c r="B196" s="9">
        <v>36.24</v>
      </c>
      <c r="C196" s="9">
        <v>36.74</v>
      </c>
      <c r="D196" s="9">
        <v>35.450000000000003</v>
      </c>
      <c r="E196" s="9">
        <v>35.450000000000003</v>
      </c>
      <c r="F196" s="9">
        <v>20938800</v>
      </c>
      <c r="G196" s="9">
        <v>35.450000000000003</v>
      </c>
    </row>
    <row r="197" spans="1:7" x14ac:dyDescent="0.25">
      <c r="A197" s="101">
        <v>41723</v>
      </c>
      <c r="B197" s="9">
        <v>37</v>
      </c>
      <c r="C197" s="9">
        <v>37.07</v>
      </c>
      <c r="D197" s="9">
        <v>35.86</v>
      </c>
      <c r="E197" s="9">
        <v>35.93</v>
      </c>
      <c r="F197" s="9">
        <v>31715100</v>
      </c>
      <c r="G197" s="9">
        <v>35.93</v>
      </c>
    </row>
    <row r="198" spans="1:7" x14ac:dyDescent="0.25">
      <c r="A198" s="101">
        <v>41722</v>
      </c>
      <c r="B198" s="9">
        <v>38</v>
      </c>
      <c r="C198" s="9">
        <v>38.04</v>
      </c>
      <c r="D198" s="9">
        <v>36.28</v>
      </c>
      <c r="E198" s="9">
        <v>36.68</v>
      </c>
      <c r="F198" s="9">
        <v>29589000</v>
      </c>
      <c r="G198" s="9">
        <v>36.68</v>
      </c>
    </row>
    <row r="199" spans="1:7" x14ac:dyDescent="0.25">
      <c r="A199" s="101">
        <v>41719</v>
      </c>
      <c r="B199" s="9">
        <v>38.1</v>
      </c>
      <c r="C199" s="9">
        <v>38.270000000000003</v>
      </c>
      <c r="D199" s="9">
        <v>37.729999999999997</v>
      </c>
      <c r="E199" s="9">
        <v>37.94</v>
      </c>
      <c r="F199" s="9">
        <v>16044200</v>
      </c>
      <c r="G199" s="9">
        <v>37.94</v>
      </c>
    </row>
    <row r="200" spans="1:7" x14ac:dyDescent="0.25">
      <c r="A200" s="101">
        <v>41718</v>
      </c>
      <c r="B200" s="9">
        <v>38.369999999999997</v>
      </c>
      <c r="C200" s="9">
        <v>38.47</v>
      </c>
      <c r="D200" s="9">
        <v>37.42</v>
      </c>
      <c r="E200" s="9">
        <v>37.770000000000003</v>
      </c>
      <c r="F200" s="9">
        <v>19517000</v>
      </c>
      <c r="G200" s="9">
        <v>37.770000000000003</v>
      </c>
    </row>
    <row r="201" spans="1:7" x14ac:dyDescent="0.25">
      <c r="A201" s="101">
        <v>41717</v>
      </c>
      <c r="B201" s="9">
        <v>39.659999999999997</v>
      </c>
      <c r="C201" s="9">
        <v>39.94</v>
      </c>
      <c r="D201" s="9">
        <v>38.51</v>
      </c>
      <c r="E201" s="9">
        <v>38.61</v>
      </c>
      <c r="F201" s="9">
        <v>19324600</v>
      </c>
      <c r="G201" s="9">
        <v>38.61</v>
      </c>
    </row>
    <row r="202" spans="1:7" x14ac:dyDescent="0.25">
      <c r="A202" s="101">
        <v>41716</v>
      </c>
      <c r="B202" s="9">
        <v>39</v>
      </c>
      <c r="C202" s="9">
        <v>39.51</v>
      </c>
      <c r="D202" s="9">
        <v>38.799999999999997</v>
      </c>
      <c r="E202" s="9">
        <v>39.450000000000003</v>
      </c>
      <c r="F202" s="9">
        <v>16934700</v>
      </c>
      <c r="G202" s="9">
        <v>39.450000000000003</v>
      </c>
    </row>
    <row r="203" spans="1:7" x14ac:dyDescent="0.25">
      <c r="A203" s="101">
        <v>41715</v>
      </c>
      <c r="B203" s="9">
        <v>39</v>
      </c>
      <c r="C203" s="9">
        <v>39.36</v>
      </c>
      <c r="D203" s="9">
        <v>38.61</v>
      </c>
      <c r="E203" s="9">
        <v>39.11</v>
      </c>
      <c r="F203" s="9">
        <v>29698300</v>
      </c>
      <c r="G203" s="9">
        <v>39.11</v>
      </c>
    </row>
    <row r="204" spans="1:7" x14ac:dyDescent="0.25">
      <c r="A204" s="101">
        <v>41712</v>
      </c>
      <c r="B204" s="9">
        <v>36.69</v>
      </c>
      <c r="C204" s="9">
        <v>38.19</v>
      </c>
      <c r="D204" s="9">
        <v>36.450000000000003</v>
      </c>
      <c r="E204" s="9">
        <v>37.6</v>
      </c>
      <c r="F204" s="9">
        <v>30862300</v>
      </c>
      <c r="G204" s="9">
        <v>37.6</v>
      </c>
    </row>
    <row r="205" spans="1:7" x14ac:dyDescent="0.25">
      <c r="A205" s="101">
        <v>41711</v>
      </c>
      <c r="B205" s="9">
        <v>38.049999999999997</v>
      </c>
      <c r="C205" s="9">
        <v>38.42</v>
      </c>
      <c r="D205" s="9">
        <v>36.81</v>
      </c>
      <c r="E205" s="9">
        <v>37.229999999999997</v>
      </c>
      <c r="F205" s="9">
        <v>21179700</v>
      </c>
      <c r="G205" s="9">
        <v>37.229999999999997</v>
      </c>
    </row>
    <row r="206" spans="1:7" x14ac:dyDescent="0.25">
      <c r="A206" s="101">
        <v>41710</v>
      </c>
      <c r="B206" s="9">
        <v>37.21</v>
      </c>
      <c r="C206" s="9">
        <v>37.61</v>
      </c>
      <c r="D206" s="9">
        <v>36.479999999999997</v>
      </c>
      <c r="E206" s="9">
        <v>37.5</v>
      </c>
      <c r="F206" s="9">
        <v>14794700</v>
      </c>
      <c r="G206" s="9">
        <v>37.5</v>
      </c>
    </row>
    <row r="207" spans="1:7" x14ac:dyDescent="0.25">
      <c r="A207" s="101">
        <v>41709</v>
      </c>
      <c r="B207" s="9">
        <v>38.25</v>
      </c>
      <c r="C207" s="9">
        <v>38.299999999999997</v>
      </c>
      <c r="D207" s="9">
        <v>37.43</v>
      </c>
      <c r="E207" s="9">
        <v>37.56</v>
      </c>
      <c r="F207" s="9">
        <v>12592300</v>
      </c>
      <c r="G207" s="9">
        <v>37.56</v>
      </c>
    </row>
    <row r="208" spans="1:7" x14ac:dyDescent="0.25">
      <c r="A208" s="101">
        <v>41708</v>
      </c>
      <c r="B208" s="9">
        <v>38.630000000000003</v>
      </c>
      <c r="C208" s="9">
        <v>38.78</v>
      </c>
      <c r="D208" s="9">
        <v>37.909999999999997</v>
      </c>
      <c r="E208" s="9">
        <v>38.049999999999997</v>
      </c>
      <c r="F208" s="9">
        <v>11819200</v>
      </c>
      <c r="G208" s="9">
        <v>38.049999999999997</v>
      </c>
    </row>
    <row r="209" spans="1:7" x14ac:dyDescent="0.25">
      <c r="A209" s="101">
        <v>41705</v>
      </c>
      <c r="B209" s="9">
        <v>39.71</v>
      </c>
      <c r="C209" s="9">
        <v>39.909999999999997</v>
      </c>
      <c r="D209" s="9">
        <v>38.450000000000003</v>
      </c>
      <c r="E209" s="9">
        <v>38.700000000000003</v>
      </c>
      <c r="F209" s="9">
        <v>14455500</v>
      </c>
      <c r="G209" s="9">
        <v>38.700000000000003</v>
      </c>
    </row>
    <row r="210" spans="1:7" x14ac:dyDescent="0.25">
      <c r="A210" s="101">
        <v>41704</v>
      </c>
      <c r="B210" s="9">
        <v>39.6</v>
      </c>
      <c r="C210" s="9">
        <v>39.979999999999997</v>
      </c>
      <c r="D210" s="9">
        <v>39.5</v>
      </c>
      <c r="E210" s="9">
        <v>39.659999999999997</v>
      </c>
      <c r="F210" s="9">
        <v>10626700</v>
      </c>
      <c r="G210" s="9">
        <v>39.659999999999997</v>
      </c>
    </row>
    <row r="211" spans="1:7" x14ac:dyDescent="0.25">
      <c r="A211" s="101">
        <v>41703</v>
      </c>
      <c r="B211" s="9">
        <v>39.83</v>
      </c>
      <c r="C211" s="9">
        <v>40.15</v>
      </c>
      <c r="D211" s="9">
        <v>39.19</v>
      </c>
      <c r="E211" s="9">
        <v>39.5</v>
      </c>
      <c r="F211" s="9">
        <v>12536800</v>
      </c>
      <c r="G211" s="9">
        <v>39.5</v>
      </c>
    </row>
    <row r="212" spans="1:7" x14ac:dyDescent="0.25">
      <c r="A212" s="101">
        <v>41702</v>
      </c>
      <c r="B212" s="9">
        <v>38.76</v>
      </c>
      <c r="C212" s="9">
        <v>39.79</v>
      </c>
      <c r="D212" s="9">
        <v>38.68</v>
      </c>
      <c r="E212" s="9">
        <v>39.630000000000003</v>
      </c>
      <c r="F212" s="9">
        <v>16139400</v>
      </c>
      <c r="G212" s="9">
        <v>39.630000000000003</v>
      </c>
    </row>
    <row r="213" spans="1:7" x14ac:dyDescent="0.25">
      <c r="A213" s="101">
        <v>41701</v>
      </c>
      <c r="B213" s="9">
        <v>37.65</v>
      </c>
      <c r="C213" s="9">
        <v>38.659999999999997</v>
      </c>
      <c r="D213" s="9">
        <v>37.43</v>
      </c>
      <c r="E213" s="9">
        <v>38.25</v>
      </c>
      <c r="F213" s="9">
        <v>14714700</v>
      </c>
      <c r="G213" s="9">
        <v>38.25</v>
      </c>
    </row>
    <row r="214" spans="1:7" x14ac:dyDescent="0.25">
      <c r="A214" s="101">
        <v>41698</v>
      </c>
      <c r="B214" s="9">
        <v>38.549999999999997</v>
      </c>
      <c r="C214" s="9">
        <v>39.380000000000003</v>
      </c>
      <c r="D214" s="9">
        <v>38.22</v>
      </c>
      <c r="E214" s="9">
        <v>38.67</v>
      </c>
      <c r="F214" s="9">
        <v>16957100</v>
      </c>
      <c r="G214" s="9">
        <v>38.67</v>
      </c>
    </row>
    <row r="215" spans="1:7" x14ac:dyDescent="0.25">
      <c r="A215" s="101">
        <v>41697</v>
      </c>
      <c r="B215" s="9">
        <v>37.799999999999997</v>
      </c>
      <c r="C215" s="9">
        <v>38.479999999999997</v>
      </c>
      <c r="D215" s="9">
        <v>37.74</v>
      </c>
      <c r="E215" s="9">
        <v>38.47</v>
      </c>
      <c r="F215" s="9">
        <v>15489400</v>
      </c>
      <c r="G215" s="9">
        <v>38.47</v>
      </c>
    </row>
    <row r="216" spans="1:7" x14ac:dyDescent="0.25">
      <c r="A216" s="101">
        <v>41696</v>
      </c>
      <c r="B216" s="9">
        <v>37.35</v>
      </c>
      <c r="C216" s="9">
        <v>38.1</v>
      </c>
      <c r="D216" s="9">
        <v>37.340000000000003</v>
      </c>
      <c r="E216" s="9">
        <v>37.619999999999997</v>
      </c>
      <c r="F216" s="9">
        <v>15778900</v>
      </c>
      <c r="G216" s="9">
        <v>37.619999999999997</v>
      </c>
    </row>
    <row r="217" spans="1:7" x14ac:dyDescent="0.25">
      <c r="A217" s="101">
        <v>41695</v>
      </c>
      <c r="B217" s="9">
        <v>37.479999999999997</v>
      </c>
      <c r="C217" s="9">
        <v>37.58</v>
      </c>
      <c r="D217" s="9">
        <v>37.020000000000003</v>
      </c>
      <c r="E217" s="9">
        <v>37.26</v>
      </c>
      <c r="F217" s="9">
        <v>9756900</v>
      </c>
      <c r="G217" s="9">
        <v>37.26</v>
      </c>
    </row>
    <row r="218" spans="1:7" x14ac:dyDescent="0.25">
      <c r="A218" s="101">
        <v>41694</v>
      </c>
      <c r="B218" s="9">
        <v>37.229999999999997</v>
      </c>
      <c r="C218" s="9">
        <v>37.71</v>
      </c>
      <c r="D218" s="9">
        <v>36.82</v>
      </c>
      <c r="E218" s="9">
        <v>37.42</v>
      </c>
      <c r="F218" s="9">
        <v>15738900</v>
      </c>
      <c r="G218" s="9">
        <v>37.42</v>
      </c>
    </row>
    <row r="219" spans="1:7" x14ac:dyDescent="0.25">
      <c r="A219" s="101">
        <v>41691</v>
      </c>
      <c r="B219" s="9">
        <v>37.9</v>
      </c>
      <c r="C219" s="9">
        <v>37.96</v>
      </c>
      <c r="D219" s="9">
        <v>37.22</v>
      </c>
      <c r="E219" s="9">
        <v>37.29</v>
      </c>
      <c r="F219" s="9">
        <v>12351900</v>
      </c>
      <c r="G219" s="9">
        <v>37.29</v>
      </c>
    </row>
    <row r="220" spans="1:7" x14ac:dyDescent="0.25">
      <c r="A220" s="101">
        <v>41690</v>
      </c>
      <c r="B220" s="9">
        <v>37.83</v>
      </c>
      <c r="C220" s="9">
        <v>38.04</v>
      </c>
      <c r="D220" s="9">
        <v>37.299999999999997</v>
      </c>
      <c r="E220" s="9">
        <v>37.79</v>
      </c>
      <c r="F220" s="9">
        <v>11155900</v>
      </c>
      <c r="G220" s="9">
        <v>37.79</v>
      </c>
    </row>
    <row r="221" spans="1:7" x14ac:dyDescent="0.25">
      <c r="A221" s="101">
        <v>41689</v>
      </c>
      <c r="B221" s="9">
        <v>38.06</v>
      </c>
      <c r="C221" s="9">
        <v>38.33</v>
      </c>
      <c r="D221" s="9">
        <v>37.68</v>
      </c>
      <c r="E221" s="9">
        <v>37.81</v>
      </c>
      <c r="F221" s="9">
        <v>15851900</v>
      </c>
      <c r="G221" s="9">
        <v>37.81</v>
      </c>
    </row>
    <row r="222" spans="1:7" x14ac:dyDescent="0.25">
      <c r="A222" s="101">
        <v>41688</v>
      </c>
      <c r="B222" s="9">
        <v>38.31</v>
      </c>
      <c r="C222" s="9">
        <v>38.590000000000003</v>
      </c>
      <c r="D222" s="9">
        <v>38.090000000000003</v>
      </c>
      <c r="E222" s="9">
        <v>38.31</v>
      </c>
      <c r="F222" s="9">
        <v>12096400</v>
      </c>
      <c r="G222" s="9">
        <v>38.31</v>
      </c>
    </row>
    <row r="223" spans="1:7" x14ac:dyDescent="0.25">
      <c r="A223" s="101">
        <v>41684</v>
      </c>
      <c r="B223" s="9">
        <v>38.43</v>
      </c>
      <c r="C223" s="9">
        <v>38.450000000000003</v>
      </c>
      <c r="D223" s="9">
        <v>38.11</v>
      </c>
      <c r="E223" s="9">
        <v>38.229999999999997</v>
      </c>
      <c r="F223" s="9">
        <v>9975800</v>
      </c>
      <c r="G223" s="9">
        <v>38.229999999999997</v>
      </c>
    </row>
    <row r="224" spans="1:7" x14ac:dyDescent="0.25">
      <c r="A224" s="101">
        <v>41683</v>
      </c>
      <c r="B224" s="9">
        <v>37.92</v>
      </c>
      <c r="C224" s="9">
        <v>38.69</v>
      </c>
      <c r="D224" s="9">
        <v>37.79</v>
      </c>
      <c r="E224" s="9">
        <v>38.520000000000003</v>
      </c>
      <c r="F224" s="9">
        <v>12088100</v>
      </c>
      <c r="G224" s="9">
        <v>38.520000000000003</v>
      </c>
    </row>
    <row r="225" spans="1:7" x14ac:dyDescent="0.25">
      <c r="A225" s="101">
        <v>41682</v>
      </c>
      <c r="B225" s="9">
        <v>38.6</v>
      </c>
      <c r="C225" s="9">
        <v>38.909999999999997</v>
      </c>
      <c r="D225" s="9">
        <v>38.03</v>
      </c>
      <c r="E225" s="9">
        <v>38.11</v>
      </c>
      <c r="F225" s="9">
        <v>14088500</v>
      </c>
      <c r="G225" s="9">
        <v>38.11</v>
      </c>
    </row>
    <row r="226" spans="1:7" x14ac:dyDescent="0.25">
      <c r="A226" s="101">
        <v>41681</v>
      </c>
      <c r="B226" s="9">
        <v>38.15</v>
      </c>
      <c r="C226" s="9">
        <v>38.86</v>
      </c>
      <c r="D226" s="9">
        <v>38.090000000000003</v>
      </c>
      <c r="E226" s="9">
        <v>38.5</v>
      </c>
      <c r="F226" s="9">
        <v>18348000</v>
      </c>
      <c r="G226" s="9">
        <v>38.5</v>
      </c>
    </row>
    <row r="227" spans="1:7" x14ac:dyDescent="0.25">
      <c r="A227" s="101">
        <v>41680</v>
      </c>
      <c r="B227" s="9">
        <v>38</v>
      </c>
      <c r="C227" s="9">
        <v>38.130000000000003</v>
      </c>
      <c r="D227" s="9">
        <v>37.25</v>
      </c>
      <c r="E227" s="9">
        <v>37.76</v>
      </c>
      <c r="F227" s="9">
        <v>17642900</v>
      </c>
      <c r="G227" s="9">
        <v>37.76</v>
      </c>
    </row>
    <row r="228" spans="1:7" x14ac:dyDescent="0.25">
      <c r="A228" s="101">
        <v>41677</v>
      </c>
      <c r="B228" s="9">
        <v>36.65</v>
      </c>
      <c r="C228" s="9">
        <v>37.270000000000003</v>
      </c>
      <c r="D228" s="9">
        <v>36.24</v>
      </c>
      <c r="E228" s="9">
        <v>37.229999999999997</v>
      </c>
      <c r="F228" s="9">
        <v>16178500</v>
      </c>
      <c r="G228" s="9">
        <v>37.229999999999997</v>
      </c>
    </row>
    <row r="229" spans="1:7" x14ac:dyDescent="0.25">
      <c r="A229" s="101">
        <v>41676</v>
      </c>
      <c r="B229" s="9">
        <v>35.65</v>
      </c>
      <c r="C229" s="9">
        <v>36.75</v>
      </c>
      <c r="D229" s="9">
        <v>35.61</v>
      </c>
      <c r="E229" s="9">
        <v>36.24</v>
      </c>
      <c r="F229" s="9">
        <v>14250000</v>
      </c>
      <c r="G229" s="9">
        <v>36.24</v>
      </c>
    </row>
    <row r="230" spans="1:7" x14ac:dyDescent="0.25">
      <c r="A230" s="101">
        <v>41675</v>
      </c>
      <c r="B230" s="9">
        <v>35.6</v>
      </c>
      <c r="C230" s="9">
        <v>35.94</v>
      </c>
      <c r="D230" s="9">
        <v>34.99</v>
      </c>
      <c r="E230" s="9">
        <v>35.49</v>
      </c>
      <c r="F230" s="9">
        <v>14022900</v>
      </c>
      <c r="G230" s="9">
        <v>35.49</v>
      </c>
    </row>
    <row r="231" spans="1:7" x14ac:dyDescent="0.25">
      <c r="A231" s="101">
        <v>41674</v>
      </c>
      <c r="B231" s="9">
        <v>35.11</v>
      </c>
      <c r="C231" s="9">
        <v>35.86</v>
      </c>
      <c r="D231" s="9">
        <v>34.86</v>
      </c>
      <c r="E231" s="9">
        <v>35.659999999999997</v>
      </c>
      <c r="F231" s="9">
        <v>21082500</v>
      </c>
      <c r="G231" s="9">
        <v>35.659999999999997</v>
      </c>
    </row>
    <row r="232" spans="1:7" x14ac:dyDescent="0.25">
      <c r="A232" s="101">
        <v>41673</v>
      </c>
      <c r="B232" s="9">
        <v>35.94</v>
      </c>
      <c r="C232" s="9">
        <v>36.01</v>
      </c>
      <c r="D232" s="9">
        <v>34.659999999999997</v>
      </c>
      <c r="E232" s="9">
        <v>34.9</v>
      </c>
      <c r="F232" s="9">
        <v>22195200</v>
      </c>
      <c r="G232" s="9">
        <v>34.9</v>
      </c>
    </row>
    <row r="233" spans="1:7" x14ac:dyDescent="0.25">
      <c r="A233" s="101">
        <v>41670</v>
      </c>
      <c r="B233" s="9">
        <v>34.69</v>
      </c>
      <c r="C233" s="9">
        <v>36.33</v>
      </c>
      <c r="D233" s="9">
        <v>34.549999999999997</v>
      </c>
      <c r="E233" s="9">
        <v>36.01</v>
      </c>
      <c r="F233" s="9">
        <v>30072400</v>
      </c>
      <c r="G233" s="9">
        <v>36.01</v>
      </c>
    </row>
    <row r="234" spans="1:7" x14ac:dyDescent="0.25">
      <c r="A234" s="101">
        <v>41669</v>
      </c>
      <c r="B234" s="9">
        <v>34.89</v>
      </c>
      <c r="C234" s="9">
        <v>35.81</v>
      </c>
      <c r="D234" s="9">
        <v>34.450000000000003</v>
      </c>
      <c r="E234" s="9">
        <v>35.31</v>
      </c>
      <c r="F234" s="9">
        <v>32244700</v>
      </c>
      <c r="G234" s="9">
        <v>35.31</v>
      </c>
    </row>
    <row r="235" spans="1:7" x14ac:dyDescent="0.25">
      <c r="A235" s="101">
        <v>41668</v>
      </c>
      <c r="B235" s="9">
        <v>35.770000000000003</v>
      </c>
      <c r="C235" s="9">
        <v>36.31</v>
      </c>
      <c r="D235" s="9">
        <v>34.82</v>
      </c>
      <c r="E235" s="9">
        <v>34.89</v>
      </c>
      <c r="F235" s="9">
        <v>67190500</v>
      </c>
      <c r="G235" s="9">
        <v>34.89</v>
      </c>
    </row>
    <row r="236" spans="1:7" x14ac:dyDescent="0.25">
      <c r="A236" s="101">
        <v>41667</v>
      </c>
      <c r="B236" s="9">
        <v>36.83</v>
      </c>
      <c r="C236" s="9">
        <v>38.32</v>
      </c>
      <c r="D236" s="9">
        <v>36.520000000000003</v>
      </c>
      <c r="E236" s="9">
        <v>38.22</v>
      </c>
      <c r="F236" s="9">
        <v>39765300</v>
      </c>
      <c r="G236" s="9">
        <v>38.22</v>
      </c>
    </row>
    <row r="237" spans="1:7" x14ac:dyDescent="0.25">
      <c r="A237" s="101">
        <v>41666</v>
      </c>
      <c r="B237" s="9">
        <v>37.6</v>
      </c>
      <c r="C237" s="9">
        <v>37.94</v>
      </c>
      <c r="D237" s="9">
        <v>36.619999999999997</v>
      </c>
      <c r="E237" s="9">
        <v>36.65</v>
      </c>
      <c r="F237" s="9">
        <v>26728000</v>
      </c>
      <c r="G237" s="9">
        <v>36.65</v>
      </c>
    </row>
    <row r="238" spans="1:7" x14ac:dyDescent="0.25">
      <c r="A238" s="101">
        <v>41663</v>
      </c>
      <c r="B238" s="9">
        <v>38.67</v>
      </c>
      <c r="C238" s="9">
        <v>38.979999999999997</v>
      </c>
      <c r="D238" s="9">
        <v>37.619999999999997</v>
      </c>
      <c r="E238" s="9">
        <v>37.909999999999997</v>
      </c>
      <c r="F238" s="9">
        <v>26309000</v>
      </c>
      <c r="G238" s="9">
        <v>37.909999999999997</v>
      </c>
    </row>
    <row r="239" spans="1:7" x14ac:dyDescent="0.25">
      <c r="A239" s="101">
        <v>41662</v>
      </c>
      <c r="B239" s="9">
        <v>39.31</v>
      </c>
      <c r="C239" s="9">
        <v>39.770000000000003</v>
      </c>
      <c r="D239" s="9">
        <v>39.14</v>
      </c>
      <c r="E239" s="9">
        <v>39.39</v>
      </c>
      <c r="F239" s="9">
        <v>15384300</v>
      </c>
      <c r="G239" s="9">
        <v>39.39</v>
      </c>
    </row>
    <row r="240" spans="1:7" x14ac:dyDescent="0.25">
      <c r="A240" s="101">
        <v>41661</v>
      </c>
      <c r="B240" s="9">
        <v>39.659999999999997</v>
      </c>
      <c r="C240" s="9">
        <v>40.4</v>
      </c>
      <c r="D240" s="9">
        <v>39.32</v>
      </c>
      <c r="E240" s="9">
        <v>40.18</v>
      </c>
      <c r="F240" s="9">
        <v>12994600</v>
      </c>
      <c r="G240" s="9">
        <v>40.18</v>
      </c>
    </row>
    <row r="241" spans="1:7" x14ac:dyDescent="0.25">
      <c r="A241" s="101">
        <v>41660</v>
      </c>
      <c r="B241" s="9">
        <v>39.979999999999997</v>
      </c>
      <c r="C241" s="9">
        <v>40.049999999999997</v>
      </c>
      <c r="D241" s="9">
        <v>38.86</v>
      </c>
      <c r="E241" s="9">
        <v>39.520000000000003</v>
      </c>
      <c r="F241" s="9">
        <v>21436400</v>
      </c>
      <c r="G241" s="9">
        <v>39.520000000000003</v>
      </c>
    </row>
    <row r="242" spans="1:7" x14ac:dyDescent="0.25">
      <c r="A242" s="101">
        <v>41656</v>
      </c>
      <c r="B242" s="9">
        <v>40.119999999999997</v>
      </c>
      <c r="C242" s="9">
        <v>40.44</v>
      </c>
      <c r="D242" s="9">
        <v>39.47</v>
      </c>
      <c r="E242" s="9">
        <v>40.01</v>
      </c>
      <c r="F242" s="9">
        <v>19262500</v>
      </c>
      <c r="G242" s="9">
        <v>40.01</v>
      </c>
    </row>
    <row r="243" spans="1:7" x14ac:dyDescent="0.25">
      <c r="A243" s="101">
        <v>41655</v>
      </c>
      <c r="B243" s="9">
        <v>40.43</v>
      </c>
      <c r="C243" s="9">
        <v>40.75</v>
      </c>
      <c r="D243" s="9">
        <v>40.11</v>
      </c>
      <c r="E243" s="9">
        <v>40.340000000000003</v>
      </c>
      <c r="F243" s="9">
        <v>16348200</v>
      </c>
      <c r="G243" s="9">
        <v>40.340000000000003</v>
      </c>
    </row>
    <row r="244" spans="1:7" x14ac:dyDescent="0.25">
      <c r="A244" s="101">
        <v>41654</v>
      </c>
      <c r="B244" s="9">
        <v>41.06</v>
      </c>
      <c r="C244" s="9">
        <v>41.31</v>
      </c>
      <c r="D244" s="9">
        <v>40.76</v>
      </c>
      <c r="E244" s="9">
        <v>41.07</v>
      </c>
      <c r="F244" s="9">
        <v>9475500</v>
      </c>
      <c r="G244" s="9">
        <v>41.07</v>
      </c>
    </row>
    <row r="245" spans="1:7" x14ac:dyDescent="0.25">
      <c r="A245" s="101">
        <v>41653</v>
      </c>
      <c r="B245" s="9">
        <v>40.21</v>
      </c>
      <c r="C245" s="9">
        <v>41.14</v>
      </c>
      <c r="D245" s="9">
        <v>40.04</v>
      </c>
      <c r="E245" s="9">
        <v>41.14</v>
      </c>
      <c r="F245" s="9">
        <v>14473900</v>
      </c>
      <c r="G245" s="9">
        <v>41.14</v>
      </c>
    </row>
    <row r="246" spans="1:7" x14ac:dyDescent="0.25">
      <c r="A246" s="101">
        <v>41652</v>
      </c>
      <c r="B246" s="9">
        <v>41.16</v>
      </c>
      <c r="C246" s="9">
        <v>41.22</v>
      </c>
      <c r="D246" s="9">
        <v>39.799999999999997</v>
      </c>
      <c r="E246" s="9">
        <v>39.99</v>
      </c>
      <c r="F246" s="9">
        <v>16047200</v>
      </c>
      <c r="G246" s="9">
        <v>39.99</v>
      </c>
    </row>
    <row r="247" spans="1:7" x14ac:dyDescent="0.25">
      <c r="A247" s="101">
        <v>41649</v>
      </c>
      <c r="B247" s="9">
        <v>40.950000000000003</v>
      </c>
      <c r="C247" s="9">
        <v>41.35</v>
      </c>
      <c r="D247" s="9">
        <v>40.82</v>
      </c>
      <c r="E247" s="9">
        <v>41.23</v>
      </c>
      <c r="F247" s="9">
        <v>8721700</v>
      </c>
      <c r="G247" s="9">
        <v>41.23</v>
      </c>
    </row>
    <row r="248" spans="1:7" x14ac:dyDescent="0.25">
      <c r="A248" s="101">
        <v>41648</v>
      </c>
      <c r="B248" s="9">
        <v>41.33</v>
      </c>
      <c r="C248" s="9">
        <v>41.35</v>
      </c>
      <c r="D248" s="9">
        <v>40.61</v>
      </c>
      <c r="E248" s="9">
        <v>40.92</v>
      </c>
      <c r="F248" s="9">
        <v>12897300</v>
      </c>
      <c r="G248" s="9">
        <v>40.92</v>
      </c>
    </row>
    <row r="249" spans="1:7" x14ac:dyDescent="0.25">
      <c r="A249" s="101">
        <v>41647</v>
      </c>
      <c r="B249" s="9">
        <v>41.29</v>
      </c>
      <c r="C249" s="9">
        <v>41.72</v>
      </c>
      <c r="D249" s="9">
        <v>41.02</v>
      </c>
      <c r="E249" s="9">
        <v>41.02</v>
      </c>
      <c r="F249" s="9">
        <v>18638200</v>
      </c>
      <c r="G249" s="9">
        <v>41.02</v>
      </c>
    </row>
    <row r="250" spans="1:7" x14ac:dyDescent="0.25">
      <c r="A250" s="101">
        <v>41646</v>
      </c>
      <c r="B250" s="9">
        <v>40.08</v>
      </c>
      <c r="C250" s="9">
        <v>41.2</v>
      </c>
      <c r="D250" s="9">
        <v>40.08</v>
      </c>
      <c r="E250" s="9">
        <v>40.92</v>
      </c>
      <c r="F250" s="9">
        <v>14100000</v>
      </c>
      <c r="G250" s="9">
        <v>40.92</v>
      </c>
    </row>
    <row r="251" spans="1:7" x14ac:dyDescent="0.25">
      <c r="A251" s="101">
        <v>41645</v>
      </c>
      <c r="B251" s="9">
        <v>40.049999999999997</v>
      </c>
      <c r="C251" s="9">
        <v>40.32</v>
      </c>
      <c r="D251" s="9">
        <v>39.75</v>
      </c>
      <c r="E251" s="9">
        <v>39.93</v>
      </c>
      <c r="F251" s="9">
        <v>12467500</v>
      </c>
      <c r="G251" s="9">
        <v>39.93</v>
      </c>
    </row>
    <row r="252" spans="1:7" x14ac:dyDescent="0.25">
      <c r="A252" s="101">
        <v>41642</v>
      </c>
      <c r="B252" s="9">
        <v>40.159999999999997</v>
      </c>
      <c r="C252" s="9">
        <v>40.44</v>
      </c>
      <c r="D252" s="9">
        <v>39.82</v>
      </c>
      <c r="E252" s="9">
        <v>40.119999999999997</v>
      </c>
      <c r="F252" s="9">
        <v>15755200</v>
      </c>
      <c r="G252" s="9">
        <v>40.119999999999997</v>
      </c>
    </row>
    <row r="253" spans="1:7" x14ac:dyDescent="0.25">
      <c r="A253" s="101">
        <v>41641</v>
      </c>
      <c r="B253" s="9">
        <v>40.369999999999997</v>
      </c>
      <c r="C253" s="9">
        <v>40.49</v>
      </c>
      <c r="D253" s="9">
        <v>39.31</v>
      </c>
      <c r="E253" s="9">
        <v>39.590000000000003</v>
      </c>
      <c r="F253" s="9">
        <v>21504200</v>
      </c>
      <c r="G253" s="9">
        <v>39.590000000000003</v>
      </c>
    </row>
    <row r="254" spans="1:7" x14ac:dyDescent="0.25">
      <c r="A254" s="101">
        <v>41639</v>
      </c>
      <c r="B254" s="9">
        <v>40.17</v>
      </c>
      <c r="C254" s="9">
        <v>40.5</v>
      </c>
      <c r="D254" s="9">
        <v>40</v>
      </c>
      <c r="E254" s="9">
        <v>40.44</v>
      </c>
      <c r="F254" s="9">
        <v>8291400</v>
      </c>
      <c r="G254" s="9">
        <v>40.44</v>
      </c>
    </row>
    <row r="255" spans="1:7" x14ac:dyDescent="0.25">
      <c r="A255" s="101">
        <v>41638</v>
      </c>
      <c r="B255" s="9">
        <v>40.46</v>
      </c>
      <c r="C255" s="9">
        <v>40.58</v>
      </c>
      <c r="D255" s="9">
        <v>39.85</v>
      </c>
      <c r="E255" s="9">
        <v>40.200000000000003</v>
      </c>
      <c r="F255" s="9">
        <v>8676800</v>
      </c>
      <c r="G255" s="9">
        <v>40.200000000000003</v>
      </c>
    </row>
    <row r="256" spans="1:7" x14ac:dyDescent="0.25">
      <c r="A256" s="101">
        <v>41635</v>
      </c>
      <c r="B256" s="9">
        <v>40.72</v>
      </c>
      <c r="C256" s="9">
        <v>40.75</v>
      </c>
      <c r="D256" s="9">
        <v>40.32</v>
      </c>
      <c r="E256" s="9">
        <v>40.49</v>
      </c>
      <c r="F256" s="9">
        <v>6138700</v>
      </c>
      <c r="G256" s="9">
        <v>40.49</v>
      </c>
    </row>
    <row r="257" spans="1:7" x14ac:dyDescent="0.25">
      <c r="A257" s="101">
        <v>41634</v>
      </c>
      <c r="B257" s="9">
        <v>41</v>
      </c>
      <c r="C257" s="9">
        <v>41.05</v>
      </c>
      <c r="D257" s="9">
        <v>40.22</v>
      </c>
      <c r="E257" s="9">
        <v>40.65</v>
      </c>
      <c r="F257" s="9">
        <v>7364600</v>
      </c>
      <c r="G257" s="9">
        <v>40.65</v>
      </c>
    </row>
    <row r="258" spans="1:7" x14ac:dyDescent="0.25">
      <c r="A258" s="101">
        <v>41632</v>
      </c>
      <c r="B258" s="9">
        <v>40.909999999999997</v>
      </c>
      <c r="C258" s="9">
        <v>40.950000000000003</v>
      </c>
      <c r="D258" s="9">
        <v>40.659999999999997</v>
      </c>
      <c r="E258" s="9">
        <v>40.85</v>
      </c>
      <c r="F258" s="9">
        <v>5113900</v>
      </c>
      <c r="G258" s="9">
        <v>40.85</v>
      </c>
    </row>
    <row r="259" spans="1:7" x14ac:dyDescent="0.25">
      <c r="A259" s="101">
        <v>41631</v>
      </c>
      <c r="B259" s="9">
        <v>40.25</v>
      </c>
      <c r="C259" s="9">
        <v>40.799999999999997</v>
      </c>
      <c r="D259" s="9">
        <v>40.130000000000003</v>
      </c>
      <c r="E259" s="9">
        <v>40.770000000000003</v>
      </c>
      <c r="F259" s="9">
        <v>7447900</v>
      </c>
      <c r="G259" s="9">
        <v>40.770000000000003</v>
      </c>
    </row>
    <row r="260" spans="1:7" x14ac:dyDescent="0.25">
      <c r="A260" s="101">
        <v>41628</v>
      </c>
      <c r="B260" s="9">
        <v>40.39</v>
      </c>
      <c r="C260" s="9">
        <v>40.6</v>
      </c>
      <c r="D260" s="9">
        <v>40.11</v>
      </c>
      <c r="E260" s="9">
        <v>40.119999999999997</v>
      </c>
      <c r="F260" s="9">
        <v>24637200</v>
      </c>
      <c r="G260" s="9">
        <v>40.119999999999997</v>
      </c>
    </row>
    <row r="261" spans="1:7" x14ac:dyDescent="0.25">
      <c r="A261" s="101">
        <v>41627</v>
      </c>
      <c r="B261" s="9">
        <v>40.04</v>
      </c>
      <c r="C261" s="9">
        <v>40.380000000000003</v>
      </c>
      <c r="D261" s="9">
        <v>39.909999999999997</v>
      </c>
      <c r="E261" s="9">
        <v>40.200000000000003</v>
      </c>
      <c r="F261" s="9">
        <v>10710200</v>
      </c>
      <c r="G261" s="9">
        <v>40.200000000000003</v>
      </c>
    </row>
    <row r="262" spans="1:7" x14ac:dyDescent="0.25">
      <c r="A262" s="101">
        <v>41626</v>
      </c>
      <c r="B262" s="9">
        <v>39.53</v>
      </c>
      <c r="C262" s="9">
        <v>40.04</v>
      </c>
      <c r="D262" s="9">
        <v>38.82</v>
      </c>
      <c r="E262" s="9">
        <v>40.04</v>
      </c>
      <c r="F262" s="9">
        <v>16844000</v>
      </c>
      <c r="G262" s="9">
        <v>40.04</v>
      </c>
    </row>
    <row r="263" spans="1:7" x14ac:dyDescent="0.25">
      <c r="A263" s="101">
        <v>41625</v>
      </c>
      <c r="B263" s="9">
        <v>39.99</v>
      </c>
      <c r="C263" s="9">
        <v>40</v>
      </c>
      <c r="D263" s="9">
        <v>39.4</v>
      </c>
      <c r="E263" s="9">
        <v>39.51</v>
      </c>
      <c r="F263" s="9">
        <v>9842000</v>
      </c>
      <c r="G263" s="9">
        <v>39.51</v>
      </c>
    </row>
    <row r="264" spans="1:7" x14ac:dyDescent="0.25">
      <c r="A264" s="101">
        <v>41624</v>
      </c>
      <c r="B264" s="9">
        <v>39.97</v>
      </c>
      <c r="C264" s="9">
        <v>40.270000000000003</v>
      </c>
      <c r="D264" s="9">
        <v>39.6</v>
      </c>
      <c r="E264" s="9">
        <v>39.729999999999997</v>
      </c>
      <c r="F264" s="9">
        <v>11439100</v>
      </c>
      <c r="G264" s="9">
        <v>39.729999999999997</v>
      </c>
    </row>
    <row r="265" spans="1:7" x14ac:dyDescent="0.25">
      <c r="A265" s="101">
        <v>41621</v>
      </c>
      <c r="B265" s="9">
        <v>39.61</v>
      </c>
      <c r="C265" s="9">
        <v>40.200000000000003</v>
      </c>
      <c r="D265" s="9">
        <v>39.56</v>
      </c>
      <c r="E265" s="9">
        <v>39.729999999999997</v>
      </c>
      <c r="F265" s="9">
        <v>13773700</v>
      </c>
      <c r="G265" s="9">
        <v>39.729999999999997</v>
      </c>
    </row>
    <row r="266" spans="1:7" x14ac:dyDescent="0.25">
      <c r="A266" s="101">
        <v>41620</v>
      </c>
      <c r="B266" s="9">
        <v>39.020000000000003</v>
      </c>
      <c r="C266" s="9">
        <v>40</v>
      </c>
      <c r="D266" s="9">
        <v>39</v>
      </c>
      <c r="E266" s="9">
        <v>39.35</v>
      </c>
      <c r="F266" s="9">
        <v>16184600</v>
      </c>
      <c r="G266" s="9">
        <v>39.35</v>
      </c>
    </row>
    <row r="267" spans="1:7" x14ac:dyDescent="0.25">
      <c r="A267" s="101">
        <v>41619</v>
      </c>
      <c r="B267" s="9">
        <v>39.9</v>
      </c>
      <c r="C267" s="9">
        <v>40.159999999999997</v>
      </c>
      <c r="D267" s="9">
        <v>38.92</v>
      </c>
      <c r="E267" s="9">
        <v>39.159999999999997</v>
      </c>
      <c r="F267" s="9">
        <v>20915200</v>
      </c>
      <c r="G267" s="9">
        <v>39.159999999999997</v>
      </c>
    </row>
    <row r="268" spans="1:7" x14ac:dyDescent="0.25">
      <c r="A268" s="101">
        <v>41618</v>
      </c>
      <c r="B268" s="9">
        <v>38.92</v>
      </c>
      <c r="C268" s="9">
        <v>40.25</v>
      </c>
      <c r="D268" s="9">
        <v>38.92</v>
      </c>
      <c r="E268" s="9">
        <v>40.22</v>
      </c>
      <c r="F268" s="9">
        <v>25479700</v>
      </c>
      <c r="G268" s="9">
        <v>40.22</v>
      </c>
    </row>
    <row r="269" spans="1:7" x14ac:dyDescent="0.25">
      <c r="A269" s="101">
        <v>41617</v>
      </c>
      <c r="B269" s="9">
        <v>39.130000000000003</v>
      </c>
      <c r="C269" s="9">
        <v>39.200000000000003</v>
      </c>
      <c r="D269" s="9">
        <v>38.57</v>
      </c>
      <c r="E269" s="9">
        <v>38.869999999999997</v>
      </c>
      <c r="F269" s="9">
        <v>14386300</v>
      </c>
      <c r="G269" s="9">
        <v>38.869999999999997</v>
      </c>
    </row>
    <row r="270" spans="1:7" x14ac:dyDescent="0.25">
      <c r="A270" s="101">
        <v>41614</v>
      </c>
      <c r="B270" s="9">
        <v>39.24</v>
      </c>
      <c r="C270" s="9">
        <v>39.28</v>
      </c>
      <c r="D270" s="9">
        <v>38.53</v>
      </c>
      <c r="E270" s="9">
        <v>38.86</v>
      </c>
      <c r="F270" s="9">
        <v>22215000</v>
      </c>
      <c r="G270" s="9">
        <v>38.86</v>
      </c>
    </row>
    <row r="271" spans="1:7" x14ac:dyDescent="0.25">
      <c r="A271" s="101">
        <v>41613</v>
      </c>
      <c r="B271" s="9">
        <v>38.24</v>
      </c>
      <c r="C271" s="9">
        <v>39.31</v>
      </c>
      <c r="D271" s="9">
        <v>38.049999999999997</v>
      </c>
      <c r="E271" s="9">
        <v>38.869999999999997</v>
      </c>
      <c r="F271" s="9">
        <v>27662000</v>
      </c>
      <c r="G271" s="9">
        <v>38.869999999999997</v>
      </c>
    </row>
    <row r="272" spans="1:7" x14ac:dyDescent="0.25">
      <c r="A272" s="101">
        <v>41612</v>
      </c>
      <c r="B272" s="9">
        <v>36.47</v>
      </c>
      <c r="C272" s="9">
        <v>38.15</v>
      </c>
      <c r="D272" s="9">
        <v>36.25</v>
      </c>
      <c r="E272" s="9">
        <v>38.130000000000003</v>
      </c>
      <c r="F272" s="9">
        <v>26139700</v>
      </c>
      <c r="G272" s="9">
        <v>38.130000000000003</v>
      </c>
    </row>
    <row r="273" spans="1:7" x14ac:dyDescent="0.25">
      <c r="A273" s="101">
        <v>41611</v>
      </c>
      <c r="B273" s="9">
        <v>36.770000000000003</v>
      </c>
      <c r="C273" s="9">
        <v>37.07</v>
      </c>
      <c r="D273" s="9">
        <v>36.340000000000003</v>
      </c>
      <c r="E273" s="9">
        <v>36.56</v>
      </c>
      <c r="F273" s="9">
        <v>14098300</v>
      </c>
      <c r="G273" s="9">
        <v>36.56</v>
      </c>
    </row>
    <row r="274" spans="1:7" x14ac:dyDescent="0.25">
      <c r="A274" s="101">
        <v>41610</v>
      </c>
      <c r="B274" s="9">
        <v>37.04</v>
      </c>
      <c r="C274" s="9">
        <v>37.15</v>
      </c>
      <c r="D274" s="9">
        <v>36.68</v>
      </c>
      <c r="E274" s="9">
        <v>37.01</v>
      </c>
      <c r="F274" s="9">
        <v>11573000</v>
      </c>
      <c r="G274" s="9">
        <v>37.01</v>
      </c>
    </row>
    <row r="275" spans="1:7" x14ac:dyDescent="0.25">
      <c r="A275" s="101">
        <v>41607</v>
      </c>
      <c r="B275" s="9">
        <v>36.909999999999997</v>
      </c>
      <c r="C275" s="9">
        <v>37.35</v>
      </c>
      <c r="D275" s="9">
        <v>36.9</v>
      </c>
      <c r="E275" s="9">
        <v>36.979999999999997</v>
      </c>
      <c r="F275" s="9">
        <v>6455400</v>
      </c>
      <c r="G275" s="9">
        <v>36.979999999999997</v>
      </c>
    </row>
    <row r="276" spans="1:7" x14ac:dyDescent="0.25">
      <c r="A276" s="101">
        <v>41605</v>
      </c>
      <c r="B276" s="9">
        <v>36.700000000000003</v>
      </c>
      <c r="C276" s="9">
        <v>37.119999999999997</v>
      </c>
      <c r="D276" s="9">
        <v>36.51</v>
      </c>
      <c r="E276" s="9">
        <v>36.96</v>
      </c>
      <c r="F276" s="9">
        <v>10427500</v>
      </c>
      <c r="G276" s="9">
        <v>36.96</v>
      </c>
    </row>
    <row r="277" spans="1:7" x14ac:dyDescent="0.25">
      <c r="A277" s="101">
        <v>41604</v>
      </c>
      <c r="B277" s="9">
        <v>36.32</v>
      </c>
      <c r="C277" s="9">
        <v>36.75</v>
      </c>
      <c r="D277" s="9">
        <v>36.11</v>
      </c>
      <c r="E277" s="9">
        <v>36.64</v>
      </c>
      <c r="F277" s="9">
        <v>10458300</v>
      </c>
      <c r="G277" s="9">
        <v>36.64</v>
      </c>
    </row>
    <row r="278" spans="1:7" x14ac:dyDescent="0.25">
      <c r="A278" s="101">
        <v>41603</v>
      </c>
      <c r="B278" s="9">
        <v>36.78</v>
      </c>
      <c r="C278" s="9">
        <v>36.85</v>
      </c>
      <c r="D278" s="9">
        <v>35.96</v>
      </c>
      <c r="E278" s="9">
        <v>36.29</v>
      </c>
      <c r="F278" s="9">
        <v>15159800</v>
      </c>
      <c r="G278" s="9">
        <v>36.29</v>
      </c>
    </row>
    <row r="279" spans="1:7" x14ac:dyDescent="0.25">
      <c r="A279" s="101">
        <v>41600</v>
      </c>
      <c r="B279" s="9">
        <v>36.19</v>
      </c>
      <c r="C279" s="9">
        <v>36.630000000000003</v>
      </c>
      <c r="D279" s="9">
        <v>35.96</v>
      </c>
      <c r="E279" s="9">
        <v>36.49</v>
      </c>
      <c r="F279" s="9">
        <v>13247500</v>
      </c>
      <c r="G279" s="9">
        <v>36.49</v>
      </c>
    </row>
    <row r="280" spans="1:7" x14ac:dyDescent="0.25">
      <c r="A280" s="101">
        <v>41599</v>
      </c>
      <c r="B280" s="9">
        <v>36.229999999999997</v>
      </c>
      <c r="C280" s="9">
        <v>36.659999999999997</v>
      </c>
      <c r="D280" s="9">
        <v>36.22</v>
      </c>
      <c r="E280" s="9">
        <v>36.299999999999997</v>
      </c>
      <c r="F280" s="9">
        <v>26425000</v>
      </c>
      <c r="G280" s="9">
        <v>36.299999999999997</v>
      </c>
    </row>
    <row r="281" spans="1:7" x14ac:dyDescent="0.25">
      <c r="A281" s="101">
        <v>41598</v>
      </c>
      <c r="B281" s="9">
        <v>35.43</v>
      </c>
      <c r="C281" s="9">
        <v>36.22</v>
      </c>
      <c r="D281" s="9">
        <v>35.22</v>
      </c>
      <c r="E281" s="9">
        <v>35.619999999999997</v>
      </c>
      <c r="F281" s="9">
        <v>32439800</v>
      </c>
      <c r="G281" s="9">
        <v>35.619999999999997</v>
      </c>
    </row>
    <row r="282" spans="1:7" x14ac:dyDescent="0.25">
      <c r="A282" s="101">
        <v>41597</v>
      </c>
      <c r="B282" s="9">
        <v>35.03</v>
      </c>
      <c r="C282" s="9">
        <v>35.17</v>
      </c>
      <c r="D282" s="9">
        <v>34.51</v>
      </c>
      <c r="E282" s="9">
        <v>34.630000000000003</v>
      </c>
      <c r="F282" s="9">
        <v>14955300</v>
      </c>
      <c r="G282" s="9">
        <v>34.630000000000003</v>
      </c>
    </row>
    <row r="283" spans="1:7" x14ac:dyDescent="0.25">
      <c r="A283" s="101">
        <v>41596</v>
      </c>
      <c r="B283" s="9">
        <v>35.65</v>
      </c>
      <c r="C283" s="9">
        <v>36.19</v>
      </c>
      <c r="D283" s="9">
        <v>34.51</v>
      </c>
      <c r="E283" s="9">
        <v>34.979999999999997</v>
      </c>
      <c r="F283" s="9">
        <v>19070000</v>
      </c>
      <c r="G283" s="9">
        <v>34.979999999999997</v>
      </c>
    </row>
    <row r="284" spans="1:7" x14ac:dyDescent="0.25">
      <c r="A284" s="101">
        <v>41593</v>
      </c>
      <c r="B284" s="9">
        <v>35.799999999999997</v>
      </c>
      <c r="C284" s="9">
        <v>35.94</v>
      </c>
      <c r="D284" s="9">
        <v>35.299999999999997</v>
      </c>
      <c r="E284" s="9">
        <v>35.47</v>
      </c>
      <c r="F284" s="9">
        <v>15615700</v>
      </c>
      <c r="G284" s="9">
        <v>35.47</v>
      </c>
    </row>
    <row r="285" spans="1:7" x14ac:dyDescent="0.25">
      <c r="A285" s="101">
        <v>41592</v>
      </c>
      <c r="B285" s="9">
        <v>35.07</v>
      </c>
      <c r="C285" s="9">
        <v>35.89</v>
      </c>
      <c r="D285" s="9">
        <v>34.76</v>
      </c>
      <c r="E285" s="9">
        <v>35.69</v>
      </c>
      <c r="F285" s="9">
        <v>21411400</v>
      </c>
      <c r="G285" s="9">
        <v>35.69</v>
      </c>
    </row>
    <row r="286" spans="1:7" x14ac:dyDescent="0.25">
      <c r="A286" s="101">
        <v>41591</v>
      </c>
      <c r="B286" s="9">
        <v>33.82</v>
      </c>
      <c r="C286" s="9">
        <v>35.119999999999997</v>
      </c>
      <c r="D286" s="9">
        <v>33.630000000000003</v>
      </c>
      <c r="E286" s="9">
        <v>35.1</v>
      </c>
      <c r="F286" s="9">
        <v>21359400</v>
      </c>
      <c r="G286" s="9">
        <v>35.1</v>
      </c>
    </row>
    <row r="287" spans="1:7" x14ac:dyDescent="0.25">
      <c r="A287" s="101">
        <v>41590</v>
      </c>
      <c r="B287" s="9">
        <v>34</v>
      </c>
      <c r="C287" s="9">
        <v>34.520000000000003</v>
      </c>
      <c r="D287" s="9">
        <v>33.880000000000003</v>
      </c>
      <c r="E287" s="9">
        <v>34.07</v>
      </c>
      <c r="F287" s="9">
        <v>18227600</v>
      </c>
      <c r="G287" s="9">
        <v>34.07</v>
      </c>
    </row>
    <row r="288" spans="1:7" x14ac:dyDescent="0.25">
      <c r="A288" s="101">
        <v>41589</v>
      </c>
      <c r="B288" s="9">
        <v>33.57</v>
      </c>
      <c r="C288" s="9">
        <v>33.99</v>
      </c>
      <c r="D288" s="9">
        <v>33.25</v>
      </c>
      <c r="E288" s="9">
        <v>33.82</v>
      </c>
      <c r="F288" s="9">
        <v>15846800</v>
      </c>
      <c r="G288" s="9">
        <v>33.82</v>
      </c>
    </row>
    <row r="289" spans="1:7" x14ac:dyDescent="0.25">
      <c r="A289" s="101">
        <v>41586</v>
      </c>
      <c r="B289" s="9">
        <v>32.229999999999997</v>
      </c>
      <c r="C289" s="9">
        <v>33.119999999999997</v>
      </c>
      <c r="D289" s="9">
        <v>32.200000000000003</v>
      </c>
      <c r="E289" s="9">
        <v>33.119999999999997</v>
      </c>
      <c r="F289" s="9">
        <v>15082800</v>
      </c>
      <c r="G289" s="9">
        <v>33.119999999999997</v>
      </c>
    </row>
    <row r="290" spans="1:7" x14ac:dyDescent="0.25">
      <c r="A290" s="101">
        <v>41585</v>
      </c>
      <c r="B290" s="9">
        <v>32.99</v>
      </c>
      <c r="C290" s="9">
        <v>33.049999999999997</v>
      </c>
      <c r="D290" s="9">
        <v>32.06</v>
      </c>
      <c r="E290" s="9">
        <v>32.11</v>
      </c>
      <c r="F290" s="9">
        <v>16861300</v>
      </c>
      <c r="G290" s="9">
        <v>32.11</v>
      </c>
    </row>
    <row r="291" spans="1:7" x14ac:dyDescent="0.25">
      <c r="A291" s="101">
        <v>41584</v>
      </c>
      <c r="B291" s="9">
        <v>33.07</v>
      </c>
      <c r="C291" s="9">
        <v>33.299999999999997</v>
      </c>
      <c r="D291" s="9">
        <v>32.71</v>
      </c>
      <c r="E291" s="9">
        <v>32.880000000000003</v>
      </c>
      <c r="F291" s="9">
        <v>10826400</v>
      </c>
      <c r="G291" s="9">
        <v>32.880000000000003</v>
      </c>
    </row>
    <row r="292" spans="1:7" x14ac:dyDescent="0.25">
      <c r="A292" s="101">
        <v>41583</v>
      </c>
      <c r="B292" s="9">
        <v>33.03</v>
      </c>
      <c r="C292" s="9">
        <v>33.08</v>
      </c>
      <c r="D292" s="9">
        <v>32.549999999999997</v>
      </c>
      <c r="E292" s="9">
        <v>32.97</v>
      </c>
      <c r="F292" s="9">
        <v>13471100</v>
      </c>
      <c r="G292" s="9">
        <v>32.97</v>
      </c>
    </row>
    <row r="293" spans="1:7" x14ac:dyDescent="0.25">
      <c r="A293" s="101">
        <v>41582</v>
      </c>
      <c r="B293" s="9">
        <v>33.200000000000003</v>
      </c>
      <c r="C293" s="9">
        <v>33.659999999999997</v>
      </c>
      <c r="D293" s="9">
        <v>33.01</v>
      </c>
      <c r="E293" s="9">
        <v>33.19</v>
      </c>
      <c r="F293" s="9">
        <v>15778500</v>
      </c>
      <c r="G293" s="9">
        <v>33.19</v>
      </c>
    </row>
    <row r="294" spans="1:7" x14ac:dyDescent="0.25">
      <c r="A294" s="101">
        <v>41579</v>
      </c>
      <c r="B294" s="9">
        <v>33.15</v>
      </c>
      <c r="C294" s="9">
        <v>33.35</v>
      </c>
      <c r="D294" s="9">
        <v>33</v>
      </c>
      <c r="E294" s="9">
        <v>33.18</v>
      </c>
      <c r="F294" s="9">
        <v>15201400</v>
      </c>
      <c r="G294" s="9">
        <v>33.18</v>
      </c>
    </row>
    <row r="295" spans="1:7" x14ac:dyDescent="0.25">
      <c r="A295" s="101">
        <v>41578</v>
      </c>
      <c r="B295" s="9">
        <v>32.43</v>
      </c>
      <c r="C295" s="9">
        <v>33.119999999999997</v>
      </c>
      <c r="D295" s="9">
        <v>32.28</v>
      </c>
      <c r="E295" s="9">
        <v>32.94</v>
      </c>
      <c r="F295" s="9">
        <v>15301900</v>
      </c>
      <c r="G295" s="9">
        <v>32.94</v>
      </c>
    </row>
    <row r="296" spans="1:7" x14ac:dyDescent="0.25">
      <c r="A296" s="101">
        <v>41577</v>
      </c>
      <c r="B296" s="9">
        <v>33.33</v>
      </c>
      <c r="C296" s="9">
        <v>33.479999999999997</v>
      </c>
      <c r="D296" s="9">
        <v>32.380000000000003</v>
      </c>
      <c r="E296" s="9">
        <v>32.57</v>
      </c>
      <c r="F296" s="9">
        <v>14292300</v>
      </c>
      <c r="G296" s="9">
        <v>32.57</v>
      </c>
    </row>
    <row r="297" spans="1:7" x14ac:dyDescent="0.25">
      <c r="A297" s="101">
        <v>41576</v>
      </c>
      <c r="B297" s="9">
        <v>33.07</v>
      </c>
      <c r="C297" s="9">
        <v>34</v>
      </c>
      <c r="D297" s="9">
        <v>32.82</v>
      </c>
      <c r="E297" s="9">
        <v>33.17</v>
      </c>
      <c r="F297" s="9">
        <v>29349200</v>
      </c>
      <c r="G297" s="9">
        <v>33.17</v>
      </c>
    </row>
    <row r="298" spans="1:7" x14ac:dyDescent="0.25">
      <c r="A298" s="101">
        <v>41575</v>
      </c>
      <c r="B298" s="9">
        <v>32.090000000000003</v>
      </c>
      <c r="C298" s="9">
        <v>32.700000000000003</v>
      </c>
      <c r="D298" s="9">
        <v>31.7</v>
      </c>
      <c r="E298" s="9">
        <v>32.35</v>
      </c>
      <c r="F298" s="9">
        <v>18325700</v>
      </c>
      <c r="G298" s="9">
        <v>32.35</v>
      </c>
    </row>
    <row r="299" spans="1:7" x14ac:dyDescent="0.25">
      <c r="A299" s="101">
        <v>41572</v>
      </c>
      <c r="B299" s="9">
        <v>32.31</v>
      </c>
      <c r="C299" s="9">
        <v>32.950000000000003</v>
      </c>
      <c r="D299" s="9">
        <v>32</v>
      </c>
      <c r="E299" s="9">
        <v>32.25</v>
      </c>
      <c r="F299" s="9">
        <v>22290000</v>
      </c>
      <c r="G299" s="9">
        <v>32.25</v>
      </c>
    </row>
    <row r="300" spans="1:7" x14ac:dyDescent="0.25">
      <c r="A300" s="101">
        <v>41571</v>
      </c>
      <c r="B300" s="9">
        <v>33.159999999999997</v>
      </c>
      <c r="C300" s="9">
        <v>33.31</v>
      </c>
      <c r="D300" s="9">
        <v>32.81</v>
      </c>
      <c r="E300" s="9">
        <v>33.08</v>
      </c>
      <c r="F300" s="9">
        <v>15086700</v>
      </c>
      <c r="G300" s="9">
        <v>33.08</v>
      </c>
    </row>
    <row r="301" spans="1:7" x14ac:dyDescent="0.25">
      <c r="A301" s="101">
        <v>41570</v>
      </c>
      <c r="B301" s="9">
        <v>33.76</v>
      </c>
      <c r="C301" s="9">
        <v>33.840000000000003</v>
      </c>
      <c r="D301" s="9">
        <v>33.020000000000003</v>
      </c>
      <c r="E301" s="9">
        <v>33.1</v>
      </c>
      <c r="F301" s="9">
        <v>15931700</v>
      </c>
      <c r="G301" s="9">
        <v>33.1</v>
      </c>
    </row>
    <row r="302" spans="1:7" x14ac:dyDescent="0.25">
      <c r="A302" s="101">
        <v>41569</v>
      </c>
      <c r="B302" s="9">
        <v>34.24</v>
      </c>
      <c r="C302" s="9">
        <v>34.6</v>
      </c>
      <c r="D302" s="9">
        <v>33.58</v>
      </c>
      <c r="E302" s="9">
        <v>33.94</v>
      </c>
      <c r="F302" s="9">
        <v>17549100</v>
      </c>
      <c r="G302" s="9">
        <v>33.94</v>
      </c>
    </row>
    <row r="303" spans="1:7" x14ac:dyDescent="0.25">
      <c r="A303" s="101">
        <v>41568</v>
      </c>
      <c r="B303" s="9">
        <v>33.65</v>
      </c>
      <c r="C303" s="9">
        <v>34.35</v>
      </c>
      <c r="D303" s="9">
        <v>33.65</v>
      </c>
      <c r="E303" s="9">
        <v>34.06</v>
      </c>
      <c r="F303" s="9">
        <v>17776700</v>
      </c>
      <c r="G303" s="9">
        <v>34.06</v>
      </c>
    </row>
    <row r="304" spans="1:7" x14ac:dyDescent="0.25">
      <c r="A304" s="101">
        <v>41565</v>
      </c>
      <c r="B304" s="9">
        <v>33.17</v>
      </c>
      <c r="C304" s="9">
        <v>33.75</v>
      </c>
      <c r="D304" s="9">
        <v>33.11</v>
      </c>
      <c r="E304" s="9">
        <v>33.43</v>
      </c>
      <c r="F304" s="9">
        <v>24622900</v>
      </c>
      <c r="G304" s="9">
        <v>33.43</v>
      </c>
    </row>
    <row r="305" spans="1:7" x14ac:dyDescent="0.25">
      <c r="A305" s="101">
        <v>41564</v>
      </c>
      <c r="B305" s="9">
        <v>32.880000000000003</v>
      </c>
      <c r="C305" s="9">
        <v>33.01</v>
      </c>
      <c r="D305" s="9">
        <v>32.31</v>
      </c>
      <c r="E305" s="9">
        <v>32.74</v>
      </c>
      <c r="F305" s="9">
        <v>25229700</v>
      </c>
      <c r="G305" s="9">
        <v>32.74</v>
      </c>
    </row>
    <row r="306" spans="1:7" x14ac:dyDescent="0.25">
      <c r="A306" s="101">
        <v>41563</v>
      </c>
      <c r="B306" s="9">
        <v>33.9</v>
      </c>
      <c r="C306" s="9">
        <v>34.11</v>
      </c>
      <c r="D306" s="9">
        <v>32.83</v>
      </c>
      <c r="E306" s="9">
        <v>33.090000000000003</v>
      </c>
      <c r="F306" s="9">
        <v>44820000</v>
      </c>
      <c r="G306" s="9">
        <v>33.090000000000003</v>
      </c>
    </row>
    <row r="307" spans="1:7" x14ac:dyDescent="0.25">
      <c r="A307" s="101">
        <v>41562</v>
      </c>
      <c r="B307" s="9">
        <v>34.200000000000003</v>
      </c>
      <c r="C307" s="9">
        <v>34.32</v>
      </c>
      <c r="D307" s="9">
        <v>33.06</v>
      </c>
      <c r="E307" s="9">
        <v>33.380000000000003</v>
      </c>
      <c r="F307" s="9">
        <v>42773900</v>
      </c>
      <c r="G307" s="9">
        <v>33.380000000000003</v>
      </c>
    </row>
    <row r="308" spans="1:7" x14ac:dyDescent="0.25">
      <c r="A308" s="101">
        <v>41561</v>
      </c>
      <c r="B308" s="9">
        <v>33.799999999999997</v>
      </c>
      <c r="C308" s="9">
        <v>34.1</v>
      </c>
      <c r="D308" s="9">
        <v>33.68</v>
      </c>
      <c r="E308" s="9">
        <v>34</v>
      </c>
      <c r="F308" s="9">
        <v>17614000</v>
      </c>
      <c r="G308" s="9">
        <v>34</v>
      </c>
    </row>
    <row r="309" spans="1:7" x14ac:dyDescent="0.25">
      <c r="A309" s="101">
        <v>41558</v>
      </c>
      <c r="B309" s="9">
        <v>33.67</v>
      </c>
      <c r="C309" s="9">
        <v>34.369999999999997</v>
      </c>
      <c r="D309" s="9">
        <v>33.61</v>
      </c>
      <c r="E309" s="9">
        <v>34.15</v>
      </c>
      <c r="F309" s="9">
        <v>17012300</v>
      </c>
      <c r="G309" s="9">
        <v>34.15</v>
      </c>
    </row>
    <row r="310" spans="1:7" x14ac:dyDescent="0.25">
      <c r="A310" s="101">
        <v>41557</v>
      </c>
      <c r="B310" s="9">
        <v>33.49</v>
      </c>
      <c r="C310" s="9">
        <v>33.909999999999997</v>
      </c>
      <c r="D310" s="9">
        <v>33.33</v>
      </c>
      <c r="E310" s="9">
        <v>33.869999999999997</v>
      </c>
      <c r="F310" s="9">
        <v>23448100</v>
      </c>
      <c r="G310" s="9">
        <v>33.869999999999997</v>
      </c>
    </row>
    <row r="311" spans="1:7" x14ac:dyDescent="0.25">
      <c r="A311" s="101">
        <v>41556</v>
      </c>
      <c r="B311" s="9">
        <v>33.07</v>
      </c>
      <c r="C311" s="9">
        <v>33.33</v>
      </c>
      <c r="D311" s="9">
        <v>31.79</v>
      </c>
      <c r="E311" s="9">
        <v>33.01</v>
      </c>
      <c r="F311" s="9">
        <v>33509700</v>
      </c>
      <c r="G311" s="9">
        <v>33.01</v>
      </c>
    </row>
    <row r="312" spans="1:7" x14ac:dyDescent="0.25">
      <c r="A312" s="101">
        <v>41555</v>
      </c>
      <c r="B312" s="9">
        <v>34.46</v>
      </c>
      <c r="C312" s="9">
        <v>34.5</v>
      </c>
      <c r="D312" s="9">
        <v>32.1</v>
      </c>
      <c r="E312" s="9">
        <v>32.93</v>
      </c>
      <c r="F312" s="9">
        <v>42914600</v>
      </c>
      <c r="G312" s="9">
        <v>32.93</v>
      </c>
    </row>
    <row r="313" spans="1:7" x14ac:dyDescent="0.25">
      <c r="A313" s="101">
        <v>41554</v>
      </c>
      <c r="B313" s="9">
        <v>34.46</v>
      </c>
      <c r="C313" s="9">
        <v>34.69</v>
      </c>
      <c r="D313" s="9">
        <v>34.08</v>
      </c>
      <c r="E313" s="9">
        <v>34.14</v>
      </c>
      <c r="F313" s="9">
        <v>15448700</v>
      </c>
      <c r="G313" s="9">
        <v>34.14</v>
      </c>
    </row>
    <row r="314" spans="1:7" x14ac:dyDescent="0.25">
      <c r="A314" s="101">
        <v>41551</v>
      </c>
      <c r="B314" s="9">
        <v>33.96</v>
      </c>
      <c r="C314" s="9">
        <v>35.06</v>
      </c>
      <c r="D314" s="9">
        <v>33.96</v>
      </c>
      <c r="E314" s="9">
        <v>34.89</v>
      </c>
      <c r="F314" s="9">
        <v>23950200</v>
      </c>
      <c r="G314" s="9">
        <v>34.89</v>
      </c>
    </row>
    <row r="315" spans="1:7" x14ac:dyDescent="0.25">
      <c r="A315" s="101">
        <v>41550</v>
      </c>
      <c r="B315" s="9">
        <v>34.32</v>
      </c>
      <c r="C315" s="9">
        <v>34.36</v>
      </c>
      <c r="D315" s="9">
        <v>33.200000000000003</v>
      </c>
      <c r="E315" s="9">
        <v>33.880000000000003</v>
      </c>
      <c r="F315" s="9">
        <v>23263900</v>
      </c>
      <c r="G315" s="9">
        <v>33.880000000000003</v>
      </c>
    </row>
    <row r="316" spans="1:7" x14ac:dyDescent="0.25">
      <c r="A316" s="101">
        <v>41549</v>
      </c>
      <c r="B316" s="9">
        <v>34.15</v>
      </c>
      <c r="C316" s="9">
        <v>34.700000000000003</v>
      </c>
      <c r="D316" s="9">
        <v>33.9</v>
      </c>
      <c r="E316" s="9">
        <v>34.14</v>
      </c>
      <c r="F316" s="9">
        <v>21637400</v>
      </c>
      <c r="G316" s="9">
        <v>34.14</v>
      </c>
    </row>
    <row r="317" spans="1:7" x14ac:dyDescent="0.25">
      <c r="A317" s="101">
        <v>41548</v>
      </c>
      <c r="B317" s="9">
        <v>33.36</v>
      </c>
      <c r="C317" s="9">
        <v>34.44</v>
      </c>
      <c r="D317" s="9">
        <v>33.299999999999997</v>
      </c>
      <c r="E317" s="9">
        <v>34.31</v>
      </c>
      <c r="F317" s="9">
        <v>28180900</v>
      </c>
      <c r="G317" s="9">
        <v>34.31</v>
      </c>
    </row>
    <row r="318" spans="1:7" x14ac:dyDescent="0.25">
      <c r="A318" s="101">
        <v>41547</v>
      </c>
      <c r="B318" s="9">
        <v>33.04</v>
      </c>
      <c r="C318" s="9">
        <v>33.75</v>
      </c>
      <c r="D318" s="9">
        <v>32.68</v>
      </c>
      <c r="E318" s="9">
        <v>33.17</v>
      </c>
      <c r="F318" s="9">
        <v>30065800</v>
      </c>
      <c r="G318" s="9">
        <v>33.17</v>
      </c>
    </row>
    <row r="319" spans="1:7" x14ac:dyDescent="0.25">
      <c r="A319" s="101">
        <v>41544</v>
      </c>
      <c r="B319" s="9">
        <v>33.33</v>
      </c>
      <c r="C319" s="9">
        <v>33.85</v>
      </c>
      <c r="D319" s="9">
        <v>32.76</v>
      </c>
      <c r="E319" s="9">
        <v>33.549999999999997</v>
      </c>
      <c r="F319" s="9">
        <v>31791600</v>
      </c>
      <c r="G319" s="9">
        <v>33.549999999999997</v>
      </c>
    </row>
    <row r="320" spans="1:7" x14ac:dyDescent="0.25">
      <c r="A320" s="101">
        <v>41543</v>
      </c>
      <c r="B320" s="9">
        <v>31.65</v>
      </c>
      <c r="C320" s="9">
        <v>33</v>
      </c>
      <c r="D320" s="9">
        <v>31.58</v>
      </c>
      <c r="E320" s="9">
        <v>32.75</v>
      </c>
      <c r="F320" s="9">
        <v>39233700</v>
      </c>
      <c r="G320" s="9">
        <v>32.75</v>
      </c>
    </row>
    <row r="321" spans="1:7" x14ac:dyDescent="0.25">
      <c r="A321" s="101">
        <v>41542</v>
      </c>
      <c r="B321" s="9">
        <v>31.4</v>
      </c>
      <c r="C321" s="9">
        <v>32.03</v>
      </c>
      <c r="D321" s="9">
        <v>31.12</v>
      </c>
      <c r="E321" s="9">
        <v>31.34</v>
      </c>
      <c r="F321" s="9">
        <v>19146600</v>
      </c>
      <c r="G321" s="9">
        <v>31.34</v>
      </c>
    </row>
    <row r="322" spans="1:7" x14ac:dyDescent="0.25">
      <c r="A322" s="101">
        <v>41541</v>
      </c>
      <c r="B322" s="9">
        <v>30.55</v>
      </c>
      <c r="C322" s="9">
        <v>31.66</v>
      </c>
      <c r="D322" s="9">
        <v>30.54</v>
      </c>
      <c r="E322" s="9">
        <v>31.27</v>
      </c>
      <c r="F322" s="9">
        <v>27820600</v>
      </c>
      <c r="G322" s="9">
        <v>31.27</v>
      </c>
    </row>
    <row r="323" spans="1:7" x14ac:dyDescent="0.25">
      <c r="A323" s="101">
        <v>41540</v>
      </c>
      <c r="B323" s="9">
        <v>31.03</v>
      </c>
      <c r="C323" s="9">
        <v>31.03</v>
      </c>
      <c r="D323" s="9">
        <v>30.02</v>
      </c>
      <c r="E323" s="9">
        <v>30.26</v>
      </c>
      <c r="F323" s="9">
        <v>15728900</v>
      </c>
      <c r="G323" s="9">
        <v>30.26</v>
      </c>
    </row>
    <row r="324" spans="1:7" x14ac:dyDescent="0.25">
      <c r="A324" s="101">
        <v>41537</v>
      </c>
      <c r="B324" s="9">
        <v>31.05</v>
      </c>
      <c r="C324" s="9">
        <v>31.1</v>
      </c>
      <c r="D324" s="9">
        <v>30.76</v>
      </c>
      <c r="E324" s="9">
        <v>30.93</v>
      </c>
      <c r="F324" s="9">
        <v>14925400</v>
      </c>
      <c r="G324" s="9">
        <v>30.93</v>
      </c>
    </row>
    <row r="325" spans="1:7" x14ac:dyDescent="0.25">
      <c r="A325" s="101">
        <v>41536</v>
      </c>
      <c r="B325" s="9">
        <v>30.53</v>
      </c>
      <c r="C325" s="9">
        <v>31.05</v>
      </c>
      <c r="D325" s="9">
        <v>30.34</v>
      </c>
      <c r="E325" s="9">
        <v>31.03</v>
      </c>
      <c r="F325" s="9">
        <v>12795100</v>
      </c>
      <c r="G325" s="9">
        <v>31.03</v>
      </c>
    </row>
    <row r="326" spans="1:7" x14ac:dyDescent="0.25">
      <c r="A326" s="101">
        <v>41535</v>
      </c>
      <c r="B326" s="9">
        <v>30.01</v>
      </c>
      <c r="C326" s="9">
        <v>30.46</v>
      </c>
      <c r="D326" s="9">
        <v>29.85</v>
      </c>
      <c r="E326" s="9">
        <v>30.44</v>
      </c>
      <c r="F326" s="9">
        <v>15570600</v>
      </c>
      <c r="G326" s="9">
        <v>30.44</v>
      </c>
    </row>
    <row r="327" spans="1:7" x14ac:dyDescent="0.25">
      <c r="A327" s="101">
        <v>41534</v>
      </c>
      <c r="B327" s="9">
        <v>29.64</v>
      </c>
      <c r="C327" s="9">
        <v>30</v>
      </c>
      <c r="D327" s="9">
        <v>29.31</v>
      </c>
      <c r="E327" s="9">
        <v>30</v>
      </c>
      <c r="F327" s="9">
        <v>10499700</v>
      </c>
      <c r="G327" s="9">
        <v>30</v>
      </c>
    </row>
    <row r="328" spans="1:7" x14ac:dyDescent="0.25">
      <c r="A328" s="101">
        <v>41533</v>
      </c>
      <c r="B328" s="9">
        <v>29.64</v>
      </c>
      <c r="C328" s="9">
        <v>30.04</v>
      </c>
      <c r="D328" s="9">
        <v>29.51</v>
      </c>
      <c r="E328" s="9">
        <v>29.62</v>
      </c>
      <c r="F328" s="9">
        <v>15748700</v>
      </c>
      <c r="G328" s="9">
        <v>29.62</v>
      </c>
    </row>
    <row r="329" spans="1:7" x14ac:dyDescent="0.25">
      <c r="A329" s="101">
        <v>41530</v>
      </c>
      <c r="B329" s="9">
        <v>29.47</v>
      </c>
      <c r="C329" s="9">
        <v>29.47</v>
      </c>
      <c r="D329" s="9">
        <v>28.8</v>
      </c>
      <c r="E329" s="9">
        <v>29.26</v>
      </c>
      <c r="F329" s="9">
        <v>13836600</v>
      </c>
      <c r="G329" s="9">
        <v>29.26</v>
      </c>
    </row>
    <row r="330" spans="1:7" x14ac:dyDescent="0.25">
      <c r="A330" s="101">
        <v>41529</v>
      </c>
      <c r="B330" s="9">
        <v>29.72</v>
      </c>
      <c r="C330" s="9">
        <v>30.27</v>
      </c>
      <c r="D330" s="9">
        <v>29.5</v>
      </c>
      <c r="E330" s="9">
        <v>29.65</v>
      </c>
      <c r="F330" s="9">
        <v>22060700</v>
      </c>
      <c r="G330" s="9">
        <v>29.65</v>
      </c>
    </row>
    <row r="331" spans="1:7" x14ac:dyDescent="0.25">
      <c r="A331" s="101">
        <v>41528</v>
      </c>
      <c r="B331" s="9">
        <v>29.38</v>
      </c>
      <c r="C331" s="9">
        <v>29.41</v>
      </c>
      <c r="D331" s="9">
        <v>28.97</v>
      </c>
      <c r="E331" s="9">
        <v>29.19</v>
      </c>
      <c r="F331" s="9">
        <v>10374600</v>
      </c>
      <c r="G331" s="9">
        <v>29.19</v>
      </c>
    </row>
    <row r="332" spans="1:7" x14ac:dyDescent="0.25">
      <c r="A332" s="101">
        <v>41527</v>
      </c>
      <c r="B332" s="9">
        <v>29.43</v>
      </c>
      <c r="C332" s="9">
        <v>29.63</v>
      </c>
      <c r="D332" s="9">
        <v>29.08</v>
      </c>
      <c r="E332" s="9">
        <v>29.48</v>
      </c>
      <c r="F332" s="9">
        <v>13007600</v>
      </c>
      <c r="G332" s="9">
        <v>29.48</v>
      </c>
    </row>
    <row r="333" spans="1:7" x14ac:dyDescent="0.25">
      <c r="A333" s="101">
        <v>41526</v>
      </c>
      <c r="B333" s="9">
        <v>28.32</v>
      </c>
      <c r="C333" s="9">
        <v>29.32</v>
      </c>
      <c r="D333" s="9">
        <v>28.32</v>
      </c>
      <c r="E333" s="9">
        <v>29.24</v>
      </c>
      <c r="F333" s="9">
        <v>21178000</v>
      </c>
      <c r="G333" s="9">
        <v>29.24</v>
      </c>
    </row>
    <row r="334" spans="1:7" x14ac:dyDescent="0.25">
      <c r="A334" s="101">
        <v>41523</v>
      </c>
      <c r="B334" s="9">
        <v>28.35</v>
      </c>
      <c r="C334" s="9">
        <v>28.5</v>
      </c>
      <c r="D334" s="9">
        <v>27.82</v>
      </c>
      <c r="E334" s="9">
        <v>28.17</v>
      </c>
      <c r="F334" s="9">
        <v>10807500</v>
      </c>
      <c r="G334" s="9">
        <v>28.17</v>
      </c>
    </row>
    <row r="335" spans="1:7" x14ac:dyDescent="0.25">
      <c r="A335" s="101">
        <v>41522</v>
      </c>
      <c r="B335" s="9">
        <v>28.1</v>
      </c>
      <c r="C335" s="9">
        <v>28.35</v>
      </c>
      <c r="D335" s="9">
        <v>27.91</v>
      </c>
      <c r="E335" s="9">
        <v>28.23</v>
      </c>
      <c r="F335" s="9">
        <v>8989600</v>
      </c>
      <c r="G335" s="9">
        <v>28.23</v>
      </c>
    </row>
    <row r="336" spans="1:7" x14ac:dyDescent="0.25">
      <c r="A336" s="101">
        <v>41521</v>
      </c>
      <c r="B336" s="9">
        <v>27.7</v>
      </c>
      <c r="C336" s="9">
        <v>28.12</v>
      </c>
      <c r="D336" s="9">
        <v>27.6</v>
      </c>
      <c r="E336" s="9">
        <v>28.07</v>
      </c>
      <c r="F336" s="9">
        <v>8880500</v>
      </c>
      <c r="G336" s="9">
        <v>28.07</v>
      </c>
    </row>
    <row r="337" spans="1:7" x14ac:dyDescent="0.25">
      <c r="A337" s="101">
        <v>41520</v>
      </c>
      <c r="B337" s="9">
        <v>27.38</v>
      </c>
      <c r="C337" s="9">
        <v>27.87</v>
      </c>
      <c r="D337" s="9">
        <v>27.37</v>
      </c>
      <c r="E337" s="9">
        <v>27.78</v>
      </c>
      <c r="F337" s="9">
        <v>14591100</v>
      </c>
      <c r="G337" s="9">
        <v>27.78</v>
      </c>
    </row>
    <row r="338" spans="1:7" x14ac:dyDescent="0.25">
      <c r="A338" s="101">
        <v>41516</v>
      </c>
      <c r="B338" s="9">
        <v>27.39</v>
      </c>
      <c r="C338" s="9">
        <v>27.44</v>
      </c>
      <c r="D338" s="9">
        <v>26.82</v>
      </c>
      <c r="E338" s="9">
        <v>27.12</v>
      </c>
      <c r="F338" s="9">
        <v>16344400</v>
      </c>
      <c r="G338" s="9">
        <v>27.12</v>
      </c>
    </row>
    <row r="339" spans="1:7" x14ac:dyDescent="0.25">
      <c r="A339" s="101">
        <v>41515</v>
      </c>
      <c r="B339" s="9">
        <v>27.03</v>
      </c>
      <c r="C339" s="9">
        <v>27.45</v>
      </c>
      <c r="D339" s="9">
        <v>27.03</v>
      </c>
      <c r="E339" s="9">
        <v>27.3</v>
      </c>
      <c r="F339" s="9">
        <v>13911900</v>
      </c>
      <c r="G339" s="9">
        <v>27.3</v>
      </c>
    </row>
    <row r="340" spans="1:7" x14ac:dyDescent="0.25">
      <c r="A340" s="101">
        <v>41514</v>
      </c>
      <c r="B340" s="9">
        <v>26.9</v>
      </c>
      <c r="C340" s="9">
        <v>27.24</v>
      </c>
      <c r="D340" s="9">
        <v>26.83</v>
      </c>
      <c r="E340" s="9">
        <v>27.11</v>
      </c>
      <c r="F340" s="9">
        <v>9603100</v>
      </c>
      <c r="G340" s="9">
        <v>27.11</v>
      </c>
    </row>
    <row r="341" spans="1:7" x14ac:dyDescent="0.25">
      <c r="A341" s="101">
        <v>41513</v>
      </c>
      <c r="B341" s="9">
        <v>27.24</v>
      </c>
      <c r="C341" s="9">
        <v>27.46</v>
      </c>
      <c r="D341" s="9">
        <v>26.75</v>
      </c>
      <c r="E341" s="9">
        <v>27</v>
      </c>
      <c r="F341" s="9">
        <v>14549500</v>
      </c>
      <c r="G341" s="9">
        <v>27</v>
      </c>
    </row>
    <row r="342" spans="1:7" x14ac:dyDescent="0.25">
      <c r="A342" s="101">
        <v>41512</v>
      </c>
      <c r="B342" s="9">
        <v>27.99</v>
      </c>
      <c r="C342" s="9">
        <v>28.04</v>
      </c>
      <c r="D342" s="9">
        <v>27.7</v>
      </c>
      <c r="E342" s="9">
        <v>27.7</v>
      </c>
      <c r="F342" s="9">
        <v>9754400</v>
      </c>
      <c r="G342" s="9">
        <v>27.7</v>
      </c>
    </row>
    <row r="343" spans="1:7" x14ac:dyDescent="0.25">
      <c r="A343" s="101">
        <v>41509</v>
      </c>
      <c r="B343" s="9">
        <v>28.3</v>
      </c>
      <c r="C343" s="9">
        <v>28.32</v>
      </c>
      <c r="D343" s="9">
        <v>27.81</v>
      </c>
      <c r="E343" s="9">
        <v>27.99</v>
      </c>
      <c r="F343" s="9">
        <v>13192900</v>
      </c>
      <c r="G343" s="9">
        <v>27.99</v>
      </c>
    </row>
    <row r="344" spans="1:7" x14ac:dyDescent="0.25">
      <c r="A344" s="101">
        <v>41508</v>
      </c>
      <c r="B344" s="9">
        <v>27.6</v>
      </c>
      <c r="C344" s="9">
        <v>28.01</v>
      </c>
      <c r="D344" s="9">
        <v>27.37</v>
      </c>
      <c r="E344" s="9">
        <v>27.9</v>
      </c>
      <c r="F344" s="9">
        <v>15728600</v>
      </c>
      <c r="G344" s="9">
        <v>27.9</v>
      </c>
    </row>
    <row r="345" spans="1:7" x14ac:dyDescent="0.25">
      <c r="A345" s="101">
        <v>41507</v>
      </c>
      <c r="B345" s="9">
        <v>27.09</v>
      </c>
      <c r="C345" s="9">
        <v>27.49</v>
      </c>
      <c r="D345" s="9">
        <v>27</v>
      </c>
      <c r="E345" s="9">
        <v>27.06</v>
      </c>
      <c r="F345" s="9">
        <v>8791300</v>
      </c>
      <c r="G345" s="9">
        <v>27.06</v>
      </c>
    </row>
    <row r="346" spans="1:7" x14ac:dyDescent="0.25">
      <c r="A346" s="101">
        <v>41506</v>
      </c>
      <c r="B346" s="9">
        <v>26.92</v>
      </c>
      <c r="C346" s="9">
        <v>27.31</v>
      </c>
      <c r="D346" s="9">
        <v>26.9</v>
      </c>
      <c r="E346" s="9">
        <v>27.12</v>
      </c>
      <c r="F346" s="9">
        <v>10707200</v>
      </c>
      <c r="G346" s="9">
        <v>27.12</v>
      </c>
    </row>
    <row r="347" spans="1:7" x14ac:dyDescent="0.25">
      <c r="A347" s="101">
        <v>41505</v>
      </c>
      <c r="B347" s="9">
        <v>27.27</v>
      </c>
      <c r="C347" s="9">
        <v>27.44</v>
      </c>
      <c r="D347" s="9">
        <v>26.91</v>
      </c>
      <c r="E347" s="9">
        <v>26.91</v>
      </c>
      <c r="F347" s="9">
        <v>11876000</v>
      </c>
      <c r="G347" s="9">
        <v>26.91</v>
      </c>
    </row>
    <row r="348" spans="1:7" x14ac:dyDescent="0.25">
      <c r="A348" s="101">
        <v>41502</v>
      </c>
      <c r="B348" s="9">
        <v>27</v>
      </c>
      <c r="C348" s="9">
        <v>27.6</v>
      </c>
      <c r="D348" s="9">
        <v>27</v>
      </c>
      <c r="E348" s="9">
        <v>27.32</v>
      </c>
      <c r="F348" s="9">
        <v>14823400</v>
      </c>
      <c r="G348" s="9">
        <v>27.32</v>
      </c>
    </row>
    <row r="349" spans="1:7" x14ac:dyDescent="0.25">
      <c r="A349" s="101">
        <v>41501</v>
      </c>
      <c r="B349" s="9">
        <v>27.83</v>
      </c>
      <c r="C349" s="9">
        <v>27.83</v>
      </c>
      <c r="D349" s="9">
        <v>27.12</v>
      </c>
      <c r="E349" s="9">
        <v>27.14</v>
      </c>
      <c r="F349" s="9">
        <v>14217100</v>
      </c>
      <c r="G349" s="9">
        <v>27.14</v>
      </c>
    </row>
    <row r="350" spans="1:7" x14ac:dyDescent="0.25">
      <c r="A350" s="101">
        <v>41500</v>
      </c>
      <c r="B350" s="9">
        <v>28.19</v>
      </c>
      <c r="C350" s="9">
        <v>28.21</v>
      </c>
      <c r="D350" s="9">
        <v>28</v>
      </c>
      <c r="E350" s="9">
        <v>28.05</v>
      </c>
      <c r="F350" s="9">
        <v>8471400</v>
      </c>
      <c r="G350" s="9">
        <v>28.05</v>
      </c>
    </row>
    <row r="351" spans="1:7" x14ac:dyDescent="0.25">
      <c r="A351" s="101">
        <v>41499</v>
      </c>
      <c r="B351" s="9">
        <v>28.38</v>
      </c>
      <c r="C351" s="9">
        <v>28.6</v>
      </c>
      <c r="D351" s="9">
        <v>28.23</v>
      </c>
      <c r="E351" s="9">
        <v>28.34</v>
      </c>
      <c r="F351" s="9">
        <v>14891300</v>
      </c>
      <c r="G351" s="9">
        <v>28.34</v>
      </c>
    </row>
    <row r="352" spans="1:7" x14ac:dyDescent="0.25">
      <c r="A352" s="101">
        <v>41498</v>
      </c>
      <c r="B352" s="9">
        <v>27.55</v>
      </c>
      <c r="C352" s="9">
        <v>28.37</v>
      </c>
      <c r="D352" s="9">
        <v>27.5</v>
      </c>
      <c r="E352" s="9">
        <v>28.35</v>
      </c>
      <c r="F352" s="9">
        <v>16561900</v>
      </c>
      <c r="G352" s="9">
        <v>28.35</v>
      </c>
    </row>
    <row r="353" spans="1:7" x14ac:dyDescent="0.25">
      <c r="A353" s="101">
        <v>41495</v>
      </c>
      <c r="B353" s="9">
        <v>27.41</v>
      </c>
      <c r="C353" s="9">
        <v>27.7</v>
      </c>
      <c r="D353" s="9">
        <v>27.2</v>
      </c>
      <c r="E353" s="9">
        <v>27.68</v>
      </c>
      <c r="F353" s="9">
        <v>13051100</v>
      </c>
      <c r="G353" s="9">
        <v>27.68</v>
      </c>
    </row>
    <row r="354" spans="1:7" x14ac:dyDescent="0.25">
      <c r="A354" s="101">
        <v>41494</v>
      </c>
      <c r="B354" s="9">
        <v>27.55</v>
      </c>
      <c r="C354" s="9">
        <v>27.62</v>
      </c>
      <c r="D354" s="9">
        <v>27.23</v>
      </c>
      <c r="E354" s="9">
        <v>27.48</v>
      </c>
      <c r="F354" s="9">
        <v>8934400</v>
      </c>
      <c r="G354" s="9">
        <v>27.48</v>
      </c>
    </row>
    <row r="355" spans="1:7" x14ac:dyDescent="0.25">
      <c r="A355" s="101">
        <v>41493</v>
      </c>
      <c r="B355" s="9">
        <v>27.31</v>
      </c>
      <c r="C355" s="9">
        <v>27.51</v>
      </c>
      <c r="D355" s="9">
        <v>27.06</v>
      </c>
      <c r="E355" s="9">
        <v>27.39</v>
      </c>
      <c r="F355" s="9">
        <v>9450700</v>
      </c>
      <c r="G355" s="9">
        <v>27.39</v>
      </c>
    </row>
    <row r="356" spans="1:7" x14ac:dyDescent="0.25">
      <c r="A356" s="101">
        <v>41492</v>
      </c>
      <c r="B356" s="9">
        <v>27.67</v>
      </c>
      <c r="C356" s="9">
        <v>27.75</v>
      </c>
      <c r="D356" s="9">
        <v>27.15</v>
      </c>
      <c r="E356" s="9">
        <v>27.32</v>
      </c>
      <c r="F356" s="9">
        <v>10951100</v>
      </c>
      <c r="G356" s="9">
        <v>27.32</v>
      </c>
    </row>
    <row r="357" spans="1:7" x14ac:dyDescent="0.25">
      <c r="A357" s="101">
        <v>41491</v>
      </c>
      <c r="B357" s="9">
        <v>27.71</v>
      </c>
      <c r="C357" s="9">
        <v>27.8</v>
      </c>
      <c r="D357" s="9">
        <v>27.45</v>
      </c>
      <c r="E357" s="9">
        <v>27.67</v>
      </c>
      <c r="F357" s="9">
        <v>7839200</v>
      </c>
      <c r="G357" s="9">
        <v>27.67</v>
      </c>
    </row>
    <row r="358" spans="1:7" x14ac:dyDescent="0.25">
      <c r="A358" s="101">
        <v>41488</v>
      </c>
      <c r="B358" s="9">
        <v>28.07</v>
      </c>
      <c r="C358" s="9">
        <v>28.09</v>
      </c>
      <c r="D358" s="9">
        <v>27.55</v>
      </c>
      <c r="E358" s="9">
        <v>27.65</v>
      </c>
      <c r="F358" s="9">
        <v>11863400</v>
      </c>
      <c r="G358" s="9">
        <v>27.65</v>
      </c>
    </row>
    <row r="359" spans="1:7" x14ac:dyDescent="0.25">
      <c r="A359" s="101">
        <v>41487</v>
      </c>
      <c r="B359" s="9">
        <v>28.35</v>
      </c>
      <c r="C359" s="9">
        <v>28.45</v>
      </c>
      <c r="D359" s="9">
        <v>27.91</v>
      </c>
      <c r="E359" s="9">
        <v>27.96</v>
      </c>
      <c r="F359" s="9">
        <v>13157600</v>
      </c>
      <c r="G359" s="9">
        <v>27.96</v>
      </c>
    </row>
    <row r="360" spans="1:7" x14ac:dyDescent="0.25">
      <c r="A360" s="101">
        <v>41486</v>
      </c>
      <c r="B360" s="9">
        <v>27.92</v>
      </c>
      <c r="C360" s="9">
        <v>28.21</v>
      </c>
      <c r="D360" s="9">
        <v>27.57</v>
      </c>
      <c r="E360" s="9">
        <v>28.09</v>
      </c>
      <c r="F360" s="9">
        <v>20920100</v>
      </c>
      <c r="G360" s="9">
        <v>28.09</v>
      </c>
    </row>
    <row r="361" spans="1:7" x14ac:dyDescent="0.25">
      <c r="A361" s="101">
        <v>41485</v>
      </c>
      <c r="B361" s="9">
        <v>28.09</v>
      </c>
      <c r="C361" s="9">
        <v>28.23</v>
      </c>
      <c r="D361" s="9">
        <v>27.86</v>
      </c>
      <c r="E361" s="9">
        <v>28.05</v>
      </c>
      <c r="F361" s="9">
        <v>10337800</v>
      </c>
      <c r="G361" s="9">
        <v>28.05</v>
      </c>
    </row>
    <row r="362" spans="1:7" x14ac:dyDescent="0.25">
      <c r="A362" s="101">
        <v>41484</v>
      </c>
      <c r="B362" s="9">
        <v>27.95</v>
      </c>
      <c r="C362" s="9">
        <v>28.33</v>
      </c>
      <c r="D362" s="9">
        <v>27.8</v>
      </c>
      <c r="E362" s="9">
        <v>27.93</v>
      </c>
      <c r="F362" s="9">
        <v>11095100</v>
      </c>
      <c r="G362" s="9">
        <v>27.93</v>
      </c>
    </row>
    <row r="363" spans="1:7" x14ac:dyDescent="0.25">
      <c r="A363" s="101">
        <v>41481</v>
      </c>
      <c r="B363" s="9">
        <v>28</v>
      </c>
      <c r="C363" s="9">
        <v>28.34</v>
      </c>
      <c r="D363" s="9">
        <v>27.74</v>
      </c>
      <c r="E363" s="9">
        <v>28.11</v>
      </c>
      <c r="F363" s="9">
        <v>11918700</v>
      </c>
      <c r="G363" s="9">
        <v>28.11</v>
      </c>
    </row>
    <row r="364" spans="1:7" x14ac:dyDescent="0.25">
      <c r="A364" s="101">
        <v>41480</v>
      </c>
      <c r="B364" s="9">
        <v>27.73</v>
      </c>
      <c r="C364" s="9">
        <v>28.46</v>
      </c>
      <c r="D364" s="9">
        <v>27.65</v>
      </c>
      <c r="E364" s="9">
        <v>28.27</v>
      </c>
      <c r="F364" s="9">
        <v>20000600</v>
      </c>
      <c r="G364" s="9">
        <v>28.27</v>
      </c>
    </row>
    <row r="365" spans="1:7" x14ac:dyDescent="0.25">
      <c r="A365" s="101">
        <v>41479</v>
      </c>
      <c r="B365" s="9">
        <v>27.54</v>
      </c>
      <c r="C365" s="9">
        <v>27.92</v>
      </c>
      <c r="D365" s="9">
        <v>27.23</v>
      </c>
      <c r="E365" s="9">
        <v>27.84</v>
      </c>
      <c r="F365" s="9">
        <v>22739800</v>
      </c>
      <c r="G365" s="9">
        <v>27.84</v>
      </c>
    </row>
    <row r="366" spans="1:7" x14ac:dyDescent="0.25">
      <c r="A366" s="101">
        <v>41478</v>
      </c>
      <c r="B366" s="9">
        <v>28.03</v>
      </c>
      <c r="C366" s="9">
        <v>28.04</v>
      </c>
      <c r="D366" s="9">
        <v>27.21</v>
      </c>
      <c r="E366" s="9">
        <v>27.36</v>
      </c>
      <c r="F366" s="9">
        <v>25923400</v>
      </c>
      <c r="G366" s="9">
        <v>27.36</v>
      </c>
    </row>
    <row r="367" spans="1:7" x14ac:dyDescent="0.25">
      <c r="A367" s="101">
        <v>41477</v>
      </c>
      <c r="B367" s="9">
        <v>28.08</v>
      </c>
      <c r="C367" s="9">
        <v>28.42</v>
      </c>
      <c r="D367" s="9">
        <v>27.63</v>
      </c>
      <c r="E367" s="9">
        <v>27.86</v>
      </c>
      <c r="F367" s="9">
        <v>46046400</v>
      </c>
      <c r="G367" s="9">
        <v>27.86</v>
      </c>
    </row>
    <row r="368" spans="1:7" x14ac:dyDescent="0.25">
      <c r="A368" s="101">
        <v>41474</v>
      </c>
      <c r="B368" s="9">
        <v>29.41</v>
      </c>
      <c r="C368" s="9">
        <v>29.72</v>
      </c>
      <c r="D368" s="9">
        <v>29.04</v>
      </c>
      <c r="E368" s="9">
        <v>29.11</v>
      </c>
      <c r="F368" s="9">
        <v>20756900</v>
      </c>
      <c r="G368" s="9">
        <v>29.11</v>
      </c>
    </row>
    <row r="369" spans="1:7" x14ac:dyDescent="0.25">
      <c r="A369" s="101">
        <v>41473</v>
      </c>
      <c r="B369" s="9">
        <v>29.57</v>
      </c>
      <c r="C369" s="9">
        <v>29.83</v>
      </c>
      <c r="D369" s="9">
        <v>28.73</v>
      </c>
      <c r="E369" s="9">
        <v>29.66</v>
      </c>
      <c r="F369" s="9">
        <v>35025600</v>
      </c>
      <c r="G369" s="9">
        <v>29.66</v>
      </c>
    </row>
    <row r="370" spans="1:7" x14ac:dyDescent="0.25">
      <c r="A370" s="101">
        <v>41472</v>
      </c>
      <c r="B370" s="9">
        <v>27.66</v>
      </c>
      <c r="C370" s="9">
        <v>29.73</v>
      </c>
      <c r="D370" s="9">
        <v>27.52</v>
      </c>
      <c r="E370" s="9">
        <v>29.66</v>
      </c>
      <c r="F370" s="9">
        <v>83791400</v>
      </c>
      <c r="G370" s="9">
        <v>29.66</v>
      </c>
    </row>
    <row r="371" spans="1:7" x14ac:dyDescent="0.25">
      <c r="A371" s="101">
        <v>41471</v>
      </c>
      <c r="B371" s="9">
        <v>27.3</v>
      </c>
      <c r="C371" s="9">
        <v>27.45</v>
      </c>
      <c r="D371" s="9">
        <v>26.73</v>
      </c>
      <c r="E371" s="9">
        <v>26.88</v>
      </c>
      <c r="F371" s="9">
        <v>31375200</v>
      </c>
      <c r="G371" s="9">
        <v>26.88</v>
      </c>
    </row>
    <row r="372" spans="1:7" x14ac:dyDescent="0.25">
      <c r="A372" s="101">
        <v>41470</v>
      </c>
      <c r="B372" s="9">
        <v>27.47</v>
      </c>
      <c r="C372" s="9">
        <v>27.47</v>
      </c>
      <c r="D372" s="9">
        <v>27.06</v>
      </c>
      <c r="E372" s="9">
        <v>27.34</v>
      </c>
      <c r="F372" s="9">
        <v>16674800</v>
      </c>
      <c r="G372" s="9">
        <v>27.34</v>
      </c>
    </row>
    <row r="373" spans="1:7" x14ac:dyDescent="0.25">
      <c r="A373" s="101">
        <v>41467</v>
      </c>
      <c r="B373" s="9">
        <v>27.08</v>
      </c>
      <c r="C373" s="9">
        <v>27.44</v>
      </c>
      <c r="D373" s="9">
        <v>27.01</v>
      </c>
      <c r="E373" s="9">
        <v>27.23</v>
      </c>
      <c r="F373" s="9">
        <v>17315300</v>
      </c>
      <c r="G373" s="9">
        <v>27.23</v>
      </c>
    </row>
    <row r="374" spans="1:7" x14ac:dyDescent="0.25">
      <c r="A374" s="101">
        <v>41466</v>
      </c>
      <c r="B374" s="9">
        <v>26.95</v>
      </c>
      <c r="C374" s="9">
        <v>27.19</v>
      </c>
      <c r="D374" s="9">
        <v>26.94</v>
      </c>
      <c r="E374" s="9">
        <v>27.04</v>
      </c>
      <c r="F374" s="9">
        <v>17589800</v>
      </c>
      <c r="G374" s="9">
        <v>27.04</v>
      </c>
    </row>
    <row r="375" spans="1:7" x14ac:dyDescent="0.25">
      <c r="A375" s="101">
        <v>41465</v>
      </c>
      <c r="B375" s="9">
        <v>26.88</v>
      </c>
      <c r="C375" s="9">
        <v>27.07</v>
      </c>
      <c r="D375" s="9">
        <v>26.19</v>
      </c>
      <c r="E375" s="9">
        <v>26.56</v>
      </c>
      <c r="F375" s="9">
        <v>15103300</v>
      </c>
      <c r="G375" s="9">
        <v>26.56</v>
      </c>
    </row>
    <row r="376" spans="1:7" x14ac:dyDescent="0.25">
      <c r="A376" s="101">
        <v>41464</v>
      </c>
      <c r="B376" s="9">
        <v>25.74</v>
      </c>
      <c r="C376" s="9">
        <v>26.7</v>
      </c>
      <c r="D376" s="9">
        <v>25.74</v>
      </c>
      <c r="E376" s="9">
        <v>26.68</v>
      </c>
      <c r="F376" s="9">
        <v>17567800</v>
      </c>
      <c r="G376" s="9">
        <v>26.68</v>
      </c>
    </row>
    <row r="377" spans="1:7" x14ac:dyDescent="0.25">
      <c r="A377" s="101">
        <v>41463</v>
      </c>
      <c r="B377" s="9">
        <v>25.72</v>
      </c>
      <c r="C377" s="9">
        <v>25.99</v>
      </c>
      <c r="D377" s="9">
        <v>25.49</v>
      </c>
      <c r="E377" s="9">
        <v>25.53</v>
      </c>
      <c r="F377" s="9">
        <v>10478400</v>
      </c>
      <c r="G377" s="9">
        <v>25.53</v>
      </c>
    </row>
    <row r="378" spans="1:7" x14ac:dyDescent="0.25">
      <c r="A378" s="101">
        <v>41460</v>
      </c>
      <c r="B378" s="9">
        <v>25.85</v>
      </c>
      <c r="C378" s="9">
        <v>26.26</v>
      </c>
      <c r="D378" s="9">
        <v>25.52</v>
      </c>
      <c r="E378" s="9">
        <v>25.68</v>
      </c>
      <c r="F378" s="9">
        <v>11097500</v>
      </c>
      <c r="G378" s="9">
        <v>25.68</v>
      </c>
    </row>
    <row r="379" spans="1:7" x14ac:dyDescent="0.25">
      <c r="A379" s="101">
        <v>41458</v>
      </c>
      <c r="B379" s="9">
        <v>24.84</v>
      </c>
      <c r="C379" s="9">
        <v>25.64</v>
      </c>
      <c r="D379" s="9">
        <v>24.82</v>
      </c>
      <c r="E379" s="9">
        <v>25.59</v>
      </c>
      <c r="F379" s="9">
        <v>6059100</v>
      </c>
      <c r="G379" s="9">
        <v>25.59</v>
      </c>
    </row>
    <row r="380" spans="1:7" x14ac:dyDescent="0.25">
      <c r="A380" s="101">
        <v>41457</v>
      </c>
      <c r="B380" s="9">
        <v>25.27</v>
      </c>
      <c r="C380" s="9">
        <v>25.5</v>
      </c>
      <c r="D380" s="9">
        <v>24.9</v>
      </c>
      <c r="E380" s="9">
        <v>24.99</v>
      </c>
      <c r="F380" s="9">
        <v>10129600</v>
      </c>
      <c r="G380" s="9">
        <v>24.99</v>
      </c>
    </row>
    <row r="381" spans="1:7" x14ac:dyDescent="0.25">
      <c r="A381" s="101">
        <v>41456</v>
      </c>
      <c r="B381" s="9">
        <v>25.26</v>
      </c>
      <c r="C381" s="9">
        <v>25.54</v>
      </c>
      <c r="D381" s="9">
        <v>25.18</v>
      </c>
      <c r="E381" s="9">
        <v>25.24</v>
      </c>
      <c r="F381" s="9">
        <v>10679300</v>
      </c>
      <c r="G381" s="9">
        <v>25.24</v>
      </c>
    </row>
    <row r="382" spans="1:7" x14ac:dyDescent="0.25">
      <c r="A382" s="101">
        <v>41453</v>
      </c>
      <c r="B382" s="9">
        <v>25.43</v>
      </c>
      <c r="C382" s="9">
        <v>25.54</v>
      </c>
      <c r="D382" s="9">
        <v>24.89</v>
      </c>
      <c r="E382" s="9">
        <v>25.13</v>
      </c>
      <c r="F382" s="9">
        <v>26774300</v>
      </c>
      <c r="G382" s="9">
        <v>25.13</v>
      </c>
    </row>
    <row r="383" spans="1:7" x14ac:dyDescent="0.25">
      <c r="A383" s="101">
        <v>41452</v>
      </c>
      <c r="B383" s="9">
        <v>25.47</v>
      </c>
      <c r="C383" s="9">
        <v>25.98</v>
      </c>
      <c r="D383" s="9">
        <v>25.44</v>
      </c>
      <c r="E383" s="9">
        <v>25.47</v>
      </c>
      <c r="F383" s="9">
        <v>14489800</v>
      </c>
      <c r="G383" s="9">
        <v>25.47</v>
      </c>
    </row>
    <row r="384" spans="1:7" x14ac:dyDescent="0.25">
      <c r="A384" s="101">
        <v>41451</v>
      </c>
      <c r="B384" s="9">
        <v>25.22</v>
      </c>
      <c r="C384" s="9">
        <v>25.68</v>
      </c>
      <c r="D384" s="9">
        <v>25.01</v>
      </c>
      <c r="E384" s="9">
        <v>25.29</v>
      </c>
      <c r="F384" s="9">
        <v>12583100</v>
      </c>
      <c r="G384" s="9">
        <v>25.29</v>
      </c>
    </row>
    <row r="385" spans="1:7" x14ac:dyDescent="0.25">
      <c r="A385" s="101">
        <v>41450</v>
      </c>
      <c r="B385" s="9">
        <v>24.29</v>
      </c>
      <c r="C385" s="9">
        <v>25.01</v>
      </c>
      <c r="D385" s="9">
        <v>24.23</v>
      </c>
      <c r="E385" s="9">
        <v>24.96</v>
      </c>
      <c r="F385" s="9">
        <v>18883900</v>
      </c>
      <c r="G385" s="9">
        <v>24.96</v>
      </c>
    </row>
    <row r="386" spans="1:7" x14ac:dyDescent="0.25">
      <c r="A386" s="101">
        <v>41449</v>
      </c>
      <c r="B386" s="9">
        <v>24.98</v>
      </c>
      <c r="C386" s="9">
        <v>25.09</v>
      </c>
      <c r="D386" s="9">
        <v>23.82</v>
      </c>
      <c r="E386" s="9">
        <v>24.07</v>
      </c>
      <c r="F386" s="9">
        <v>37006200</v>
      </c>
      <c r="G386" s="9">
        <v>24.07</v>
      </c>
    </row>
    <row r="387" spans="1:7" x14ac:dyDescent="0.25">
      <c r="A387" s="101">
        <v>41446</v>
      </c>
      <c r="B387" s="9">
        <v>25.29</v>
      </c>
      <c r="C387" s="9">
        <v>25.43</v>
      </c>
      <c r="D387" s="9">
        <v>24.94</v>
      </c>
      <c r="E387" s="9">
        <v>25.19</v>
      </c>
      <c r="F387" s="9">
        <v>24574100</v>
      </c>
      <c r="G387" s="9">
        <v>25.19</v>
      </c>
    </row>
    <row r="388" spans="1:7" x14ac:dyDescent="0.25">
      <c r="A388" s="101">
        <v>41445</v>
      </c>
      <c r="B388" s="9">
        <v>26.03</v>
      </c>
      <c r="C388" s="9">
        <v>26.05</v>
      </c>
      <c r="D388" s="9">
        <v>25.23</v>
      </c>
      <c r="E388" s="9">
        <v>25.35</v>
      </c>
      <c r="F388" s="9">
        <v>19115500</v>
      </c>
      <c r="G388" s="9">
        <v>25.35</v>
      </c>
    </row>
    <row r="389" spans="1:7" x14ac:dyDescent="0.25">
      <c r="A389" s="101">
        <v>41444</v>
      </c>
      <c r="B389" s="9">
        <v>26.6</v>
      </c>
      <c r="C389" s="9">
        <v>26.78</v>
      </c>
      <c r="D389" s="9">
        <v>26.23</v>
      </c>
      <c r="E389" s="9">
        <v>26.24</v>
      </c>
      <c r="F389" s="9">
        <v>11398300</v>
      </c>
      <c r="G389" s="9">
        <v>26.24</v>
      </c>
    </row>
    <row r="390" spans="1:7" x14ac:dyDescent="0.25">
      <c r="A390" s="101">
        <v>41443</v>
      </c>
      <c r="B390" s="9">
        <v>26.57</v>
      </c>
      <c r="C390" s="9">
        <v>26.89</v>
      </c>
      <c r="D390" s="9">
        <v>26.51</v>
      </c>
      <c r="E390" s="9">
        <v>26.66</v>
      </c>
      <c r="F390" s="9">
        <v>9710700</v>
      </c>
      <c r="G390" s="9">
        <v>26.66</v>
      </c>
    </row>
    <row r="391" spans="1:7" x14ac:dyDescent="0.25">
      <c r="A391" s="101">
        <v>41442</v>
      </c>
      <c r="B391" s="9">
        <v>26.29</v>
      </c>
      <c r="C391" s="9">
        <v>26.85</v>
      </c>
      <c r="D391" s="9">
        <v>26.24</v>
      </c>
      <c r="E391" s="9">
        <v>26.54</v>
      </c>
      <c r="F391" s="9">
        <v>10289700</v>
      </c>
      <c r="G391" s="9">
        <v>26.54</v>
      </c>
    </row>
    <row r="392" spans="1:7" x14ac:dyDescent="0.25">
      <c r="A392" s="101">
        <v>41439</v>
      </c>
      <c r="B392" s="9">
        <v>26.32</v>
      </c>
      <c r="C392" s="9">
        <v>26.55</v>
      </c>
      <c r="D392" s="9">
        <v>26.16</v>
      </c>
      <c r="E392" s="9">
        <v>26.28</v>
      </c>
      <c r="F392" s="9">
        <v>7398800</v>
      </c>
      <c r="G392" s="9">
        <v>26.28</v>
      </c>
    </row>
    <row r="393" spans="1:7" x14ac:dyDescent="0.25">
      <c r="A393" s="101">
        <v>41438</v>
      </c>
      <c r="B393" s="9">
        <v>25.79</v>
      </c>
      <c r="C393" s="9">
        <v>26.46</v>
      </c>
      <c r="D393" s="9">
        <v>25.71</v>
      </c>
      <c r="E393" s="9">
        <v>26.37</v>
      </c>
      <c r="F393" s="9">
        <v>9763800</v>
      </c>
      <c r="G393" s="9">
        <v>26.37</v>
      </c>
    </row>
    <row r="394" spans="1:7" x14ac:dyDescent="0.25">
      <c r="A394" s="101">
        <v>41437</v>
      </c>
      <c r="B394" s="9">
        <v>26.5</v>
      </c>
      <c r="C394" s="9">
        <v>26.53</v>
      </c>
      <c r="D394" s="9">
        <v>25.89</v>
      </c>
      <c r="E394" s="9">
        <v>25.89</v>
      </c>
      <c r="F394" s="9">
        <v>11920800</v>
      </c>
      <c r="G394" s="9">
        <v>25.89</v>
      </c>
    </row>
    <row r="395" spans="1:7" x14ac:dyDescent="0.25">
      <c r="A395" s="101">
        <v>41436</v>
      </c>
      <c r="B395" s="9">
        <v>26.43</v>
      </c>
      <c r="C395" s="9">
        <v>26.88</v>
      </c>
      <c r="D395" s="9">
        <v>26.32</v>
      </c>
      <c r="E395" s="9">
        <v>26.4</v>
      </c>
      <c r="F395" s="9">
        <v>10097100</v>
      </c>
      <c r="G395" s="9">
        <v>26.4</v>
      </c>
    </row>
    <row r="396" spans="1:7" x14ac:dyDescent="0.25">
      <c r="A396" s="101">
        <v>41435</v>
      </c>
      <c r="B396" s="9">
        <v>27.04</v>
      </c>
      <c r="C396" s="9">
        <v>27.12</v>
      </c>
      <c r="D396" s="9">
        <v>26.7</v>
      </c>
      <c r="E396" s="9">
        <v>26.74</v>
      </c>
      <c r="F396" s="9">
        <v>15850700</v>
      </c>
      <c r="G396" s="9">
        <v>26.74</v>
      </c>
    </row>
    <row r="397" spans="1:7" x14ac:dyDescent="0.25">
      <c r="A397" s="101">
        <v>41432</v>
      </c>
      <c r="B397" s="9">
        <v>26.39</v>
      </c>
      <c r="C397" s="9">
        <v>27.09</v>
      </c>
      <c r="D397" s="9">
        <v>26.28</v>
      </c>
      <c r="E397" s="9">
        <v>27.04</v>
      </c>
      <c r="F397" s="9">
        <v>16948700</v>
      </c>
      <c r="G397" s="9">
        <v>27.04</v>
      </c>
    </row>
    <row r="398" spans="1:7" x14ac:dyDescent="0.25">
      <c r="A398" s="101">
        <v>41431</v>
      </c>
      <c r="B398" s="9">
        <v>25.88</v>
      </c>
      <c r="C398" s="9">
        <v>26.21</v>
      </c>
      <c r="D398" s="9">
        <v>25.66</v>
      </c>
      <c r="E398" s="9">
        <v>26.21</v>
      </c>
      <c r="F398" s="9">
        <v>13559000</v>
      </c>
      <c r="G398" s="9">
        <v>26.21</v>
      </c>
    </row>
    <row r="399" spans="1:7" x14ac:dyDescent="0.25">
      <c r="A399" s="101">
        <v>41430</v>
      </c>
      <c r="B399" s="9">
        <v>26.11</v>
      </c>
      <c r="C399" s="9">
        <v>26.25</v>
      </c>
      <c r="D399" s="9">
        <v>25.69</v>
      </c>
      <c r="E399" s="9">
        <v>25.75</v>
      </c>
      <c r="F399" s="9">
        <v>14270500</v>
      </c>
      <c r="G399" s="9">
        <v>25.75</v>
      </c>
    </row>
    <row r="400" spans="1:7" x14ac:dyDescent="0.25">
      <c r="A400" s="101">
        <v>41429</v>
      </c>
      <c r="B400" s="9">
        <v>26.46</v>
      </c>
      <c r="C400" s="9">
        <v>26.57</v>
      </c>
      <c r="D400" s="9">
        <v>25.97</v>
      </c>
      <c r="E400" s="9">
        <v>26.26</v>
      </c>
      <c r="F400" s="9">
        <v>13218300</v>
      </c>
      <c r="G400" s="9">
        <v>26.26</v>
      </c>
    </row>
    <row r="401" spans="1:7" x14ac:dyDescent="0.25">
      <c r="A401" s="101">
        <v>41428</v>
      </c>
      <c r="B401" s="9">
        <v>26.37</v>
      </c>
      <c r="C401" s="9">
        <v>26.62</v>
      </c>
      <c r="D401" s="9">
        <v>26.13</v>
      </c>
      <c r="E401" s="9">
        <v>26.39</v>
      </c>
      <c r="F401" s="9">
        <v>16454100</v>
      </c>
      <c r="G401" s="9">
        <v>26.39</v>
      </c>
    </row>
    <row r="402" spans="1:7" x14ac:dyDescent="0.25">
      <c r="A402" s="101">
        <v>41425</v>
      </c>
      <c r="B402" s="9">
        <v>26.2</v>
      </c>
      <c r="C402" s="9">
        <v>26.6</v>
      </c>
      <c r="D402" s="9">
        <v>26.09</v>
      </c>
      <c r="E402" s="9">
        <v>26.3</v>
      </c>
      <c r="F402" s="9">
        <v>23994200</v>
      </c>
      <c r="G402" s="9">
        <v>26.3</v>
      </c>
    </row>
    <row r="403" spans="1:7" x14ac:dyDescent="0.25">
      <c r="A403" s="101">
        <v>41424</v>
      </c>
      <c r="B403" s="9">
        <v>25.83</v>
      </c>
      <c r="C403" s="9">
        <v>26.5</v>
      </c>
      <c r="D403" s="9">
        <v>25.8</v>
      </c>
      <c r="E403" s="9">
        <v>26.33</v>
      </c>
      <c r="F403" s="9">
        <v>12916200</v>
      </c>
      <c r="G403" s="9">
        <v>26.33</v>
      </c>
    </row>
    <row r="404" spans="1:7" x14ac:dyDescent="0.25">
      <c r="A404" s="101">
        <v>41423</v>
      </c>
      <c r="B404" s="9">
        <v>25.9</v>
      </c>
      <c r="C404" s="9">
        <v>26.04</v>
      </c>
      <c r="D404" s="9">
        <v>25.32</v>
      </c>
      <c r="E404" s="9">
        <v>25.81</v>
      </c>
      <c r="F404" s="9">
        <v>18738900</v>
      </c>
      <c r="G404" s="9">
        <v>25.81</v>
      </c>
    </row>
    <row r="405" spans="1:7" x14ac:dyDescent="0.25">
      <c r="A405" s="101">
        <v>41422</v>
      </c>
      <c r="B405" s="9">
        <v>26.65</v>
      </c>
      <c r="C405" s="9">
        <v>26.77</v>
      </c>
      <c r="D405" s="9">
        <v>25.98</v>
      </c>
      <c r="E405" s="9">
        <v>26.07</v>
      </c>
      <c r="F405" s="9">
        <v>19015300</v>
      </c>
      <c r="G405" s="9">
        <v>26.07</v>
      </c>
    </row>
    <row r="406" spans="1:7" x14ac:dyDescent="0.25">
      <c r="A406" s="101">
        <v>41418</v>
      </c>
      <c r="B406" s="9">
        <v>25.9</v>
      </c>
      <c r="C406" s="9">
        <v>26.48</v>
      </c>
      <c r="D406" s="9">
        <v>25.65</v>
      </c>
      <c r="E406" s="9">
        <v>26.33</v>
      </c>
      <c r="F406" s="9">
        <v>14967100</v>
      </c>
      <c r="G406" s="9">
        <v>26.33</v>
      </c>
    </row>
    <row r="407" spans="1:7" x14ac:dyDescent="0.25">
      <c r="A407" s="101">
        <v>41417</v>
      </c>
      <c r="B407" s="9">
        <v>25.95</v>
      </c>
      <c r="C407" s="9">
        <v>26.27</v>
      </c>
      <c r="D407" s="9">
        <v>25.7</v>
      </c>
      <c r="E407" s="9">
        <v>26.02</v>
      </c>
      <c r="F407" s="9">
        <v>23307000</v>
      </c>
      <c r="G407" s="9">
        <v>26.02</v>
      </c>
    </row>
    <row r="408" spans="1:7" x14ac:dyDescent="0.25">
      <c r="A408" s="101">
        <v>41416</v>
      </c>
      <c r="B408" s="9">
        <v>27.07</v>
      </c>
      <c r="C408" s="9">
        <v>27.19</v>
      </c>
      <c r="D408" s="9">
        <v>26.44</v>
      </c>
      <c r="E408" s="9">
        <v>26.54</v>
      </c>
      <c r="F408" s="9">
        <v>16046200</v>
      </c>
      <c r="G408" s="9">
        <v>26.54</v>
      </c>
    </row>
    <row r="409" spans="1:7" x14ac:dyDescent="0.25">
      <c r="A409" s="101">
        <v>41415</v>
      </c>
      <c r="B409" s="9">
        <v>26.9</v>
      </c>
      <c r="C409" s="9">
        <v>27.13</v>
      </c>
      <c r="D409" s="9">
        <v>26.72</v>
      </c>
      <c r="E409" s="9">
        <v>27</v>
      </c>
      <c r="F409" s="9">
        <v>14889000</v>
      </c>
      <c r="G409" s="9">
        <v>27</v>
      </c>
    </row>
    <row r="410" spans="1:7" x14ac:dyDescent="0.25">
      <c r="A410" s="101">
        <v>41414</v>
      </c>
      <c r="B410" s="9">
        <v>26.68</v>
      </c>
      <c r="C410" s="9">
        <v>27.05</v>
      </c>
      <c r="D410" s="9">
        <v>26.21</v>
      </c>
      <c r="E410" s="9">
        <v>26.58</v>
      </c>
      <c r="F410" s="9">
        <v>25099100</v>
      </c>
      <c r="G410" s="9">
        <v>26.58</v>
      </c>
    </row>
    <row r="411" spans="1:7" x14ac:dyDescent="0.25">
      <c r="A411" s="101">
        <v>41411</v>
      </c>
      <c r="B411" s="9">
        <v>26.78</v>
      </c>
      <c r="C411" s="9">
        <v>26.98</v>
      </c>
      <c r="D411" s="9">
        <v>26.46</v>
      </c>
      <c r="E411" s="9">
        <v>26.52</v>
      </c>
      <c r="F411" s="9">
        <v>14889300</v>
      </c>
      <c r="G411" s="9">
        <v>26.52</v>
      </c>
    </row>
    <row r="412" spans="1:7" x14ac:dyDescent="0.25">
      <c r="A412" s="101">
        <v>41410</v>
      </c>
      <c r="B412" s="9">
        <v>27.43</v>
      </c>
      <c r="C412" s="9">
        <v>27.43</v>
      </c>
      <c r="D412" s="9">
        <v>26.57</v>
      </c>
      <c r="E412" s="9">
        <v>26.58</v>
      </c>
      <c r="F412" s="9">
        <v>18192300</v>
      </c>
      <c r="G412" s="9">
        <v>26.58</v>
      </c>
    </row>
    <row r="413" spans="1:7" x14ac:dyDescent="0.25">
      <c r="A413" s="101">
        <v>41409</v>
      </c>
      <c r="B413" s="9">
        <v>26.63</v>
      </c>
      <c r="C413" s="9">
        <v>27.68</v>
      </c>
      <c r="D413" s="9">
        <v>26.55</v>
      </c>
      <c r="E413" s="9">
        <v>27.34</v>
      </c>
      <c r="F413" s="9">
        <v>21956500</v>
      </c>
      <c r="G413" s="9">
        <v>27.34</v>
      </c>
    </row>
    <row r="414" spans="1:7" x14ac:dyDescent="0.25">
      <c r="A414" s="101">
        <v>41408</v>
      </c>
      <c r="B414" s="9">
        <v>26.75</v>
      </c>
      <c r="C414" s="9">
        <v>26.87</v>
      </c>
      <c r="D414" s="9">
        <v>26.52</v>
      </c>
      <c r="E414" s="9">
        <v>26.64</v>
      </c>
      <c r="F414" s="9">
        <v>14828200</v>
      </c>
      <c r="G414" s="9">
        <v>26.64</v>
      </c>
    </row>
    <row r="415" spans="1:7" x14ac:dyDescent="0.25">
      <c r="A415" s="101">
        <v>41407</v>
      </c>
      <c r="B415" s="9">
        <v>26.76</v>
      </c>
      <c r="C415" s="9">
        <v>26.83</v>
      </c>
      <c r="D415" s="9">
        <v>26.36</v>
      </c>
      <c r="E415" s="9">
        <v>26.39</v>
      </c>
      <c r="F415" s="9">
        <v>15808000</v>
      </c>
      <c r="G415" s="9">
        <v>26.39</v>
      </c>
    </row>
    <row r="416" spans="1:7" x14ac:dyDescent="0.25">
      <c r="A416" s="101">
        <v>41404</v>
      </c>
      <c r="B416" s="9">
        <v>26.32</v>
      </c>
      <c r="C416" s="9">
        <v>26.86</v>
      </c>
      <c r="D416" s="9">
        <v>26.31</v>
      </c>
      <c r="E416" s="9">
        <v>26.83</v>
      </c>
      <c r="F416" s="9">
        <v>16236400</v>
      </c>
      <c r="G416" s="9">
        <v>26.83</v>
      </c>
    </row>
    <row r="417" spans="1:7" x14ac:dyDescent="0.25">
      <c r="A417" s="101">
        <v>41403</v>
      </c>
      <c r="B417" s="9">
        <v>26.41</v>
      </c>
      <c r="C417" s="9">
        <v>26.49</v>
      </c>
      <c r="D417" s="9">
        <v>26.14</v>
      </c>
      <c r="E417" s="9">
        <v>26.24</v>
      </c>
      <c r="F417" s="9">
        <v>11186000</v>
      </c>
      <c r="G417" s="9">
        <v>26.24</v>
      </c>
    </row>
    <row r="418" spans="1:7" x14ac:dyDescent="0.25">
      <c r="A418" s="101">
        <v>41402</v>
      </c>
      <c r="B418" s="9">
        <v>26.17</v>
      </c>
      <c r="C418" s="9">
        <v>26.66</v>
      </c>
      <c r="D418" s="9">
        <v>25.96</v>
      </c>
      <c r="E418" s="9">
        <v>26.41</v>
      </c>
      <c r="F418" s="9">
        <v>24960800</v>
      </c>
      <c r="G418" s="9">
        <v>26.41</v>
      </c>
    </row>
    <row r="419" spans="1:7" x14ac:dyDescent="0.25">
      <c r="A419" s="101">
        <v>41401</v>
      </c>
      <c r="B419" s="9">
        <v>26.01</v>
      </c>
      <c r="C419" s="9">
        <v>26.79</v>
      </c>
      <c r="D419" s="9">
        <v>25.55</v>
      </c>
      <c r="E419" s="9">
        <v>26.07</v>
      </c>
      <c r="F419" s="9">
        <v>25883100</v>
      </c>
      <c r="G419" s="9">
        <v>26.07</v>
      </c>
    </row>
    <row r="420" spans="1:7" x14ac:dyDescent="0.25">
      <c r="A420" s="101">
        <v>41400</v>
      </c>
      <c r="B420" s="9">
        <v>25.05</v>
      </c>
      <c r="C420" s="9">
        <v>25.34</v>
      </c>
      <c r="D420" s="9">
        <v>24.92</v>
      </c>
      <c r="E420" s="9">
        <v>25.17</v>
      </c>
      <c r="F420" s="9">
        <v>11990500</v>
      </c>
      <c r="G420" s="9">
        <v>25.17</v>
      </c>
    </row>
    <row r="421" spans="1:7" x14ac:dyDescent="0.25">
      <c r="A421" s="101">
        <v>41397</v>
      </c>
      <c r="B421" s="9">
        <v>25.13</v>
      </c>
      <c r="C421" s="9">
        <v>25.25</v>
      </c>
      <c r="D421" s="9">
        <v>24.99</v>
      </c>
      <c r="E421" s="9">
        <v>25.07</v>
      </c>
      <c r="F421" s="9">
        <v>11513900</v>
      </c>
      <c r="G421" s="9">
        <v>25.07</v>
      </c>
    </row>
    <row r="422" spans="1:7" x14ac:dyDescent="0.25">
      <c r="A422" s="101">
        <v>41396</v>
      </c>
      <c r="B422" s="9">
        <v>24.34</v>
      </c>
      <c r="C422" s="9">
        <v>24.97</v>
      </c>
      <c r="D422" s="9">
        <v>24.18</v>
      </c>
      <c r="E422" s="9">
        <v>24.97</v>
      </c>
      <c r="F422" s="9">
        <v>10651000</v>
      </c>
      <c r="G422" s="9">
        <v>24.97</v>
      </c>
    </row>
    <row r="423" spans="1:7" x14ac:dyDescent="0.25">
      <c r="A423" s="101">
        <v>41395</v>
      </c>
      <c r="B423" s="9">
        <v>24.67</v>
      </c>
      <c r="C423" s="9">
        <v>24.72</v>
      </c>
      <c r="D423" s="9">
        <v>24.26</v>
      </c>
      <c r="E423" s="9">
        <v>24.3</v>
      </c>
      <c r="F423" s="9">
        <v>11075000</v>
      </c>
      <c r="G423" s="9">
        <v>24.3</v>
      </c>
    </row>
    <row r="424" spans="1:7" x14ac:dyDescent="0.25">
      <c r="A424" s="101">
        <v>41394</v>
      </c>
      <c r="B424" s="9">
        <v>24.38</v>
      </c>
      <c r="C424" s="9">
        <v>24.79</v>
      </c>
      <c r="D424" s="9">
        <v>24.36</v>
      </c>
      <c r="E424" s="9">
        <v>24.73</v>
      </c>
      <c r="F424" s="9">
        <v>10091200</v>
      </c>
      <c r="G424" s="9">
        <v>24.73</v>
      </c>
    </row>
    <row r="425" spans="1:7" x14ac:dyDescent="0.25">
      <c r="A425" s="101">
        <v>41393</v>
      </c>
      <c r="B425" s="9">
        <v>24.85</v>
      </c>
      <c r="C425" s="9">
        <v>24.91</v>
      </c>
      <c r="D425" s="9">
        <v>24.35</v>
      </c>
      <c r="E425" s="9">
        <v>24.43</v>
      </c>
      <c r="F425" s="9">
        <v>12533100</v>
      </c>
      <c r="G425" s="9">
        <v>24.43</v>
      </c>
    </row>
    <row r="426" spans="1:7" x14ac:dyDescent="0.25">
      <c r="A426" s="101">
        <v>41390</v>
      </c>
      <c r="B426" s="9">
        <v>25.14</v>
      </c>
      <c r="C426" s="9">
        <v>25.37</v>
      </c>
      <c r="D426" s="9">
        <v>24.58</v>
      </c>
      <c r="E426" s="9">
        <v>24.68</v>
      </c>
      <c r="F426" s="9">
        <v>19573300</v>
      </c>
      <c r="G426" s="9">
        <v>24.68</v>
      </c>
    </row>
    <row r="427" spans="1:7" x14ac:dyDescent="0.25">
      <c r="A427" s="101">
        <v>41389</v>
      </c>
      <c r="B427" s="9">
        <v>24.93</v>
      </c>
      <c r="C427" s="9">
        <v>25.29</v>
      </c>
      <c r="D427" s="9">
        <v>24.88</v>
      </c>
      <c r="E427" s="9">
        <v>25.2</v>
      </c>
      <c r="F427" s="9">
        <v>17289100</v>
      </c>
      <c r="G427" s="9">
        <v>25.2</v>
      </c>
    </row>
    <row r="428" spans="1:7" x14ac:dyDescent="0.25">
      <c r="A428" s="101">
        <v>41388</v>
      </c>
      <c r="B428" s="9">
        <v>24.45</v>
      </c>
      <c r="C428" s="9">
        <v>24.97</v>
      </c>
      <c r="D428" s="9">
        <v>24.44</v>
      </c>
      <c r="E428" s="9">
        <v>24.75</v>
      </c>
      <c r="F428" s="9">
        <v>15138800</v>
      </c>
      <c r="G428" s="9">
        <v>24.75</v>
      </c>
    </row>
    <row r="429" spans="1:7" x14ac:dyDescent="0.25">
      <c r="A429" s="101">
        <v>41387</v>
      </c>
      <c r="B429" s="9">
        <v>23.96</v>
      </c>
      <c r="C429" s="9">
        <v>24.45</v>
      </c>
      <c r="D429" s="9">
        <v>23.96</v>
      </c>
      <c r="E429" s="9">
        <v>24.38</v>
      </c>
      <c r="F429" s="9">
        <v>16718000</v>
      </c>
      <c r="G429" s="9">
        <v>24.38</v>
      </c>
    </row>
    <row r="430" spans="1:7" x14ac:dyDescent="0.25">
      <c r="A430" s="101">
        <v>41386</v>
      </c>
      <c r="B430" s="9">
        <v>23.71</v>
      </c>
      <c r="C430" s="9">
        <v>23.96</v>
      </c>
      <c r="D430" s="9">
        <v>23.47</v>
      </c>
      <c r="E430" s="9">
        <v>23.95</v>
      </c>
      <c r="F430" s="9">
        <v>15539700</v>
      </c>
      <c r="G430" s="9">
        <v>23.95</v>
      </c>
    </row>
    <row r="431" spans="1:7" x14ac:dyDescent="0.25">
      <c r="A431" s="101">
        <v>41383</v>
      </c>
      <c r="B431" s="9">
        <v>23.12</v>
      </c>
      <c r="C431" s="9">
        <v>23.63</v>
      </c>
      <c r="D431" s="9">
        <v>22.83</v>
      </c>
      <c r="E431" s="9">
        <v>23.47</v>
      </c>
      <c r="F431" s="9">
        <v>17860200</v>
      </c>
      <c r="G431" s="9">
        <v>23.47</v>
      </c>
    </row>
    <row r="432" spans="1:7" x14ac:dyDescent="0.25">
      <c r="A432" s="101">
        <v>41382</v>
      </c>
      <c r="B432" s="9">
        <v>23.66</v>
      </c>
      <c r="C432" s="9">
        <v>23.7</v>
      </c>
      <c r="D432" s="9">
        <v>22.7</v>
      </c>
      <c r="E432" s="9">
        <v>23.26</v>
      </c>
      <c r="F432" s="9">
        <v>25822300</v>
      </c>
      <c r="G432" s="9">
        <v>23.26</v>
      </c>
    </row>
    <row r="433" spans="1:7" x14ac:dyDescent="0.25">
      <c r="A433" s="101">
        <v>41381</v>
      </c>
      <c r="B433" s="9">
        <v>23.45</v>
      </c>
      <c r="C433" s="9">
        <v>24.1</v>
      </c>
      <c r="D433" s="9">
        <v>23.13</v>
      </c>
      <c r="E433" s="9">
        <v>23.7</v>
      </c>
      <c r="F433" s="9">
        <v>45148600</v>
      </c>
      <c r="G433" s="9">
        <v>23.7</v>
      </c>
    </row>
    <row r="434" spans="1:7" x14ac:dyDescent="0.25">
      <c r="A434" s="101">
        <v>41380</v>
      </c>
      <c r="B434" s="9">
        <v>24.06</v>
      </c>
      <c r="C434" s="9">
        <v>24.26</v>
      </c>
      <c r="D434" s="9">
        <v>23.76</v>
      </c>
      <c r="E434" s="9">
        <v>23.79</v>
      </c>
      <c r="F434" s="9">
        <v>30877500</v>
      </c>
      <c r="G434" s="9">
        <v>23.79</v>
      </c>
    </row>
    <row r="435" spans="1:7" x14ac:dyDescent="0.25">
      <c r="A435" s="101">
        <v>41379</v>
      </c>
      <c r="B435" s="9">
        <v>24.72</v>
      </c>
      <c r="C435" s="9">
        <v>24.99</v>
      </c>
      <c r="D435" s="9">
        <v>23.83</v>
      </c>
      <c r="E435" s="9">
        <v>23.98</v>
      </c>
      <c r="F435" s="9">
        <v>28129600</v>
      </c>
      <c r="G435" s="9">
        <v>23.98</v>
      </c>
    </row>
    <row r="436" spans="1:7" x14ac:dyDescent="0.25">
      <c r="A436" s="101">
        <v>41376</v>
      </c>
      <c r="B436" s="9">
        <v>24.58</v>
      </c>
      <c r="C436" s="9">
        <v>24.8</v>
      </c>
      <c r="D436" s="9">
        <v>24.34</v>
      </c>
      <c r="E436" s="9">
        <v>24.69</v>
      </c>
      <c r="F436" s="9">
        <v>13342800</v>
      </c>
      <c r="G436" s="9">
        <v>24.69</v>
      </c>
    </row>
    <row r="437" spans="1:7" x14ac:dyDescent="0.25">
      <c r="A437" s="101">
        <v>41375</v>
      </c>
      <c r="B437" s="9">
        <v>24.41</v>
      </c>
      <c r="C437" s="9">
        <v>24.57</v>
      </c>
      <c r="D437" s="9">
        <v>24.31</v>
      </c>
      <c r="E437" s="9">
        <v>24.49</v>
      </c>
      <c r="F437" s="9">
        <v>12362500</v>
      </c>
      <c r="G437" s="9">
        <v>24.49</v>
      </c>
    </row>
    <row r="438" spans="1:7" x14ac:dyDescent="0.25">
      <c r="A438" s="101">
        <v>41374</v>
      </c>
      <c r="B438" s="9">
        <v>24</v>
      </c>
      <c r="C438" s="9">
        <v>24.32</v>
      </c>
      <c r="D438" s="9">
        <v>23.95</v>
      </c>
      <c r="E438" s="9">
        <v>24.2</v>
      </c>
      <c r="F438" s="9">
        <v>17281900</v>
      </c>
      <c r="G438" s="9">
        <v>24.2</v>
      </c>
    </row>
    <row r="439" spans="1:7" x14ac:dyDescent="0.25">
      <c r="A439" s="101">
        <v>41373</v>
      </c>
      <c r="B439" s="9">
        <v>23.56</v>
      </c>
      <c r="C439" s="9">
        <v>24</v>
      </c>
      <c r="D439" s="9">
        <v>23.44</v>
      </c>
      <c r="E439" s="9">
        <v>23.83</v>
      </c>
      <c r="F439" s="9">
        <v>14773900</v>
      </c>
      <c r="G439" s="9">
        <v>23.83</v>
      </c>
    </row>
    <row r="440" spans="1:7" x14ac:dyDescent="0.25">
      <c r="A440" s="101">
        <v>41372</v>
      </c>
      <c r="B440" s="9">
        <v>23.24</v>
      </c>
      <c r="C440" s="9">
        <v>23.48</v>
      </c>
      <c r="D440" s="9">
        <v>23.13</v>
      </c>
      <c r="E440" s="9">
        <v>23.48</v>
      </c>
      <c r="F440" s="9">
        <v>9998100</v>
      </c>
      <c r="G440" s="9">
        <v>23.48</v>
      </c>
    </row>
    <row r="441" spans="1:7" x14ac:dyDescent="0.25">
      <c r="A441" s="101">
        <v>41369</v>
      </c>
      <c r="B441" s="9">
        <v>23.18</v>
      </c>
      <c r="C441" s="9">
        <v>23.41</v>
      </c>
      <c r="D441" s="9">
        <v>23.01</v>
      </c>
      <c r="E441" s="9">
        <v>23.3</v>
      </c>
      <c r="F441" s="9">
        <v>14243700</v>
      </c>
      <c r="G441" s="9">
        <v>23.3</v>
      </c>
    </row>
    <row r="442" spans="1:7" x14ac:dyDescent="0.25">
      <c r="A442" s="101">
        <v>41368</v>
      </c>
      <c r="B442" s="9">
        <v>23.49</v>
      </c>
      <c r="C442" s="9">
        <v>23.72</v>
      </c>
      <c r="D442" s="9">
        <v>23.36</v>
      </c>
      <c r="E442" s="9">
        <v>23.52</v>
      </c>
      <c r="F442" s="9">
        <v>12521200</v>
      </c>
      <c r="G442" s="9">
        <v>23.52</v>
      </c>
    </row>
    <row r="443" spans="1:7" x14ac:dyDescent="0.25">
      <c r="A443" s="101">
        <v>41367</v>
      </c>
      <c r="B443" s="9">
        <v>23.78</v>
      </c>
      <c r="C443" s="9">
        <v>23.88</v>
      </c>
      <c r="D443" s="9">
        <v>23.24</v>
      </c>
      <c r="E443" s="9">
        <v>23.38</v>
      </c>
      <c r="F443" s="9">
        <v>14934300</v>
      </c>
      <c r="G443" s="9">
        <v>23.38</v>
      </c>
    </row>
    <row r="444" spans="1:7" x14ac:dyDescent="0.25">
      <c r="A444" s="101">
        <v>41366</v>
      </c>
      <c r="B444" s="9">
        <v>23.77</v>
      </c>
      <c r="C444" s="9">
        <v>23.9</v>
      </c>
      <c r="D444" s="9">
        <v>23.6</v>
      </c>
      <c r="E444" s="9">
        <v>23.78</v>
      </c>
      <c r="F444" s="9">
        <v>14724800</v>
      </c>
      <c r="G444" s="9">
        <v>23.78</v>
      </c>
    </row>
    <row r="445" spans="1:7" x14ac:dyDescent="0.25">
      <c r="A445" s="101">
        <v>41365</v>
      </c>
      <c r="B445" s="9">
        <v>23.31</v>
      </c>
      <c r="C445" s="9">
        <v>23.62</v>
      </c>
      <c r="D445" s="9">
        <v>23.19</v>
      </c>
      <c r="E445" s="9">
        <v>23.5</v>
      </c>
      <c r="F445" s="9">
        <v>12344300</v>
      </c>
      <c r="G445" s="9">
        <v>23.5</v>
      </c>
    </row>
    <row r="446" spans="1:7" x14ac:dyDescent="0.25">
      <c r="A446" s="101">
        <v>41361</v>
      </c>
      <c r="B446" s="9">
        <v>23.63</v>
      </c>
      <c r="C446" s="9">
        <v>23.77</v>
      </c>
      <c r="D446" s="9">
        <v>23.45</v>
      </c>
      <c r="E446" s="9">
        <v>23.53</v>
      </c>
      <c r="F446" s="9">
        <v>17611900</v>
      </c>
      <c r="G446" s="9">
        <v>23.53</v>
      </c>
    </row>
    <row r="447" spans="1:7" x14ac:dyDescent="0.25">
      <c r="A447" s="101">
        <v>41360</v>
      </c>
      <c r="B447" s="9">
        <v>23.54</v>
      </c>
      <c r="C447" s="9">
        <v>23.83</v>
      </c>
      <c r="D447" s="9">
        <v>23.41</v>
      </c>
      <c r="E447" s="9">
        <v>23.59</v>
      </c>
      <c r="F447" s="9">
        <v>13943600</v>
      </c>
      <c r="G447" s="9">
        <v>23.59</v>
      </c>
    </row>
    <row r="448" spans="1:7" x14ac:dyDescent="0.25">
      <c r="A448" s="101">
        <v>41359</v>
      </c>
      <c r="B448" s="9">
        <v>23.46</v>
      </c>
      <c r="C448" s="9">
        <v>23.62</v>
      </c>
      <c r="D448" s="9">
        <v>23.35</v>
      </c>
      <c r="E448" s="9">
        <v>23.59</v>
      </c>
      <c r="F448" s="9">
        <v>16893200</v>
      </c>
      <c r="G448" s="9">
        <v>23.59</v>
      </c>
    </row>
    <row r="449" spans="1:7" x14ac:dyDescent="0.25">
      <c r="A449" s="101">
        <v>41358</v>
      </c>
      <c r="B449" s="9">
        <v>23.41</v>
      </c>
      <c r="C449" s="9">
        <v>23.88</v>
      </c>
      <c r="D449" s="9">
        <v>23.31</v>
      </c>
      <c r="E449" s="9">
        <v>23.38</v>
      </c>
      <c r="F449" s="9">
        <v>23138900</v>
      </c>
      <c r="G449" s="9">
        <v>23.38</v>
      </c>
    </row>
    <row r="450" spans="1:7" x14ac:dyDescent="0.25">
      <c r="A450" s="101">
        <v>41355</v>
      </c>
      <c r="B450" s="9">
        <v>22.88</v>
      </c>
      <c r="C450" s="9">
        <v>23.26</v>
      </c>
      <c r="D450" s="9">
        <v>22.72</v>
      </c>
      <c r="E450" s="9">
        <v>23.26</v>
      </c>
      <c r="F450" s="9">
        <v>18062100</v>
      </c>
      <c r="G450" s="9">
        <v>23.26</v>
      </c>
    </row>
    <row r="451" spans="1:7" x14ac:dyDescent="0.25">
      <c r="A451" s="101">
        <v>41354</v>
      </c>
      <c r="B451" s="9">
        <v>22.39</v>
      </c>
      <c r="C451" s="9">
        <v>22.95</v>
      </c>
      <c r="D451" s="9">
        <v>22.36</v>
      </c>
      <c r="E451" s="9">
        <v>22.86</v>
      </c>
      <c r="F451" s="9">
        <v>24719100</v>
      </c>
      <c r="G451" s="9">
        <v>22.86</v>
      </c>
    </row>
    <row r="452" spans="1:7" x14ac:dyDescent="0.25">
      <c r="A452" s="101">
        <v>41353</v>
      </c>
      <c r="B452" s="9">
        <v>22.03</v>
      </c>
      <c r="C452" s="9">
        <v>22.33</v>
      </c>
      <c r="D452" s="9">
        <v>21.95</v>
      </c>
      <c r="E452" s="9">
        <v>22.1</v>
      </c>
      <c r="F452" s="9">
        <v>18094100</v>
      </c>
      <c r="G452" s="9">
        <v>22.1</v>
      </c>
    </row>
    <row r="453" spans="1:7" x14ac:dyDescent="0.25">
      <c r="A453" s="101">
        <v>41352</v>
      </c>
      <c r="B453" s="9">
        <v>22.06</v>
      </c>
      <c r="C453" s="9">
        <v>22.33</v>
      </c>
      <c r="D453" s="9">
        <v>21.89</v>
      </c>
      <c r="E453" s="9">
        <v>22.17</v>
      </c>
      <c r="F453" s="9">
        <v>12846900</v>
      </c>
      <c r="G453" s="9">
        <v>22.17</v>
      </c>
    </row>
    <row r="454" spans="1:7" x14ac:dyDescent="0.25">
      <c r="A454" s="101">
        <v>41351</v>
      </c>
      <c r="B454" s="9">
        <v>21.9</v>
      </c>
      <c r="C454" s="9">
        <v>22.17</v>
      </c>
      <c r="D454" s="9">
        <v>21.87</v>
      </c>
      <c r="E454" s="9">
        <v>22.01</v>
      </c>
      <c r="F454" s="9">
        <v>15071700</v>
      </c>
      <c r="G454" s="9">
        <v>22.01</v>
      </c>
    </row>
    <row r="455" spans="1:7" x14ac:dyDescent="0.25">
      <c r="A455" s="101">
        <v>41348</v>
      </c>
      <c r="B455" s="9">
        <v>22.34</v>
      </c>
      <c r="C455" s="9">
        <v>22.39</v>
      </c>
      <c r="D455" s="9">
        <v>21.97</v>
      </c>
      <c r="E455" s="9">
        <v>22.07</v>
      </c>
      <c r="F455" s="9">
        <v>33557400</v>
      </c>
      <c r="G455" s="9">
        <v>22.07</v>
      </c>
    </row>
    <row r="456" spans="1:7" x14ac:dyDescent="0.25">
      <c r="A456" s="101">
        <v>41347</v>
      </c>
      <c r="B456" s="9">
        <v>22.47</v>
      </c>
      <c r="C456" s="9">
        <v>22.75</v>
      </c>
      <c r="D456" s="9">
        <v>22.41</v>
      </c>
      <c r="E456" s="9">
        <v>22.43</v>
      </c>
      <c r="F456" s="9">
        <v>12798500</v>
      </c>
      <c r="G456" s="9">
        <v>22.43</v>
      </c>
    </row>
    <row r="457" spans="1:7" x14ac:dyDescent="0.25">
      <c r="A457" s="101">
        <v>41346</v>
      </c>
      <c r="B457" s="9">
        <v>22.48</v>
      </c>
      <c r="C457" s="9">
        <v>22.48</v>
      </c>
      <c r="D457" s="9">
        <v>22.16</v>
      </c>
      <c r="E457" s="9">
        <v>22.34</v>
      </c>
      <c r="F457" s="9">
        <v>13956200</v>
      </c>
      <c r="G457" s="9">
        <v>22.34</v>
      </c>
    </row>
    <row r="458" spans="1:7" x14ac:dyDescent="0.25">
      <c r="A458" s="101">
        <v>41345</v>
      </c>
      <c r="B458" s="9">
        <v>22.51</v>
      </c>
      <c r="C458" s="9">
        <v>22.58</v>
      </c>
      <c r="D458" s="9">
        <v>22.19</v>
      </c>
      <c r="E458" s="9">
        <v>22.4</v>
      </c>
      <c r="F458" s="9">
        <v>12012300</v>
      </c>
      <c r="G458" s="9">
        <v>22.4</v>
      </c>
    </row>
    <row r="459" spans="1:7" x14ac:dyDescent="0.25">
      <c r="A459" s="101">
        <v>41344</v>
      </c>
      <c r="B459" s="9">
        <v>22.8</v>
      </c>
      <c r="C459" s="9">
        <v>23</v>
      </c>
      <c r="D459" s="9">
        <v>22.57</v>
      </c>
      <c r="E459" s="9">
        <v>22.6</v>
      </c>
      <c r="F459" s="9">
        <v>16489200</v>
      </c>
      <c r="G459" s="9">
        <v>22.6</v>
      </c>
    </row>
    <row r="460" spans="1:7" x14ac:dyDescent="0.25">
      <c r="A460" s="101">
        <v>41341</v>
      </c>
      <c r="B460" s="9">
        <v>22.92</v>
      </c>
      <c r="C460" s="9">
        <v>22.96</v>
      </c>
      <c r="D460" s="9">
        <v>22.71</v>
      </c>
      <c r="E460" s="9">
        <v>22.9</v>
      </c>
      <c r="F460" s="9">
        <v>10583500</v>
      </c>
      <c r="G460" s="9">
        <v>22.9</v>
      </c>
    </row>
    <row r="461" spans="1:7" x14ac:dyDescent="0.25">
      <c r="A461" s="101">
        <v>41340</v>
      </c>
      <c r="B461" s="9">
        <v>22.92</v>
      </c>
      <c r="C461" s="9">
        <v>23</v>
      </c>
      <c r="D461" s="9">
        <v>22.65</v>
      </c>
      <c r="E461" s="9">
        <v>22.7</v>
      </c>
      <c r="F461" s="9">
        <v>12881800</v>
      </c>
      <c r="G461" s="9">
        <v>22.7</v>
      </c>
    </row>
    <row r="462" spans="1:7" x14ac:dyDescent="0.25">
      <c r="A462" s="101">
        <v>41339</v>
      </c>
      <c r="B462" s="9">
        <v>23.08</v>
      </c>
      <c r="C462" s="9">
        <v>23.09</v>
      </c>
      <c r="D462" s="9">
        <v>22.71</v>
      </c>
      <c r="E462" s="9">
        <v>22.8</v>
      </c>
      <c r="F462" s="9">
        <v>15193900</v>
      </c>
      <c r="G462" s="9">
        <v>22.8</v>
      </c>
    </row>
    <row r="463" spans="1:7" x14ac:dyDescent="0.25">
      <c r="A463" s="101">
        <v>41338</v>
      </c>
      <c r="B463" s="9">
        <v>22.91</v>
      </c>
      <c r="C463" s="9">
        <v>23.08</v>
      </c>
      <c r="D463" s="9">
        <v>22.61</v>
      </c>
      <c r="E463" s="9">
        <v>22.95</v>
      </c>
      <c r="F463" s="9">
        <v>30497400</v>
      </c>
      <c r="G463" s="9">
        <v>22.95</v>
      </c>
    </row>
    <row r="464" spans="1:7" x14ac:dyDescent="0.25">
      <c r="A464" s="101">
        <v>41337</v>
      </c>
      <c r="B464" s="9">
        <v>22.37</v>
      </c>
      <c r="C464" s="9">
        <v>22.74</v>
      </c>
      <c r="D464" s="9">
        <v>22.2</v>
      </c>
      <c r="E464" s="9">
        <v>22.7</v>
      </c>
      <c r="F464" s="9">
        <v>30075300</v>
      </c>
      <c r="G464" s="9">
        <v>22.7</v>
      </c>
    </row>
    <row r="465" spans="1:7" x14ac:dyDescent="0.25">
      <c r="A465" s="101">
        <v>41334</v>
      </c>
      <c r="B465" s="9">
        <v>21.36</v>
      </c>
      <c r="C465" s="9">
        <v>22.28</v>
      </c>
      <c r="D465" s="9">
        <v>21.26</v>
      </c>
      <c r="E465" s="9">
        <v>21.94</v>
      </c>
      <c r="F465" s="9">
        <v>33776700</v>
      </c>
      <c r="G465" s="9">
        <v>21.94</v>
      </c>
    </row>
    <row r="466" spans="1:7" x14ac:dyDescent="0.25">
      <c r="A466" s="101">
        <v>41333</v>
      </c>
      <c r="B466" s="9">
        <v>21.06</v>
      </c>
      <c r="C466" s="9">
        <v>21.57</v>
      </c>
      <c r="D466" s="9">
        <v>21.05</v>
      </c>
      <c r="E466" s="9">
        <v>21.31</v>
      </c>
      <c r="F466" s="9">
        <v>18873700</v>
      </c>
      <c r="G466" s="9">
        <v>21.31</v>
      </c>
    </row>
    <row r="467" spans="1:7" x14ac:dyDescent="0.25">
      <c r="A467" s="101">
        <v>41332</v>
      </c>
      <c r="B467" s="9">
        <v>20.81</v>
      </c>
      <c r="C467" s="9">
        <v>21.31</v>
      </c>
      <c r="D467" s="9">
        <v>20.69</v>
      </c>
      <c r="E467" s="9">
        <v>21.16</v>
      </c>
      <c r="F467" s="9">
        <v>15697300</v>
      </c>
      <c r="G467" s="9">
        <v>21.16</v>
      </c>
    </row>
    <row r="468" spans="1:7" x14ac:dyDescent="0.25">
      <c r="A468" s="101">
        <v>41331</v>
      </c>
      <c r="B468" s="9">
        <v>20.68</v>
      </c>
      <c r="C468" s="9">
        <v>20.85</v>
      </c>
      <c r="D468" s="9">
        <v>20.58</v>
      </c>
      <c r="E468" s="9">
        <v>20.76</v>
      </c>
      <c r="F468" s="9">
        <v>14038200</v>
      </c>
      <c r="G468" s="9">
        <v>20.76</v>
      </c>
    </row>
    <row r="469" spans="1:7" x14ac:dyDescent="0.25">
      <c r="A469" s="101">
        <v>41330</v>
      </c>
      <c r="B469" s="9">
        <v>21.26</v>
      </c>
      <c r="C469" s="9">
        <v>21.32</v>
      </c>
      <c r="D469" s="9">
        <v>20.72</v>
      </c>
      <c r="E469" s="9">
        <v>20.73</v>
      </c>
      <c r="F469" s="9">
        <v>13334900</v>
      </c>
      <c r="G469" s="9">
        <v>20.73</v>
      </c>
    </row>
    <row r="470" spans="1:7" x14ac:dyDescent="0.25">
      <c r="A470" s="101">
        <v>41327</v>
      </c>
      <c r="B470" s="9">
        <v>20.87</v>
      </c>
      <c r="C470" s="9">
        <v>21.31</v>
      </c>
      <c r="D470" s="9">
        <v>20.85</v>
      </c>
      <c r="E470" s="9">
        <v>21.22</v>
      </c>
      <c r="F470" s="9">
        <v>13673300</v>
      </c>
      <c r="G470" s="9">
        <v>21.22</v>
      </c>
    </row>
    <row r="471" spans="1:7" x14ac:dyDescent="0.25">
      <c r="A471" s="101">
        <v>41326</v>
      </c>
      <c r="B471" s="9">
        <v>20.92</v>
      </c>
      <c r="C471" s="9">
        <v>21</v>
      </c>
      <c r="D471" s="9">
        <v>20.74</v>
      </c>
      <c r="E471" s="9">
        <v>20.83</v>
      </c>
      <c r="F471" s="9">
        <v>13296100</v>
      </c>
      <c r="G471" s="9">
        <v>20.83</v>
      </c>
    </row>
    <row r="472" spans="1:7" x14ac:dyDescent="0.25">
      <c r="A472" s="101">
        <v>41325</v>
      </c>
      <c r="B472" s="9">
        <v>21.31</v>
      </c>
      <c r="C472" s="9">
        <v>21.45</v>
      </c>
      <c r="D472" s="9">
        <v>20.9</v>
      </c>
      <c r="E472" s="9">
        <v>20.92</v>
      </c>
      <c r="F472" s="9">
        <v>14438900</v>
      </c>
      <c r="G472" s="9">
        <v>20.92</v>
      </c>
    </row>
    <row r="473" spans="1:7" x14ac:dyDescent="0.25">
      <c r="A473" s="101">
        <v>41324</v>
      </c>
      <c r="B473" s="9">
        <v>21.03</v>
      </c>
      <c r="C473" s="9">
        <v>21.41</v>
      </c>
      <c r="D473" s="9">
        <v>20.97</v>
      </c>
      <c r="E473" s="9">
        <v>21.29</v>
      </c>
      <c r="F473" s="9">
        <v>16665800</v>
      </c>
      <c r="G473" s="9">
        <v>21.29</v>
      </c>
    </row>
    <row r="474" spans="1:7" x14ac:dyDescent="0.25">
      <c r="A474" s="101">
        <v>41320</v>
      </c>
      <c r="B474" s="9">
        <v>21.15</v>
      </c>
      <c r="C474" s="9">
        <v>21.25</v>
      </c>
      <c r="D474" s="9">
        <v>20.9</v>
      </c>
      <c r="E474" s="9">
        <v>21.02</v>
      </c>
      <c r="F474" s="9">
        <v>12584000</v>
      </c>
      <c r="G474" s="9">
        <v>21.02</v>
      </c>
    </row>
    <row r="475" spans="1:7" x14ac:dyDescent="0.25">
      <c r="A475" s="101">
        <v>41319</v>
      </c>
      <c r="B475" s="9">
        <v>21.1</v>
      </c>
      <c r="C475" s="9">
        <v>21.26</v>
      </c>
      <c r="D475" s="9">
        <v>21.06</v>
      </c>
      <c r="E475" s="9">
        <v>21.18</v>
      </c>
      <c r="F475" s="9">
        <v>12817900</v>
      </c>
      <c r="G475" s="9">
        <v>21.18</v>
      </c>
    </row>
    <row r="476" spans="1:7" x14ac:dyDescent="0.25">
      <c r="A476" s="101">
        <v>41318</v>
      </c>
      <c r="B476" s="9">
        <v>21.15</v>
      </c>
      <c r="C476" s="9">
        <v>21.43</v>
      </c>
      <c r="D476" s="9">
        <v>21.07</v>
      </c>
      <c r="E476" s="9">
        <v>21.15</v>
      </c>
      <c r="F476" s="9">
        <v>18797900</v>
      </c>
      <c r="G476" s="9">
        <v>21.15</v>
      </c>
    </row>
    <row r="477" spans="1:7" x14ac:dyDescent="0.25">
      <c r="A477" s="101">
        <v>41317</v>
      </c>
      <c r="B477" s="9">
        <v>20.94</v>
      </c>
      <c r="C477" s="9">
        <v>21.4</v>
      </c>
      <c r="D477" s="9">
        <v>20.89</v>
      </c>
      <c r="E477" s="9">
        <v>21.21</v>
      </c>
      <c r="F477" s="9">
        <v>27750200</v>
      </c>
      <c r="G477" s="9">
        <v>21.21</v>
      </c>
    </row>
    <row r="478" spans="1:7" x14ac:dyDescent="0.25">
      <c r="A478" s="101">
        <v>41316</v>
      </c>
      <c r="B478" s="9">
        <v>20.440000000000001</v>
      </c>
      <c r="C478" s="9">
        <v>20.98</v>
      </c>
      <c r="D478" s="9">
        <v>20.39</v>
      </c>
      <c r="E478" s="9">
        <v>20.9</v>
      </c>
      <c r="F478" s="9">
        <v>22089900</v>
      </c>
      <c r="G478" s="9">
        <v>20.9</v>
      </c>
    </row>
    <row r="479" spans="1:7" x14ac:dyDescent="0.25">
      <c r="A479" s="101">
        <v>41313</v>
      </c>
      <c r="B479" s="9">
        <v>20.38</v>
      </c>
      <c r="C479" s="9">
        <v>20.61</v>
      </c>
      <c r="D479" s="9">
        <v>20.3</v>
      </c>
      <c r="E479" s="9">
        <v>20.5</v>
      </c>
      <c r="F479" s="9">
        <v>22249700</v>
      </c>
      <c r="G479" s="9">
        <v>20.5</v>
      </c>
    </row>
    <row r="480" spans="1:7" x14ac:dyDescent="0.25">
      <c r="A480" s="101">
        <v>41312</v>
      </c>
      <c r="B480" s="9">
        <v>20.100000000000001</v>
      </c>
      <c r="C480" s="9">
        <v>20.43</v>
      </c>
      <c r="D480" s="9">
        <v>19.93</v>
      </c>
      <c r="E480" s="9">
        <v>20.32</v>
      </c>
      <c r="F480" s="9">
        <v>24705600</v>
      </c>
      <c r="G480" s="9">
        <v>20.32</v>
      </c>
    </row>
    <row r="481" spans="1:7" x14ac:dyDescent="0.25">
      <c r="A481" s="101">
        <v>41311</v>
      </c>
      <c r="B481" s="9">
        <v>19.63</v>
      </c>
      <c r="C481" s="9">
        <v>19.899999999999999</v>
      </c>
      <c r="D481" s="9">
        <v>19.59</v>
      </c>
      <c r="E481" s="9">
        <v>19.850000000000001</v>
      </c>
      <c r="F481" s="9">
        <v>15392300</v>
      </c>
      <c r="G481" s="9">
        <v>19.850000000000001</v>
      </c>
    </row>
    <row r="482" spans="1:7" x14ac:dyDescent="0.25">
      <c r="A482" s="101">
        <v>41310</v>
      </c>
      <c r="B482" s="9">
        <v>19.489999999999998</v>
      </c>
      <c r="C482" s="9">
        <v>19.78</v>
      </c>
      <c r="D482" s="9">
        <v>19.420000000000002</v>
      </c>
      <c r="E482" s="9">
        <v>19.66</v>
      </c>
      <c r="F482" s="9">
        <v>13559800</v>
      </c>
      <c r="G482" s="9">
        <v>19.66</v>
      </c>
    </row>
    <row r="483" spans="1:7" x14ac:dyDescent="0.25">
      <c r="A483" s="101">
        <v>41309</v>
      </c>
      <c r="B483" s="9">
        <v>19.760000000000002</v>
      </c>
      <c r="C483" s="9">
        <v>19.809999999999999</v>
      </c>
      <c r="D483" s="9">
        <v>19.309999999999999</v>
      </c>
      <c r="E483" s="9">
        <v>19.34</v>
      </c>
      <c r="F483" s="9">
        <v>23906500</v>
      </c>
      <c r="G483" s="9">
        <v>19.34</v>
      </c>
    </row>
    <row r="484" spans="1:7" x14ac:dyDescent="0.25">
      <c r="A484" s="101">
        <v>41306</v>
      </c>
      <c r="B484" s="9">
        <v>19.77</v>
      </c>
      <c r="C484" s="9">
        <v>19.829999999999998</v>
      </c>
      <c r="D484" s="9">
        <v>19.579999999999998</v>
      </c>
      <c r="E484" s="9">
        <v>19.760000000000002</v>
      </c>
      <c r="F484" s="9">
        <v>27610600</v>
      </c>
      <c r="G484" s="9">
        <v>19.760000000000002</v>
      </c>
    </row>
    <row r="485" spans="1:7" x14ac:dyDescent="0.25">
      <c r="A485" s="101">
        <v>41305</v>
      </c>
      <c r="B485" s="9">
        <v>19.920000000000002</v>
      </c>
      <c r="C485" s="9">
        <v>19.989999999999998</v>
      </c>
      <c r="D485" s="9">
        <v>19.57</v>
      </c>
      <c r="E485" s="9">
        <v>19.63</v>
      </c>
      <c r="F485" s="9">
        <v>34973700</v>
      </c>
      <c r="G485" s="9">
        <v>19.63</v>
      </c>
    </row>
    <row r="486" spans="1:7" x14ac:dyDescent="0.25">
      <c r="A486" s="101">
        <v>41304</v>
      </c>
      <c r="B486" s="9">
        <v>19.920000000000002</v>
      </c>
      <c r="C486" s="9">
        <v>20.12</v>
      </c>
      <c r="D486" s="9">
        <v>19.690000000000001</v>
      </c>
      <c r="E486" s="9">
        <v>20.12</v>
      </c>
      <c r="F486" s="9">
        <v>36572300</v>
      </c>
      <c r="G486" s="9">
        <v>20.12</v>
      </c>
    </row>
    <row r="487" spans="1:7" x14ac:dyDescent="0.25">
      <c r="A487" s="101">
        <v>41303</v>
      </c>
      <c r="B487" s="9">
        <v>20.87</v>
      </c>
      <c r="C487" s="9">
        <v>20.88</v>
      </c>
      <c r="D487" s="9">
        <v>19.68</v>
      </c>
      <c r="E487" s="9">
        <v>19.7</v>
      </c>
      <c r="F487" s="9">
        <v>57652300</v>
      </c>
      <c r="G487" s="9">
        <v>19.7</v>
      </c>
    </row>
    <row r="488" spans="1:7" x14ac:dyDescent="0.25">
      <c r="A488" s="101">
        <v>41302</v>
      </c>
      <c r="B488" s="9">
        <v>20.5</v>
      </c>
      <c r="C488" s="9">
        <v>20.5</v>
      </c>
      <c r="D488" s="9">
        <v>20.2</v>
      </c>
      <c r="E488" s="9">
        <v>20.309999999999999</v>
      </c>
      <c r="F488" s="9">
        <v>39510100</v>
      </c>
      <c r="G488" s="9">
        <v>20.309999999999999</v>
      </c>
    </row>
    <row r="489" spans="1:7" x14ac:dyDescent="0.25">
      <c r="A489" s="101">
        <v>41299</v>
      </c>
      <c r="B489" s="9">
        <v>20.43</v>
      </c>
      <c r="C489" s="9">
        <v>20.48</v>
      </c>
      <c r="D489" s="9">
        <v>20.23</v>
      </c>
      <c r="E489" s="9">
        <v>20.37</v>
      </c>
      <c r="F489" s="9">
        <v>14954300</v>
      </c>
      <c r="G489" s="9">
        <v>20.37</v>
      </c>
    </row>
    <row r="490" spans="1:7" x14ac:dyDescent="0.25">
      <c r="A490" s="101">
        <v>41298</v>
      </c>
      <c r="B490" s="9">
        <v>20.079999999999998</v>
      </c>
      <c r="C490" s="9">
        <v>20.52</v>
      </c>
      <c r="D490" s="9">
        <v>20.07</v>
      </c>
      <c r="E490" s="9">
        <v>20.440000000000001</v>
      </c>
      <c r="F490" s="9">
        <v>13711400</v>
      </c>
      <c r="G490" s="9">
        <v>20.440000000000001</v>
      </c>
    </row>
    <row r="491" spans="1:7" x14ac:dyDescent="0.25">
      <c r="A491" s="101">
        <v>41297</v>
      </c>
      <c r="B491" s="9">
        <v>19.98</v>
      </c>
      <c r="C491" s="9">
        <v>20.190000000000001</v>
      </c>
      <c r="D491" s="9">
        <v>19.91</v>
      </c>
      <c r="E491" s="9">
        <v>20.11</v>
      </c>
      <c r="F491" s="9">
        <v>13857900</v>
      </c>
      <c r="G491" s="9">
        <v>20.11</v>
      </c>
    </row>
    <row r="492" spans="1:7" x14ac:dyDescent="0.25">
      <c r="A492" s="101">
        <v>41296</v>
      </c>
      <c r="B492" s="9">
        <v>19.91</v>
      </c>
      <c r="C492" s="9">
        <v>19.95</v>
      </c>
      <c r="D492" s="9">
        <v>19.72</v>
      </c>
      <c r="E492" s="9">
        <v>19.899999999999999</v>
      </c>
      <c r="F492" s="9">
        <v>13866900</v>
      </c>
      <c r="G492" s="9">
        <v>19.899999999999999</v>
      </c>
    </row>
    <row r="493" spans="1:7" x14ac:dyDescent="0.25">
      <c r="A493" s="101">
        <v>41292</v>
      </c>
      <c r="B493" s="9">
        <v>20.07</v>
      </c>
      <c r="C493" s="9">
        <v>20.170000000000002</v>
      </c>
      <c r="D493" s="9">
        <v>19.97</v>
      </c>
      <c r="E493" s="9">
        <v>20.02</v>
      </c>
      <c r="F493" s="9">
        <v>13535100</v>
      </c>
      <c r="G493" s="9">
        <v>20.02</v>
      </c>
    </row>
    <row r="494" spans="1:7" x14ac:dyDescent="0.25">
      <c r="A494" s="101">
        <v>41291</v>
      </c>
      <c r="B494" s="9">
        <v>20.14</v>
      </c>
      <c r="C494" s="9">
        <v>20.21</v>
      </c>
      <c r="D494" s="9">
        <v>20</v>
      </c>
      <c r="E494" s="9">
        <v>20.13</v>
      </c>
      <c r="F494" s="9">
        <v>14500600</v>
      </c>
      <c r="G494" s="9">
        <v>20.13</v>
      </c>
    </row>
    <row r="495" spans="1:7" x14ac:dyDescent="0.25">
      <c r="A495" s="101">
        <v>41290</v>
      </c>
      <c r="B495" s="9">
        <v>19.91</v>
      </c>
      <c r="C495" s="9">
        <v>20.14</v>
      </c>
      <c r="D495" s="9">
        <v>19.62</v>
      </c>
      <c r="E495" s="9">
        <v>20.07</v>
      </c>
      <c r="F495" s="9">
        <v>33291700</v>
      </c>
      <c r="G495" s="9">
        <v>20.07</v>
      </c>
    </row>
    <row r="496" spans="1:7" x14ac:dyDescent="0.25">
      <c r="A496" s="101">
        <v>41289</v>
      </c>
      <c r="B496" s="9">
        <v>19.28</v>
      </c>
      <c r="C496" s="9">
        <v>19.54</v>
      </c>
      <c r="D496" s="9">
        <v>19.28</v>
      </c>
      <c r="E496" s="9">
        <v>19.52</v>
      </c>
      <c r="F496" s="9">
        <v>16087600</v>
      </c>
      <c r="G496" s="9">
        <v>19.52</v>
      </c>
    </row>
    <row r="497" spans="1:7" x14ac:dyDescent="0.25">
      <c r="A497" s="101">
        <v>41288</v>
      </c>
      <c r="B497" s="9">
        <v>19.329999999999998</v>
      </c>
      <c r="C497" s="9">
        <v>19.54</v>
      </c>
      <c r="D497" s="9">
        <v>19.25</v>
      </c>
      <c r="E497" s="9">
        <v>19.43</v>
      </c>
      <c r="F497" s="9">
        <v>13828400</v>
      </c>
      <c r="G497" s="9">
        <v>19.43</v>
      </c>
    </row>
    <row r="498" spans="1:7" x14ac:dyDescent="0.25">
      <c r="A498" s="101">
        <v>41285</v>
      </c>
      <c r="B498" s="9">
        <v>19.05</v>
      </c>
      <c r="C498" s="9">
        <v>19.38</v>
      </c>
      <c r="D498" s="9">
        <v>18.89</v>
      </c>
      <c r="E498" s="9">
        <v>19.29</v>
      </c>
      <c r="F498" s="9">
        <v>21552200</v>
      </c>
      <c r="G498" s="9">
        <v>19.29</v>
      </c>
    </row>
    <row r="499" spans="1:7" x14ac:dyDescent="0.25">
      <c r="A499" s="101">
        <v>41284</v>
      </c>
      <c r="B499" s="9">
        <v>19.190000000000001</v>
      </c>
      <c r="C499" s="9">
        <v>19.38</v>
      </c>
      <c r="D499" s="9">
        <v>18.93</v>
      </c>
      <c r="E499" s="9">
        <v>18.989999999999998</v>
      </c>
      <c r="F499" s="9">
        <v>30647000</v>
      </c>
      <c r="G499" s="9">
        <v>18.989999999999998</v>
      </c>
    </row>
    <row r="500" spans="1:7" x14ac:dyDescent="0.25">
      <c r="A500" s="101">
        <v>41283</v>
      </c>
      <c r="B500" s="9">
        <v>19.73</v>
      </c>
      <c r="C500" s="9">
        <v>19.75</v>
      </c>
      <c r="D500" s="9">
        <v>19.22</v>
      </c>
      <c r="E500" s="9">
        <v>19.32</v>
      </c>
      <c r="F500" s="9">
        <v>21646700</v>
      </c>
      <c r="G500" s="9">
        <v>19.32</v>
      </c>
    </row>
    <row r="501" spans="1:7" x14ac:dyDescent="0.25">
      <c r="A501" s="101">
        <v>41282</v>
      </c>
      <c r="B501" s="9">
        <v>19.32</v>
      </c>
      <c r="C501" s="9">
        <v>19.68</v>
      </c>
      <c r="D501" s="9">
        <v>19.3</v>
      </c>
      <c r="E501" s="9">
        <v>19.66</v>
      </c>
      <c r="F501" s="9">
        <v>16931700</v>
      </c>
      <c r="G501" s="9">
        <v>19.66</v>
      </c>
    </row>
    <row r="502" spans="1:7" x14ac:dyDescent="0.25">
      <c r="A502" s="101">
        <v>41281</v>
      </c>
      <c r="B502" s="9">
        <v>19.559999999999999</v>
      </c>
      <c r="C502" s="9">
        <v>19.579999999999998</v>
      </c>
      <c r="D502" s="9">
        <v>19.28</v>
      </c>
      <c r="E502" s="9">
        <v>19.399999999999999</v>
      </c>
      <c r="F502" s="9">
        <v>23864500</v>
      </c>
      <c r="G502" s="9">
        <v>19.399999999999999</v>
      </c>
    </row>
    <row r="503" spans="1:7" x14ac:dyDescent="0.25">
      <c r="A503" s="101">
        <v>41278</v>
      </c>
      <c r="B503" s="9">
        <v>19.760000000000002</v>
      </c>
      <c r="C503" s="9">
        <v>19.95</v>
      </c>
      <c r="D503" s="9">
        <v>19.72</v>
      </c>
      <c r="E503" s="9">
        <v>19.86</v>
      </c>
      <c r="F503" s="9">
        <v>12489600</v>
      </c>
      <c r="G503" s="9">
        <v>19.86</v>
      </c>
    </row>
    <row r="504" spans="1:7" x14ac:dyDescent="0.25">
      <c r="A504" s="101">
        <v>41277</v>
      </c>
      <c r="B504" s="9">
        <v>20.05</v>
      </c>
      <c r="C504" s="9">
        <v>20.100000000000001</v>
      </c>
      <c r="D504" s="9">
        <v>19.72</v>
      </c>
      <c r="E504" s="9">
        <v>19.78</v>
      </c>
      <c r="F504" s="9">
        <v>19504400</v>
      </c>
      <c r="G504" s="9">
        <v>19.78</v>
      </c>
    </row>
    <row r="505" spans="1:7" x14ac:dyDescent="0.25">
      <c r="A505" s="101">
        <v>41276</v>
      </c>
      <c r="B505" s="9">
        <v>20.2</v>
      </c>
      <c r="C505" s="9">
        <v>20.32</v>
      </c>
      <c r="D505" s="9">
        <v>20.010000000000002</v>
      </c>
      <c r="E505" s="9">
        <v>20.079999999999998</v>
      </c>
      <c r="F505" s="9">
        <v>20463100</v>
      </c>
      <c r="G505" s="9">
        <v>20.079999999999998</v>
      </c>
    </row>
    <row r="506" spans="1:7" x14ac:dyDescent="0.25">
      <c r="A506" s="101">
        <v>41274</v>
      </c>
      <c r="B506" s="9">
        <v>19.43</v>
      </c>
      <c r="C506" s="9">
        <v>19.97</v>
      </c>
      <c r="D506" s="9">
        <v>19.399999999999999</v>
      </c>
      <c r="E506" s="9">
        <v>19.899999999999999</v>
      </c>
      <c r="F506" s="9">
        <v>20645100</v>
      </c>
      <c r="G506" s="9">
        <v>19.899999999999999</v>
      </c>
    </row>
    <row r="507" spans="1:7" x14ac:dyDescent="0.25">
      <c r="A507" s="101">
        <v>41271</v>
      </c>
      <c r="B507" s="9">
        <v>19.440000000000001</v>
      </c>
      <c r="C507" s="9">
        <v>19.57</v>
      </c>
      <c r="D507" s="9">
        <v>19.28</v>
      </c>
      <c r="E507" s="9">
        <v>19.5</v>
      </c>
      <c r="F507" s="9">
        <v>16667800</v>
      </c>
      <c r="G507" s="9">
        <v>19.5</v>
      </c>
    </row>
    <row r="508" spans="1:7" x14ac:dyDescent="0.25">
      <c r="A508" s="101">
        <v>41270</v>
      </c>
      <c r="B508" s="9">
        <v>19.54</v>
      </c>
      <c r="C508" s="9">
        <v>19.670000000000002</v>
      </c>
      <c r="D508" s="9">
        <v>19.440000000000001</v>
      </c>
      <c r="E508" s="9">
        <v>19.600000000000001</v>
      </c>
      <c r="F508" s="9">
        <v>13999400</v>
      </c>
      <c r="G508" s="9">
        <v>19.600000000000001</v>
      </c>
    </row>
    <row r="509" spans="1:7" x14ac:dyDescent="0.25">
      <c r="A509" s="101">
        <v>41269</v>
      </c>
      <c r="B509" s="9">
        <v>19.7</v>
      </c>
      <c r="C509" s="9">
        <v>19.75</v>
      </c>
      <c r="D509" s="9">
        <v>19.52</v>
      </c>
      <c r="E509" s="9">
        <v>19.57</v>
      </c>
      <c r="F509" s="9">
        <v>9376200</v>
      </c>
      <c r="G509" s="9">
        <v>19.57</v>
      </c>
    </row>
    <row r="510" spans="1:7" x14ac:dyDescent="0.25">
      <c r="A510" s="101">
        <v>41267</v>
      </c>
      <c r="B510" s="9">
        <v>19.45</v>
      </c>
      <c r="C510" s="9">
        <v>19.66</v>
      </c>
      <c r="D510" s="9">
        <v>19.38</v>
      </c>
      <c r="E510" s="9">
        <v>19.649999999999999</v>
      </c>
      <c r="F510" s="9">
        <v>11431500</v>
      </c>
      <c r="G510" s="9">
        <v>19.649999999999999</v>
      </c>
    </row>
    <row r="511" spans="1:7" x14ac:dyDescent="0.25">
      <c r="A511" s="101">
        <v>41264</v>
      </c>
      <c r="B511" s="9">
        <v>19.489999999999998</v>
      </c>
      <c r="C511" s="9">
        <v>19.489999999999998</v>
      </c>
      <c r="D511" s="9">
        <v>19.23</v>
      </c>
      <c r="E511" s="9">
        <v>19.350000000000001</v>
      </c>
      <c r="F511" s="9">
        <v>32727700</v>
      </c>
      <c r="G511" s="9">
        <v>19.350000000000001</v>
      </c>
    </row>
    <row r="512" spans="1:7" x14ac:dyDescent="0.25">
      <c r="A512" s="101">
        <v>41263</v>
      </c>
      <c r="B512" s="9">
        <v>19.579999999999998</v>
      </c>
      <c r="C512" s="9">
        <v>19.71</v>
      </c>
      <c r="D512" s="9">
        <v>19.41</v>
      </c>
      <c r="E512" s="9">
        <v>19.690000000000001</v>
      </c>
      <c r="F512" s="9">
        <v>24572800</v>
      </c>
      <c r="G512" s="9">
        <v>19.690000000000001</v>
      </c>
    </row>
    <row r="513" spans="1:7" x14ac:dyDescent="0.25">
      <c r="A513" s="101">
        <v>41262</v>
      </c>
      <c r="B513" s="9">
        <v>19.59</v>
      </c>
      <c r="C513" s="9">
        <v>19.690000000000001</v>
      </c>
      <c r="D513" s="9">
        <v>19.579999999999998</v>
      </c>
      <c r="E513" s="9">
        <v>19.600000000000001</v>
      </c>
      <c r="F513" s="9">
        <v>12351400</v>
      </c>
      <c r="G513" s="9">
        <v>19.600000000000001</v>
      </c>
    </row>
    <row r="514" spans="1:7" x14ac:dyDescent="0.25">
      <c r="A514" s="101">
        <v>41261</v>
      </c>
      <c r="B514" s="9">
        <v>19.72</v>
      </c>
      <c r="C514" s="9">
        <v>19.760000000000002</v>
      </c>
      <c r="D514" s="9">
        <v>19.579999999999998</v>
      </c>
      <c r="E514" s="9">
        <v>19.62</v>
      </c>
      <c r="F514" s="9">
        <v>17094600</v>
      </c>
      <c r="G514" s="9">
        <v>19.62</v>
      </c>
    </row>
    <row r="515" spans="1:7" x14ac:dyDescent="0.25">
      <c r="A515" s="101">
        <v>41260</v>
      </c>
      <c r="B515" s="9">
        <v>19.72</v>
      </c>
      <c r="C515" s="9">
        <v>19.739999999999998</v>
      </c>
      <c r="D515" s="9">
        <v>19.53</v>
      </c>
      <c r="E515" s="9">
        <v>19.690000000000001</v>
      </c>
      <c r="F515" s="9">
        <v>14760300</v>
      </c>
      <c r="G515" s="9">
        <v>19.690000000000001</v>
      </c>
    </row>
    <row r="516" spans="1:7" x14ac:dyDescent="0.25">
      <c r="A516" s="101">
        <v>41257</v>
      </c>
      <c r="B516" s="9">
        <v>19.399999999999999</v>
      </c>
      <c r="C516" s="9">
        <v>19.72</v>
      </c>
      <c r="D516" s="9">
        <v>19.399999999999999</v>
      </c>
      <c r="E516" s="9">
        <v>19.64</v>
      </c>
      <c r="F516" s="9">
        <v>19580400</v>
      </c>
      <c r="G516" s="9">
        <v>19.64</v>
      </c>
    </row>
    <row r="517" spans="1:7" x14ac:dyDescent="0.25">
      <c r="A517" s="101">
        <v>41256</v>
      </c>
      <c r="B517" s="9">
        <v>19.440000000000001</v>
      </c>
      <c r="C517" s="9">
        <v>19.54</v>
      </c>
      <c r="D517" s="9">
        <v>19.260000000000002</v>
      </c>
      <c r="E517" s="9">
        <v>19.350000000000001</v>
      </c>
      <c r="F517" s="9">
        <v>20454600</v>
      </c>
      <c r="G517" s="9">
        <v>19.350000000000001</v>
      </c>
    </row>
    <row r="518" spans="1:7" x14ac:dyDescent="0.25">
      <c r="A518" s="101">
        <v>41255</v>
      </c>
      <c r="B518" s="9">
        <v>19.559999999999999</v>
      </c>
      <c r="C518" s="9">
        <v>19.600000000000001</v>
      </c>
      <c r="D518" s="9">
        <v>19.34</v>
      </c>
      <c r="E518" s="9">
        <v>19.38</v>
      </c>
      <c r="F518" s="9">
        <v>22899200</v>
      </c>
      <c r="G518" s="9">
        <v>19.38</v>
      </c>
    </row>
    <row r="519" spans="1:7" x14ac:dyDescent="0.25">
      <c r="A519" s="101">
        <v>41254</v>
      </c>
      <c r="B519" s="9">
        <v>19.53</v>
      </c>
      <c r="C519" s="9">
        <v>19.63</v>
      </c>
      <c r="D519" s="9">
        <v>19.43</v>
      </c>
      <c r="E519" s="9">
        <v>19.52</v>
      </c>
      <c r="F519" s="9">
        <v>19049500</v>
      </c>
      <c r="G519" s="9">
        <v>19.52</v>
      </c>
    </row>
    <row r="520" spans="1:7" x14ac:dyDescent="0.25">
      <c r="A520" s="101">
        <v>41253</v>
      </c>
      <c r="B520" s="9">
        <v>19.18</v>
      </c>
      <c r="C520" s="9">
        <v>19.47</v>
      </c>
      <c r="D520" s="9">
        <v>19.149999999999999</v>
      </c>
      <c r="E520" s="9">
        <v>19.43</v>
      </c>
      <c r="F520" s="9">
        <v>24127800</v>
      </c>
      <c r="G520" s="9">
        <v>19.43</v>
      </c>
    </row>
    <row r="521" spans="1:7" x14ac:dyDescent="0.25">
      <c r="A521" s="101">
        <v>41250</v>
      </c>
      <c r="B521" s="9">
        <v>19.16</v>
      </c>
      <c r="C521" s="9">
        <v>19.3</v>
      </c>
      <c r="D521" s="9">
        <v>19.059999999999999</v>
      </c>
      <c r="E521" s="9">
        <v>19.2</v>
      </c>
      <c r="F521" s="9">
        <v>19159700</v>
      </c>
      <c r="G521" s="9">
        <v>19.2</v>
      </c>
    </row>
    <row r="522" spans="1:7" x14ac:dyDescent="0.25">
      <c r="A522" s="101">
        <v>41249</v>
      </c>
      <c r="B522" s="9">
        <v>18.78</v>
      </c>
      <c r="C522" s="9">
        <v>19.28</v>
      </c>
      <c r="D522" s="9">
        <v>18.77</v>
      </c>
      <c r="E522" s="9">
        <v>19.2</v>
      </c>
      <c r="F522" s="9">
        <v>25312800</v>
      </c>
      <c r="G522" s="9">
        <v>19.2</v>
      </c>
    </row>
    <row r="523" spans="1:7" x14ac:dyDescent="0.25">
      <c r="A523" s="101">
        <v>41248</v>
      </c>
      <c r="B523" s="9">
        <v>18.98</v>
      </c>
      <c r="C523" s="9">
        <v>19.03</v>
      </c>
      <c r="D523" s="9">
        <v>18.77</v>
      </c>
      <c r="E523" s="9">
        <v>18.89</v>
      </c>
      <c r="F523" s="9">
        <v>24739100</v>
      </c>
      <c r="G523" s="9">
        <v>18.89</v>
      </c>
    </row>
    <row r="524" spans="1:7" x14ac:dyDescent="0.25">
      <c r="A524" s="101">
        <v>41247</v>
      </c>
      <c r="B524" s="9">
        <v>18.64</v>
      </c>
      <c r="C524" s="9">
        <v>18.96</v>
      </c>
      <c r="D524" s="9">
        <v>18.600000000000001</v>
      </c>
      <c r="E524" s="9">
        <v>18.93</v>
      </c>
      <c r="F524" s="9">
        <v>30725600</v>
      </c>
      <c r="G524" s="9">
        <v>18.93</v>
      </c>
    </row>
    <row r="525" spans="1:7" x14ac:dyDescent="0.25">
      <c r="A525" s="101">
        <v>41246</v>
      </c>
      <c r="B525" s="9">
        <v>18.55</v>
      </c>
      <c r="C525" s="9">
        <v>18.84</v>
      </c>
      <c r="D525" s="9">
        <v>18.34</v>
      </c>
      <c r="E525" s="9">
        <v>18.55</v>
      </c>
      <c r="F525" s="9">
        <v>29603000</v>
      </c>
      <c r="G525" s="9">
        <v>18.55</v>
      </c>
    </row>
    <row r="526" spans="1:7" x14ac:dyDescent="0.25">
      <c r="A526" s="101">
        <v>41243</v>
      </c>
      <c r="B526" s="9">
        <v>18.899999999999999</v>
      </c>
      <c r="C526" s="9">
        <v>18.95</v>
      </c>
      <c r="D526" s="9">
        <v>18.690000000000001</v>
      </c>
      <c r="E526" s="9">
        <v>18.77</v>
      </c>
      <c r="F526" s="9">
        <v>24075300</v>
      </c>
      <c r="G526" s="9">
        <v>18.77</v>
      </c>
    </row>
    <row r="527" spans="1:7" x14ac:dyDescent="0.25">
      <c r="A527" s="101">
        <v>41242</v>
      </c>
      <c r="B527" s="9">
        <v>18.95</v>
      </c>
      <c r="C527" s="9">
        <v>19.03</v>
      </c>
      <c r="D527" s="9">
        <v>18.850000000000001</v>
      </c>
      <c r="E527" s="9">
        <v>18.87</v>
      </c>
      <c r="F527" s="9">
        <v>27259800</v>
      </c>
      <c r="G527" s="9">
        <v>18.87</v>
      </c>
    </row>
    <row r="528" spans="1:7" x14ac:dyDescent="0.25">
      <c r="A528" s="101">
        <v>41241</v>
      </c>
      <c r="B528" s="9">
        <v>18.78</v>
      </c>
      <c r="C528" s="9">
        <v>18.95</v>
      </c>
      <c r="D528" s="9">
        <v>18.53</v>
      </c>
      <c r="E528" s="9">
        <v>18.91</v>
      </c>
      <c r="F528" s="9">
        <v>30313200</v>
      </c>
      <c r="G528" s="9">
        <v>18.91</v>
      </c>
    </row>
    <row r="529" spans="1:7" x14ac:dyDescent="0.25">
      <c r="A529" s="101">
        <v>41240</v>
      </c>
      <c r="B529" s="9">
        <v>18.87</v>
      </c>
      <c r="C529" s="9">
        <v>19.16</v>
      </c>
      <c r="D529" s="9">
        <v>18.8</v>
      </c>
      <c r="E529" s="9">
        <v>18.93</v>
      </c>
      <c r="F529" s="9">
        <v>29330500</v>
      </c>
      <c r="G529" s="9">
        <v>18.93</v>
      </c>
    </row>
    <row r="530" spans="1:7" x14ac:dyDescent="0.25">
      <c r="A530" s="101">
        <v>41239</v>
      </c>
      <c r="B530" s="9">
        <v>18.88</v>
      </c>
      <c r="C530" s="9">
        <v>19</v>
      </c>
      <c r="D530" s="9">
        <v>18.7</v>
      </c>
      <c r="E530" s="9">
        <v>18.760000000000002</v>
      </c>
      <c r="F530" s="9">
        <v>34042700</v>
      </c>
      <c r="G530" s="9">
        <v>18.760000000000002</v>
      </c>
    </row>
    <row r="531" spans="1:7" x14ac:dyDescent="0.25">
      <c r="A531" s="101">
        <v>41236</v>
      </c>
      <c r="B531" s="9">
        <v>18.5</v>
      </c>
      <c r="C531" s="9">
        <v>18.59</v>
      </c>
      <c r="D531" s="9">
        <v>18.399999999999999</v>
      </c>
      <c r="E531" s="9">
        <v>18.57</v>
      </c>
      <c r="F531" s="9">
        <v>7714800</v>
      </c>
      <c r="G531" s="9">
        <v>18.57</v>
      </c>
    </row>
    <row r="532" spans="1:7" x14ac:dyDescent="0.25">
      <c r="A532" s="101">
        <v>41234</v>
      </c>
      <c r="B532" s="9">
        <v>18.239999999999998</v>
      </c>
      <c r="C532" s="9">
        <v>18.5</v>
      </c>
      <c r="D532" s="9">
        <v>18.2</v>
      </c>
      <c r="E532" s="9">
        <v>18.399999999999999</v>
      </c>
      <c r="F532" s="9">
        <v>19584800</v>
      </c>
      <c r="G532" s="9">
        <v>18.399999999999999</v>
      </c>
    </row>
    <row r="533" spans="1:7" x14ac:dyDescent="0.25">
      <c r="A533" s="101">
        <v>41233</v>
      </c>
      <c r="B533" s="9">
        <v>18.440000000000001</v>
      </c>
      <c r="C533" s="9">
        <v>18.5</v>
      </c>
      <c r="D533" s="9">
        <v>18.190000000000001</v>
      </c>
      <c r="E533" s="9">
        <v>18.239999999999998</v>
      </c>
      <c r="F533" s="9">
        <v>26228200</v>
      </c>
      <c r="G533" s="9">
        <v>18.239999999999998</v>
      </c>
    </row>
    <row r="534" spans="1:7" x14ac:dyDescent="0.25">
      <c r="A534" s="101">
        <v>41232</v>
      </c>
      <c r="B534" s="9">
        <v>18.02</v>
      </c>
      <c r="C534" s="9">
        <v>18.37</v>
      </c>
      <c r="D534" s="9">
        <v>17.87</v>
      </c>
      <c r="E534" s="9">
        <v>18.36</v>
      </c>
      <c r="F534" s="9">
        <v>32995900</v>
      </c>
      <c r="G534" s="9">
        <v>18.36</v>
      </c>
    </row>
    <row r="535" spans="1:7" x14ac:dyDescent="0.25">
      <c r="A535" s="101">
        <v>41229</v>
      </c>
      <c r="B535" s="9">
        <v>17.91</v>
      </c>
      <c r="C535" s="9">
        <v>18.02</v>
      </c>
      <c r="D535" s="9">
        <v>17.760000000000002</v>
      </c>
      <c r="E535" s="9">
        <v>17.86</v>
      </c>
      <c r="F535" s="9">
        <v>31014300</v>
      </c>
      <c r="G535" s="9">
        <v>17.86</v>
      </c>
    </row>
    <row r="536" spans="1:7" x14ac:dyDescent="0.25">
      <c r="A536" s="101">
        <v>41228</v>
      </c>
      <c r="B536" s="9">
        <v>17.82</v>
      </c>
      <c r="C536" s="9">
        <v>18.16</v>
      </c>
      <c r="D536" s="9">
        <v>17.739999999999998</v>
      </c>
      <c r="E536" s="9">
        <v>17.89</v>
      </c>
      <c r="F536" s="9">
        <v>35659000</v>
      </c>
      <c r="G536" s="9">
        <v>17.89</v>
      </c>
    </row>
    <row r="537" spans="1:7" x14ac:dyDescent="0.25">
      <c r="A537" s="101">
        <v>41227</v>
      </c>
      <c r="B537" s="9">
        <v>17.899999999999999</v>
      </c>
      <c r="C537" s="9">
        <v>18.079999999999998</v>
      </c>
      <c r="D537" s="9">
        <v>17.75</v>
      </c>
      <c r="E537" s="9">
        <v>17.829999999999998</v>
      </c>
      <c r="F537" s="9">
        <v>36398900</v>
      </c>
      <c r="G537" s="9">
        <v>17.829999999999998</v>
      </c>
    </row>
    <row r="538" spans="1:7" x14ac:dyDescent="0.25">
      <c r="A538" s="101">
        <v>41226</v>
      </c>
      <c r="B538" s="9">
        <v>17.420000000000002</v>
      </c>
      <c r="C538" s="9">
        <v>17.850000000000001</v>
      </c>
      <c r="D538" s="9">
        <v>17.38</v>
      </c>
      <c r="E538" s="9">
        <v>17.850000000000001</v>
      </c>
      <c r="F538" s="9">
        <v>29016900</v>
      </c>
      <c r="G538" s="9">
        <v>17.850000000000001</v>
      </c>
    </row>
    <row r="539" spans="1:7" x14ac:dyDescent="0.25">
      <c r="A539" s="101">
        <v>41225</v>
      </c>
      <c r="B539" s="9">
        <v>17.18</v>
      </c>
      <c r="C539" s="9">
        <v>17.559999999999999</v>
      </c>
      <c r="D539" s="9">
        <v>17.170000000000002</v>
      </c>
      <c r="E539" s="9">
        <v>17.510000000000002</v>
      </c>
      <c r="F539" s="9">
        <v>22361500</v>
      </c>
      <c r="G539" s="9">
        <v>17.510000000000002</v>
      </c>
    </row>
    <row r="540" spans="1:7" x14ac:dyDescent="0.25">
      <c r="A540" s="101">
        <v>41222</v>
      </c>
      <c r="B540" s="9">
        <v>17.22</v>
      </c>
      <c r="C540" s="9">
        <v>17.52</v>
      </c>
      <c r="D540" s="9">
        <v>17.18</v>
      </c>
      <c r="E540" s="9">
        <v>17.260000000000002</v>
      </c>
      <c r="F540" s="9">
        <v>23832100</v>
      </c>
      <c r="G540" s="9">
        <v>17.260000000000002</v>
      </c>
    </row>
    <row r="541" spans="1:7" x14ac:dyDescent="0.25">
      <c r="A541" s="101">
        <v>41221</v>
      </c>
      <c r="B541" s="9">
        <v>17.3</v>
      </c>
      <c r="C541" s="9">
        <v>17.5</v>
      </c>
      <c r="D541" s="9">
        <v>17.23</v>
      </c>
      <c r="E541" s="9">
        <v>17.239999999999998</v>
      </c>
      <c r="F541" s="9">
        <v>20322000</v>
      </c>
      <c r="G541" s="9">
        <v>17.239999999999998</v>
      </c>
    </row>
    <row r="542" spans="1:7" x14ac:dyDescent="0.25">
      <c r="A542" s="101">
        <v>41220</v>
      </c>
      <c r="B542" s="9">
        <v>17.239999999999998</v>
      </c>
      <c r="C542" s="9">
        <v>17.559999999999999</v>
      </c>
      <c r="D542" s="9">
        <v>17.18</v>
      </c>
      <c r="E542" s="9">
        <v>17.39</v>
      </c>
      <c r="F542" s="9">
        <v>24344200</v>
      </c>
      <c r="G542" s="9">
        <v>17.39</v>
      </c>
    </row>
    <row r="543" spans="1:7" x14ac:dyDescent="0.25">
      <c r="A543" s="101">
        <v>41219</v>
      </c>
      <c r="B543" s="9">
        <v>17.440000000000001</v>
      </c>
      <c r="C543" s="9">
        <v>17.53</v>
      </c>
      <c r="D543" s="9">
        <v>17.32</v>
      </c>
      <c r="E543" s="9">
        <v>17.46</v>
      </c>
      <c r="F543" s="9">
        <v>26321200</v>
      </c>
      <c r="G543" s="9">
        <v>17.46</v>
      </c>
    </row>
    <row r="544" spans="1:7" x14ac:dyDescent="0.25">
      <c r="A544" s="101">
        <v>41218</v>
      </c>
      <c r="B544" s="9">
        <v>17.100000000000001</v>
      </c>
      <c r="C544" s="9">
        <v>17.43</v>
      </c>
      <c r="D544" s="9">
        <v>17.010000000000002</v>
      </c>
      <c r="E544" s="9">
        <v>17.37</v>
      </c>
      <c r="F544" s="9">
        <v>31854300</v>
      </c>
      <c r="G544" s="9">
        <v>17.37</v>
      </c>
    </row>
    <row r="545" spans="1:7" x14ac:dyDescent="0.25">
      <c r="A545" s="101">
        <v>41215</v>
      </c>
      <c r="B545" s="9">
        <v>17</v>
      </c>
      <c r="C545" s="9">
        <v>17.14</v>
      </c>
      <c r="D545" s="9">
        <v>16.95</v>
      </c>
      <c r="E545" s="9">
        <v>17.11</v>
      </c>
      <c r="F545" s="9">
        <v>27568700</v>
      </c>
      <c r="G545" s="9">
        <v>17.11</v>
      </c>
    </row>
    <row r="546" spans="1:7" x14ac:dyDescent="0.25">
      <c r="A546" s="101">
        <v>41214</v>
      </c>
      <c r="B546" s="9">
        <v>16.899999999999999</v>
      </c>
      <c r="C546" s="9">
        <v>17.05</v>
      </c>
      <c r="D546" s="9">
        <v>16.86</v>
      </c>
      <c r="E546" s="9">
        <v>16.95</v>
      </c>
      <c r="F546" s="9">
        <v>19764900</v>
      </c>
      <c r="G546" s="9">
        <v>16.95</v>
      </c>
    </row>
    <row r="547" spans="1:7" x14ac:dyDescent="0.25">
      <c r="A547" s="101">
        <v>41213</v>
      </c>
      <c r="B547" s="9">
        <v>16.809999999999999</v>
      </c>
      <c r="C547" s="9">
        <v>16.89</v>
      </c>
      <c r="D547" s="9">
        <v>16.600000000000001</v>
      </c>
      <c r="E547" s="9">
        <v>16.84</v>
      </c>
      <c r="F547" s="9">
        <v>21058800</v>
      </c>
      <c r="G547" s="9">
        <v>16.84</v>
      </c>
    </row>
    <row r="548" spans="1:7" x14ac:dyDescent="0.25">
      <c r="A548" s="101">
        <v>41208</v>
      </c>
      <c r="B548" s="9">
        <v>16.54</v>
      </c>
      <c r="C548" s="9">
        <v>16.82</v>
      </c>
      <c r="D548" s="9">
        <v>16.52</v>
      </c>
      <c r="E548" s="9">
        <v>16.79</v>
      </c>
      <c r="F548" s="9">
        <v>23374200</v>
      </c>
      <c r="G548" s="9">
        <v>16.79</v>
      </c>
    </row>
    <row r="549" spans="1:7" x14ac:dyDescent="0.25">
      <c r="A549" s="101">
        <v>41207</v>
      </c>
      <c r="B549" s="9">
        <v>16.72</v>
      </c>
      <c r="C549" s="9">
        <v>16.77</v>
      </c>
      <c r="D549" s="9">
        <v>16.489999999999998</v>
      </c>
      <c r="E549" s="9">
        <v>16.61</v>
      </c>
      <c r="F549" s="9">
        <v>23080800</v>
      </c>
      <c r="G549" s="9">
        <v>16.61</v>
      </c>
    </row>
    <row r="550" spans="1:7" x14ac:dyDescent="0.25">
      <c r="A550" s="101">
        <v>41206</v>
      </c>
      <c r="B550" s="9">
        <v>16.78</v>
      </c>
      <c r="C550" s="9">
        <v>16.8</v>
      </c>
      <c r="D550" s="9">
        <v>16.48</v>
      </c>
      <c r="E550" s="9">
        <v>16.55</v>
      </c>
      <c r="F550" s="9">
        <v>25119700</v>
      </c>
      <c r="G550" s="9">
        <v>16.55</v>
      </c>
    </row>
    <row r="551" spans="1:7" x14ac:dyDescent="0.25">
      <c r="A551" s="101">
        <v>41205</v>
      </c>
      <c r="B551" s="9">
        <v>16.53</v>
      </c>
      <c r="C551" s="9">
        <v>16.79</v>
      </c>
      <c r="D551" s="9">
        <v>16.260000000000002</v>
      </c>
      <c r="E551" s="9">
        <v>16.670000000000002</v>
      </c>
      <c r="F551" s="9">
        <v>71575400</v>
      </c>
      <c r="G551" s="9">
        <v>16.670000000000002</v>
      </c>
    </row>
    <row r="552" spans="1:7" x14ac:dyDescent="0.25">
      <c r="A552" s="101">
        <v>41204</v>
      </c>
      <c r="B552" s="9">
        <v>15.81</v>
      </c>
      <c r="C552" s="9">
        <v>15.95</v>
      </c>
      <c r="D552" s="9">
        <v>15.74</v>
      </c>
      <c r="E552" s="9">
        <v>15.77</v>
      </c>
      <c r="F552" s="9">
        <v>32288000</v>
      </c>
      <c r="G552" s="9">
        <v>15.77</v>
      </c>
    </row>
    <row r="553" spans="1:7" x14ac:dyDescent="0.25">
      <c r="A553" s="101">
        <v>41201</v>
      </c>
      <c r="B553" s="9">
        <v>16</v>
      </c>
      <c r="C553" s="9">
        <v>16.03</v>
      </c>
      <c r="D553" s="9">
        <v>15.83</v>
      </c>
      <c r="E553" s="9">
        <v>15.84</v>
      </c>
      <c r="F553" s="9">
        <v>32893100</v>
      </c>
      <c r="G553" s="9">
        <v>15.84</v>
      </c>
    </row>
    <row r="554" spans="1:7" x14ac:dyDescent="0.25">
      <c r="A554" s="101">
        <v>41200</v>
      </c>
      <c r="B554" s="9">
        <v>16.23</v>
      </c>
      <c r="C554" s="9">
        <v>16.239999999999998</v>
      </c>
      <c r="D554" s="9">
        <v>15.83</v>
      </c>
      <c r="E554" s="9">
        <v>16</v>
      </c>
      <c r="F554" s="9">
        <v>26361000</v>
      </c>
      <c r="G554" s="9">
        <v>16</v>
      </c>
    </row>
    <row r="555" spans="1:7" x14ac:dyDescent="0.25">
      <c r="A555" s="101">
        <v>41199</v>
      </c>
      <c r="B555" s="9">
        <v>15.85</v>
      </c>
      <c r="C555" s="9">
        <v>16.12</v>
      </c>
      <c r="D555" s="9">
        <v>15.83</v>
      </c>
      <c r="E555" s="9">
        <v>16.09</v>
      </c>
      <c r="F555" s="9">
        <v>19570500</v>
      </c>
      <c r="G555" s="9">
        <v>16.09</v>
      </c>
    </row>
    <row r="556" spans="1:7" x14ac:dyDescent="0.25">
      <c r="A556" s="101">
        <v>41198</v>
      </c>
      <c r="B556" s="9">
        <v>15.82</v>
      </c>
      <c r="C556" s="9">
        <v>15.98</v>
      </c>
      <c r="D556" s="9">
        <v>15.76</v>
      </c>
      <c r="E556" s="9">
        <v>15.92</v>
      </c>
      <c r="F556" s="9">
        <v>20574100</v>
      </c>
      <c r="G556" s="9">
        <v>15.92</v>
      </c>
    </row>
    <row r="557" spans="1:7" x14ac:dyDescent="0.25">
      <c r="A557" s="101">
        <v>41197</v>
      </c>
      <c r="B557" s="9">
        <v>15.85</v>
      </c>
      <c r="C557" s="9">
        <v>15.87</v>
      </c>
      <c r="D557" s="9">
        <v>15.65</v>
      </c>
      <c r="E557" s="9">
        <v>15.68</v>
      </c>
      <c r="F557" s="9">
        <v>20786500</v>
      </c>
      <c r="G557" s="9">
        <v>15.68</v>
      </c>
    </row>
    <row r="558" spans="1:7" x14ac:dyDescent="0.25">
      <c r="A558" s="101">
        <v>41194</v>
      </c>
      <c r="B558" s="9">
        <v>15.9</v>
      </c>
      <c r="C558" s="9">
        <v>16.02</v>
      </c>
      <c r="D558" s="9">
        <v>15.86</v>
      </c>
      <c r="E558" s="9">
        <v>15.88</v>
      </c>
      <c r="F558" s="9">
        <v>12239100</v>
      </c>
      <c r="G558" s="9">
        <v>15.88</v>
      </c>
    </row>
    <row r="559" spans="1:7" x14ac:dyDescent="0.25">
      <c r="A559" s="101">
        <v>41193</v>
      </c>
      <c r="B559" s="9">
        <v>15.94</v>
      </c>
      <c r="C559" s="9">
        <v>16.02</v>
      </c>
      <c r="D559" s="9">
        <v>15.84</v>
      </c>
      <c r="E559" s="9">
        <v>15.92</v>
      </c>
      <c r="F559" s="9">
        <v>12973000</v>
      </c>
      <c r="G559" s="9">
        <v>15.92</v>
      </c>
    </row>
    <row r="560" spans="1:7" x14ac:dyDescent="0.25">
      <c r="A560" s="101">
        <v>41192</v>
      </c>
      <c r="B560" s="9">
        <v>15.83</v>
      </c>
      <c r="C560" s="9">
        <v>15.99</v>
      </c>
      <c r="D560" s="9">
        <v>15.8</v>
      </c>
      <c r="E560" s="9">
        <v>15.83</v>
      </c>
      <c r="F560" s="9">
        <v>14546300</v>
      </c>
      <c r="G560" s="9">
        <v>15.83</v>
      </c>
    </row>
    <row r="561" spans="1:7" x14ac:dyDescent="0.25">
      <c r="A561" s="101">
        <v>41191</v>
      </c>
      <c r="B561" s="9">
        <v>16.03</v>
      </c>
      <c r="C561" s="9">
        <v>16.05</v>
      </c>
      <c r="D561" s="9">
        <v>15.81</v>
      </c>
      <c r="E561" s="9">
        <v>15.85</v>
      </c>
      <c r="F561" s="9">
        <v>14110000</v>
      </c>
      <c r="G561" s="9">
        <v>15.85</v>
      </c>
    </row>
    <row r="562" spans="1:7" x14ac:dyDescent="0.25">
      <c r="A562" s="101">
        <v>41190</v>
      </c>
      <c r="B562" s="9">
        <v>16.02</v>
      </c>
      <c r="C562" s="9">
        <v>16.16</v>
      </c>
      <c r="D562" s="9">
        <v>16</v>
      </c>
      <c r="E562" s="9">
        <v>16.03</v>
      </c>
      <c r="F562" s="9">
        <v>11736700</v>
      </c>
      <c r="G562" s="9">
        <v>16.03</v>
      </c>
    </row>
    <row r="563" spans="1:7" x14ac:dyDescent="0.25">
      <c r="A563" s="101">
        <v>41187</v>
      </c>
      <c r="B563" s="9">
        <v>16.27</v>
      </c>
      <c r="C563" s="9">
        <v>16.38</v>
      </c>
      <c r="D563" s="9">
        <v>16.09</v>
      </c>
      <c r="E563" s="9">
        <v>16.09</v>
      </c>
      <c r="F563" s="9">
        <v>9240400</v>
      </c>
      <c r="G563" s="9">
        <v>16.09</v>
      </c>
    </row>
    <row r="564" spans="1:7" x14ac:dyDescent="0.25">
      <c r="A564" s="101">
        <v>41186</v>
      </c>
      <c r="B564" s="9">
        <v>16.22</v>
      </c>
      <c r="C564" s="9">
        <v>16.350000000000001</v>
      </c>
      <c r="D564" s="9">
        <v>16.149999999999999</v>
      </c>
      <c r="E564" s="9">
        <v>16.27</v>
      </c>
      <c r="F564" s="9">
        <v>17283900</v>
      </c>
      <c r="G564" s="9">
        <v>16.27</v>
      </c>
    </row>
    <row r="565" spans="1:7" x14ac:dyDescent="0.25">
      <c r="A565" s="101">
        <v>41185</v>
      </c>
      <c r="B565" s="9">
        <v>16</v>
      </c>
      <c r="C565" s="9">
        <v>16.239999999999998</v>
      </c>
      <c r="D565" s="9">
        <v>15.99</v>
      </c>
      <c r="E565" s="9">
        <v>16.21</v>
      </c>
      <c r="F565" s="9">
        <v>20399000</v>
      </c>
      <c r="G565" s="9">
        <v>16.21</v>
      </c>
    </row>
    <row r="566" spans="1:7" x14ac:dyDescent="0.25">
      <c r="A566" s="101">
        <v>41184</v>
      </c>
      <c r="B566" s="9">
        <v>16.03</v>
      </c>
      <c r="C566" s="9">
        <v>16.04</v>
      </c>
      <c r="D566" s="9">
        <v>15.88</v>
      </c>
      <c r="E566" s="9">
        <v>15.94</v>
      </c>
      <c r="F566" s="9">
        <v>13696700</v>
      </c>
      <c r="G566" s="9">
        <v>15.94</v>
      </c>
    </row>
    <row r="567" spans="1:7" x14ac:dyDescent="0.25">
      <c r="A567" s="101">
        <v>41183</v>
      </c>
      <c r="B567" s="9">
        <v>16</v>
      </c>
      <c r="C567" s="9">
        <v>16.09</v>
      </c>
      <c r="D567" s="9">
        <v>15.77</v>
      </c>
      <c r="E567" s="9">
        <v>15.83</v>
      </c>
      <c r="F567" s="9">
        <v>20601900</v>
      </c>
      <c r="G567" s="9">
        <v>15.83</v>
      </c>
    </row>
    <row r="568" spans="1:7" x14ac:dyDescent="0.25">
      <c r="A568" s="101">
        <v>41180</v>
      </c>
      <c r="B568" s="9">
        <v>16.010000000000002</v>
      </c>
      <c r="C568" s="9">
        <v>16.09</v>
      </c>
      <c r="D568" s="9">
        <v>15.93</v>
      </c>
      <c r="E568" s="9">
        <v>15.98</v>
      </c>
      <c r="F568" s="9">
        <v>19744300</v>
      </c>
      <c r="G568" s="9">
        <v>15.98</v>
      </c>
    </row>
    <row r="569" spans="1:7" x14ac:dyDescent="0.25">
      <c r="A569" s="101">
        <v>41179</v>
      </c>
      <c r="B569" s="9">
        <v>15.9</v>
      </c>
      <c r="C569" s="9">
        <v>16.2</v>
      </c>
      <c r="D569" s="9">
        <v>15.79</v>
      </c>
      <c r="E569" s="9">
        <v>16.04</v>
      </c>
      <c r="F569" s="9">
        <v>24416200</v>
      </c>
      <c r="G569" s="9">
        <v>16.04</v>
      </c>
    </row>
    <row r="570" spans="1:7" x14ac:dyDescent="0.25">
      <c r="A570" s="101">
        <v>41178</v>
      </c>
      <c r="B570" s="9">
        <v>15.71</v>
      </c>
      <c r="C570" s="9">
        <v>15.81</v>
      </c>
      <c r="D570" s="9">
        <v>15.55</v>
      </c>
      <c r="E570" s="9">
        <v>15.61</v>
      </c>
      <c r="F570" s="9">
        <v>12784100</v>
      </c>
      <c r="G570" s="9">
        <v>15.61</v>
      </c>
    </row>
    <row r="571" spans="1:7" x14ac:dyDescent="0.25">
      <c r="A571" s="101">
        <v>41177</v>
      </c>
      <c r="B571" s="9">
        <v>16.09</v>
      </c>
      <c r="C571" s="9">
        <v>16.09</v>
      </c>
      <c r="D571" s="9">
        <v>15.67</v>
      </c>
      <c r="E571" s="9">
        <v>15.68</v>
      </c>
      <c r="F571" s="9">
        <v>22966300</v>
      </c>
      <c r="G571" s="9">
        <v>15.68</v>
      </c>
    </row>
    <row r="572" spans="1:7" x14ac:dyDescent="0.25">
      <c r="A572" s="101">
        <v>41176</v>
      </c>
      <c r="B572" s="9">
        <v>15.69</v>
      </c>
      <c r="C572" s="9">
        <v>16.04</v>
      </c>
      <c r="D572" s="9">
        <v>15.6</v>
      </c>
      <c r="E572" s="9">
        <v>16</v>
      </c>
      <c r="F572" s="9">
        <v>23019900</v>
      </c>
      <c r="G572" s="9">
        <v>16</v>
      </c>
    </row>
    <row r="573" spans="1:7" x14ac:dyDescent="0.25">
      <c r="A573" s="101">
        <v>41173</v>
      </c>
      <c r="B573" s="9">
        <v>15.72</v>
      </c>
      <c r="C573" s="9">
        <v>15.82</v>
      </c>
      <c r="D573" s="9">
        <v>15.66</v>
      </c>
      <c r="E573" s="9">
        <v>15.74</v>
      </c>
      <c r="F573" s="9">
        <v>49167000</v>
      </c>
      <c r="G573" s="9">
        <v>15.74</v>
      </c>
    </row>
    <row r="574" spans="1:7" x14ac:dyDescent="0.25">
      <c r="A574" s="101">
        <v>41172</v>
      </c>
      <c r="B574" s="9">
        <v>15.76</v>
      </c>
      <c r="C574" s="9">
        <v>15.86</v>
      </c>
      <c r="D574" s="9">
        <v>15.65</v>
      </c>
      <c r="E574" s="9">
        <v>15.79</v>
      </c>
      <c r="F574" s="9">
        <v>18169800</v>
      </c>
      <c r="G574" s="9">
        <v>15.79</v>
      </c>
    </row>
    <row r="575" spans="1:7" x14ac:dyDescent="0.25">
      <c r="A575" s="101">
        <v>41171</v>
      </c>
      <c r="B575" s="9">
        <v>15.96</v>
      </c>
      <c r="C575" s="9">
        <v>16.13</v>
      </c>
      <c r="D575" s="9">
        <v>15.84</v>
      </c>
      <c r="E575" s="9">
        <v>15.86</v>
      </c>
      <c r="F575" s="9">
        <v>30681100</v>
      </c>
      <c r="G575" s="9">
        <v>15.86</v>
      </c>
    </row>
    <row r="576" spans="1:7" x14ac:dyDescent="0.25">
      <c r="A576" s="101">
        <v>41170</v>
      </c>
      <c r="B576" s="9">
        <v>15.65</v>
      </c>
      <c r="C576" s="9">
        <v>16.170000000000002</v>
      </c>
      <c r="D576" s="9">
        <v>15.6</v>
      </c>
      <c r="E576" s="9">
        <v>15.91</v>
      </c>
      <c r="F576" s="9">
        <v>42449600</v>
      </c>
      <c r="G576" s="9">
        <v>15.91</v>
      </c>
    </row>
    <row r="577" spans="1:7" x14ac:dyDescent="0.25">
      <c r="A577" s="101">
        <v>41169</v>
      </c>
      <c r="B577" s="9">
        <v>15.81</v>
      </c>
      <c r="C577" s="9">
        <v>15.84</v>
      </c>
      <c r="D577" s="9">
        <v>15.63</v>
      </c>
      <c r="E577" s="9">
        <v>15.68</v>
      </c>
      <c r="F577" s="9">
        <v>11697700</v>
      </c>
      <c r="G577" s="9">
        <v>15.68</v>
      </c>
    </row>
    <row r="578" spans="1:7" x14ac:dyDescent="0.25">
      <c r="A578" s="101">
        <v>41166</v>
      </c>
      <c r="B578" s="9">
        <v>15.7</v>
      </c>
      <c r="C578" s="9">
        <v>15.84</v>
      </c>
      <c r="D578" s="9">
        <v>15.62</v>
      </c>
      <c r="E578" s="9">
        <v>15.77</v>
      </c>
      <c r="F578" s="9">
        <v>17642600</v>
      </c>
      <c r="G578" s="9">
        <v>15.77</v>
      </c>
    </row>
    <row r="579" spans="1:7" x14ac:dyDescent="0.25">
      <c r="A579" s="101">
        <v>41165</v>
      </c>
      <c r="B579" s="9">
        <v>15.38</v>
      </c>
      <c r="C579" s="9">
        <v>15.69</v>
      </c>
      <c r="D579" s="9">
        <v>15.37</v>
      </c>
      <c r="E579" s="9">
        <v>15.6</v>
      </c>
      <c r="F579" s="9">
        <v>12136300</v>
      </c>
      <c r="G579" s="9">
        <v>15.6</v>
      </c>
    </row>
    <row r="580" spans="1:7" x14ac:dyDescent="0.25">
      <c r="A580" s="101">
        <v>41164</v>
      </c>
      <c r="B580" s="9">
        <v>15.3</v>
      </c>
      <c r="C580" s="9">
        <v>15.55</v>
      </c>
      <c r="D580" s="9">
        <v>15.28</v>
      </c>
      <c r="E580" s="9">
        <v>15.4</v>
      </c>
      <c r="F580" s="9">
        <v>22006000</v>
      </c>
      <c r="G580" s="9">
        <v>15.4</v>
      </c>
    </row>
    <row r="581" spans="1:7" x14ac:dyDescent="0.25">
      <c r="A581" s="101">
        <v>41163</v>
      </c>
      <c r="B581" s="9">
        <v>15.09</v>
      </c>
      <c r="C581" s="9">
        <v>15.25</v>
      </c>
      <c r="D581" s="9">
        <v>15.06</v>
      </c>
      <c r="E581" s="9">
        <v>15.16</v>
      </c>
      <c r="F581" s="9">
        <v>8036400</v>
      </c>
      <c r="G581" s="9">
        <v>15.16</v>
      </c>
    </row>
    <row r="582" spans="1:7" x14ac:dyDescent="0.25">
      <c r="A582" s="101">
        <v>41162</v>
      </c>
      <c r="B582" s="9">
        <v>15.19</v>
      </c>
      <c r="C582" s="9">
        <v>15.28</v>
      </c>
      <c r="D582" s="9">
        <v>15.11</v>
      </c>
      <c r="E582" s="9">
        <v>15.11</v>
      </c>
      <c r="F582" s="9">
        <v>10520100</v>
      </c>
      <c r="G582" s="9">
        <v>15.11</v>
      </c>
    </row>
    <row r="583" spans="1:7" x14ac:dyDescent="0.25">
      <c r="A583" s="101">
        <v>41159</v>
      </c>
      <c r="B583" s="9">
        <v>15.12</v>
      </c>
      <c r="C583" s="9">
        <v>15.29</v>
      </c>
      <c r="D583" s="9">
        <v>15.1</v>
      </c>
      <c r="E583" s="9">
        <v>15.22</v>
      </c>
      <c r="F583" s="9">
        <v>12988700</v>
      </c>
      <c r="G583" s="9">
        <v>15.22</v>
      </c>
    </row>
    <row r="584" spans="1:7" x14ac:dyDescent="0.25">
      <c r="A584" s="101">
        <v>41158</v>
      </c>
      <c r="B584" s="9">
        <v>15.13</v>
      </c>
      <c r="C584" s="9">
        <v>15.15</v>
      </c>
      <c r="D584" s="9">
        <v>14.96</v>
      </c>
      <c r="E584" s="9">
        <v>15.11</v>
      </c>
      <c r="F584" s="9">
        <v>18011600</v>
      </c>
      <c r="G584" s="9">
        <v>15.11</v>
      </c>
    </row>
    <row r="585" spans="1:7" x14ac:dyDescent="0.25">
      <c r="A585" s="101">
        <v>41157</v>
      </c>
      <c r="B585" s="9">
        <v>14.86</v>
      </c>
      <c r="C585" s="9">
        <v>15.14</v>
      </c>
      <c r="D585" s="9">
        <v>14.85</v>
      </c>
      <c r="E585" s="9">
        <v>15.09</v>
      </c>
      <c r="F585" s="9">
        <v>21118800</v>
      </c>
      <c r="G585" s="9">
        <v>15.09</v>
      </c>
    </row>
    <row r="586" spans="1:7" x14ac:dyDescent="0.25">
      <c r="A586" s="101">
        <v>41156</v>
      </c>
      <c r="B586" s="9">
        <v>14.64</v>
      </c>
      <c r="C586" s="9">
        <v>14.98</v>
      </c>
      <c r="D586" s="9">
        <v>14.59</v>
      </c>
      <c r="E586" s="9">
        <v>14.89</v>
      </c>
      <c r="F586" s="9">
        <v>18809200</v>
      </c>
      <c r="G586" s="9">
        <v>14.89</v>
      </c>
    </row>
    <row r="587" spans="1:7" x14ac:dyDescent="0.25">
      <c r="A587" s="101">
        <v>41152</v>
      </c>
      <c r="B587" s="9">
        <v>14.79</v>
      </c>
      <c r="C587" s="9">
        <v>14.82</v>
      </c>
      <c r="D587" s="9">
        <v>14.59</v>
      </c>
      <c r="E587" s="9">
        <v>14.65</v>
      </c>
      <c r="F587" s="9">
        <v>11619700</v>
      </c>
      <c r="G587" s="9">
        <v>14.65</v>
      </c>
    </row>
    <row r="588" spans="1:7" x14ac:dyDescent="0.25">
      <c r="A588" s="101">
        <v>41151</v>
      </c>
      <c r="B588" s="9">
        <v>14.81</v>
      </c>
      <c r="C588" s="9">
        <v>14.84</v>
      </c>
      <c r="D588" s="9">
        <v>14.64</v>
      </c>
      <c r="E588" s="9">
        <v>14.67</v>
      </c>
      <c r="F588" s="9">
        <v>10698800</v>
      </c>
      <c r="G588" s="9">
        <v>14.67</v>
      </c>
    </row>
    <row r="589" spans="1:7" x14ac:dyDescent="0.25">
      <c r="A589" s="101">
        <v>41150</v>
      </c>
      <c r="B589" s="9">
        <v>14.73</v>
      </c>
      <c r="C589" s="9">
        <v>14.94</v>
      </c>
      <c r="D589" s="9">
        <v>14.7</v>
      </c>
      <c r="E589" s="9">
        <v>14.84</v>
      </c>
      <c r="F589" s="9">
        <v>21113600</v>
      </c>
      <c r="G589" s="9">
        <v>14.84</v>
      </c>
    </row>
    <row r="590" spans="1:7" x14ac:dyDescent="0.25">
      <c r="A590" s="101">
        <v>41149</v>
      </c>
      <c r="B590" s="9">
        <v>14.84</v>
      </c>
      <c r="C590" s="9">
        <v>14.87</v>
      </c>
      <c r="D590" s="9">
        <v>14.69</v>
      </c>
      <c r="E590" s="9">
        <v>14.72</v>
      </c>
      <c r="F590" s="9">
        <v>12706400</v>
      </c>
      <c r="G590" s="9">
        <v>14.72</v>
      </c>
    </row>
    <row r="591" spans="1:7" x14ac:dyDescent="0.25">
      <c r="A591" s="101">
        <v>41148</v>
      </c>
      <c r="B591" s="9">
        <v>14.92</v>
      </c>
      <c r="C591" s="9">
        <v>14.93</v>
      </c>
      <c r="D591" s="9">
        <v>14.77</v>
      </c>
      <c r="E591" s="9">
        <v>14.85</v>
      </c>
      <c r="F591" s="9">
        <v>10054000</v>
      </c>
      <c r="G591" s="9">
        <v>14.85</v>
      </c>
    </row>
    <row r="592" spans="1:7" x14ac:dyDescent="0.25">
      <c r="A592" s="101">
        <v>41145</v>
      </c>
      <c r="B592" s="9">
        <v>14.82</v>
      </c>
      <c r="C592" s="9">
        <v>14.94</v>
      </c>
      <c r="D592" s="9">
        <v>14.77</v>
      </c>
      <c r="E592" s="9">
        <v>14.92</v>
      </c>
      <c r="F592" s="9">
        <v>8650400</v>
      </c>
      <c r="G592" s="9">
        <v>14.92</v>
      </c>
    </row>
    <row r="593" spans="1:7" x14ac:dyDescent="0.25">
      <c r="A593" s="101">
        <v>41144</v>
      </c>
      <c r="B593" s="9">
        <v>14.9</v>
      </c>
      <c r="C593" s="9">
        <v>14.97</v>
      </c>
      <c r="D593" s="9">
        <v>14.82</v>
      </c>
      <c r="E593" s="9">
        <v>14.87</v>
      </c>
      <c r="F593" s="9">
        <v>12463000</v>
      </c>
      <c r="G593" s="9">
        <v>14.87</v>
      </c>
    </row>
    <row r="594" spans="1:7" x14ac:dyDescent="0.25">
      <c r="A594" s="101">
        <v>41143</v>
      </c>
      <c r="B594" s="9">
        <v>14.95</v>
      </c>
      <c r="C594" s="9">
        <v>14.99</v>
      </c>
      <c r="D594" s="9">
        <v>14.86</v>
      </c>
      <c r="E594" s="9">
        <v>14.92</v>
      </c>
      <c r="F594" s="9">
        <v>9168400</v>
      </c>
      <c r="G594" s="9">
        <v>14.92</v>
      </c>
    </row>
    <row r="595" spans="1:7" x14ac:dyDescent="0.25">
      <c r="A595" s="101">
        <v>41142</v>
      </c>
      <c r="B595" s="9">
        <v>14.95</v>
      </c>
      <c r="C595" s="9">
        <v>15.01</v>
      </c>
      <c r="D595" s="9">
        <v>14.88</v>
      </c>
      <c r="E595" s="9">
        <v>14.97</v>
      </c>
      <c r="F595" s="9">
        <v>27934700</v>
      </c>
      <c r="G595" s="9">
        <v>14.97</v>
      </c>
    </row>
    <row r="596" spans="1:7" x14ac:dyDescent="0.25">
      <c r="A596" s="101">
        <v>41141</v>
      </c>
      <c r="B596" s="9">
        <v>14.99</v>
      </c>
      <c r="C596" s="9">
        <v>15.05</v>
      </c>
      <c r="D596" s="9">
        <v>14.88</v>
      </c>
      <c r="E596" s="9">
        <v>14.96</v>
      </c>
      <c r="F596" s="9">
        <v>11193900</v>
      </c>
      <c r="G596" s="9">
        <v>14.96</v>
      </c>
    </row>
    <row r="597" spans="1:7" x14ac:dyDescent="0.25">
      <c r="A597" s="101">
        <v>41138</v>
      </c>
      <c r="B597" s="9">
        <v>15.02</v>
      </c>
      <c r="C597" s="9">
        <v>15.07</v>
      </c>
      <c r="D597" s="9">
        <v>14.85</v>
      </c>
      <c r="E597" s="9">
        <v>15.03</v>
      </c>
      <c r="F597" s="9">
        <v>19640700</v>
      </c>
      <c r="G597" s="9">
        <v>15.03</v>
      </c>
    </row>
    <row r="598" spans="1:7" x14ac:dyDescent="0.25">
      <c r="A598" s="101">
        <v>41137</v>
      </c>
      <c r="B598" s="9">
        <v>14.81</v>
      </c>
      <c r="C598" s="9">
        <v>15.01</v>
      </c>
      <c r="D598" s="9">
        <v>14.75</v>
      </c>
      <c r="E598" s="9">
        <v>14.99</v>
      </c>
      <c r="F598" s="9">
        <v>24971900</v>
      </c>
      <c r="G598" s="9">
        <v>14.99</v>
      </c>
    </row>
    <row r="599" spans="1:7" x14ac:dyDescent="0.25">
      <c r="A599" s="101">
        <v>41136</v>
      </c>
      <c r="B599" s="9">
        <v>14.77</v>
      </c>
      <c r="C599" s="9">
        <v>14.86</v>
      </c>
      <c r="D599" s="9">
        <v>14.65</v>
      </c>
      <c r="E599" s="9">
        <v>14.76</v>
      </c>
      <c r="F599" s="9">
        <v>20682900</v>
      </c>
      <c r="G599" s="9">
        <v>14.76</v>
      </c>
    </row>
    <row r="600" spans="1:7" x14ac:dyDescent="0.25">
      <c r="A600" s="101">
        <v>41135</v>
      </c>
      <c r="B600" s="9">
        <v>15.04</v>
      </c>
      <c r="C600" s="9">
        <v>15.05</v>
      </c>
      <c r="D600" s="9">
        <v>14.69</v>
      </c>
      <c r="E600" s="9">
        <v>14.73</v>
      </c>
      <c r="F600" s="9">
        <v>29655200</v>
      </c>
      <c r="G600" s="9">
        <v>14.73</v>
      </c>
    </row>
    <row r="601" spans="1:7" x14ac:dyDescent="0.25">
      <c r="A601" s="101">
        <v>41134</v>
      </c>
      <c r="B601" s="9">
        <v>15.03</v>
      </c>
      <c r="C601" s="9">
        <v>15.21</v>
      </c>
      <c r="D601" s="9">
        <v>15</v>
      </c>
      <c r="E601" s="9">
        <v>15.02</v>
      </c>
      <c r="F601" s="9">
        <v>20849400</v>
      </c>
      <c r="G601" s="9">
        <v>15.02</v>
      </c>
    </row>
    <row r="602" spans="1:7" x14ac:dyDescent="0.25">
      <c r="A602" s="101">
        <v>41131</v>
      </c>
      <c r="B602" s="9">
        <v>15.25</v>
      </c>
      <c r="C602" s="9">
        <v>15.35</v>
      </c>
      <c r="D602" s="9">
        <v>15.01</v>
      </c>
      <c r="E602" s="9">
        <v>15.15</v>
      </c>
      <c r="F602" s="9">
        <v>61987300</v>
      </c>
      <c r="G602" s="9">
        <v>15.15</v>
      </c>
    </row>
    <row r="603" spans="1:7" x14ac:dyDescent="0.25">
      <c r="A603" s="101">
        <v>41130</v>
      </c>
      <c r="B603" s="9">
        <v>16.16</v>
      </c>
      <c r="C603" s="9">
        <v>16.16</v>
      </c>
      <c r="D603" s="9">
        <v>15.98</v>
      </c>
      <c r="E603" s="9">
        <v>16.010000000000002</v>
      </c>
      <c r="F603" s="9">
        <v>8613100</v>
      </c>
      <c r="G603" s="9">
        <v>16.010000000000002</v>
      </c>
    </row>
    <row r="604" spans="1:7" x14ac:dyDescent="0.25">
      <c r="A604" s="101">
        <v>41129</v>
      </c>
      <c r="B604" s="9">
        <v>16.149999999999999</v>
      </c>
      <c r="C604" s="9">
        <v>16.32</v>
      </c>
      <c r="D604" s="9">
        <v>16.09</v>
      </c>
      <c r="E604" s="9">
        <v>16.170000000000002</v>
      </c>
      <c r="F604" s="9">
        <v>7379000</v>
      </c>
      <c r="G604" s="9">
        <v>16.170000000000002</v>
      </c>
    </row>
    <row r="605" spans="1:7" x14ac:dyDescent="0.25">
      <c r="A605" s="101">
        <v>41128</v>
      </c>
      <c r="B605" s="9">
        <v>16.09</v>
      </c>
      <c r="C605" s="9">
        <v>16.37</v>
      </c>
      <c r="D605" s="9">
        <v>16.07</v>
      </c>
      <c r="E605" s="9">
        <v>16.22</v>
      </c>
      <c r="F605" s="9">
        <v>17281700</v>
      </c>
      <c r="G605" s="9">
        <v>16.22</v>
      </c>
    </row>
    <row r="606" spans="1:7" x14ac:dyDescent="0.25">
      <c r="A606" s="101">
        <v>41127</v>
      </c>
      <c r="B606" s="9">
        <v>16</v>
      </c>
      <c r="C606" s="9">
        <v>16.07</v>
      </c>
      <c r="D606" s="9">
        <v>15.95</v>
      </c>
      <c r="E606" s="9">
        <v>16.04</v>
      </c>
      <c r="F606" s="9">
        <v>8803900</v>
      </c>
      <c r="G606" s="9">
        <v>16.04</v>
      </c>
    </row>
    <row r="607" spans="1:7" x14ac:dyDescent="0.25">
      <c r="A607" s="101">
        <v>41124</v>
      </c>
      <c r="B607" s="9">
        <v>15.89</v>
      </c>
      <c r="C607" s="9">
        <v>16.03</v>
      </c>
      <c r="D607" s="9">
        <v>15.82</v>
      </c>
      <c r="E607" s="9">
        <v>15.97</v>
      </c>
      <c r="F607" s="9">
        <v>9140800</v>
      </c>
      <c r="G607" s="9">
        <v>15.97</v>
      </c>
    </row>
    <row r="608" spans="1:7" x14ac:dyDescent="0.25">
      <c r="A608" s="101">
        <v>41123</v>
      </c>
      <c r="B608" s="9">
        <v>15.86</v>
      </c>
      <c r="C608" s="9">
        <v>16</v>
      </c>
      <c r="D608" s="9">
        <v>15.64</v>
      </c>
      <c r="E608" s="9">
        <v>15.75</v>
      </c>
      <c r="F608" s="9">
        <v>12900500</v>
      </c>
      <c r="G608" s="9">
        <v>15.75</v>
      </c>
    </row>
    <row r="609" spans="1:7" x14ac:dyDescent="0.25">
      <c r="A609" s="101">
        <v>41122</v>
      </c>
      <c r="B609" s="9">
        <v>15.86</v>
      </c>
      <c r="C609" s="9">
        <v>16.07</v>
      </c>
      <c r="D609" s="9">
        <v>15.83</v>
      </c>
      <c r="E609" s="9">
        <v>15.99</v>
      </c>
      <c r="F609" s="9">
        <v>14008000</v>
      </c>
      <c r="G609" s="9">
        <v>15.99</v>
      </c>
    </row>
    <row r="610" spans="1:7" x14ac:dyDescent="0.25">
      <c r="A610" s="101">
        <v>41121</v>
      </c>
      <c r="B610" s="9">
        <v>16</v>
      </c>
      <c r="C610" s="9">
        <v>16.059999999999999</v>
      </c>
      <c r="D610" s="9">
        <v>15.81</v>
      </c>
      <c r="E610" s="9">
        <v>15.84</v>
      </c>
      <c r="F610" s="9">
        <v>13753800</v>
      </c>
      <c r="G610" s="9">
        <v>15.84</v>
      </c>
    </row>
    <row r="611" spans="1:7" x14ac:dyDescent="0.25">
      <c r="A611" s="101">
        <v>41120</v>
      </c>
      <c r="B611" s="9">
        <v>16.149999999999999</v>
      </c>
      <c r="C611" s="9">
        <v>16.149999999999999</v>
      </c>
      <c r="D611" s="9">
        <v>15.9</v>
      </c>
      <c r="E611" s="9">
        <v>15.98</v>
      </c>
      <c r="F611" s="9">
        <v>10187600</v>
      </c>
      <c r="G611" s="9">
        <v>15.98</v>
      </c>
    </row>
    <row r="612" spans="1:7" x14ac:dyDescent="0.25">
      <c r="A612" s="101">
        <v>41117</v>
      </c>
      <c r="B612" s="9">
        <v>15.88</v>
      </c>
      <c r="C612" s="9">
        <v>16.170000000000002</v>
      </c>
      <c r="D612" s="9">
        <v>15.84</v>
      </c>
      <c r="E612" s="9">
        <v>16.11</v>
      </c>
      <c r="F612" s="9">
        <v>14220800</v>
      </c>
      <c r="G612" s="9">
        <v>16.11</v>
      </c>
    </row>
    <row r="613" spans="1:7" x14ac:dyDescent="0.25">
      <c r="A613" s="101">
        <v>41116</v>
      </c>
      <c r="B613" s="9">
        <v>15.69</v>
      </c>
      <c r="C613" s="9">
        <v>15.88</v>
      </c>
      <c r="D613" s="9">
        <v>15.62</v>
      </c>
      <c r="E613" s="9">
        <v>15.8</v>
      </c>
      <c r="F613" s="9">
        <v>11033200</v>
      </c>
      <c r="G613" s="9">
        <v>15.8</v>
      </c>
    </row>
    <row r="614" spans="1:7" x14ac:dyDescent="0.25">
      <c r="A614" s="101">
        <v>41115</v>
      </c>
      <c r="B614" s="9">
        <v>15.52</v>
      </c>
      <c r="C614" s="9">
        <v>15.64</v>
      </c>
      <c r="D614" s="9">
        <v>15.4</v>
      </c>
      <c r="E614" s="9">
        <v>15.5</v>
      </c>
      <c r="F614" s="9">
        <v>15092000</v>
      </c>
      <c r="G614" s="9">
        <v>15.5</v>
      </c>
    </row>
    <row r="615" spans="1:7" x14ac:dyDescent="0.25">
      <c r="A615" s="101">
        <v>41114</v>
      </c>
      <c r="B615" s="9">
        <v>15.74</v>
      </c>
      <c r="C615" s="9">
        <v>15.76</v>
      </c>
      <c r="D615" s="9">
        <v>15.23</v>
      </c>
      <c r="E615" s="9">
        <v>15.43</v>
      </c>
      <c r="F615" s="9">
        <v>19733400</v>
      </c>
      <c r="G615" s="9">
        <v>15.43</v>
      </c>
    </row>
    <row r="616" spans="1:7" x14ac:dyDescent="0.25">
      <c r="A616" s="101">
        <v>41113</v>
      </c>
      <c r="B616" s="9">
        <v>15.7</v>
      </c>
      <c r="C616" s="9">
        <v>15.81</v>
      </c>
      <c r="D616" s="9">
        <v>15.59</v>
      </c>
      <c r="E616" s="9">
        <v>15.76</v>
      </c>
      <c r="F616" s="9">
        <v>14825800</v>
      </c>
      <c r="G616" s="9">
        <v>15.76</v>
      </c>
    </row>
    <row r="617" spans="1:7" x14ac:dyDescent="0.25">
      <c r="A617" s="101">
        <v>41110</v>
      </c>
      <c r="B617" s="9">
        <v>15.75</v>
      </c>
      <c r="C617" s="9">
        <v>15.94</v>
      </c>
      <c r="D617" s="9">
        <v>15.68</v>
      </c>
      <c r="E617" s="9">
        <v>15.92</v>
      </c>
      <c r="F617" s="9">
        <v>16919700</v>
      </c>
      <c r="G617" s="9">
        <v>15.92</v>
      </c>
    </row>
    <row r="618" spans="1:7" x14ac:dyDescent="0.25">
      <c r="A618" s="101">
        <v>41109</v>
      </c>
      <c r="B618" s="9">
        <v>15.71</v>
      </c>
      <c r="C618" s="9">
        <v>15.86</v>
      </c>
      <c r="D618" s="9">
        <v>15.64</v>
      </c>
      <c r="E618" s="9">
        <v>15.73</v>
      </c>
      <c r="F618" s="9">
        <v>15985300</v>
      </c>
      <c r="G618" s="9">
        <v>15.73</v>
      </c>
    </row>
    <row r="619" spans="1:7" x14ac:dyDescent="0.25">
      <c r="A619" s="101">
        <v>41108</v>
      </c>
      <c r="B619" s="9">
        <v>15.64</v>
      </c>
      <c r="C619" s="9">
        <v>15.75</v>
      </c>
      <c r="D619" s="9">
        <v>15.51</v>
      </c>
      <c r="E619" s="9">
        <v>15.7</v>
      </c>
      <c r="F619" s="9">
        <v>19270600</v>
      </c>
      <c r="G619" s="9">
        <v>15.7</v>
      </c>
    </row>
    <row r="620" spans="1:7" x14ac:dyDescent="0.25">
      <c r="A620" s="101">
        <v>41107</v>
      </c>
      <c r="B620" s="9">
        <v>15.85</v>
      </c>
      <c r="C620" s="9">
        <v>15.89</v>
      </c>
      <c r="D620" s="9">
        <v>15.42</v>
      </c>
      <c r="E620" s="9">
        <v>15.6</v>
      </c>
      <c r="F620" s="9">
        <v>30596300</v>
      </c>
      <c r="G620" s="9">
        <v>15.6</v>
      </c>
    </row>
    <row r="621" spans="1:7" x14ac:dyDescent="0.25">
      <c r="A621" s="101">
        <v>41106</v>
      </c>
      <c r="B621" s="9">
        <v>15.69</v>
      </c>
      <c r="C621" s="9">
        <v>15.8</v>
      </c>
      <c r="D621" s="9">
        <v>15.6</v>
      </c>
      <c r="E621" s="9">
        <v>15.65</v>
      </c>
      <c r="F621" s="9">
        <v>14982900</v>
      </c>
      <c r="G621" s="9">
        <v>15.65</v>
      </c>
    </row>
    <row r="622" spans="1:7" x14ac:dyDescent="0.25">
      <c r="A622" s="101">
        <v>41103</v>
      </c>
      <c r="B622" s="9">
        <v>15.7</v>
      </c>
      <c r="C622" s="9">
        <v>15.84</v>
      </c>
      <c r="D622" s="9">
        <v>15.69</v>
      </c>
      <c r="E622" s="9">
        <v>15.74</v>
      </c>
      <c r="F622" s="9">
        <v>11811600</v>
      </c>
      <c r="G622" s="9">
        <v>15.74</v>
      </c>
    </row>
    <row r="623" spans="1:7" x14ac:dyDescent="0.25">
      <c r="A623" s="101">
        <v>41102</v>
      </c>
      <c r="B623" s="9">
        <v>15.63</v>
      </c>
      <c r="C623" s="9">
        <v>15.81</v>
      </c>
      <c r="D623" s="9">
        <v>15.54</v>
      </c>
      <c r="E623" s="9">
        <v>15.69</v>
      </c>
      <c r="F623" s="9">
        <v>18390200</v>
      </c>
      <c r="G623" s="9">
        <v>15.69</v>
      </c>
    </row>
    <row r="624" spans="1:7" x14ac:dyDescent="0.25">
      <c r="A624" s="101">
        <v>41101</v>
      </c>
      <c r="B624" s="9">
        <v>15.82</v>
      </c>
      <c r="C624" s="9">
        <v>15.94</v>
      </c>
      <c r="D624" s="9">
        <v>15.68</v>
      </c>
      <c r="E624" s="9">
        <v>15.8</v>
      </c>
      <c r="F624" s="9">
        <v>16482300</v>
      </c>
      <c r="G624" s="9">
        <v>15.8</v>
      </c>
    </row>
    <row r="625" spans="1:7" x14ac:dyDescent="0.25">
      <c r="A625" s="101">
        <v>41100</v>
      </c>
      <c r="B625" s="9">
        <v>15.83</v>
      </c>
      <c r="C625" s="9">
        <v>15.98</v>
      </c>
      <c r="D625" s="9">
        <v>15.71</v>
      </c>
      <c r="E625" s="9">
        <v>15.82</v>
      </c>
      <c r="F625" s="9">
        <v>15933900</v>
      </c>
      <c r="G625" s="9">
        <v>15.82</v>
      </c>
    </row>
    <row r="626" spans="1:7" x14ac:dyDescent="0.25">
      <c r="A626" s="101">
        <v>41099</v>
      </c>
      <c r="B626" s="9">
        <v>15.78</v>
      </c>
      <c r="C626" s="9">
        <v>15.84</v>
      </c>
      <c r="D626" s="9">
        <v>15.7</v>
      </c>
      <c r="E626" s="9">
        <v>15.75</v>
      </c>
      <c r="F626" s="9">
        <v>10375900</v>
      </c>
      <c r="G626" s="9">
        <v>15.75</v>
      </c>
    </row>
    <row r="627" spans="1:7" x14ac:dyDescent="0.25">
      <c r="A627" s="101">
        <v>41096</v>
      </c>
      <c r="B627" s="9">
        <v>15.8</v>
      </c>
      <c r="C627" s="9">
        <v>15.91</v>
      </c>
      <c r="D627" s="9">
        <v>15.68</v>
      </c>
      <c r="E627" s="9">
        <v>15.78</v>
      </c>
      <c r="F627" s="9">
        <v>12151600</v>
      </c>
      <c r="G627" s="9">
        <v>15.78</v>
      </c>
    </row>
    <row r="628" spans="1:7" x14ac:dyDescent="0.25">
      <c r="A628" s="101">
        <v>41095</v>
      </c>
      <c r="B628" s="9">
        <v>15.9</v>
      </c>
      <c r="C628" s="9">
        <v>15.99</v>
      </c>
      <c r="D628" s="9">
        <v>15.81</v>
      </c>
      <c r="E628" s="9">
        <v>15.85</v>
      </c>
      <c r="F628" s="9">
        <v>11440800</v>
      </c>
      <c r="G628" s="9">
        <v>15.85</v>
      </c>
    </row>
    <row r="629" spans="1:7" x14ac:dyDescent="0.25">
      <c r="A629" s="101">
        <v>41093</v>
      </c>
      <c r="B629" s="9">
        <v>15.83</v>
      </c>
      <c r="C629" s="9">
        <v>15.99</v>
      </c>
      <c r="D629" s="9">
        <v>15.82</v>
      </c>
      <c r="E629" s="9">
        <v>15.98</v>
      </c>
      <c r="F629" s="9">
        <v>8148400</v>
      </c>
      <c r="G629" s="9">
        <v>15.98</v>
      </c>
    </row>
    <row r="630" spans="1:7" x14ac:dyDescent="0.25">
      <c r="A630" s="101">
        <v>41092</v>
      </c>
      <c r="B630" s="9">
        <v>15.8</v>
      </c>
      <c r="C630" s="9">
        <v>15.94</v>
      </c>
      <c r="D630" s="9">
        <v>15.76</v>
      </c>
      <c r="E630" s="9">
        <v>15.84</v>
      </c>
      <c r="F630" s="9">
        <v>7226600</v>
      </c>
      <c r="G630" s="9">
        <v>15.84</v>
      </c>
    </row>
    <row r="631" spans="1:7" x14ac:dyDescent="0.25">
      <c r="A631" s="101">
        <v>41089</v>
      </c>
      <c r="B631" s="9">
        <v>15.61</v>
      </c>
      <c r="C631" s="9">
        <v>15.83</v>
      </c>
      <c r="D631" s="9">
        <v>15.53</v>
      </c>
      <c r="E631" s="9">
        <v>15.83</v>
      </c>
      <c r="F631" s="9">
        <v>13501800</v>
      </c>
      <c r="G631" s="9">
        <v>15.83</v>
      </c>
    </row>
    <row r="632" spans="1:7" x14ac:dyDescent="0.25">
      <c r="A632" s="101">
        <v>41088</v>
      </c>
      <c r="B632" s="9">
        <v>15.41</v>
      </c>
      <c r="C632" s="9">
        <v>15.48</v>
      </c>
      <c r="D632" s="9">
        <v>15.29</v>
      </c>
      <c r="E632" s="9">
        <v>15.45</v>
      </c>
      <c r="F632" s="9">
        <v>12479200</v>
      </c>
      <c r="G632" s="9">
        <v>15.45</v>
      </c>
    </row>
    <row r="633" spans="1:7" x14ac:dyDescent="0.25">
      <c r="A633" s="101">
        <v>41087</v>
      </c>
      <c r="B633" s="9">
        <v>15.41</v>
      </c>
      <c r="C633" s="9">
        <v>15.63</v>
      </c>
      <c r="D633" s="9">
        <v>15.38</v>
      </c>
      <c r="E633" s="9">
        <v>15.52</v>
      </c>
      <c r="F633" s="9">
        <v>11261800</v>
      </c>
      <c r="G633" s="9">
        <v>15.52</v>
      </c>
    </row>
    <row r="634" spans="1:7" x14ac:dyDescent="0.25">
      <c r="A634" s="101">
        <v>41086</v>
      </c>
      <c r="B634" s="9">
        <v>15.4</v>
      </c>
      <c r="C634" s="9">
        <v>15.47</v>
      </c>
      <c r="D634" s="9">
        <v>15.19</v>
      </c>
      <c r="E634" s="9">
        <v>15.35</v>
      </c>
      <c r="F634" s="9">
        <v>13640400</v>
      </c>
      <c r="G634" s="9">
        <v>15.35</v>
      </c>
    </row>
    <row r="635" spans="1:7" x14ac:dyDescent="0.25">
      <c r="A635" s="101">
        <v>41085</v>
      </c>
      <c r="B635" s="9">
        <v>15.51</v>
      </c>
      <c r="C635" s="9">
        <v>15.55</v>
      </c>
      <c r="D635" s="9">
        <v>15.31</v>
      </c>
      <c r="E635" s="9">
        <v>15.44</v>
      </c>
      <c r="F635" s="9">
        <v>13383100</v>
      </c>
      <c r="G635" s="9">
        <v>15.44</v>
      </c>
    </row>
    <row r="636" spans="1:7" x14ac:dyDescent="0.25">
      <c r="A636" s="101">
        <v>41082</v>
      </c>
      <c r="B636" s="9">
        <v>15.53</v>
      </c>
      <c r="C636" s="9">
        <v>15.7</v>
      </c>
      <c r="D636" s="9">
        <v>15.52</v>
      </c>
      <c r="E636" s="9">
        <v>15.61</v>
      </c>
      <c r="F636" s="9">
        <v>11042700</v>
      </c>
      <c r="G636" s="9">
        <v>15.61</v>
      </c>
    </row>
    <row r="637" spans="1:7" x14ac:dyDescent="0.25">
      <c r="A637" s="101">
        <v>41081</v>
      </c>
      <c r="B637" s="9">
        <v>15.74</v>
      </c>
      <c r="C637" s="9">
        <v>15.8</v>
      </c>
      <c r="D637" s="9">
        <v>15.47</v>
      </c>
      <c r="E637" s="9">
        <v>15.52</v>
      </c>
      <c r="F637" s="9">
        <v>13102700</v>
      </c>
      <c r="G637" s="9">
        <v>15.52</v>
      </c>
    </row>
    <row r="638" spans="1:7" x14ac:dyDescent="0.25">
      <c r="A638" s="101">
        <v>41080</v>
      </c>
      <c r="B638" s="9">
        <v>15.69</v>
      </c>
      <c r="C638" s="9">
        <v>15.75</v>
      </c>
      <c r="D638" s="9">
        <v>15.58</v>
      </c>
      <c r="E638" s="9">
        <v>15.74</v>
      </c>
      <c r="F638" s="9">
        <v>11260700</v>
      </c>
      <c r="G638" s="9">
        <v>15.74</v>
      </c>
    </row>
    <row r="639" spans="1:7" x14ac:dyDescent="0.25">
      <c r="A639" s="101">
        <v>41079</v>
      </c>
      <c r="B639" s="9">
        <v>15.52</v>
      </c>
      <c r="C639" s="9">
        <v>15.69</v>
      </c>
      <c r="D639" s="9">
        <v>15.51</v>
      </c>
      <c r="E639" s="9">
        <v>15.65</v>
      </c>
      <c r="F639" s="9">
        <v>10635800</v>
      </c>
      <c r="G639" s="9">
        <v>15.65</v>
      </c>
    </row>
    <row r="640" spans="1:7" x14ac:dyDescent="0.25">
      <c r="A640" s="101">
        <v>41078</v>
      </c>
      <c r="B640" s="9">
        <v>15.33</v>
      </c>
      <c r="C640" s="9">
        <v>15.54</v>
      </c>
      <c r="D640" s="9">
        <v>15.27</v>
      </c>
      <c r="E640" s="9">
        <v>15.49</v>
      </c>
      <c r="F640" s="9">
        <v>9654000</v>
      </c>
      <c r="G640" s="9">
        <v>15.49</v>
      </c>
    </row>
    <row r="641" spans="1:7" x14ac:dyDescent="0.25">
      <c r="A641" s="101">
        <v>41075</v>
      </c>
      <c r="B641" s="9">
        <v>15.44</v>
      </c>
      <c r="C641" s="9">
        <v>15.44</v>
      </c>
      <c r="D641" s="9">
        <v>15.33</v>
      </c>
      <c r="E641" s="9">
        <v>15.36</v>
      </c>
      <c r="F641" s="9">
        <v>11716500</v>
      </c>
      <c r="G641" s="9">
        <v>15.36</v>
      </c>
    </row>
    <row r="642" spans="1:7" x14ac:dyDescent="0.25">
      <c r="A642" s="101">
        <v>41074</v>
      </c>
      <c r="B642" s="9">
        <v>15.3</v>
      </c>
      <c r="C642" s="9">
        <v>15.46</v>
      </c>
      <c r="D642" s="9">
        <v>15.25</v>
      </c>
      <c r="E642" s="9">
        <v>15.36</v>
      </c>
      <c r="F642" s="9">
        <v>11612700</v>
      </c>
      <c r="G642" s="9">
        <v>15.36</v>
      </c>
    </row>
    <row r="643" spans="1:7" x14ac:dyDescent="0.25">
      <c r="A643" s="101">
        <v>41073</v>
      </c>
      <c r="B643" s="9">
        <v>15.47</v>
      </c>
      <c r="C643" s="9">
        <v>15.49</v>
      </c>
      <c r="D643" s="9">
        <v>15.27</v>
      </c>
      <c r="E643" s="9">
        <v>15.34</v>
      </c>
      <c r="F643" s="9">
        <v>16454100</v>
      </c>
      <c r="G643" s="9">
        <v>15.34</v>
      </c>
    </row>
    <row r="644" spans="1:7" x14ac:dyDescent="0.25">
      <c r="A644" s="101">
        <v>41072</v>
      </c>
      <c r="B644" s="9">
        <v>15.35</v>
      </c>
      <c r="C644" s="9">
        <v>15.52</v>
      </c>
      <c r="D644" s="9">
        <v>15.26</v>
      </c>
      <c r="E644" s="9">
        <v>15.47</v>
      </c>
      <c r="F644" s="9">
        <v>17012500</v>
      </c>
      <c r="G644" s="9">
        <v>15.47</v>
      </c>
    </row>
    <row r="645" spans="1:7" x14ac:dyDescent="0.25">
      <c r="A645" s="101">
        <v>41071</v>
      </c>
      <c r="B645" s="9">
        <v>15.73</v>
      </c>
      <c r="C645" s="9">
        <v>15.73</v>
      </c>
      <c r="D645" s="9">
        <v>15.27</v>
      </c>
      <c r="E645" s="9">
        <v>15.3</v>
      </c>
      <c r="F645" s="9">
        <v>17145100</v>
      </c>
      <c r="G645" s="9">
        <v>15.3</v>
      </c>
    </row>
    <row r="646" spans="1:7" x14ac:dyDescent="0.25">
      <c r="A646" s="101">
        <v>41068</v>
      </c>
      <c r="B646" s="9">
        <v>15.52</v>
      </c>
      <c r="C646" s="9">
        <v>15.68</v>
      </c>
      <c r="D646" s="9">
        <v>15.4</v>
      </c>
      <c r="E646" s="9">
        <v>15.65</v>
      </c>
      <c r="F646" s="9">
        <v>16420600</v>
      </c>
      <c r="G646" s="9">
        <v>15.65</v>
      </c>
    </row>
    <row r="647" spans="1:7" x14ac:dyDescent="0.25">
      <c r="A647" s="101">
        <v>41067</v>
      </c>
      <c r="B647" s="9">
        <v>15.47</v>
      </c>
      <c r="C647" s="9">
        <v>15.5</v>
      </c>
      <c r="D647" s="9">
        <v>15.33</v>
      </c>
      <c r="E647" s="9">
        <v>15.36</v>
      </c>
      <c r="F647" s="9">
        <v>12635700</v>
      </c>
      <c r="G647" s="9">
        <v>15.36</v>
      </c>
    </row>
    <row r="648" spans="1:7" x14ac:dyDescent="0.25">
      <c r="A648" s="101">
        <v>41066</v>
      </c>
      <c r="B648" s="9">
        <v>15.14</v>
      </c>
      <c r="C648" s="9">
        <v>15.41</v>
      </c>
      <c r="D648" s="9">
        <v>15.14</v>
      </c>
      <c r="E648" s="9">
        <v>15.36</v>
      </c>
      <c r="F648" s="9">
        <v>18295500</v>
      </c>
      <c r="G648" s="9">
        <v>15.36</v>
      </c>
    </row>
    <row r="649" spans="1:7" x14ac:dyDescent="0.25">
      <c r="A649" s="101">
        <v>41065</v>
      </c>
      <c r="B649" s="9">
        <v>15</v>
      </c>
      <c r="C649" s="9">
        <v>15.14</v>
      </c>
      <c r="D649" s="9">
        <v>14.91</v>
      </c>
      <c r="E649" s="9">
        <v>15.1</v>
      </c>
      <c r="F649" s="9">
        <v>9725400</v>
      </c>
      <c r="G649" s="9">
        <v>15.1</v>
      </c>
    </row>
    <row r="650" spans="1:7" x14ac:dyDescent="0.25">
      <c r="A650" s="101">
        <v>41064</v>
      </c>
      <c r="B650" s="9">
        <v>14.9</v>
      </c>
      <c r="C650" s="9">
        <v>15.03</v>
      </c>
      <c r="D650" s="9">
        <v>14.81</v>
      </c>
      <c r="E650" s="9">
        <v>15.01</v>
      </c>
      <c r="F650" s="9">
        <v>15478000</v>
      </c>
      <c r="G650" s="9">
        <v>15.01</v>
      </c>
    </row>
    <row r="651" spans="1:7" x14ac:dyDescent="0.25">
      <c r="A651" s="101">
        <v>41061</v>
      </c>
      <c r="B651" s="9">
        <v>15.04</v>
      </c>
      <c r="C651" s="9">
        <v>15.12</v>
      </c>
      <c r="D651" s="9">
        <v>14.85</v>
      </c>
      <c r="E651" s="9">
        <v>14.92</v>
      </c>
      <c r="F651" s="9">
        <v>16196700</v>
      </c>
      <c r="G651" s="9">
        <v>14.92</v>
      </c>
    </row>
    <row r="652" spans="1:7" x14ac:dyDescent="0.25">
      <c r="A652" s="101">
        <v>41060</v>
      </c>
      <c r="B652" s="9">
        <v>15.23</v>
      </c>
      <c r="C652" s="9">
        <v>15.37</v>
      </c>
      <c r="D652" s="9">
        <v>15.12</v>
      </c>
      <c r="E652" s="9">
        <v>15.24</v>
      </c>
      <c r="F652" s="9">
        <v>17160000</v>
      </c>
      <c r="G652" s="9">
        <v>15.24</v>
      </c>
    </row>
    <row r="653" spans="1:7" x14ac:dyDescent="0.25">
      <c r="A653" s="101">
        <v>41059</v>
      </c>
      <c r="B653" s="9">
        <v>15.3</v>
      </c>
      <c r="C653" s="9">
        <v>15.34</v>
      </c>
      <c r="D653" s="9">
        <v>15.16</v>
      </c>
      <c r="E653" s="9">
        <v>15.25</v>
      </c>
      <c r="F653" s="9">
        <v>14924600</v>
      </c>
      <c r="G653" s="9">
        <v>15.25</v>
      </c>
    </row>
    <row r="654" spans="1:7" x14ac:dyDescent="0.25">
      <c r="A654" s="101">
        <v>41058</v>
      </c>
      <c r="B654" s="9">
        <v>15.4</v>
      </c>
      <c r="C654" s="9">
        <v>15.55</v>
      </c>
      <c r="D654" s="9">
        <v>15.28</v>
      </c>
      <c r="E654" s="9">
        <v>15.47</v>
      </c>
      <c r="F654" s="9">
        <v>18464900</v>
      </c>
      <c r="G654" s="9">
        <v>15.47</v>
      </c>
    </row>
    <row r="655" spans="1:7" x14ac:dyDescent="0.25">
      <c r="A655" s="101">
        <v>41054</v>
      </c>
      <c r="B655" s="9">
        <v>15.4</v>
      </c>
      <c r="C655" s="9">
        <v>15.48</v>
      </c>
      <c r="D655" s="9">
        <v>15.28</v>
      </c>
      <c r="E655" s="9">
        <v>15.36</v>
      </c>
      <c r="F655" s="9">
        <v>13629000</v>
      </c>
      <c r="G655" s="9">
        <v>15.36</v>
      </c>
    </row>
    <row r="656" spans="1:7" x14ac:dyDescent="0.25">
      <c r="A656" s="101">
        <v>41053</v>
      </c>
      <c r="B656" s="9">
        <v>15.34</v>
      </c>
      <c r="C656" s="9">
        <v>15.51</v>
      </c>
      <c r="D656" s="9">
        <v>15.22</v>
      </c>
      <c r="E656" s="9">
        <v>15.35</v>
      </c>
      <c r="F656" s="9">
        <v>13875600</v>
      </c>
      <c r="G656" s="9">
        <v>15.35</v>
      </c>
    </row>
    <row r="657" spans="1:7" x14ac:dyDescent="0.25">
      <c r="A657" s="101">
        <v>41052</v>
      </c>
      <c r="B657" s="9">
        <v>15.19</v>
      </c>
      <c r="C657" s="9">
        <v>15.43</v>
      </c>
      <c r="D657" s="9">
        <v>15.14</v>
      </c>
      <c r="E657" s="9">
        <v>15.38</v>
      </c>
      <c r="F657" s="9">
        <v>18115300</v>
      </c>
      <c r="G657" s="9">
        <v>15.38</v>
      </c>
    </row>
    <row r="658" spans="1:7" x14ac:dyDescent="0.25">
      <c r="A658" s="101">
        <v>41051</v>
      </c>
      <c r="B658" s="9">
        <v>15.58</v>
      </c>
      <c r="C658" s="9">
        <v>15.61</v>
      </c>
      <c r="D658" s="9">
        <v>15.19</v>
      </c>
      <c r="E658" s="9">
        <v>15.29</v>
      </c>
      <c r="F658" s="9">
        <v>33542000</v>
      </c>
      <c r="G658" s="9">
        <v>15.29</v>
      </c>
    </row>
    <row r="659" spans="1:7" x14ac:dyDescent="0.25">
      <c r="A659" s="101">
        <v>41050</v>
      </c>
      <c r="B659" s="9">
        <v>16</v>
      </c>
      <c r="C659" s="9">
        <v>16</v>
      </c>
      <c r="D659" s="9">
        <v>15.1</v>
      </c>
      <c r="E659" s="9">
        <v>15.58</v>
      </c>
      <c r="F659" s="9">
        <v>51145800</v>
      </c>
      <c r="G659" s="9">
        <v>15.58</v>
      </c>
    </row>
    <row r="660" spans="1:7" x14ac:dyDescent="0.25">
      <c r="A660" s="101">
        <v>41047</v>
      </c>
      <c r="B660" s="9">
        <v>15.78</v>
      </c>
      <c r="C660" s="9">
        <v>15.87</v>
      </c>
      <c r="D660" s="9">
        <v>15.36</v>
      </c>
      <c r="E660" s="9">
        <v>15.42</v>
      </c>
      <c r="F660" s="9">
        <v>32679400</v>
      </c>
      <c r="G660" s="9">
        <v>15.42</v>
      </c>
    </row>
    <row r="661" spans="1:7" x14ac:dyDescent="0.25">
      <c r="A661" s="101">
        <v>41046</v>
      </c>
      <c r="B661" s="9">
        <v>15.26</v>
      </c>
      <c r="C661" s="9">
        <v>15.37</v>
      </c>
      <c r="D661" s="9">
        <v>14.85</v>
      </c>
      <c r="E661" s="9">
        <v>14.87</v>
      </c>
      <c r="F661" s="9">
        <v>17345100</v>
      </c>
      <c r="G661" s="9">
        <v>14.87</v>
      </c>
    </row>
    <row r="662" spans="1:7" x14ac:dyDescent="0.25">
      <c r="A662" s="101">
        <v>41045</v>
      </c>
      <c r="B662" s="9">
        <v>15.4</v>
      </c>
      <c r="C662" s="9">
        <v>15.57</v>
      </c>
      <c r="D662" s="9">
        <v>15.26</v>
      </c>
      <c r="E662" s="9">
        <v>15.28</v>
      </c>
      <c r="F662" s="9">
        <v>17247400</v>
      </c>
      <c r="G662" s="9">
        <v>15.28</v>
      </c>
    </row>
    <row r="663" spans="1:7" x14ac:dyDescent="0.25">
      <c r="A663" s="101">
        <v>41044</v>
      </c>
      <c r="B663" s="9">
        <v>15.47</v>
      </c>
      <c r="C663" s="9">
        <v>15.55</v>
      </c>
      <c r="D663" s="9">
        <v>15.34</v>
      </c>
      <c r="E663" s="9">
        <v>15.4</v>
      </c>
      <c r="F663" s="9">
        <v>13742500</v>
      </c>
      <c r="G663" s="9">
        <v>15.4</v>
      </c>
    </row>
    <row r="664" spans="1:7" x14ac:dyDescent="0.25">
      <c r="A664" s="101">
        <v>41043</v>
      </c>
      <c r="B664" s="9">
        <v>15.48</v>
      </c>
      <c r="C664" s="9">
        <v>15.77</v>
      </c>
      <c r="D664" s="9">
        <v>15.4</v>
      </c>
      <c r="E664" s="9">
        <v>15.5</v>
      </c>
      <c r="F664" s="9">
        <v>30818600</v>
      </c>
      <c r="G664" s="9">
        <v>15.5</v>
      </c>
    </row>
    <row r="665" spans="1:7" x14ac:dyDescent="0.25">
      <c r="A665" s="101">
        <v>41040</v>
      </c>
      <c r="B665" s="9">
        <v>14.88</v>
      </c>
      <c r="C665" s="9">
        <v>15.44</v>
      </c>
      <c r="D665" s="9">
        <v>14.8</v>
      </c>
      <c r="E665" s="9">
        <v>15.19</v>
      </c>
      <c r="F665" s="9">
        <v>21134300</v>
      </c>
      <c r="G665" s="9">
        <v>15.19</v>
      </c>
    </row>
    <row r="666" spans="1:7" x14ac:dyDescent="0.25">
      <c r="A666" s="101">
        <v>41039</v>
      </c>
      <c r="B666" s="9">
        <v>15.4</v>
      </c>
      <c r="C666" s="9">
        <v>15.54</v>
      </c>
      <c r="D666" s="9">
        <v>15.3</v>
      </c>
      <c r="E666" s="9">
        <v>15.44</v>
      </c>
      <c r="F666" s="9">
        <v>11175700</v>
      </c>
      <c r="G666" s="9">
        <v>15.44</v>
      </c>
    </row>
    <row r="667" spans="1:7" x14ac:dyDescent="0.25">
      <c r="A667" s="101">
        <v>41038</v>
      </c>
      <c r="B667" s="9">
        <v>15.17</v>
      </c>
      <c r="C667" s="9">
        <v>15.45</v>
      </c>
      <c r="D667" s="9">
        <v>15.03</v>
      </c>
      <c r="E667" s="9">
        <v>15.3</v>
      </c>
      <c r="F667" s="9">
        <v>19008500</v>
      </c>
      <c r="G667" s="9">
        <v>15.3</v>
      </c>
    </row>
    <row r="668" spans="1:7" x14ac:dyDescent="0.25">
      <c r="A668" s="101">
        <v>41037</v>
      </c>
      <c r="B668" s="9">
        <v>15.31</v>
      </c>
      <c r="C668" s="9">
        <v>15.44</v>
      </c>
      <c r="D668" s="9">
        <v>15.09</v>
      </c>
      <c r="E668" s="9">
        <v>15.36</v>
      </c>
      <c r="F668" s="9">
        <v>18603600</v>
      </c>
      <c r="G668" s="9">
        <v>15.36</v>
      </c>
    </row>
    <row r="669" spans="1:7" x14ac:dyDescent="0.25">
      <c r="A669" s="101">
        <v>41036</v>
      </c>
      <c r="B669" s="9">
        <v>15.34</v>
      </c>
      <c r="C669" s="9">
        <v>15.49</v>
      </c>
      <c r="D669" s="9">
        <v>15.16</v>
      </c>
      <c r="E669" s="9">
        <v>15.35</v>
      </c>
      <c r="F669" s="9">
        <v>13466000</v>
      </c>
      <c r="G669" s="9">
        <v>15.35</v>
      </c>
    </row>
    <row r="670" spans="1:7" x14ac:dyDescent="0.25">
      <c r="A670" s="101">
        <v>41033</v>
      </c>
      <c r="B670" s="9">
        <v>15.25</v>
      </c>
      <c r="C670" s="9">
        <v>15.29</v>
      </c>
      <c r="D670" s="9">
        <v>15.09</v>
      </c>
      <c r="E670" s="9">
        <v>15.15</v>
      </c>
      <c r="F670" s="9">
        <v>13771300</v>
      </c>
      <c r="G670" s="9">
        <v>15.15</v>
      </c>
    </row>
    <row r="671" spans="1:7" x14ac:dyDescent="0.25">
      <c r="A671" s="101">
        <v>41032</v>
      </c>
      <c r="B671" s="9">
        <v>15.65</v>
      </c>
      <c r="C671" s="9">
        <v>15.65</v>
      </c>
      <c r="D671" s="9">
        <v>15.33</v>
      </c>
      <c r="E671" s="9">
        <v>15.4</v>
      </c>
      <c r="F671" s="9">
        <v>10932700</v>
      </c>
      <c r="G671" s="9">
        <v>15.4</v>
      </c>
    </row>
    <row r="672" spans="1:7" x14ac:dyDescent="0.25">
      <c r="A672" s="101">
        <v>41031</v>
      </c>
      <c r="B672" s="9">
        <v>15.58</v>
      </c>
      <c r="C672" s="9">
        <v>15.77</v>
      </c>
      <c r="D672" s="9">
        <v>15.54</v>
      </c>
      <c r="E672" s="9">
        <v>15.67</v>
      </c>
      <c r="F672" s="9">
        <v>10841000</v>
      </c>
      <c r="G672" s="9">
        <v>15.67</v>
      </c>
    </row>
    <row r="673" spans="1:7" x14ac:dyDescent="0.25">
      <c r="A673" s="101">
        <v>41030</v>
      </c>
      <c r="B673" s="9">
        <v>15.51</v>
      </c>
      <c r="C673" s="9">
        <v>15.73</v>
      </c>
      <c r="D673" s="9">
        <v>15.5</v>
      </c>
      <c r="E673" s="9">
        <v>15.63</v>
      </c>
      <c r="F673" s="9">
        <v>9799300</v>
      </c>
      <c r="G673" s="9">
        <v>15.63</v>
      </c>
    </row>
    <row r="674" spans="1:7" x14ac:dyDescent="0.25">
      <c r="A674" s="101">
        <v>41029</v>
      </c>
      <c r="B674" s="9">
        <v>15.55</v>
      </c>
      <c r="C674" s="9">
        <v>15.57</v>
      </c>
      <c r="D674" s="9">
        <v>15.45</v>
      </c>
      <c r="E674" s="9">
        <v>15.54</v>
      </c>
      <c r="F674" s="9">
        <v>10894600</v>
      </c>
      <c r="G674" s="9">
        <v>15.54</v>
      </c>
    </row>
    <row r="675" spans="1:7" x14ac:dyDescent="0.25">
      <c r="A675" s="101">
        <v>41026</v>
      </c>
      <c r="B675" s="9">
        <v>15.51</v>
      </c>
      <c r="C675" s="9">
        <v>15.62</v>
      </c>
      <c r="D675" s="9">
        <v>15.49</v>
      </c>
      <c r="E675" s="9">
        <v>15.57</v>
      </c>
      <c r="F675" s="9">
        <v>9711600</v>
      </c>
      <c r="G675" s="9">
        <v>15.57</v>
      </c>
    </row>
    <row r="676" spans="1:7" x14ac:dyDescent="0.25">
      <c r="A676" s="101">
        <v>41025</v>
      </c>
      <c r="B676" s="9">
        <v>15.44</v>
      </c>
      <c r="C676" s="9">
        <v>15.55</v>
      </c>
      <c r="D676" s="9">
        <v>15.38</v>
      </c>
      <c r="E676" s="9">
        <v>15.53</v>
      </c>
      <c r="F676" s="9">
        <v>12542800</v>
      </c>
      <c r="G676" s="9">
        <v>15.53</v>
      </c>
    </row>
    <row r="677" spans="1:7" x14ac:dyDescent="0.25">
      <c r="A677" s="101">
        <v>41024</v>
      </c>
      <c r="B677" s="9">
        <v>15.43</v>
      </c>
      <c r="C677" s="9">
        <v>15.51</v>
      </c>
      <c r="D677" s="9">
        <v>15.38</v>
      </c>
      <c r="E677" s="9">
        <v>15.5</v>
      </c>
      <c r="F677" s="9">
        <v>13236900</v>
      </c>
      <c r="G677" s="9">
        <v>15.5</v>
      </c>
    </row>
    <row r="678" spans="1:7" x14ac:dyDescent="0.25">
      <c r="A678" s="101">
        <v>41023</v>
      </c>
      <c r="B678" s="9">
        <v>15.33</v>
      </c>
      <c r="C678" s="9">
        <v>15.52</v>
      </c>
      <c r="D678" s="9">
        <v>15.33</v>
      </c>
      <c r="E678" s="9">
        <v>15.43</v>
      </c>
      <c r="F678" s="9">
        <v>12140200</v>
      </c>
      <c r="G678" s="9">
        <v>15.43</v>
      </c>
    </row>
    <row r="679" spans="1:7" x14ac:dyDescent="0.25">
      <c r="A679" s="101">
        <v>41022</v>
      </c>
      <c r="B679" s="9">
        <v>15.41</v>
      </c>
      <c r="C679" s="9">
        <v>15.47</v>
      </c>
      <c r="D679" s="9">
        <v>15.29</v>
      </c>
      <c r="E679" s="9">
        <v>15.33</v>
      </c>
      <c r="F679" s="9">
        <v>21683700</v>
      </c>
      <c r="G679" s="9">
        <v>15.33</v>
      </c>
    </row>
    <row r="680" spans="1:7" x14ac:dyDescent="0.25">
      <c r="A680" s="101">
        <v>41019</v>
      </c>
      <c r="B680" s="9">
        <v>15.41</v>
      </c>
      <c r="C680" s="9">
        <v>15.7</v>
      </c>
      <c r="D680" s="9">
        <v>15.39</v>
      </c>
      <c r="E680" s="9">
        <v>15.6</v>
      </c>
      <c r="F680" s="9">
        <v>24558400</v>
      </c>
      <c r="G680" s="9">
        <v>15.6</v>
      </c>
    </row>
    <row r="681" spans="1:7" x14ac:dyDescent="0.25">
      <c r="A681" s="101">
        <v>41018</v>
      </c>
      <c r="B681" s="9">
        <v>15.44</v>
      </c>
      <c r="C681" s="9">
        <v>15.57</v>
      </c>
      <c r="D681" s="9">
        <v>15.36</v>
      </c>
      <c r="E681" s="9">
        <v>15.4</v>
      </c>
      <c r="F681" s="9">
        <v>18431200</v>
      </c>
      <c r="G681" s="9">
        <v>15.4</v>
      </c>
    </row>
    <row r="682" spans="1:7" x14ac:dyDescent="0.25">
      <c r="A682" s="101">
        <v>41017</v>
      </c>
      <c r="B682" s="9">
        <v>15.4</v>
      </c>
      <c r="C682" s="9">
        <v>15.57</v>
      </c>
      <c r="D682" s="9">
        <v>15.3</v>
      </c>
      <c r="E682" s="9">
        <v>15.49</v>
      </c>
      <c r="F682" s="9">
        <v>36559000</v>
      </c>
      <c r="G682" s="9">
        <v>15.49</v>
      </c>
    </row>
    <row r="683" spans="1:7" x14ac:dyDescent="0.25">
      <c r="A683" s="101">
        <v>41016</v>
      </c>
      <c r="B683" s="9">
        <v>14.82</v>
      </c>
      <c r="C683" s="9">
        <v>15.18</v>
      </c>
      <c r="D683" s="9">
        <v>14.82</v>
      </c>
      <c r="E683" s="9">
        <v>15.01</v>
      </c>
      <c r="F683" s="9">
        <v>20559000</v>
      </c>
      <c r="G683" s="9">
        <v>15.01</v>
      </c>
    </row>
    <row r="684" spans="1:7" x14ac:dyDescent="0.25">
      <c r="A684" s="101">
        <v>41015</v>
      </c>
      <c r="B684" s="9">
        <v>15</v>
      </c>
      <c r="C684" s="9">
        <v>15.04</v>
      </c>
      <c r="D684" s="9">
        <v>14.73</v>
      </c>
      <c r="E684" s="9">
        <v>14.79</v>
      </c>
      <c r="F684" s="9">
        <v>13639200</v>
      </c>
      <c r="G684" s="9">
        <v>14.79</v>
      </c>
    </row>
    <row r="685" spans="1:7" x14ac:dyDescent="0.25">
      <c r="A685" s="101">
        <v>41012</v>
      </c>
      <c r="B685" s="9">
        <v>14.99</v>
      </c>
      <c r="C685" s="9">
        <v>15.18</v>
      </c>
      <c r="D685" s="9">
        <v>14.86</v>
      </c>
      <c r="E685" s="9">
        <v>14.87</v>
      </c>
      <c r="F685" s="9">
        <v>15335800</v>
      </c>
      <c r="G685" s="9">
        <v>14.87</v>
      </c>
    </row>
    <row r="686" spans="1:7" x14ac:dyDescent="0.25">
      <c r="A686" s="101">
        <v>41011</v>
      </c>
      <c r="B686" s="9">
        <v>14.9</v>
      </c>
      <c r="C686" s="9">
        <v>15.1</v>
      </c>
      <c r="D686" s="9">
        <v>14.84</v>
      </c>
      <c r="E686" s="9">
        <v>15.06</v>
      </c>
      <c r="F686" s="9">
        <v>9487500</v>
      </c>
      <c r="G686" s="9">
        <v>15.06</v>
      </c>
    </row>
    <row r="687" spans="1:7" x14ac:dyDescent="0.25">
      <c r="A687" s="101">
        <v>41010</v>
      </c>
      <c r="B687" s="9">
        <v>15.08</v>
      </c>
      <c r="C687" s="9">
        <v>15.08</v>
      </c>
      <c r="D687" s="9">
        <v>14.84</v>
      </c>
      <c r="E687" s="9">
        <v>14.88</v>
      </c>
      <c r="F687" s="9">
        <v>11200900</v>
      </c>
      <c r="G687" s="9">
        <v>14.88</v>
      </c>
    </row>
    <row r="688" spans="1:7" x14ac:dyDescent="0.25">
      <c r="A688" s="101">
        <v>41009</v>
      </c>
      <c r="B688" s="9">
        <v>15.08</v>
      </c>
      <c r="C688" s="9">
        <v>15.18</v>
      </c>
      <c r="D688" s="9">
        <v>14.91</v>
      </c>
      <c r="E688" s="9">
        <v>14.99</v>
      </c>
      <c r="F688" s="9">
        <v>15284200</v>
      </c>
      <c r="G688" s="9">
        <v>14.99</v>
      </c>
    </row>
    <row r="689" spans="1:7" x14ac:dyDescent="0.25">
      <c r="A689" s="101">
        <v>41008</v>
      </c>
      <c r="B689" s="9">
        <v>15</v>
      </c>
      <c r="C689" s="9">
        <v>15.25</v>
      </c>
      <c r="D689" s="9">
        <v>14.96</v>
      </c>
      <c r="E689" s="9">
        <v>15.1</v>
      </c>
      <c r="F689" s="9">
        <v>11335400</v>
      </c>
      <c r="G689" s="9">
        <v>15.1</v>
      </c>
    </row>
    <row r="690" spans="1:7" x14ac:dyDescent="0.25">
      <c r="A690" s="101">
        <v>41004</v>
      </c>
      <c r="B690" s="9">
        <v>15.14</v>
      </c>
      <c r="C690" s="9">
        <v>15.26</v>
      </c>
      <c r="D690" s="9">
        <v>15</v>
      </c>
      <c r="E690" s="9">
        <v>15.07</v>
      </c>
      <c r="F690" s="9">
        <v>11717000</v>
      </c>
      <c r="G690" s="9">
        <v>15.07</v>
      </c>
    </row>
    <row r="691" spans="1:7" x14ac:dyDescent="0.25">
      <c r="A691" s="101">
        <v>41003</v>
      </c>
      <c r="B691" s="9">
        <v>15.15</v>
      </c>
      <c r="C691" s="9">
        <v>15.34</v>
      </c>
      <c r="D691" s="9">
        <v>15</v>
      </c>
      <c r="E691" s="9">
        <v>15.27</v>
      </c>
      <c r="F691" s="9">
        <v>20954600</v>
      </c>
      <c r="G691" s="9">
        <v>15.27</v>
      </c>
    </row>
    <row r="692" spans="1:7" x14ac:dyDescent="0.25">
      <c r="A692" s="101">
        <v>41002</v>
      </c>
      <c r="B692" s="9">
        <v>15.36</v>
      </c>
      <c r="C692" s="9">
        <v>15.43</v>
      </c>
      <c r="D692" s="9">
        <v>15.06</v>
      </c>
      <c r="E692" s="9">
        <v>15.18</v>
      </c>
      <c r="F692" s="9">
        <v>18215000</v>
      </c>
      <c r="G692" s="9">
        <v>15.18</v>
      </c>
    </row>
    <row r="693" spans="1:7" x14ac:dyDescent="0.25">
      <c r="A693" s="101">
        <v>41001</v>
      </c>
      <c r="B693" s="9">
        <v>15.19</v>
      </c>
      <c r="C693" s="9">
        <v>15.51</v>
      </c>
      <c r="D693" s="9">
        <v>15.11</v>
      </c>
      <c r="E693" s="9">
        <v>15.46</v>
      </c>
      <c r="F693" s="9">
        <v>14423800</v>
      </c>
      <c r="G693" s="9">
        <v>15.46</v>
      </c>
    </row>
    <row r="694" spans="1:7" x14ac:dyDescent="0.25">
      <c r="A694" s="101">
        <v>40998</v>
      </c>
      <c r="B694" s="9">
        <v>15.37</v>
      </c>
      <c r="C694" s="9">
        <v>15.42</v>
      </c>
      <c r="D694" s="9">
        <v>15.18</v>
      </c>
      <c r="E694" s="9">
        <v>15.22</v>
      </c>
      <c r="F694" s="9">
        <v>15514100</v>
      </c>
      <c r="G694" s="9">
        <v>15.22</v>
      </c>
    </row>
    <row r="695" spans="1:7" x14ac:dyDescent="0.25">
      <c r="A695" s="101">
        <v>40997</v>
      </c>
      <c r="B695" s="9">
        <v>15.19</v>
      </c>
      <c r="C695" s="9">
        <v>15.34</v>
      </c>
      <c r="D695" s="9">
        <v>15.11</v>
      </c>
      <c r="E695" s="9">
        <v>15.3</v>
      </c>
      <c r="F695" s="9">
        <v>9933800</v>
      </c>
      <c r="G695" s="9">
        <v>15.3</v>
      </c>
    </row>
    <row r="696" spans="1:7" x14ac:dyDescent="0.25">
      <c r="A696" s="101">
        <v>40996</v>
      </c>
      <c r="B696" s="9">
        <v>15.45</v>
      </c>
      <c r="C696" s="9">
        <v>15.48</v>
      </c>
      <c r="D696" s="9">
        <v>15.14</v>
      </c>
      <c r="E696" s="9">
        <v>15.32</v>
      </c>
      <c r="F696" s="9">
        <v>18831800</v>
      </c>
      <c r="G696" s="9">
        <v>15.32</v>
      </c>
    </row>
    <row r="697" spans="1:7" x14ac:dyDescent="0.25">
      <c r="A697" s="101">
        <v>40995</v>
      </c>
      <c r="B697" s="9">
        <v>15.53</v>
      </c>
      <c r="C697" s="9">
        <v>15.55</v>
      </c>
      <c r="D697" s="9">
        <v>15.41</v>
      </c>
      <c r="E697" s="9">
        <v>15.43</v>
      </c>
      <c r="F697" s="9">
        <v>11891000</v>
      </c>
      <c r="G697" s="9">
        <v>15.43</v>
      </c>
    </row>
    <row r="698" spans="1:7" x14ac:dyDescent="0.25">
      <c r="A698" s="101">
        <v>40994</v>
      </c>
      <c r="B698" s="9">
        <v>15.46</v>
      </c>
      <c r="C698" s="9">
        <v>15.56</v>
      </c>
      <c r="D698" s="9">
        <v>15.36</v>
      </c>
      <c r="E698" s="9">
        <v>15.54</v>
      </c>
      <c r="F698" s="9">
        <v>11500800</v>
      </c>
      <c r="G698" s="9">
        <v>15.54</v>
      </c>
    </row>
    <row r="699" spans="1:7" x14ac:dyDescent="0.25">
      <c r="A699" s="101">
        <v>40991</v>
      </c>
      <c r="B699" s="9">
        <v>15.52</v>
      </c>
      <c r="C699" s="9">
        <v>15.59</v>
      </c>
      <c r="D699" s="9">
        <v>15.31</v>
      </c>
      <c r="E699" s="9">
        <v>15.39</v>
      </c>
      <c r="F699" s="9">
        <v>8493700</v>
      </c>
      <c r="G699" s="9">
        <v>15.39</v>
      </c>
    </row>
    <row r="700" spans="1:7" x14ac:dyDescent="0.25">
      <c r="A700" s="101">
        <v>40990</v>
      </c>
      <c r="B700" s="9">
        <v>15.51</v>
      </c>
      <c r="C700" s="9">
        <v>15.56</v>
      </c>
      <c r="D700" s="9">
        <v>15.38</v>
      </c>
      <c r="E700" s="9">
        <v>15.49</v>
      </c>
      <c r="F700" s="9">
        <v>14618600</v>
      </c>
      <c r="G700" s="9">
        <v>15.49</v>
      </c>
    </row>
    <row r="701" spans="1:7" x14ac:dyDescent="0.25">
      <c r="A701" s="101">
        <v>40989</v>
      </c>
      <c r="B701" s="9">
        <v>15.42</v>
      </c>
      <c r="C701" s="9">
        <v>15.61</v>
      </c>
      <c r="D701" s="9">
        <v>15.17</v>
      </c>
      <c r="E701" s="9">
        <v>15.51</v>
      </c>
      <c r="F701" s="9">
        <v>25024100</v>
      </c>
      <c r="G701" s="9">
        <v>15.51</v>
      </c>
    </row>
    <row r="702" spans="1:7" x14ac:dyDescent="0.25">
      <c r="A702" s="101">
        <v>40988</v>
      </c>
      <c r="B702" s="9">
        <v>15</v>
      </c>
      <c r="C702" s="9">
        <v>15.61</v>
      </c>
      <c r="D702" s="9">
        <v>14.92</v>
      </c>
      <c r="E702" s="9">
        <v>15.41</v>
      </c>
      <c r="F702" s="9">
        <v>22095600</v>
      </c>
      <c r="G702" s="9">
        <v>15.41</v>
      </c>
    </row>
    <row r="703" spans="1:7" x14ac:dyDescent="0.25">
      <c r="A703" s="101">
        <v>40987</v>
      </c>
      <c r="B703" s="9">
        <v>15.08</v>
      </c>
      <c r="C703" s="9">
        <v>15.22</v>
      </c>
      <c r="D703" s="9">
        <v>14.92</v>
      </c>
      <c r="E703" s="9">
        <v>15.15</v>
      </c>
      <c r="F703" s="9">
        <v>16649600</v>
      </c>
      <c r="G703" s="9">
        <v>15.15</v>
      </c>
    </row>
    <row r="704" spans="1:7" x14ac:dyDescent="0.25">
      <c r="A704" s="101">
        <v>40984</v>
      </c>
      <c r="B704" s="9">
        <v>14.95</v>
      </c>
      <c r="C704" s="9">
        <v>15.18</v>
      </c>
      <c r="D704" s="9">
        <v>14.92</v>
      </c>
      <c r="E704" s="9">
        <v>15.18</v>
      </c>
      <c r="F704" s="9">
        <v>28337600</v>
      </c>
      <c r="G704" s="9">
        <v>15.18</v>
      </c>
    </row>
    <row r="705" spans="1:7" x14ac:dyDescent="0.25">
      <c r="A705" s="101">
        <v>40983</v>
      </c>
      <c r="B705" s="9">
        <v>14.64</v>
      </c>
      <c r="C705" s="9">
        <v>14.98</v>
      </c>
      <c r="D705" s="9">
        <v>14.57</v>
      </c>
      <c r="E705" s="9">
        <v>14.89</v>
      </c>
      <c r="F705" s="9">
        <v>19809800</v>
      </c>
      <c r="G705" s="9">
        <v>14.89</v>
      </c>
    </row>
    <row r="706" spans="1:7" x14ac:dyDescent="0.25">
      <c r="A706" s="101">
        <v>40982</v>
      </c>
      <c r="B706" s="9">
        <v>14.54</v>
      </c>
      <c r="C706" s="9">
        <v>14.64</v>
      </c>
      <c r="D706" s="9">
        <v>14.42</v>
      </c>
      <c r="E706" s="9">
        <v>14.63</v>
      </c>
      <c r="F706" s="9">
        <v>14765500</v>
      </c>
      <c r="G706" s="9">
        <v>14.63</v>
      </c>
    </row>
    <row r="707" spans="1:7" x14ac:dyDescent="0.25">
      <c r="A707" s="101">
        <v>40981</v>
      </c>
      <c r="B707" s="9">
        <v>14.54</v>
      </c>
      <c r="C707" s="9">
        <v>14.62</v>
      </c>
      <c r="D707" s="9">
        <v>14.39</v>
      </c>
      <c r="E707" s="9">
        <v>14.55</v>
      </c>
      <c r="F707" s="9">
        <v>17134400</v>
      </c>
      <c r="G707" s="9">
        <v>14.55</v>
      </c>
    </row>
    <row r="708" spans="1:7" x14ac:dyDescent="0.25">
      <c r="A708" s="101">
        <v>40980</v>
      </c>
      <c r="B708" s="9">
        <v>14.66</v>
      </c>
      <c r="C708" s="9">
        <v>14.76</v>
      </c>
      <c r="D708" s="9">
        <v>14.48</v>
      </c>
      <c r="E708" s="9">
        <v>14.49</v>
      </c>
      <c r="F708" s="9">
        <v>11309200</v>
      </c>
      <c r="G708" s="9">
        <v>14.49</v>
      </c>
    </row>
    <row r="709" spans="1:7" x14ac:dyDescent="0.25">
      <c r="A709" s="101">
        <v>40977</v>
      </c>
      <c r="B709" s="9">
        <v>14.63</v>
      </c>
      <c r="C709" s="9">
        <v>14.7</v>
      </c>
      <c r="D709" s="9">
        <v>14.61</v>
      </c>
      <c r="E709" s="9">
        <v>14.63</v>
      </c>
      <c r="F709" s="9">
        <v>9769900</v>
      </c>
      <c r="G709" s="9">
        <v>14.63</v>
      </c>
    </row>
    <row r="710" spans="1:7" x14ac:dyDescent="0.25">
      <c r="A710" s="101">
        <v>40976</v>
      </c>
      <c r="B710" s="9">
        <v>14.7</v>
      </c>
      <c r="C710" s="9">
        <v>14.77</v>
      </c>
      <c r="D710" s="9">
        <v>14.52</v>
      </c>
      <c r="E710" s="9">
        <v>14.62</v>
      </c>
      <c r="F710" s="9">
        <v>11271400</v>
      </c>
      <c r="G710" s="9">
        <v>14.62</v>
      </c>
    </row>
    <row r="711" spans="1:7" x14ac:dyDescent="0.25">
      <c r="A711" s="101">
        <v>40975</v>
      </c>
      <c r="B711" s="9">
        <v>14.48</v>
      </c>
      <c r="C711" s="9">
        <v>14.71</v>
      </c>
      <c r="D711" s="9">
        <v>14.44</v>
      </c>
      <c r="E711" s="9">
        <v>14.62</v>
      </c>
      <c r="F711" s="9">
        <v>10622500</v>
      </c>
      <c r="G711" s="9">
        <v>14.62</v>
      </c>
    </row>
    <row r="712" spans="1:7" x14ac:dyDescent="0.25">
      <c r="A712" s="101">
        <v>40974</v>
      </c>
      <c r="B712" s="9">
        <v>14.61</v>
      </c>
      <c r="C712" s="9">
        <v>14.69</v>
      </c>
      <c r="D712" s="9">
        <v>14.35</v>
      </c>
      <c r="E712" s="9">
        <v>14.42</v>
      </c>
      <c r="F712" s="9">
        <v>12696600</v>
      </c>
      <c r="G712" s="9">
        <v>14.42</v>
      </c>
    </row>
    <row r="713" spans="1:7" x14ac:dyDescent="0.25">
      <c r="A713" s="101">
        <v>40973</v>
      </c>
      <c r="B713" s="9">
        <v>14.66</v>
      </c>
      <c r="C713" s="9">
        <v>14.95</v>
      </c>
      <c r="D713" s="9">
        <v>14.52</v>
      </c>
      <c r="E713" s="9">
        <v>14.62</v>
      </c>
      <c r="F713" s="9">
        <v>11749700</v>
      </c>
      <c r="G713" s="9">
        <v>14.62</v>
      </c>
    </row>
    <row r="714" spans="1:7" x14ac:dyDescent="0.25">
      <c r="A714" s="101">
        <v>40970</v>
      </c>
      <c r="B714" s="9">
        <v>14.89</v>
      </c>
      <c r="C714" s="9">
        <v>14.92</v>
      </c>
      <c r="D714" s="9">
        <v>14.66</v>
      </c>
      <c r="E714" s="9">
        <v>14.72</v>
      </c>
      <c r="F714" s="9">
        <v>9164900</v>
      </c>
      <c r="G714" s="9">
        <v>14.72</v>
      </c>
    </row>
    <row r="715" spans="1:7" x14ac:dyDescent="0.25">
      <c r="A715" s="101">
        <v>40969</v>
      </c>
      <c r="B715" s="9">
        <v>14.89</v>
      </c>
      <c r="C715" s="9">
        <v>14.96</v>
      </c>
      <c r="D715" s="9">
        <v>14.79</v>
      </c>
      <c r="E715" s="9">
        <v>14.93</v>
      </c>
      <c r="F715" s="9">
        <v>12283300</v>
      </c>
      <c r="G715" s="9">
        <v>14.93</v>
      </c>
    </row>
    <row r="716" spans="1:7" x14ac:dyDescent="0.25">
      <c r="A716" s="101">
        <v>40968</v>
      </c>
      <c r="B716" s="9">
        <v>14.89</v>
      </c>
      <c r="C716" s="9">
        <v>14.93</v>
      </c>
      <c r="D716" s="9">
        <v>14.78</v>
      </c>
      <c r="E716" s="9">
        <v>14.83</v>
      </c>
      <c r="F716" s="9">
        <v>19611100</v>
      </c>
      <c r="G716" s="9">
        <v>14.83</v>
      </c>
    </row>
    <row r="717" spans="1:7" x14ac:dyDescent="0.25">
      <c r="A717" s="101">
        <v>40967</v>
      </c>
      <c r="B717" s="9">
        <v>14.93</v>
      </c>
      <c r="C717" s="9">
        <v>14.99</v>
      </c>
      <c r="D717" s="9">
        <v>14.76</v>
      </c>
      <c r="E717" s="9">
        <v>14.9</v>
      </c>
      <c r="F717" s="9">
        <v>15395600</v>
      </c>
      <c r="G717" s="9">
        <v>14.9</v>
      </c>
    </row>
    <row r="718" spans="1:7" x14ac:dyDescent="0.25">
      <c r="A718" s="101">
        <v>40966</v>
      </c>
      <c r="B718" s="9">
        <v>14.74</v>
      </c>
      <c r="C718" s="9">
        <v>14.91</v>
      </c>
      <c r="D718" s="9">
        <v>14.72</v>
      </c>
      <c r="E718" s="9">
        <v>14.86</v>
      </c>
      <c r="F718" s="9">
        <v>13431000</v>
      </c>
      <c r="G718" s="9">
        <v>14.86</v>
      </c>
    </row>
    <row r="719" spans="1:7" x14ac:dyDescent="0.25">
      <c r="A719" s="101">
        <v>40963</v>
      </c>
      <c r="B719" s="9">
        <v>14.86</v>
      </c>
      <c r="C719" s="9">
        <v>14.97</v>
      </c>
      <c r="D719" s="9">
        <v>14.83</v>
      </c>
      <c r="E719" s="9">
        <v>14.89</v>
      </c>
      <c r="F719" s="9">
        <v>12105400</v>
      </c>
      <c r="G719" s="9">
        <v>14.89</v>
      </c>
    </row>
    <row r="720" spans="1:7" x14ac:dyDescent="0.25">
      <c r="A720" s="101">
        <v>40962</v>
      </c>
      <c r="B720" s="9">
        <v>14.55</v>
      </c>
      <c r="C720" s="9">
        <v>14.81</v>
      </c>
      <c r="D720" s="9">
        <v>14.37</v>
      </c>
      <c r="E720" s="9">
        <v>14.78</v>
      </c>
      <c r="F720" s="9">
        <v>15689700</v>
      </c>
      <c r="G720" s="9">
        <v>14.78</v>
      </c>
    </row>
    <row r="721" spans="1:7" x14ac:dyDescent="0.25">
      <c r="A721" s="101">
        <v>40961</v>
      </c>
      <c r="B721" s="9">
        <v>14.68</v>
      </c>
      <c r="C721" s="9">
        <v>14.75</v>
      </c>
      <c r="D721" s="9">
        <v>14.43</v>
      </c>
      <c r="E721" s="9">
        <v>14.5</v>
      </c>
      <c r="F721" s="9">
        <v>27187200</v>
      </c>
      <c r="G721" s="9">
        <v>14.5</v>
      </c>
    </row>
    <row r="722" spans="1:7" x14ac:dyDescent="0.25">
      <c r="A722" s="101">
        <v>40960</v>
      </c>
      <c r="B722" s="9">
        <v>15.04</v>
      </c>
      <c r="C722" s="9">
        <v>15.07</v>
      </c>
      <c r="D722" s="9">
        <v>14.75</v>
      </c>
      <c r="E722" s="9">
        <v>14.75</v>
      </c>
      <c r="F722" s="9">
        <v>29696600</v>
      </c>
      <c r="G722" s="9">
        <v>14.75</v>
      </c>
    </row>
    <row r="723" spans="1:7" x14ac:dyDescent="0.25">
      <c r="A723" s="101">
        <v>40956</v>
      </c>
      <c r="B723" s="9">
        <v>15.41</v>
      </c>
      <c r="C723" s="9">
        <v>15.44</v>
      </c>
      <c r="D723" s="9">
        <v>15</v>
      </c>
      <c r="E723" s="9">
        <v>15.01</v>
      </c>
      <c r="F723" s="9">
        <v>22889500</v>
      </c>
      <c r="G723" s="9">
        <v>15.01</v>
      </c>
    </row>
    <row r="724" spans="1:7" x14ac:dyDescent="0.25">
      <c r="A724" s="101">
        <v>40955</v>
      </c>
      <c r="B724" s="9">
        <v>15.25</v>
      </c>
      <c r="C724" s="9">
        <v>15.38</v>
      </c>
      <c r="D724" s="9">
        <v>15.1</v>
      </c>
      <c r="E724" s="9">
        <v>15.36</v>
      </c>
      <c r="F724" s="9">
        <v>15377400</v>
      </c>
      <c r="G724" s="9">
        <v>15.36</v>
      </c>
    </row>
    <row r="725" spans="1:7" x14ac:dyDescent="0.25">
      <c r="A725" s="101">
        <v>40954</v>
      </c>
      <c r="B725" s="9">
        <v>15.23</v>
      </c>
      <c r="C725" s="9">
        <v>15.3</v>
      </c>
      <c r="D725" s="9">
        <v>15.08</v>
      </c>
      <c r="E725" s="9">
        <v>15.12</v>
      </c>
      <c r="F725" s="9">
        <v>25318400</v>
      </c>
      <c r="G725" s="9">
        <v>15.12</v>
      </c>
    </row>
    <row r="726" spans="1:7" x14ac:dyDescent="0.25">
      <c r="A726" s="101">
        <v>40953</v>
      </c>
      <c r="B726" s="9">
        <v>16.07</v>
      </c>
      <c r="C726" s="9">
        <v>16.100000000000001</v>
      </c>
      <c r="D726" s="9">
        <v>14.92</v>
      </c>
      <c r="E726" s="9">
        <v>15.37</v>
      </c>
      <c r="F726" s="9">
        <v>88638700</v>
      </c>
      <c r="G726" s="9">
        <v>15.37</v>
      </c>
    </row>
    <row r="727" spans="1:7" x14ac:dyDescent="0.25">
      <c r="A727" s="101">
        <v>40952</v>
      </c>
      <c r="B727" s="9">
        <v>16.13</v>
      </c>
      <c r="C727" s="9">
        <v>16.239999999999998</v>
      </c>
      <c r="D727" s="9">
        <v>16.05</v>
      </c>
      <c r="E727" s="9">
        <v>16.12</v>
      </c>
      <c r="F727" s="9">
        <v>10067300</v>
      </c>
      <c r="G727" s="9">
        <v>16.12</v>
      </c>
    </row>
    <row r="728" spans="1:7" x14ac:dyDescent="0.25">
      <c r="A728" s="101">
        <v>40949</v>
      </c>
      <c r="B728" s="9">
        <v>16.02</v>
      </c>
      <c r="C728" s="9">
        <v>16.309999999999999</v>
      </c>
      <c r="D728" s="9">
        <v>16</v>
      </c>
      <c r="E728" s="9">
        <v>16.14</v>
      </c>
      <c r="F728" s="9">
        <v>27790100</v>
      </c>
      <c r="G728" s="9">
        <v>16.14</v>
      </c>
    </row>
    <row r="729" spans="1:7" x14ac:dyDescent="0.25">
      <c r="A729" s="101">
        <v>40948</v>
      </c>
      <c r="B729" s="9">
        <v>16.100000000000001</v>
      </c>
      <c r="C729" s="9">
        <v>16.100000000000001</v>
      </c>
      <c r="D729" s="9">
        <v>15.9</v>
      </c>
      <c r="E729" s="9">
        <v>16</v>
      </c>
      <c r="F729" s="9">
        <v>22553000</v>
      </c>
      <c r="G729" s="9">
        <v>16</v>
      </c>
    </row>
    <row r="730" spans="1:7" x14ac:dyDescent="0.25">
      <c r="A730" s="101">
        <v>40947</v>
      </c>
      <c r="B730" s="9">
        <v>15.96</v>
      </c>
      <c r="C730" s="9">
        <v>15.97</v>
      </c>
      <c r="D730" s="9">
        <v>15.72</v>
      </c>
      <c r="E730" s="9">
        <v>15.78</v>
      </c>
      <c r="F730" s="9">
        <v>13439400</v>
      </c>
      <c r="G730" s="9">
        <v>15.78</v>
      </c>
    </row>
    <row r="731" spans="1:7" x14ac:dyDescent="0.25">
      <c r="A731" s="101">
        <v>40946</v>
      </c>
      <c r="B731" s="9">
        <v>15.84</v>
      </c>
      <c r="C731" s="9">
        <v>15.89</v>
      </c>
      <c r="D731" s="9">
        <v>15.74</v>
      </c>
      <c r="E731" s="9">
        <v>15.83</v>
      </c>
      <c r="F731" s="9">
        <v>13504500</v>
      </c>
      <c r="G731" s="9">
        <v>15.83</v>
      </c>
    </row>
    <row r="732" spans="1:7" x14ac:dyDescent="0.25">
      <c r="A732" s="101">
        <v>40945</v>
      </c>
      <c r="B732" s="9">
        <v>15.94</v>
      </c>
      <c r="C732" s="9">
        <v>15.95</v>
      </c>
      <c r="D732" s="9">
        <v>15.76</v>
      </c>
      <c r="E732" s="9">
        <v>15.82</v>
      </c>
      <c r="F732" s="9">
        <v>11291100</v>
      </c>
      <c r="G732" s="9">
        <v>15.82</v>
      </c>
    </row>
    <row r="733" spans="1:7" x14ac:dyDescent="0.25">
      <c r="A733" s="101">
        <v>40942</v>
      </c>
      <c r="B733" s="9">
        <v>15.94</v>
      </c>
      <c r="C733" s="9">
        <v>15.98</v>
      </c>
      <c r="D733" s="9">
        <v>15.83</v>
      </c>
      <c r="E733" s="9">
        <v>15.92</v>
      </c>
      <c r="F733" s="9">
        <v>13652100</v>
      </c>
      <c r="G733" s="9">
        <v>15.92</v>
      </c>
    </row>
    <row r="734" spans="1:7" x14ac:dyDescent="0.25">
      <c r="A734" s="101">
        <v>40941</v>
      </c>
      <c r="B734" s="9">
        <v>15.76</v>
      </c>
      <c r="C734" s="9">
        <v>15.82</v>
      </c>
      <c r="D734" s="9">
        <v>15.69</v>
      </c>
      <c r="E734" s="9">
        <v>15.72</v>
      </c>
      <c r="F734" s="9">
        <v>9948800</v>
      </c>
      <c r="G734" s="9">
        <v>15.72</v>
      </c>
    </row>
    <row r="735" spans="1:7" x14ac:dyDescent="0.25">
      <c r="A735" s="101">
        <v>40940</v>
      </c>
      <c r="B735" s="9">
        <v>15.57</v>
      </c>
      <c r="C735" s="9">
        <v>15.8</v>
      </c>
      <c r="D735" s="9">
        <v>15.53</v>
      </c>
      <c r="E735" s="9">
        <v>15.73</v>
      </c>
      <c r="F735" s="9">
        <v>13221000</v>
      </c>
      <c r="G735" s="9">
        <v>15.73</v>
      </c>
    </row>
    <row r="736" spans="1:7" x14ac:dyDescent="0.25">
      <c r="A736" s="101">
        <v>40939</v>
      </c>
      <c r="B736" s="9">
        <v>15.54</v>
      </c>
      <c r="C736" s="9">
        <v>15.62</v>
      </c>
      <c r="D736" s="9">
        <v>15.41</v>
      </c>
      <c r="E736" s="9">
        <v>15.47</v>
      </c>
      <c r="F736" s="9">
        <v>10725500</v>
      </c>
      <c r="G736" s="9">
        <v>15.47</v>
      </c>
    </row>
    <row r="737" spans="1:7" x14ac:dyDescent="0.25">
      <c r="A737" s="101">
        <v>40938</v>
      </c>
      <c r="B737" s="9">
        <v>15.61</v>
      </c>
      <c r="C737" s="9">
        <v>15.65</v>
      </c>
      <c r="D737" s="9">
        <v>15.5</v>
      </c>
      <c r="E737" s="9">
        <v>15.55</v>
      </c>
      <c r="F737" s="9">
        <v>11076900</v>
      </c>
      <c r="G737" s="9">
        <v>15.55</v>
      </c>
    </row>
    <row r="738" spans="1:7" x14ac:dyDescent="0.25">
      <c r="A738" s="101">
        <v>40935</v>
      </c>
      <c r="B738" s="9">
        <v>15.5</v>
      </c>
      <c r="C738" s="9">
        <v>15.8</v>
      </c>
      <c r="D738" s="9">
        <v>15.46</v>
      </c>
      <c r="E738" s="9">
        <v>15.74</v>
      </c>
      <c r="F738" s="9">
        <v>10859000</v>
      </c>
      <c r="G738" s="9">
        <v>15.74</v>
      </c>
    </row>
    <row r="739" spans="1:7" x14ac:dyDescent="0.25">
      <c r="A739" s="101">
        <v>40934</v>
      </c>
      <c r="B739" s="9">
        <v>15.63</v>
      </c>
      <c r="C739" s="9">
        <v>15.69</v>
      </c>
      <c r="D739" s="9">
        <v>15.42</v>
      </c>
      <c r="E739" s="9">
        <v>15.53</v>
      </c>
      <c r="F739" s="9">
        <v>15408400</v>
      </c>
      <c r="G739" s="9">
        <v>15.53</v>
      </c>
    </row>
    <row r="740" spans="1:7" x14ac:dyDescent="0.25">
      <c r="A740" s="101">
        <v>40933</v>
      </c>
      <c r="B740" s="9">
        <v>15.6</v>
      </c>
      <c r="C740" s="9">
        <v>15.71</v>
      </c>
      <c r="D740" s="9">
        <v>15.46</v>
      </c>
      <c r="E740" s="9">
        <v>15.56</v>
      </c>
      <c r="F740" s="9">
        <v>23349500</v>
      </c>
      <c r="G740" s="9">
        <v>15.56</v>
      </c>
    </row>
    <row r="741" spans="1:7" x14ac:dyDescent="0.25">
      <c r="A741" s="101">
        <v>40932</v>
      </c>
      <c r="B741" s="9">
        <v>15.57</v>
      </c>
      <c r="C741" s="9">
        <v>15.81</v>
      </c>
      <c r="D741" s="9">
        <v>15.55</v>
      </c>
      <c r="E741" s="9">
        <v>15.69</v>
      </c>
      <c r="F741" s="9">
        <v>17152200</v>
      </c>
      <c r="G741" s="9">
        <v>15.69</v>
      </c>
    </row>
    <row r="742" spans="1:7" x14ac:dyDescent="0.25">
      <c r="A742" s="101">
        <v>40931</v>
      </c>
      <c r="B742" s="9">
        <v>15.85</v>
      </c>
      <c r="C742" s="9">
        <v>15.93</v>
      </c>
      <c r="D742" s="9">
        <v>15.64</v>
      </c>
      <c r="E742" s="9">
        <v>15.68</v>
      </c>
      <c r="F742" s="9">
        <v>17864500</v>
      </c>
      <c r="G742" s="9">
        <v>15.68</v>
      </c>
    </row>
    <row r="743" spans="1:7" x14ac:dyDescent="0.25">
      <c r="A743" s="101">
        <v>40928</v>
      </c>
      <c r="B743" s="9">
        <v>16.11</v>
      </c>
      <c r="C743" s="9">
        <v>16.11</v>
      </c>
      <c r="D743" s="9">
        <v>15.85</v>
      </c>
      <c r="E743" s="9">
        <v>15.96</v>
      </c>
      <c r="F743" s="9">
        <v>22003800</v>
      </c>
      <c r="G743" s="9">
        <v>15.96</v>
      </c>
    </row>
    <row r="744" spans="1:7" x14ac:dyDescent="0.25">
      <c r="A744" s="101">
        <v>40927</v>
      </c>
      <c r="B744" s="9">
        <v>15.9</v>
      </c>
      <c r="C744" s="9">
        <v>16.149999999999999</v>
      </c>
      <c r="D744" s="9">
        <v>15.89</v>
      </c>
      <c r="E744" s="9">
        <v>16.12</v>
      </c>
      <c r="F744" s="9">
        <v>22645000</v>
      </c>
      <c r="G744" s="9">
        <v>16.12</v>
      </c>
    </row>
    <row r="745" spans="1:7" x14ac:dyDescent="0.25">
      <c r="A745" s="101">
        <v>40926</v>
      </c>
      <c r="B745" s="9">
        <v>15.87</v>
      </c>
      <c r="C745" s="9">
        <v>16</v>
      </c>
      <c r="D745" s="9">
        <v>15.69</v>
      </c>
      <c r="E745" s="9">
        <v>15.92</v>
      </c>
      <c r="F745" s="9">
        <v>35695800</v>
      </c>
      <c r="G745" s="9">
        <v>15.92</v>
      </c>
    </row>
    <row r="746" spans="1:7" x14ac:dyDescent="0.25">
      <c r="A746" s="101">
        <v>40925</v>
      </c>
      <c r="B746" s="9">
        <v>15.63</v>
      </c>
      <c r="C746" s="9">
        <v>15.66</v>
      </c>
      <c r="D746" s="9">
        <v>15.39</v>
      </c>
      <c r="E746" s="9">
        <v>15.43</v>
      </c>
      <c r="F746" s="9">
        <v>15334200</v>
      </c>
      <c r="G746" s="9">
        <v>15.43</v>
      </c>
    </row>
    <row r="747" spans="1:7" x14ac:dyDescent="0.25">
      <c r="A747" s="101">
        <v>40921</v>
      </c>
      <c r="B747" s="9">
        <v>15.65</v>
      </c>
      <c r="C747" s="9">
        <v>15.67</v>
      </c>
      <c r="D747" s="9">
        <v>15.43</v>
      </c>
      <c r="E747" s="9">
        <v>15.48</v>
      </c>
      <c r="F747" s="9">
        <v>11704700</v>
      </c>
      <c r="G747" s="9">
        <v>15.48</v>
      </c>
    </row>
    <row r="748" spans="1:7" x14ac:dyDescent="0.25">
      <c r="A748" s="101">
        <v>40920</v>
      </c>
      <c r="B748" s="9">
        <v>15.58</v>
      </c>
      <c r="C748" s="9">
        <v>15.73</v>
      </c>
      <c r="D748" s="9">
        <v>15.45</v>
      </c>
      <c r="E748" s="9">
        <v>15.66</v>
      </c>
      <c r="F748" s="9">
        <v>12664600</v>
      </c>
      <c r="G748" s="9">
        <v>15.66</v>
      </c>
    </row>
    <row r="749" spans="1:7" x14ac:dyDescent="0.25">
      <c r="A749" s="101">
        <v>40919</v>
      </c>
      <c r="B749" s="9">
        <v>15.56</v>
      </c>
      <c r="C749" s="9">
        <v>15.62</v>
      </c>
      <c r="D749" s="9">
        <v>15.35</v>
      </c>
      <c r="E749" s="9">
        <v>15.53</v>
      </c>
      <c r="F749" s="9">
        <v>10800800</v>
      </c>
      <c r="G749" s="9">
        <v>15.53</v>
      </c>
    </row>
    <row r="750" spans="1:7" x14ac:dyDescent="0.25">
      <c r="A750" s="101">
        <v>40918</v>
      </c>
      <c r="B750" s="9">
        <v>15.57</v>
      </c>
      <c r="C750" s="9">
        <v>15.71</v>
      </c>
      <c r="D750" s="9">
        <v>15.5</v>
      </c>
      <c r="E750" s="9">
        <v>15.51</v>
      </c>
      <c r="F750" s="9">
        <v>14048800</v>
      </c>
      <c r="G750" s="9">
        <v>15.51</v>
      </c>
    </row>
    <row r="751" spans="1:7" x14ac:dyDescent="0.25">
      <c r="A751" s="101">
        <v>40917</v>
      </c>
      <c r="B751" s="9">
        <v>15.59</v>
      </c>
      <c r="C751" s="9">
        <v>15.61</v>
      </c>
      <c r="D751" s="9">
        <v>15.35</v>
      </c>
      <c r="E751" s="9">
        <v>15.46</v>
      </c>
      <c r="F751" s="9">
        <v>13191900</v>
      </c>
      <c r="G751" s="9">
        <v>15.46</v>
      </c>
    </row>
    <row r="752" spans="1:7" x14ac:dyDescent="0.25">
      <c r="A752" s="101">
        <v>40914</v>
      </c>
      <c r="B752" s="9">
        <v>15.64</v>
      </c>
      <c r="C752" s="9">
        <v>15.66</v>
      </c>
      <c r="D752" s="9">
        <v>15.4</v>
      </c>
      <c r="E752" s="9">
        <v>15.52</v>
      </c>
      <c r="F752" s="9">
        <v>13308400</v>
      </c>
      <c r="G752" s="9">
        <v>15.52</v>
      </c>
    </row>
    <row r="753" spans="1:7" x14ac:dyDescent="0.25">
      <c r="A753" s="101">
        <v>40913</v>
      </c>
      <c r="B753" s="9">
        <v>15.6</v>
      </c>
      <c r="C753" s="9">
        <v>15.69</v>
      </c>
      <c r="D753" s="9">
        <v>15.44</v>
      </c>
      <c r="E753" s="9">
        <v>15.64</v>
      </c>
      <c r="F753" s="9">
        <v>19422800</v>
      </c>
      <c r="G753" s="9">
        <v>15.64</v>
      </c>
    </row>
    <row r="754" spans="1:7" x14ac:dyDescent="0.25">
      <c r="A754" s="101">
        <v>40912</v>
      </c>
      <c r="B754" s="9">
        <v>16.12</v>
      </c>
      <c r="C754" s="9">
        <v>16.16</v>
      </c>
      <c r="D754" s="9">
        <v>15.74</v>
      </c>
      <c r="E754" s="9">
        <v>15.78</v>
      </c>
      <c r="F754" s="9">
        <v>35655300</v>
      </c>
      <c r="G754" s="9">
        <v>15.78</v>
      </c>
    </row>
    <row r="755" spans="1:7" x14ac:dyDescent="0.25">
      <c r="A755" s="101">
        <v>40911</v>
      </c>
      <c r="B755" s="9">
        <v>16.27</v>
      </c>
      <c r="C755" s="9">
        <v>16.39</v>
      </c>
      <c r="D755" s="9">
        <v>16.2</v>
      </c>
      <c r="E755" s="9">
        <v>16.29</v>
      </c>
      <c r="F755" s="9">
        <v>19708600</v>
      </c>
      <c r="G755" s="9">
        <v>16.29</v>
      </c>
    </row>
    <row r="756" spans="1:7" x14ac:dyDescent="0.25">
      <c r="A756" s="101">
        <v>40907</v>
      </c>
      <c r="B756" s="9">
        <v>16.18</v>
      </c>
      <c r="C756" s="9">
        <v>16.21</v>
      </c>
      <c r="D756" s="9">
        <v>16.03</v>
      </c>
      <c r="E756" s="9">
        <v>16.13</v>
      </c>
      <c r="F756" s="9">
        <v>10832800</v>
      </c>
      <c r="G756" s="9">
        <v>16.13</v>
      </c>
    </row>
    <row r="757" spans="1:7" x14ac:dyDescent="0.25">
      <c r="A757" s="101">
        <v>40906</v>
      </c>
      <c r="B757" s="9">
        <v>15.95</v>
      </c>
      <c r="C757" s="9">
        <v>16.23</v>
      </c>
      <c r="D757" s="9">
        <v>15.8</v>
      </c>
      <c r="E757" s="9">
        <v>16.13</v>
      </c>
      <c r="F757" s="9">
        <v>15280900</v>
      </c>
      <c r="G757" s="9">
        <v>16.13</v>
      </c>
    </row>
    <row r="758" spans="1:7" x14ac:dyDescent="0.25">
      <c r="A758" s="101">
        <v>40905</v>
      </c>
      <c r="B758" s="9">
        <v>16.03</v>
      </c>
      <c r="C758" s="9">
        <v>16.05</v>
      </c>
      <c r="D758" s="9">
        <v>15.67</v>
      </c>
      <c r="E758" s="9">
        <v>15.78</v>
      </c>
      <c r="F758" s="9">
        <v>14679900</v>
      </c>
      <c r="G758" s="9">
        <v>15.78</v>
      </c>
    </row>
    <row r="759" spans="1:7" x14ac:dyDescent="0.25">
      <c r="A759" s="101">
        <v>40904</v>
      </c>
      <c r="B759" s="9">
        <v>16.16</v>
      </c>
      <c r="C759" s="9">
        <v>16.170000000000002</v>
      </c>
      <c r="D759" s="9">
        <v>16.010000000000002</v>
      </c>
      <c r="E759" s="9">
        <v>16.09</v>
      </c>
      <c r="F759" s="9">
        <v>9739500</v>
      </c>
      <c r="G759" s="9">
        <v>16.09</v>
      </c>
    </row>
    <row r="760" spans="1:7" x14ac:dyDescent="0.25">
      <c r="A760" s="101">
        <v>40900</v>
      </c>
      <c r="B760" s="9">
        <v>16.05</v>
      </c>
      <c r="C760" s="9">
        <v>16.260000000000002</v>
      </c>
      <c r="D760" s="9">
        <v>15.87</v>
      </c>
      <c r="E760" s="9">
        <v>16.190000000000001</v>
      </c>
      <c r="F760" s="9">
        <v>17865900</v>
      </c>
      <c r="G760" s="9">
        <v>16.190000000000001</v>
      </c>
    </row>
    <row r="761" spans="1:7" x14ac:dyDescent="0.25">
      <c r="A761" s="101">
        <v>40899</v>
      </c>
      <c r="B761" s="9">
        <v>16.36</v>
      </c>
      <c r="C761" s="9">
        <v>16.399999999999999</v>
      </c>
      <c r="D761" s="9">
        <v>15.95</v>
      </c>
      <c r="E761" s="9">
        <v>16</v>
      </c>
      <c r="F761" s="9">
        <v>33812800</v>
      </c>
      <c r="G761" s="9">
        <v>16</v>
      </c>
    </row>
    <row r="762" spans="1:7" x14ac:dyDescent="0.25">
      <c r="A762" s="101">
        <v>40898</v>
      </c>
      <c r="B762" s="9">
        <v>15.15</v>
      </c>
      <c r="C762" s="9">
        <v>16.239999999999998</v>
      </c>
      <c r="D762" s="9">
        <v>14.74</v>
      </c>
      <c r="E762" s="9">
        <v>15.99</v>
      </c>
      <c r="F762" s="9">
        <v>47127600</v>
      </c>
      <c r="G762" s="9">
        <v>15.99</v>
      </c>
    </row>
    <row r="763" spans="1:7" x14ac:dyDescent="0.25">
      <c r="A763" s="101">
        <v>40897</v>
      </c>
      <c r="B763" s="9">
        <v>14.68</v>
      </c>
      <c r="C763" s="9">
        <v>15.19</v>
      </c>
      <c r="D763" s="9">
        <v>14.68</v>
      </c>
      <c r="E763" s="9">
        <v>15.11</v>
      </c>
      <c r="F763" s="9">
        <v>15885700</v>
      </c>
      <c r="G763" s="9">
        <v>15.11</v>
      </c>
    </row>
    <row r="764" spans="1:7" x14ac:dyDescent="0.25">
      <c r="A764" s="101">
        <v>40896</v>
      </c>
      <c r="B764" s="9">
        <v>14.95</v>
      </c>
      <c r="C764" s="9">
        <v>15</v>
      </c>
      <c r="D764" s="9">
        <v>14.57</v>
      </c>
      <c r="E764" s="9">
        <v>14.62</v>
      </c>
      <c r="F764" s="9">
        <v>21447300</v>
      </c>
      <c r="G764" s="9">
        <v>14.62</v>
      </c>
    </row>
    <row r="765" spans="1:7" x14ac:dyDescent="0.25">
      <c r="A765" s="101">
        <v>40893</v>
      </c>
      <c r="B765" s="9">
        <v>15.05</v>
      </c>
      <c r="C765" s="9">
        <v>15.26</v>
      </c>
      <c r="D765" s="9">
        <v>14.92</v>
      </c>
      <c r="E765" s="9">
        <v>14.96</v>
      </c>
      <c r="F765" s="9">
        <v>32617200</v>
      </c>
      <c r="G765" s="9">
        <v>14.96</v>
      </c>
    </row>
    <row r="766" spans="1:7" x14ac:dyDescent="0.25">
      <c r="A766" s="101">
        <v>40892</v>
      </c>
      <c r="B766" s="9">
        <v>15.21</v>
      </c>
      <c r="C766" s="9">
        <v>15.29</v>
      </c>
      <c r="D766" s="9">
        <v>15.01</v>
      </c>
      <c r="E766" s="9">
        <v>15.16</v>
      </c>
      <c r="F766" s="9">
        <v>14829800</v>
      </c>
      <c r="G766" s="9">
        <v>15.16</v>
      </c>
    </row>
    <row r="767" spans="1:7" x14ac:dyDescent="0.25">
      <c r="A767" s="101">
        <v>40891</v>
      </c>
      <c r="B767" s="9">
        <v>15.19</v>
      </c>
      <c r="C767" s="9">
        <v>15.28</v>
      </c>
      <c r="D767" s="9">
        <v>14.8</v>
      </c>
      <c r="E767" s="9">
        <v>15.02</v>
      </c>
      <c r="F767" s="9">
        <v>27251100</v>
      </c>
      <c r="G767" s="9">
        <v>15.02</v>
      </c>
    </row>
    <row r="768" spans="1:7" x14ac:dyDescent="0.25">
      <c r="A768" s="101">
        <v>40890</v>
      </c>
      <c r="B768" s="9">
        <v>15.54</v>
      </c>
      <c r="C768" s="9">
        <v>15.74</v>
      </c>
      <c r="D768" s="9">
        <v>15.35</v>
      </c>
      <c r="E768" s="9">
        <v>15.42</v>
      </c>
      <c r="F768" s="9">
        <v>15584400</v>
      </c>
      <c r="G768" s="9">
        <v>15.42</v>
      </c>
    </row>
    <row r="769" spans="1:7" x14ac:dyDescent="0.25">
      <c r="A769" s="101">
        <v>40889</v>
      </c>
      <c r="B769" s="9">
        <v>15.71</v>
      </c>
      <c r="C769" s="9">
        <v>15.72</v>
      </c>
      <c r="D769" s="9">
        <v>15.41</v>
      </c>
      <c r="E769" s="9">
        <v>15.47</v>
      </c>
      <c r="F769" s="9">
        <v>14689400</v>
      </c>
      <c r="G769" s="9">
        <v>15.47</v>
      </c>
    </row>
    <row r="770" spans="1:7" x14ac:dyDescent="0.25">
      <c r="A770" s="101">
        <v>40886</v>
      </c>
      <c r="B770" s="9">
        <v>15.61</v>
      </c>
      <c r="C770" s="9">
        <v>15.96</v>
      </c>
      <c r="D770" s="9">
        <v>15.6</v>
      </c>
      <c r="E770" s="9">
        <v>15.94</v>
      </c>
      <c r="F770" s="9">
        <v>13446300</v>
      </c>
      <c r="G770" s="9">
        <v>15.94</v>
      </c>
    </row>
    <row r="771" spans="1:7" x14ac:dyDescent="0.25">
      <c r="A771" s="101">
        <v>40885</v>
      </c>
      <c r="B771" s="9">
        <v>15.6</v>
      </c>
      <c r="C771" s="9">
        <v>15.76</v>
      </c>
      <c r="D771" s="9">
        <v>15.53</v>
      </c>
      <c r="E771" s="9">
        <v>15.61</v>
      </c>
      <c r="F771" s="9">
        <v>18126100</v>
      </c>
      <c r="G771" s="9">
        <v>15.61</v>
      </c>
    </row>
    <row r="772" spans="1:7" x14ac:dyDescent="0.25">
      <c r="A772" s="101">
        <v>40884</v>
      </c>
      <c r="B772" s="9">
        <v>15.82</v>
      </c>
      <c r="C772" s="9">
        <v>15.86</v>
      </c>
      <c r="D772" s="9">
        <v>15.56</v>
      </c>
      <c r="E772" s="9">
        <v>15.62</v>
      </c>
      <c r="F772" s="9">
        <v>19750500</v>
      </c>
      <c r="G772" s="9">
        <v>15.62</v>
      </c>
    </row>
    <row r="773" spans="1:7" x14ac:dyDescent="0.25">
      <c r="A773" s="101">
        <v>40883</v>
      </c>
      <c r="B773" s="9">
        <v>15.9</v>
      </c>
      <c r="C773" s="9">
        <v>16.05</v>
      </c>
      <c r="D773" s="9">
        <v>15.84</v>
      </c>
      <c r="E773" s="9">
        <v>15.84</v>
      </c>
      <c r="F773" s="9">
        <v>17333200</v>
      </c>
      <c r="G773" s="9">
        <v>15.84</v>
      </c>
    </row>
    <row r="774" spans="1:7" x14ac:dyDescent="0.25">
      <c r="A774" s="101">
        <v>40882</v>
      </c>
      <c r="B774" s="9">
        <v>16.11</v>
      </c>
      <c r="C774" s="9">
        <v>16.14</v>
      </c>
      <c r="D774" s="9">
        <v>15.83</v>
      </c>
      <c r="E774" s="9">
        <v>15.89</v>
      </c>
      <c r="F774" s="9">
        <v>19896500</v>
      </c>
      <c r="G774" s="9">
        <v>15.89</v>
      </c>
    </row>
    <row r="775" spans="1:7" x14ac:dyDescent="0.25">
      <c r="A775" s="101">
        <v>40879</v>
      </c>
      <c r="B775" s="9">
        <v>16.309999999999999</v>
      </c>
      <c r="C775" s="9">
        <v>16.41</v>
      </c>
      <c r="D775" s="9">
        <v>16.03</v>
      </c>
      <c r="E775" s="9">
        <v>16.05</v>
      </c>
      <c r="F775" s="9">
        <v>22714500</v>
      </c>
      <c r="G775" s="9">
        <v>16.05</v>
      </c>
    </row>
    <row r="776" spans="1:7" x14ac:dyDescent="0.25">
      <c r="A776" s="101">
        <v>40878</v>
      </c>
      <c r="B776" s="9">
        <v>16.420000000000002</v>
      </c>
      <c r="C776" s="9">
        <v>16.46</v>
      </c>
      <c r="D776" s="9">
        <v>16.09</v>
      </c>
      <c r="E776" s="9">
        <v>16.23</v>
      </c>
      <c r="F776" s="9">
        <v>47059800</v>
      </c>
      <c r="G776" s="9">
        <v>16.23</v>
      </c>
    </row>
    <row r="777" spans="1:7" x14ac:dyDescent="0.25">
      <c r="A777" s="101">
        <v>40877</v>
      </c>
      <c r="B777" s="9">
        <v>15.9</v>
      </c>
      <c r="C777" s="9">
        <v>16.04</v>
      </c>
      <c r="D777" s="9">
        <v>15.65</v>
      </c>
      <c r="E777" s="9">
        <v>15.71</v>
      </c>
      <c r="F777" s="9">
        <v>34718200</v>
      </c>
      <c r="G777" s="9">
        <v>15.71</v>
      </c>
    </row>
    <row r="778" spans="1:7" x14ac:dyDescent="0.25">
      <c r="A778" s="101">
        <v>40876</v>
      </c>
      <c r="B778" s="9">
        <v>15.6</v>
      </c>
      <c r="C778" s="9">
        <v>15.94</v>
      </c>
      <c r="D778" s="9">
        <v>15.45</v>
      </c>
      <c r="E778" s="9">
        <v>15.7</v>
      </c>
      <c r="F778" s="9">
        <v>29294000</v>
      </c>
      <c r="G778" s="9">
        <v>15.7</v>
      </c>
    </row>
    <row r="779" spans="1:7" x14ac:dyDescent="0.25">
      <c r="A779" s="101">
        <v>40875</v>
      </c>
      <c r="B779" s="9">
        <v>15.24</v>
      </c>
      <c r="C779" s="9">
        <v>15.47</v>
      </c>
      <c r="D779" s="9">
        <v>15.21</v>
      </c>
      <c r="E779" s="9">
        <v>15.35</v>
      </c>
      <c r="F779" s="9">
        <v>19029000</v>
      </c>
      <c r="G779" s="9">
        <v>15.35</v>
      </c>
    </row>
    <row r="780" spans="1:7" x14ac:dyDescent="0.25">
      <c r="A780" s="101">
        <v>40872</v>
      </c>
      <c r="B780" s="9">
        <v>15</v>
      </c>
      <c r="C780" s="9">
        <v>15.25</v>
      </c>
      <c r="D780" s="9">
        <v>14.9</v>
      </c>
      <c r="E780" s="9">
        <v>15.1</v>
      </c>
      <c r="F780" s="9">
        <v>10781800</v>
      </c>
      <c r="G780" s="9">
        <v>15.1</v>
      </c>
    </row>
    <row r="781" spans="1:7" x14ac:dyDescent="0.25">
      <c r="A781" s="101">
        <v>40870</v>
      </c>
      <c r="B781" s="9">
        <v>15.2</v>
      </c>
      <c r="C781" s="9">
        <v>15.24</v>
      </c>
      <c r="D781" s="9">
        <v>14.83</v>
      </c>
      <c r="E781" s="9">
        <v>14.94</v>
      </c>
      <c r="F781" s="9">
        <v>20125200</v>
      </c>
      <c r="G781" s="9">
        <v>14.94</v>
      </c>
    </row>
    <row r="782" spans="1:7" x14ac:dyDescent="0.25">
      <c r="A782" s="101">
        <v>40869</v>
      </c>
      <c r="B782" s="9">
        <v>14.88</v>
      </c>
      <c r="C782" s="9">
        <v>15.08</v>
      </c>
      <c r="D782" s="9">
        <v>14.75</v>
      </c>
      <c r="E782" s="9">
        <v>14.97</v>
      </c>
      <c r="F782" s="9">
        <v>14836000</v>
      </c>
      <c r="G782" s="9">
        <v>14.97</v>
      </c>
    </row>
    <row r="783" spans="1:7" x14ac:dyDescent="0.25">
      <c r="A783" s="101">
        <v>40868</v>
      </c>
      <c r="B783" s="9">
        <v>15.19</v>
      </c>
      <c r="C783" s="9">
        <v>15.19</v>
      </c>
      <c r="D783" s="9">
        <v>14.77</v>
      </c>
      <c r="E783" s="9">
        <v>14.99</v>
      </c>
      <c r="F783" s="9">
        <v>23676900</v>
      </c>
      <c r="G783" s="9">
        <v>14.99</v>
      </c>
    </row>
    <row r="784" spans="1:7" x14ac:dyDescent="0.25">
      <c r="A784" s="101">
        <v>40865</v>
      </c>
      <c r="B784" s="9">
        <v>15.57</v>
      </c>
      <c r="C784" s="9">
        <v>15.69</v>
      </c>
      <c r="D784" s="9">
        <v>15.37</v>
      </c>
      <c r="E784" s="9">
        <v>15.38</v>
      </c>
      <c r="F784" s="9">
        <v>17160300</v>
      </c>
      <c r="G784" s="9">
        <v>15.38</v>
      </c>
    </row>
    <row r="785" spans="1:7" x14ac:dyDescent="0.25">
      <c r="A785" s="101">
        <v>40864</v>
      </c>
      <c r="B785" s="9">
        <v>15.69</v>
      </c>
      <c r="C785" s="9">
        <v>15.77</v>
      </c>
      <c r="D785" s="9">
        <v>15.2</v>
      </c>
      <c r="E785" s="9">
        <v>15.34</v>
      </c>
      <c r="F785" s="9">
        <v>17443700</v>
      </c>
      <c r="G785" s="9">
        <v>15.34</v>
      </c>
    </row>
    <row r="786" spans="1:7" x14ac:dyDescent="0.25">
      <c r="A786" s="101">
        <v>40863</v>
      </c>
      <c r="B786" s="9">
        <v>15.8</v>
      </c>
      <c r="C786" s="9">
        <v>16.100000000000001</v>
      </c>
      <c r="D786" s="9">
        <v>15.7</v>
      </c>
      <c r="E786" s="9">
        <v>15.72</v>
      </c>
      <c r="F786" s="9">
        <v>14367600</v>
      </c>
      <c r="G786" s="9">
        <v>15.72</v>
      </c>
    </row>
    <row r="787" spans="1:7" x14ac:dyDescent="0.25">
      <c r="A787" s="101">
        <v>40862</v>
      </c>
      <c r="B787" s="9">
        <v>15.93</v>
      </c>
      <c r="C787" s="9">
        <v>16.05</v>
      </c>
      <c r="D787" s="9">
        <v>15.7</v>
      </c>
      <c r="E787" s="9">
        <v>15.93</v>
      </c>
      <c r="F787" s="9">
        <v>17650700</v>
      </c>
      <c r="G787" s="9">
        <v>15.93</v>
      </c>
    </row>
    <row r="788" spans="1:7" x14ac:dyDescent="0.25">
      <c r="A788" s="101">
        <v>40861</v>
      </c>
      <c r="B788" s="9">
        <v>16.170000000000002</v>
      </c>
      <c r="C788" s="9">
        <v>16.309999999999999</v>
      </c>
      <c r="D788" s="9">
        <v>15.93</v>
      </c>
      <c r="E788" s="9">
        <v>16</v>
      </c>
      <c r="F788" s="9">
        <v>14277600</v>
      </c>
      <c r="G788" s="9">
        <v>16</v>
      </c>
    </row>
    <row r="789" spans="1:7" x14ac:dyDescent="0.25">
      <c r="A789" s="101">
        <v>40858</v>
      </c>
      <c r="B789" s="9">
        <v>15.96</v>
      </c>
      <c r="C789" s="9">
        <v>16.309999999999999</v>
      </c>
      <c r="D789" s="9">
        <v>15.91</v>
      </c>
      <c r="E789" s="9">
        <v>16.27</v>
      </c>
      <c r="F789" s="9">
        <v>14541600</v>
      </c>
      <c r="G789" s="9">
        <v>16.27</v>
      </c>
    </row>
    <row r="790" spans="1:7" x14ac:dyDescent="0.25">
      <c r="A790" s="101">
        <v>40857</v>
      </c>
      <c r="B790" s="9">
        <v>16.18</v>
      </c>
      <c r="C790" s="9">
        <v>16.22</v>
      </c>
      <c r="D790" s="9">
        <v>15.84</v>
      </c>
      <c r="E790" s="9">
        <v>15.95</v>
      </c>
      <c r="F790" s="9">
        <v>15366400</v>
      </c>
      <c r="G790" s="9">
        <v>15.95</v>
      </c>
    </row>
    <row r="791" spans="1:7" x14ac:dyDescent="0.25">
      <c r="A791" s="101">
        <v>40856</v>
      </c>
      <c r="B791" s="9">
        <v>16.170000000000002</v>
      </c>
      <c r="C791" s="9">
        <v>16.5</v>
      </c>
      <c r="D791" s="9">
        <v>15.87</v>
      </c>
      <c r="E791" s="9">
        <v>15.92</v>
      </c>
      <c r="F791" s="9">
        <v>45328300</v>
      </c>
      <c r="G791" s="9">
        <v>15.92</v>
      </c>
    </row>
    <row r="792" spans="1:7" x14ac:dyDescent="0.25">
      <c r="A792" s="101">
        <v>40855</v>
      </c>
      <c r="B792" s="9">
        <v>15.87</v>
      </c>
      <c r="C792" s="9">
        <v>16.18</v>
      </c>
      <c r="D792" s="9">
        <v>15.81</v>
      </c>
      <c r="E792" s="9">
        <v>15.97</v>
      </c>
      <c r="F792" s="9">
        <v>25079700</v>
      </c>
      <c r="G792" s="9">
        <v>15.97</v>
      </c>
    </row>
    <row r="793" spans="1:7" x14ac:dyDescent="0.25">
      <c r="A793" s="101">
        <v>40854</v>
      </c>
      <c r="B793" s="9">
        <v>15.26</v>
      </c>
      <c r="C793" s="9">
        <v>15.7</v>
      </c>
      <c r="D793" s="9">
        <v>15.25</v>
      </c>
      <c r="E793" s="9">
        <v>15.69</v>
      </c>
      <c r="F793" s="9">
        <v>22390700</v>
      </c>
      <c r="G793" s="9">
        <v>15.69</v>
      </c>
    </row>
    <row r="794" spans="1:7" x14ac:dyDescent="0.25">
      <c r="A794" s="101">
        <v>40851</v>
      </c>
      <c r="B794" s="9">
        <v>15.39</v>
      </c>
      <c r="C794" s="9">
        <v>15.54</v>
      </c>
      <c r="D794" s="9">
        <v>14.95</v>
      </c>
      <c r="E794" s="9">
        <v>15.24</v>
      </c>
      <c r="F794" s="9">
        <v>41853000</v>
      </c>
      <c r="G794" s="9">
        <v>15.24</v>
      </c>
    </row>
    <row r="795" spans="1:7" x14ac:dyDescent="0.25">
      <c r="A795" s="101">
        <v>40850</v>
      </c>
      <c r="B795" s="9">
        <v>15.2</v>
      </c>
      <c r="C795" s="9">
        <v>15.5</v>
      </c>
      <c r="D795" s="9">
        <v>15.03</v>
      </c>
      <c r="E795" s="9">
        <v>15.48</v>
      </c>
      <c r="F795" s="9">
        <v>16809500</v>
      </c>
      <c r="G795" s="9">
        <v>15.48</v>
      </c>
    </row>
    <row r="796" spans="1:7" x14ac:dyDescent="0.25">
      <c r="A796" s="101">
        <v>40849</v>
      </c>
      <c r="B796" s="9">
        <v>15.1</v>
      </c>
      <c r="C796" s="9">
        <v>15.3</v>
      </c>
      <c r="D796" s="9">
        <v>15</v>
      </c>
      <c r="E796" s="9">
        <v>15.1</v>
      </c>
      <c r="F796" s="9">
        <v>20758800</v>
      </c>
      <c r="G796" s="9">
        <v>15.1</v>
      </c>
    </row>
    <row r="797" spans="1:7" x14ac:dyDescent="0.25">
      <c r="A797" s="101">
        <v>40848</v>
      </c>
      <c r="B797" s="9">
        <v>14.95</v>
      </c>
      <c r="C797" s="9">
        <v>15.08</v>
      </c>
      <c r="D797" s="9">
        <v>14.75</v>
      </c>
      <c r="E797" s="9">
        <v>14.93</v>
      </c>
      <c r="F797" s="9">
        <v>41834700</v>
      </c>
      <c r="G797" s="9">
        <v>14.93</v>
      </c>
    </row>
    <row r="798" spans="1:7" x14ac:dyDescent="0.25">
      <c r="A798" s="101">
        <v>40847</v>
      </c>
      <c r="B798" s="9">
        <v>16.059999999999999</v>
      </c>
      <c r="C798" s="9">
        <v>16.07</v>
      </c>
      <c r="D798" s="9">
        <v>15.45</v>
      </c>
      <c r="E798" s="9">
        <v>15.64</v>
      </c>
      <c r="F798" s="9">
        <v>39763700</v>
      </c>
      <c r="G798" s="9">
        <v>15.64</v>
      </c>
    </row>
    <row r="799" spans="1:7" x14ac:dyDescent="0.25">
      <c r="A799" s="101">
        <v>40844</v>
      </c>
      <c r="B799" s="9">
        <v>16.41</v>
      </c>
      <c r="C799" s="9">
        <v>16.7</v>
      </c>
      <c r="D799" s="9">
        <v>16.25</v>
      </c>
      <c r="E799" s="9">
        <v>16.559999999999999</v>
      </c>
      <c r="F799" s="9">
        <v>20286900</v>
      </c>
      <c r="G799" s="9">
        <v>16.559999999999999</v>
      </c>
    </row>
    <row r="800" spans="1:7" x14ac:dyDescent="0.25">
      <c r="A800" s="101">
        <v>40843</v>
      </c>
      <c r="B800" s="9">
        <v>16.559999999999999</v>
      </c>
      <c r="C800" s="9">
        <v>16.7</v>
      </c>
      <c r="D800" s="9">
        <v>16.45</v>
      </c>
      <c r="E800" s="9">
        <v>16.63</v>
      </c>
      <c r="F800" s="9">
        <v>19772200</v>
      </c>
      <c r="G800" s="9">
        <v>16.63</v>
      </c>
    </row>
    <row r="801" spans="1:7" x14ac:dyDescent="0.25">
      <c r="A801" s="101">
        <v>40842</v>
      </c>
      <c r="B801" s="9">
        <v>16.329999999999998</v>
      </c>
      <c r="C801" s="9">
        <v>16.440000000000001</v>
      </c>
      <c r="D801" s="9">
        <v>15.86</v>
      </c>
      <c r="E801" s="9">
        <v>16.3</v>
      </c>
      <c r="F801" s="9">
        <v>23630100</v>
      </c>
      <c r="G801" s="9">
        <v>16.3</v>
      </c>
    </row>
    <row r="802" spans="1:7" x14ac:dyDescent="0.25">
      <c r="A802" s="101">
        <v>40841</v>
      </c>
      <c r="B802" s="9">
        <v>16.66</v>
      </c>
      <c r="C802" s="9">
        <v>16.7</v>
      </c>
      <c r="D802" s="9">
        <v>16.18</v>
      </c>
      <c r="E802" s="9">
        <v>16.239999999999998</v>
      </c>
      <c r="F802" s="9">
        <v>24059700</v>
      </c>
      <c r="G802" s="9">
        <v>16.239999999999998</v>
      </c>
    </row>
    <row r="803" spans="1:7" x14ac:dyDescent="0.25">
      <c r="A803" s="101">
        <v>40840</v>
      </c>
      <c r="B803" s="9">
        <v>16.57</v>
      </c>
      <c r="C803" s="9">
        <v>16.75</v>
      </c>
      <c r="D803" s="9">
        <v>16.309999999999999</v>
      </c>
      <c r="E803" s="9">
        <v>16.71</v>
      </c>
      <c r="F803" s="9">
        <v>29864000</v>
      </c>
      <c r="G803" s="9">
        <v>16.71</v>
      </c>
    </row>
    <row r="804" spans="1:7" x14ac:dyDescent="0.25">
      <c r="A804" s="101">
        <v>40837</v>
      </c>
      <c r="B804" s="9">
        <v>16.38</v>
      </c>
      <c r="C804" s="9">
        <v>16.39</v>
      </c>
      <c r="D804" s="9">
        <v>16.059999999999999</v>
      </c>
      <c r="E804" s="9">
        <v>16.12</v>
      </c>
      <c r="F804" s="9">
        <v>29739400</v>
      </c>
      <c r="G804" s="9">
        <v>16.12</v>
      </c>
    </row>
    <row r="805" spans="1:7" x14ac:dyDescent="0.25">
      <c r="A805" s="101">
        <v>40836</v>
      </c>
      <c r="B805" s="9">
        <v>16.2</v>
      </c>
      <c r="C805" s="9">
        <v>16.489999999999998</v>
      </c>
      <c r="D805" s="9">
        <v>15.97</v>
      </c>
      <c r="E805" s="9">
        <v>16.18</v>
      </c>
      <c r="F805" s="9">
        <v>40816900</v>
      </c>
      <c r="G805" s="9">
        <v>16.18</v>
      </c>
    </row>
    <row r="806" spans="1:7" x14ac:dyDescent="0.25">
      <c r="A806" s="101">
        <v>40835</v>
      </c>
      <c r="B806" s="9">
        <v>16.04</v>
      </c>
      <c r="C806" s="9">
        <v>16.79</v>
      </c>
      <c r="D806" s="9">
        <v>15.73</v>
      </c>
      <c r="E806" s="9">
        <v>15.94</v>
      </c>
      <c r="F806" s="9">
        <v>54264500</v>
      </c>
      <c r="G806" s="9">
        <v>15.94</v>
      </c>
    </row>
    <row r="807" spans="1:7" x14ac:dyDescent="0.25">
      <c r="A807" s="101">
        <v>40834</v>
      </c>
      <c r="B807" s="9">
        <v>15.72</v>
      </c>
      <c r="C807" s="9">
        <v>15.74</v>
      </c>
      <c r="D807" s="9">
        <v>15.11</v>
      </c>
      <c r="E807" s="9">
        <v>15.47</v>
      </c>
      <c r="F807" s="9">
        <v>31377900</v>
      </c>
      <c r="G807" s="9">
        <v>15.47</v>
      </c>
    </row>
    <row r="808" spans="1:7" x14ac:dyDescent="0.25">
      <c r="A808" s="101">
        <v>40833</v>
      </c>
      <c r="B808" s="9">
        <v>15.95</v>
      </c>
      <c r="C808" s="9">
        <v>16.04</v>
      </c>
      <c r="D808" s="9">
        <v>15.65</v>
      </c>
      <c r="E808" s="9">
        <v>15.7</v>
      </c>
      <c r="F808" s="9">
        <v>21204000</v>
      </c>
      <c r="G808" s="9">
        <v>15.7</v>
      </c>
    </row>
    <row r="809" spans="1:7" x14ac:dyDescent="0.25">
      <c r="A809" s="101">
        <v>40830</v>
      </c>
      <c r="B809" s="9">
        <v>16.13</v>
      </c>
      <c r="C809" s="9">
        <v>16.149999999999999</v>
      </c>
      <c r="D809" s="9">
        <v>15.66</v>
      </c>
      <c r="E809" s="9">
        <v>15.91</v>
      </c>
      <c r="F809" s="9">
        <v>23520100</v>
      </c>
      <c r="G809" s="9">
        <v>15.91</v>
      </c>
    </row>
    <row r="810" spans="1:7" x14ac:dyDescent="0.25">
      <c r="A810" s="101">
        <v>40829</v>
      </c>
      <c r="B810" s="9">
        <v>15.76</v>
      </c>
      <c r="C810" s="9">
        <v>16.37</v>
      </c>
      <c r="D810" s="9">
        <v>15.54</v>
      </c>
      <c r="E810" s="9">
        <v>15.93</v>
      </c>
      <c r="F810" s="9">
        <v>32487300</v>
      </c>
      <c r="G810" s="9">
        <v>15.93</v>
      </c>
    </row>
    <row r="811" spans="1:7" x14ac:dyDescent="0.25">
      <c r="A811" s="101">
        <v>40828</v>
      </c>
      <c r="B811" s="9">
        <v>15.93</v>
      </c>
      <c r="C811" s="9">
        <v>15.95</v>
      </c>
      <c r="D811" s="9">
        <v>15.67</v>
      </c>
      <c r="E811" s="9">
        <v>15.77</v>
      </c>
      <c r="F811" s="9">
        <v>20585400</v>
      </c>
      <c r="G811" s="9">
        <v>15.77</v>
      </c>
    </row>
    <row r="812" spans="1:7" x14ac:dyDescent="0.25">
      <c r="A812" s="101">
        <v>40827</v>
      </c>
      <c r="B812" s="9">
        <v>15.79</v>
      </c>
      <c r="C812" s="9">
        <v>15.95</v>
      </c>
      <c r="D812" s="9">
        <v>15.59</v>
      </c>
      <c r="E812" s="9">
        <v>15.86</v>
      </c>
      <c r="F812" s="9">
        <v>18050300</v>
      </c>
      <c r="G812" s="9">
        <v>15.86</v>
      </c>
    </row>
    <row r="813" spans="1:7" x14ac:dyDescent="0.25">
      <c r="A813" s="101">
        <v>40826</v>
      </c>
      <c r="B813" s="9">
        <v>15.86</v>
      </c>
      <c r="C813" s="9">
        <v>16.04</v>
      </c>
      <c r="D813" s="9">
        <v>15.62</v>
      </c>
      <c r="E813" s="9">
        <v>15.84</v>
      </c>
      <c r="F813" s="9">
        <v>33085000</v>
      </c>
      <c r="G813" s="9">
        <v>15.84</v>
      </c>
    </row>
    <row r="814" spans="1:7" x14ac:dyDescent="0.25">
      <c r="A814" s="101">
        <v>40823</v>
      </c>
      <c r="B814" s="9">
        <v>15.64</v>
      </c>
      <c r="C814" s="9">
        <v>15.75</v>
      </c>
      <c r="D814" s="9">
        <v>15.38</v>
      </c>
      <c r="E814" s="9">
        <v>15.47</v>
      </c>
      <c r="F814" s="9">
        <v>27954000</v>
      </c>
      <c r="G814" s="9">
        <v>15.47</v>
      </c>
    </row>
    <row r="815" spans="1:7" x14ac:dyDescent="0.25">
      <c r="A815" s="101">
        <v>40822</v>
      </c>
      <c r="B815" s="9">
        <v>15.16</v>
      </c>
      <c r="C815" s="9">
        <v>15.8</v>
      </c>
      <c r="D815" s="9">
        <v>14.92</v>
      </c>
      <c r="E815" s="9">
        <v>15.65</v>
      </c>
      <c r="F815" s="9">
        <v>49961100</v>
      </c>
      <c r="G815" s="9">
        <v>15.65</v>
      </c>
    </row>
    <row r="816" spans="1:7" x14ac:dyDescent="0.25">
      <c r="A816" s="101">
        <v>40821</v>
      </c>
      <c r="B816" s="9">
        <v>14.66</v>
      </c>
      <c r="C816" s="9">
        <v>16.149999999999999</v>
      </c>
      <c r="D816" s="9">
        <v>14.39</v>
      </c>
      <c r="E816" s="9">
        <v>15.92</v>
      </c>
      <c r="F816" s="9">
        <v>97330200</v>
      </c>
      <c r="G816" s="9">
        <v>15.92</v>
      </c>
    </row>
    <row r="817" spans="1:7" x14ac:dyDescent="0.25">
      <c r="A817" s="101">
        <v>40820</v>
      </c>
      <c r="B817" s="9">
        <v>14</v>
      </c>
      <c r="C817" s="9">
        <v>14.48</v>
      </c>
      <c r="D817" s="9">
        <v>13.87</v>
      </c>
      <c r="E817" s="9">
        <v>14.46</v>
      </c>
      <c r="F817" s="9">
        <v>44487200</v>
      </c>
      <c r="G817" s="9">
        <v>14.46</v>
      </c>
    </row>
    <row r="818" spans="1:7" x14ac:dyDescent="0.25">
      <c r="A818" s="101">
        <v>40819</v>
      </c>
      <c r="B818" s="9">
        <v>13.7</v>
      </c>
      <c r="C818" s="9">
        <v>14.04</v>
      </c>
      <c r="D818" s="9">
        <v>13.37</v>
      </c>
      <c r="E818" s="9">
        <v>13.53</v>
      </c>
      <c r="F818" s="9">
        <v>43196300</v>
      </c>
      <c r="G818" s="9">
        <v>13.53</v>
      </c>
    </row>
    <row r="819" spans="1:7" x14ac:dyDescent="0.25">
      <c r="A819" s="101">
        <v>40816</v>
      </c>
      <c r="B819" s="9">
        <v>13.21</v>
      </c>
      <c r="C819" s="9">
        <v>13.44</v>
      </c>
      <c r="D819" s="9">
        <v>13.11</v>
      </c>
      <c r="E819" s="9">
        <v>13.17</v>
      </c>
      <c r="F819" s="9">
        <v>30232800</v>
      </c>
      <c r="G819" s="9">
        <v>13.17</v>
      </c>
    </row>
    <row r="820" spans="1:7" x14ac:dyDescent="0.25">
      <c r="A820" s="101">
        <v>40815</v>
      </c>
      <c r="B820" s="9">
        <v>14.34</v>
      </c>
      <c r="C820" s="9">
        <v>14.39</v>
      </c>
      <c r="D820" s="9">
        <v>13.15</v>
      </c>
      <c r="E820" s="9">
        <v>13.42</v>
      </c>
      <c r="F820" s="9">
        <v>45776600</v>
      </c>
      <c r="G820" s="9">
        <v>13.42</v>
      </c>
    </row>
    <row r="821" spans="1:7" x14ac:dyDescent="0.25">
      <c r="A821" s="101">
        <v>40814</v>
      </c>
      <c r="B821" s="9">
        <v>14.61</v>
      </c>
      <c r="C821" s="9">
        <v>14.62</v>
      </c>
      <c r="D821" s="9">
        <v>14.15</v>
      </c>
      <c r="E821" s="9">
        <v>14.19</v>
      </c>
      <c r="F821" s="9">
        <v>21284700</v>
      </c>
      <c r="G821" s="9">
        <v>14.19</v>
      </c>
    </row>
    <row r="822" spans="1:7" x14ac:dyDescent="0.25">
      <c r="A822" s="101">
        <v>40813</v>
      </c>
      <c r="B822" s="9">
        <v>14.92</v>
      </c>
      <c r="C822" s="9">
        <v>15</v>
      </c>
      <c r="D822" s="9">
        <v>14.44</v>
      </c>
      <c r="E822" s="9">
        <v>14.54</v>
      </c>
      <c r="F822" s="9">
        <v>25084400</v>
      </c>
      <c r="G822" s="9">
        <v>14.54</v>
      </c>
    </row>
    <row r="823" spans="1:7" x14ac:dyDescent="0.25">
      <c r="A823" s="101">
        <v>40812</v>
      </c>
      <c r="B823" s="9">
        <v>14.79</v>
      </c>
      <c r="C823" s="9">
        <v>14.8</v>
      </c>
      <c r="D823" s="9">
        <v>14.23</v>
      </c>
      <c r="E823" s="9">
        <v>14.75</v>
      </c>
      <c r="F823" s="9">
        <v>24466200</v>
      </c>
      <c r="G823" s="9">
        <v>14.75</v>
      </c>
    </row>
    <row r="824" spans="1:7" x14ac:dyDescent="0.25">
      <c r="A824" s="101">
        <v>40809</v>
      </c>
      <c r="B824" s="9">
        <v>14.23</v>
      </c>
      <c r="C824" s="9">
        <v>14.83</v>
      </c>
      <c r="D824" s="9">
        <v>14.12</v>
      </c>
      <c r="E824" s="9">
        <v>14.71</v>
      </c>
      <c r="F824" s="9">
        <v>49333200</v>
      </c>
      <c r="G824" s="9">
        <v>14.71</v>
      </c>
    </row>
    <row r="825" spans="1:7" x14ac:dyDescent="0.25">
      <c r="A825" s="101">
        <v>40808</v>
      </c>
      <c r="B825" s="9">
        <v>14.2</v>
      </c>
      <c r="C825" s="9">
        <v>14.25</v>
      </c>
      <c r="D825" s="9">
        <v>13.69</v>
      </c>
      <c r="E825" s="9">
        <v>13.99</v>
      </c>
      <c r="F825" s="9">
        <v>60456300</v>
      </c>
      <c r="G825" s="9">
        <v>13.99</v>
      </c>
    </row>
    <row r="826" spans="1:7" x14ac:dyDescent="0.25">
      <c r="A826" s="101">
        <v>40807</v>
      </c>
      <c r="B826" s="9">
        <v>14.38</v>
      </c>
      <c r="C826" s="9">
        <v>14.6</v>
      </c>
      <c r="D826" s="9">
        <v>13.96</v>
      </c>
      <c r="E826" s="9">
        <v>13.96</v>
      </c>
      <c r="F826" s="9">
        <v>32012800</v>
      </c>
      <c r="G826" s="9">
        <v>13.96</v>
      </c>
    </row>
    <row r="827" spans="1:7" x14ac:dyDescent="0.25">
      <c r="A827" s="101">
        <v>40806</v>
      </c>
      <c r="B827" s="9">
        <v>14.53</v>
      </c>
      <c r="C827" s="9">
        <v>14.66</v>
      </c>
      <c r="D827" s="9">
        <v>14.28</v>
      </c>
      <c r="E827" s="9">
        <v>14.36</v>
      </c>
      <c r="F827" s="9">
        <v>21767200</v>
      </c>
      <c r="G827" s="9">
        <v>14.36</v>
      </c>
    </row>
    <row r="828" spans="1:7" x14ac:dyDescent="0.25">
      <c r="A828" s="101">
        <v>40805</v>
      </c>
      <c r="B828" s="9">
        <v>14.76</v>
      </c>
      <c r="C828" s="9">
        <v>14.79</v>
      </c>
      <c r="D828" s="9">
        <v>14.4</v>
      </c>
      <c r="E828" s="9">
        <v>14.61</v>
      </c>
      <c r="F828" s="9">
        <v>27290100</v>
      </c>
      <c r="G828" s="9">
        <v>14.61</v>
      </c>
    </row>
    <row r="829" spans="1:7" x14ac:dyDescent="0.25">
      <c r="A829" s="101">
        <v>40802</v>
      </c>
      <c r="B829" s="9">
        <v>15.09</v>
      </c>
      <c r="C829" s="9">
        <v>15.34</v>
      </c>
      <c r="D829" s="9">
        <v>14.94</v>
      </c>
      <c r="E829" s="9">
        <v>14.97</v>
      </c>
      <c r="F829" s="9">
        <v>56827900</v>
      </c>
      <c r="G829" s="9">
        <v>14.97</v>
      </c>
    </row>
    <row r="830" spans="1:7" x14ac:dyDescent="0.25">
      <c r="A830" s="101">
        <v>40801</v>
      </c>
      <c r="B830" s="9">
        <v>14.73</v>
      </c>
      <c r="C830" s="9">
        <v>15.4</v>
      </c>
      <c r="D830" s="9">
        <v>14.51</v>
      </c>
      <c r="E830" s="9">
        <v>14.89</v>
      </c>
      <c r="F830" s="9">
        <v>58585100</v>
      </c>
      <c r="G830" s="9">
        <v>14.89</v>
      </c>
    </row>
    <row r="831" spans="1:7" x14ac:dyDescent="0.25">
      <c r="A831" s="101">
        <v>40800</v>
      </c>
      <c r="B831" s="9">
        <v>14.47</v>
      </c>
      <c r="C831" s="9">
        <v>14.94</v>
      </c>
      <c r="D831" s="9">
        <v>14.34</v>
      </c>
      <c r="E831" s="9">
        <v>14.55</v>
      </c>
      <c r="F831" s="9">
        <v>37385000</v>
      </c>
      <c r="G831" s="9">
        <v>14.55</v>
      </c>
    </row>
    <row r="832" spans="1:7" x14ac:dyDescent="0.25">
      <c r="A832" s="101">
        <v>40799</v>
      </c>
      <c r="B832" s="9">
        <v>14.3</v>
      </c>
      <c r="C832" s="9">
        <v>14.34</v>
      </c>
      <c r="D832" s="9">
        <v>14.12</v>
      </c>
      <c r="E832" s="9">
        <v>14.26</v>
      </c>
      <c r="F832" s="9">
        <v>19928800</v>
      </c>
      <c r="G832" s="9">
        <v>14.26</v>
      </c>
    </row>
    <row r="833" spans="1:7" x14ac:dyDescent="0.25">
      <c r="A833" s="101">
        <v>40798</v>
      </c>
      <c r="B833" s="9">
        <v>14.12</v>
      </c>
      <c r="C833" s="9">
        <v>14.28</v>
      </c>
      <c r="D833" s="9">
        <v>13.92</v>
      </c>
      <c r="E833" s="9">
        <v>14.26</v>
      </c>
      <c r="F833" s="9">
        <v>32692700</v>
      </c>
      <c r="G833" s="9">
        <v>14.26</v>
      </c>
    </row>
    <row r="834" spans="1:7" x14ac:dyDescent="0.25">
      <c r="A834" s="101">
        <v>40795</v>
      </c>
      <c r="B834" s="9">
        <v>14.36</v>
      </c>
      <c r="C834" s="9">
        <v>14.57</v>
      </c>
      <c r="D834" s="9">
        <v>14.07</v>
      </c>
      <c r="E834" s="9">
        <v>14.48</v>
      </c>
      <c r="F834" s="9">
        <v>60031900</v>
      </c>
      <c r="G834" s="9">
        <v>14.48</v>
      </c>
    </row>
    <row r="835" spans="1:7" x14ac:dyDescent="0.25">
      <c r="A835" s="101">
        <v>40794</v>
      </c>
      <c r="B835" s="9">
        <v>13.57</v>
      </c>
      <c r="C835" s="9">
        <v>14.49</v>
      </c>
      <c r="D835" s="9">
        <v>13.37</v>
      </c>
      <c r="E835" s="9">
        <v>14.44</v>
      </c>
      <c r="F835" s="9">
        <v>93972000</v>
      </c>
      <c r="G835" s="9">
        <v>14.44</v>
      </c>
    </row>
    <row r="836" spans="1:7" x14ac:dyDescent="0.25">
      <c r="A836" s="101">
        <v>40793</v>
      </c>
      <c r="B836" s="9">
        <v>13.75</v>
      </c>
      <c r="C836" s="9">
        <v>14</v>
      </c>
      <c r="D836" s="9">
        <v>13.24</v>
      </c>
      <c r="E836" s="9">
        <v>13.61</v>
      </c>
      <c r="F836" s="9">
        <v>77324200</v>
      </c>
      <c r="G836" s="9">
        <v>13.61</v>
      </c>
    </row>
    <row r="837" spans="1:7" x14ac:dyDescent="0.25">
      <c r="A837" s="101">
        <v>40792</v>
      </c>
      <c r="B837" s="9">
        <v>12.52</v>
      </c>
      <c r="C837" s="9">
        <v>12.95</v>
      </c>
      <c r="D837" s="9">
        <v>12.45</v>
      </c>
      <c r="E837" s="9">
        <v>12.91</v>
      </c>
      <c r="F837" s="9">
        <v>54455300</v>
      </c>
      <c r="G837" s="9">
        <v>12.91</v>
      </c>
    </row>
    <row r="838" spans="1:7" x14ac:dyDescent="0.25">
      <c r="A838" s="101">
        <v>40788</v>
      </c>
      <c r="B838" s="9">
        <v>13.12</v>
      </c>
      <c r="C838" s="9">
        <v>13.13</v>
      </c>
      <c r="D838" s="9">
        <v>12.86</v>
      </c>
      <c r="E838" s="9">
        <v>12.87</v>
      </c>
      <c r="F838" s="9">
        <v>20508600</v>
      </c>
      <c r="G838" s="9">
        <v>12.87</v>
      </c>
    </row>
    <row r="839" spans="1:7" x14ac:dyDescent="0.25">
      <c r="A839" s="101">
        <v>40787</v>
      </c>
      <c r="B839" s="9">
        <v>13.67</v>
      </c>
      <c r="C839" s="9">
        <v>13.78</v>
      </c>
      <c r="D839" s="9">
        <v>13.32</v>
      </c>
      <c r="E839" s="9">
        <v>13.35</v>
      </c>
      <c r="F839" s="9">
        <v>17962700</v>
      </c>
      <c r="G839" s="9">
        <v>13.35</v>
      </c>
    </row>
    <row r="840" spans="1:7" x14ac:dyDescent="0.25">
      <c r="A840" s="101">
        <v>40786</v>
      </c>
      <c r="B840" s="9">
        <v>13.91</v>
      </c>
      <c r="C840" s="9">
        <v>13.94</v>
      </c>
      <c r="D840" s="9">
        <v>13.54</v>
      </c>
      <c r="E840" s="9">
        <v>13.61</v>
      </c>
      <c r="F840" s="9">
        <v>25390700</v>
      </c>
      <c r="G840" s="9">
        <v>13.61</v>
      </c>
    </row>
    <row r="841" spans="1:7" x14ac:dyDescent="0.25">
      <c r="A841" s="101">
        <v>40785</v>
      </c>
      <c r="B841" s="9">
        <v>13.3</v>
      </c>
      <c r="C841" s="9">
        <v>13.98</v>
      </c>
      <c r="D841" s="9">
        <v>13.23</v>
      </c>
      <c r="E841" s="9">
        <v>13.84</v>
      </c>
      <c r="F841" s="9">
        <v>29162300</v>
      </c>
      <c r="G841" s="9">
        <v>13.84</v>
      </c>
    </row>
    <row r="842" spans="1:7" x14ac:dyDescent="0.25">
      <c r="A842" s="101">
        <v>40784</v>
      </c>
      <c r="B842" s="9">
        <v>12.9</v>
      </c>
      <c r="C842" s="9">
        <v>13.68</v>
      </c>
      <c r="D842" s="9">
        <v>12.69</v>
      </c>
      <c r="E842" s="9">
        <v>13.68</v>
      </c>
      <c r="F842" s="9">
        <v>30990800</v>
      </c>
      <c r="G842" s="9">
        <v>13.68</v>
      </c>
    </row>
    <row r="843" spans="1:7" x14ac:dyDescent="0.25">
      <c r="A843" s="101">
        <v>40781</v>
      </c>
      <c r="B843" s="9">
        <v>12.8</v>
      </c>
      <c r="C843" s="9">
        <v>12.89</v>
      </c>
      <c r="D843" s="9">
        <v>12.52</v>
      </c>
      <c r="E843" s="9">
        <v>12.74</v>
      </c>
      <c r="F843" s="9">
        <v>35882600</v>
      </c>
      <c r="G843" s="9">
        <v>12.74</v>
      </c>
    </row>
    <row r="844" spans="1:7" x14ac:dyDescent="0.25">
      <c r="A844" s="101">
        <v>40780</v>
      </c>
      <c r="B844" s="9">
        <v>13.12</v>
      </c>
      <c r="C844" s="9">
        <v>13.21</v>
      </c>
      <c r="D844" s="9">
        <v>12.81</v>
      </c>
      <c r="E844" s="9">
        <v>12.87</v>
      </c>
      <c r="F844" s="9">
        <v>21811800</v>
      </c>
      <c r="G844" s="9">
        <v>12.87</v>
      </c>
    </row>
    <row r="845" spans="1:7" x14ac:dyDescent="0.25">
      <c r="A845" s="101">
        <v>40779</v>
      </c>
      <c r="B845" s="9">
        <v>13.28</v>
      </c>
      <c r="C845" s="9">
        <v>13.3</v>
      </c>
      <c r="D845" s="9">
        <v>12.79</v>
      </c>
      <c r="E845" s="9">
        <v>13.15</v>
      </c>
      <c r="F845" s="9">
        <v>24967200</v>
      </c>
      <c r="G845" s="9">
        <v>13.15</v>
      </c>
    </row>
    <row r="846" spans="1:7" x14ac:dyDescent="0.25">
      <c r="A846" s="101">
        <v>40778</v>
      </c>
      <c r="B846" s="9">
        <v>12.91</v>
      </c>
      <c r="C846" s="9">
        <v>13.35</v>
      </c>
      <c r="D846" s="9">
        <v>12.75</v>
      </c>
      <c r="E846" s="9">
        <v>13.35</v>
      </c>
      <c r="F846" s="9">
        <v>17186500</v>
      </c>
      <c r="G846" s="9">
        <v>13.35</v>
      </c>
    </row>
    <row r="847" spans="1:7" x14ac:dyDescent="0.25">
      <c r="A847" s="101">
        <v>40777</v>
      </c>
      <c r="B847" s="9">
        <v>13.16</v>
      </c>
      <c r="C847" s="9">
        <v>13.23</v>
      </c>
      <c r="D847" s="9">
        <v>12.77</v>
      </c>
      <c r="E847" s="9">
        <v>12.84</v>
      </c>
      <c r="F847" s="9">
        <v>14199400</v>
      </c>
      <c r="G847" s="9">
        <v>12.84</v>
      </c>
    </row>
    <row r="848" spans="1:7" x14ac:dyDescent="0.25">
      <c r="A848" s="101">
        <v>40774</v>
      </c>
      <c r="B848" s="9">
        <v>12.75</v>
      </c>
      <c r="C848" s="9">
        <v>13.08</v>
      </c>
      <c r="D848" s="9">
        <v>12.72</v>
      </c>
      <c r="E848" s="9">
        <v>12.92</v>
      </c>
      <c r="F848" s="9">
        <v>26183900</v>
      </c>
      <c r="G848" s="9">
        <v>12.92</v>
      </c>
    </row>
    <row r="849" spans="1:7" x14ac:dyDescent="0.25">
      <c r="A849" s="101">
        <v>40773</v>
      </c>
      <c r="B849" s="9">
        <v>13.02</v>
      </c>
      <c r="C849" s="9">
        <v>13.09</v>
      </c>
      <c r="D849" s="9">
        <v>12.8</v>
      </c>
      <c r="E849" s="9">
        <v>12.96</v>
      </c>
      <c r="F849" s="9">
        <v>30447700</v>
      </c>
      <c r="G849" s="9">
        <v>12.96</v>
      </c>
    </row>
    <row r="850" spans="1:7" x14ac:dyDescent="0.25">
      <c r="A850" s="101">
        <v>40772</v>
      </c>
      <c r="B850" s="9">
        <v>13.49</v>
      </c>
      <c r="C850" s="9">
        <v>13.62</v>
      </c>
      <c r="D850" s="9">
        <v>13.32</v>
      </c>
      <c r="E850" s="9">
        <v>13.47</v>
      </c>
      <c r="F850" s="9">
        <v>17006500</v>
      </c>
      <c r="G850" s="9">
        <v>13.47</v>
      </c>
    </row>
    <row r="851" spans="1:7" x14ac:dyDescent="0.25">
      <c r="A851" s="101">
        <v>40771</v>
      </c>
      <c r="B851" s="9">
        <v>13.34</v>
      </c>
      <c r="C851" s="9">
        <v>13.57</v>
      </c>
      <c r="D851" s="9">
        <v>13.18</v>
      </c>
      <c r="E851" s="9">
        <v>13.48</v>
      </c>
      <c r="F851" s="9">
        <v>25581900</v>
      </c>
      <c r="G851" s="9">
        <v>13.48</v>
      </c>
    </row>
    <row r="852" spans="1:7" x14ac:dyDescent="0.25">
      <c r="A852" s="101">
        <v>40770</v>
      </c>
      <c r="B852" s="9">
        <v>13.63</v>
      </c>
      <c r="C852" s="9">
        <v>13.69</v>
      </c>
      <c r="D852" s="9">
        <v>13.27</v>
      </c>
      <c r="E852" s="9">
        <v>13.47</v>
      </c>
      <c r="F852" s="9">
        <v>25682800</v>
      </c>
      <c r="G852" s="9">
        <v>13.47</v>
      </c>
    </row>
    <row r="853" spans="1:7" x14ac:dyDescent="0.25">
      <c r="A853" s="101">
        <v>40767</v>
      </c>
      <c r="B853" s="9">
        <v>12.81</v>
      </c>
      <c r="C853" s="9">
        <v>13.62</v>
      </c>
      <c r="D853" s="9">
        <v>12.76</v>
      </c>
      <c r="E853" s="9">
        <v>13.59</v>
      </c>
      <c r="F853" s="9">
        <v>48472500</v>
      </c>
      <c r="G853" s="9">
        <v>13.59</v>
      </c>
    </row>
    <row r="854" spans="1:7" x14ac:dyDescent="0.25">
      <c r="A854" s="101">
        <v>40766</v>
      </c>
      <c r="B854" s="9">
        <v>11.89</v>
      </c>
      <c r="C854" s="9">
        <v>12.92</v>
      </c>
      <c r="D854" s="9">
        <v>11.88</v>
      </c>
      <c r="E854" s="9">
        <v>12.86</v>
      </c>
      <c r="F854" s="9">
        <v>51098800</v>
      </c>
      <c r="G854" s="9">
        <v>12.86</v>
      </c>
    </row>
    <row r="855" spans="1:7" x14ac:dyDescent="0.25">
      <c r="A855" s="101">
        <v>40765</v>
      </c>
      <c r="B855" s="9">
        <v>11.77</v>
      </c>
      <c r="C855" s="9">
        <v>12.14</v>
      </c>
      <c r="D855" s="9">
        <v>11.62</v>
      </c>
      <c r="E855" s="9">
        <v>11.77</v>
      </c>
      <c r="F855" s="9">
        <v>48027400</v>
      </c>
      <c r="G855" s="9">
        <v>11.77</v>
      </c>
    </row>
    <row r="856" spans="1:7" x14ac:dyDescent="0.25">
      <c r="A856" s="101">
        <v>40764</v>
      </c>
      <c r="B856" s="9">
        <v>11.3</v>
      </c>
      <c r="C856" s="9">
        <v>12.09</v>
      </c>
      <c r="D856" s="9">
        <v>11.25</v>
      </c>
      <c r="E856" s="9">
        <v>12.09</v>
      </c>
      <c r="F856" s="9">
        <v>47484100</v>
      </c>
      <c r="G856" s="9">
        <v>12.09</v>
      </c>
    </row>
    <row r="857" spans="1:7" x14ac:dyDescent="0.25">
      <c r="A857" s="101">
        <v>40763</v>
      </c>
      <c r="B857" s="9">
        <v>11.43</v>
      </c>
      <c r="C857" s="9">
        <v>11.8</v>
      </c>
      <c r="D857" s="9">
        <v>11.09</v>
      </c>
      <c r="E857" s="9">
        <v>11.09</v>
      </c>
      <c r="F857" s="9">
        <v>59577600</v>
      </c>
      <c r="G857" s="9">
        <v>11.09</v>
      </c>
    </row>
    <row r="858" spans="1:7" x14ac:dyDescent="0.25">
      <c r="A858" s="101">
        <v>40760</v>
      </c>
      <c r="B858" s="9">
        <v>12.08</v>
      </c>
      <c r="C858" s="9">
        <v>12.12</v>
      </c>
      <c r="D858" s="9">
        <v>11.41</v>
      </c>
      <c r="E858" s="9">
        <v>11.74</v>
      </c>
      <c r="F858" s="9">
        <v>47066200</v>
      </c>
      <c r="G858" s="9">
        <v>11.74</v>
      </c>
    </row>
    <row r="859" spans="1:7" x14ac:dyDescent="0.25">
      <c r="A859" s="101">
        <v>40759</v>
      </c>
      <c r="B859" s="9">
        <v>12.8</v>
      </c>
      <c r="C859" s="9">
        <v>12.86</v>
      </c>
      <c r="D859" s="9">
        <v>11.99</v>
      </c>
      <c r="E859" s="9">
        <v>12</v>
      </c>
      <c r="F859" s="9">
        <v>39442300</v>
      </c>
      <c r="G859" s="9">
        <v>12</v>
      </c>
    </row>
    <row r="860" spans="1:7" x14ac:dyDescent="0.25">
      <c r="A860" s="101">
        <v>40758</v>
      </c>
      <c r="B860" s="9">
        <v>12.77</v>
      </c>
      <c r="C860" s="9">
        <v>13.07</v>
      </c>
      <c r="D860" s="9">
        <v>12.53</v>
      </c>
      <c r="E860" s="9">
        <v>13.02</v>
      </c>
      <c r="F860" s="9">
        <v>26161900</v>
      </c>
      <c r="G860" s="9">
        <v>13.02</v>
      </c>
    </row>
    <row r="861" spans="1:7" x14ac:dyDescent="0.25">
      <c r="A861" s="101">
        <v>40757</v>
      </c>
      <c r="B861" s="9">
        <v>12.96</v>
      </c>
      <c r="C861" s="9">
        <v>13.18</v>
      </c>
      <c r="D861" s="9">
        <v>12.75</v>
      </c>
      <c r="E861" s="9">
        <v>12.76</v>
      </c>
      <c r="F861" s="9">
        <v>25800300</v>
      </c>
      <c r="G861" s="9">
        <v>12.76</v>
      </c>
    </row>
    <row r="862" spans="1:7" x14ac:dyDescent="0.25">
      <c r="A862" s="101">
        <v>40756</v>
      </c>
      <c r="B862" s="9">
        <v>13.24</v>
      </c>
      <c r="C862" s="9">
        <v>13.34</v>
      </c>
      <c r="D862" s="9">
        <v>12.95</v>
      </c>
      <c r="E862" s="9">
        <v>13.1</v>
      </c>
      <c r="F862" s="9">
        <v>26880000</v>
      </c>
      <c r="G862" s="9">
        <v>13.1</v>
      </c>
    </row>
    <row r="863" spans="1:7" x14ac:dyDescent="0.25">
      <c r="A863" s="101">
        <v>40753</v>
      </c>
      <c r="B863" s="9">
        <v>13.89</v>
      </c>
      <c r="C863" s="9">
        <v>14.07</v>
      </c>
      <c r="D863" s="9">
        <v>13.04</v>
      </c>
      <c r="E863" s="9">
        <v>13.1</v>
      </c>
      <c r="F863" s="9">
        <v>67798500</v>
      </c>
      <c r="G863" s="9">
        <v>13.1</v>
      </c>
    </row>
    <row r="864" spans="1:7" x14ac:dyDescent="0.25">
      <c r="A864" s="101">
        <v>40752</v>
      </c>
      <c r="B864" s="9">
        <v>13.6</v>
      </c>
      <c r="C864" s="9">
        <v>13.71</v>
      </c>
      <c r="D864" s="9">
        <v>13.43</v>
      </c>
      <c r="E864" s="9">
        <v>13.5</v>
      </c>
      <c r="F864" s="9">
        <v>20636500</v>
      </c>
      <c r="G864" s="9">
        <v>13.5</v>
      </c>
    </row>
    <row r="865" spans="1:7" x14ac:dyDescent="0.25">
      <c r="A865" s="101">
        <v>40751</v>
      </c>
      <c r="B865" s="9">
        <v>13.87</v>
      </c>
      <c r="C865" s="9">
        <v>13.9</v>
      </c>
      <c r="D865" s="9">
        <v>13.57</v>
      </c>
      <c r="E865" s="9">
        <v>13.59</v>
      </c>
      <c r="F865" s="9">
        <v>20559500</v>
      </c>
      <c r="G865" s="9">
        <v>13.59</v>
      </c>
    </row>
    <row r="866" spans="1:7" x14ac:dyDescent="0.25">
      <c r="A866" s="101">
        <v>40750</v>
      </c>
      <c r="B866" s="9">
        <v>13.7</v>
      </c>
      <c r="C866" s="9">
        <v>13.99</v>
      </c>
      <c r="D866" s="9">
        <v>13.65</v>
      </c>
      <c r="E866" s="9">
        <v>13.94</v>
      </c>
      <c r="F866" s="9">
        <v>20934200</v>
      </c>
      <c r="G866" s="9">
        <v>13.94</v>
      </c>
    </row>
    <row r="867" spans="1:7" x14ac:dyDescent="0.25">
      <c r="A867" s="101">
        <v>40749</v>
      </c>
      <c r="B867" s="9">
        <v>13.84</v>
      </c>
      <c r="C867" s="9">
        <v>13.88</v>
      </c>
      <c r="D867" s="9">
        <v>13.68</v>
      </c>
      <c r="E867" s="9">
        <v>13.69</v>
      </c>
      <c r="F867" s="9">
        <v>16725400</v>
      </c>
      <c r="G867" s="9">
        <v>13.69</v>
      </c>
    </row>
    <row r="868" spans="1:7" x14ac:dyDescent="0.25">
      <c r="A868" s="101">
        <v>40746</v>
      </c>
      <c r="B868" s="9">
        <v>13.65</v>
      </c>
      <c r="C868" s="9">
        <v>14.05</v>
      </c>
      <c r="D868" s="9">
        <v>13.57</v>
      </c>
      <c r="E868" s="9">
        <v>13.98</v>
      </c>
      <c r="F868" s="9">
        <v>30144800</v>
      </c>
      <c r="G868" s="9">
        <v>13.98</v>
      </c>
    </row>
    <row r="869" spans="1:7" x14ac:dyDescent="0.25">
      <c r="A869" s="101">
        <v>40745</v>
      </c>
      <c r="B869" s="9">
        <v>13.5</v>
      </c>
      <c r="C869" s="9">
        <v>13.63</v>
      </c>
      <c r="D869" s="9">
        <v>13.36</v>
      </c>
      <c r="E869" s="9">
        <v>13.59</v>
      </c>
      <c r="F869" s="9">
        <v>30487100</v>
      </c>
      <c r="G869" s="9">
        <v>13.59</v>
      </c>
    </row>
    <row r="870" spans="1:7" x14ac:dyDescent="0.25">
      <c r="A870" s="101">
        <v>40744</v>
      </c>
      <c r="B870" s="9">
        <v>14.15</v>
      </c>
      <c r="C870" s="9">
        <v>14.15</v>
      </c>
      <c r="D870" s="9">
        <v>13.45</v>
      </c>
      <c r="E870" s="9">
        <v>13.48</v>
      </c>
      <c r="F870" s="9">
        <v>63098400</v>
      </c>
      <c r="G870" s="9">
        <v>13.48</v>
      </c>
    </row>
    <row r="871" spans="1:7" x14ac:dyDescent="0.25">
      <c r="A871" s="101">
        <v>40743</v>
      </c>
      <c r="B871" s="9">
        <v>14.57</v>
      </c>
      <c r="C871" s="9">
        <v>14.69</v>
      </c>
      <c r="D871" s="9">
        <v>14.45</v>
      </c>
      <c r="E871" s="9">
        <v>14.59</v>
      </c>
      <c r="F871" s="9">
        <v>30168200</v>
      </c>
      <c r="G871" s="9">
        <v>14.59</v>
      </c>
    </row>
    <row r="872" spans="1:7" x14ac:dyDescent="0.25">
      <c r="A872" s="101">
        <v>40742</v>
      </c>
      <c r="B872" s="9">
        <v>14.68</v>
      </c>
      <c r="C872" s="9">
        <v>14.69</v>
      </c>
      <c r="D872" s="9">
        <v>14.37</v>
      </c>
      <c r="E872" s="9">
        <v>14.42</v>
      </c>
      <c r="F872" s="9">
        <v>24504800</v>
      </c>
      <c r="G872" s="9">
        <v>14.42</v>
      </c>
    </row>
    <row r="873" spans="1:7" x14ac:dyDescent="0.25">
      <c r="A873" s="101">
        <v>40739</v>
      </c>
      <c r="B873" s="9">
        <v>14.75</v>
      </c>
      <c r="C873" s="9">
        <v>14.94</v>
      </c>
      <c r="D873" s="9">
        <v>14.61</v>
      </c>
      <c r="E873" s="9">
        <v>14.69</v>
      </c>
      <c r="F873" s="9">
        <v>19745100</v>
      </c>
      <c r="G873" s="9">
        <v>14.69</v>
      </c>
    </row>
    <row r="874" spans="1:7" x14ac:dyDescent="0.25">
      <c r="A874" s="101">
        <v>40738</v>
      </c>
      <c r="B874" s="9">
        <v>14.88</v>
      </c>
      <c r="C874" s="9">
        <v>14.99</v>
      </c>
      <c r="D874" s="9">
        <v>14.6</v>
      </c>
      <c r="E874" s="9">
        <v>14.63</v>
      </c>
      <c r="F874" s="9">
        <v>27078600</v>
      </c>
      <c r="G874" s="9">
        <v>14.63</v>
      </c>
    </row>
    <row r="875" spans="1:7" x14ac:dyDescent="0.25">
      <c r="A875" s="101">
        <v>40737</v>
      </c>
      <c r="B875" s="9">
        <v>15.01</v>
      </c>
      <c r="C875" s="9">
        <v>15.1</v>
      </c>
      <c r="D875" s="9">
        <v>14.87</v>
      </c>
      <c r="E875" s="9">
        <v>14.91</v>
      </c>
      <c r="F875" s="9">
        <v>16646100</v>
      </c>
      <c r="G875" s="9">
        <v>14.91</v>
      </c>
    </row>
    <row r="876" spans="1:7" x14ac:dyDescent="0.25">
      <c r="A876" s="101">
        <v>40736</v>
      </c>
      <c r="B876" s="9">
        <v>15.01</v>
      </c>
      <c r="C876" s="9">
        <v>15.18</v>
      </c>
      <c r="D876" s="9">
        <v>14.85</v>
      </c>
      <c r="E876" s="9">
        <v>14.86</v>
      </c>
      <c r="F876" s="9">
        <v>22791100</v>
      </c>
      <c r="G876" s="9">
        <v>14.86</v>
      </c>
    </row>
    <row r="877" spans="1:7" x14ac:dyDescent="0.25">
      <c r="A877" s="101">
        <v>40735</v>
      </c>
      <c r="B877" s="9">
        <v>15.43</v>
      </c>
      <c r="C877" s="9">
        <v>15.44</v>
      </c>
      <c r="D877" s="9">
        <v>14.99</v>
      </c>
      <c r="E877" s="9">
        <v>15.05</v>
      </c>
      <c r="F877" s="9">
        <v>21486700</v>
      </c>
      <c r="G877" s="9">
        <v>15.05</v>
      </c>
    </row>
    <row r="878" spans="1:7" x14ac:dyDescent="0.25">
      <c r="A878" s="101">
        <v>40732</v>
      </c>
      <c r="B878" s="9">
        <v>15.62</v>
      </c>
      <c r="C878" s="9">
        <v>15.69</v>
      </c>
      <c r="D878" s="9">
        <v>15.44</v>
      </c>
      <c r="E878" s="9">
        <v>15.61</v>
      </c>
      <c r="F878" s="9">
        <v>14364900</v>
      </c>
      <c r="G878" s="9">
        <v>15.61</v>
      </c>
    </row>
    <row r="879" spans="1:7" x14ac:dyDescent="0.25">
      <c r="A879" s="101">
        <v>40731</v>
      </c>
      <c r="B879" s="9">
        <v>15.78</v>
      </c>
      <c r="C879" s="9">
        <v>15.95</v>
      </c>
      <c r="D879" s="9">
        <v>15.7</v>
      </c>
      <c r="E879" s="9">
        <v>15.81</v>
      </c>
      <c r="F879" s="9">
        <v>20991400</v>
      </c>
      <c r="G879" s="9">
        <v>15.81</v>
      </c>
    </row>
    <row r="880" spans="1:7" x14ac:dyDescent="0.25">
      <c r="A880" s="101">
        <v>40730</v>
      </c>
      <c r="B880" s="9">
        <v>15.53</v>
      </c>
      <c r="C880" s="9">
        <v>15.81</v>
      </c>
      <c r="D880" s="9">
        <v>15.52</v>
      </c>
      <c r="E880" s="9">
        <v>15.72</v>
      </c>
      <c r="F880" s="9">
        <v>18287200</v>
      </c>
      <c r="G880" s="9">
        <v>15.72</v>
      </c>
    </row>
    <row r="881" spans="1:7" x14ac:dyDescent="0.25">
      <c r="A881" s="101">
        <v>40729</v>
      </c>
      <c r="B881" s="9">
        <v>15.4</v>
      </c>
      <c r="C881" s="9">
        <v>15.67</v>
      </c>
      <c r="D881" s="9">
        <v>15.25</v>
      </c>
      <c r="E881" s="9">
        <v>15.49</v>
      </c>
      <c r="F881" s="9">
        <v>20481700</v>
      </c>
      <c r="G881" s="9">
        <v>15.49</v>
      </c>
    </row>
    <row r="882" spans="1:7" x14ac:dyDescent="0.25">
      <c r="A882" s="101">
        <v>40725</v>
      </c>
      <c r="B882" s="9">
        <v>15.08</v>
      </c>
      <c r="C882" s="9">
        <v>15.5</v>
      </c>
      <c r="D882" s="9">
        <v>15.02</v>
      </c>
      <c r="E882" s="9">
        <v>15.45</v>
      </c>
      <c r="F882" s="9">
        <v>16272500</v>
      </c>
      <c r="G882" s="9">
        <v>15.45</v>
      </c>
    </row>
    <row r="883" spans="1:7" x14ac:dyDescent="0.25">
      <c r="A883" s="101">
        <v>40724</v>
      </c>
      <c r="B883" s="9">
        <v>14.98</v>
      </c>
      <c r="C883" s="9">
        <v>15.1</v>
      </c>
      <c r="D883" s="9">
        <v>14.64</v>
      </c>
      <c r="E883" s="9">
        <v>15.04</v>
      </c>
      <c r="F883" s="9">
        <v>34905700</v>
      </c>
      <c r="G883" s="9">
        <v>15.04</v>
      </c>
    </row>
    <row r="884" spans="1:7" x14ac:dyDescent="0.25">
      <c r="A884" s="101">
        <v>40723</v>
      </c>
      <c r="B884" s="9">
        <v>14.96</v>
      </c>
      <c r="C884" s="9">
        <v>15.05</v>
      </c>
      <c r="D884" s="9">
        <v>14.68</v>
      </c>
      <c r="E884" s="9">
        <v>14.89</v>
      </c>
      <c r="F884" s="9">
        <v>25465200</v>
      </c>
      <c r="G884" s="9">
        <v>14.89</v>
      </c>
    </row>
    <row r="885" spans="1:7" x14ac:dyDescent="0.25">
      <c r="A885" s="101">
        <v>40722</v>
      </c>
      <c r="B885" s="9">
        <v>14.95</v>
      </c>
      <c r="C885" s="9">
        <v>15.18</v>
      </c>
      <c r="D885" s="9">
        <v>14.88</v>
      </c>
      <c r="E885" s="9">
        <v>14.95</v>
      </c>
      <c r="F885" s="9">
        <v>16056600</v>
      </c>
      <c r="G885" s="9">
        <v>14.95</v>
      </c>
    </row>
    <row r="886" spans="1:7" x14ac:dyDescent="0.25">
      <c r="A886" s="101">
        <v>40721</v>
      </c>
      <c r="B886" s="9">
        <v>14.87</v>
      </c>
      <c r="C886" s="9">
        <v>14.98</v>
      </c>
      <c r="D886" s="9">
        <v>14.77</v>
      </c>
      <c r="E886" s="9">
        <v>14.88</v>
      </c>
      <c r="F886" s="9">
        <v>13836300</v>
      </c>
      <c r="G886" s="9">
        <v>14.88</v>
      </c>
    </row>
    <row r="887" spans="1:7" x14ac:dyDescent="0.25">
      <c r="A887" s="101">
        <v>40718</v>
      </c>
      <c r="B887" s="9">
        <v>15.08</v>
      </c>
      <c r="C887" s="9">
        <v>15.16</v>
      </c>
      <c r="D887" s="9">
        <v>14.85</v>
      </c>
      <c r="E887" s="9">
        <v>14.89</v>
      </c>
      <c r="F887" s="9">
        <v>25340600</v>
      </c>
      <c r="G887" s="9">
        <v>14.89</v>
      </c>
    </row>
    <row r="888" spans="1:7" x14ac:dyDescent="0.25">
      <c r="A888" s="101">
        <v>40717</v>
      </c>
      <c r="B888" s="9">
        <v>15.08</v>
      </c>
      <c r="C888" s="9">
        <v>15.09</v>
      </c>
      <c r="D888" s="9">
        <v>14.72</v>
      </c>
      <c r="E888" s="9">
        <v>15.08</v>
      </c>
      <c r="F888" s="9">
        <v>32524700</v>
      </c>
      <c r="G888" s="9">
        <v>15.08</v>
      </c>
    </row>
    <row r="889" spans="1:7" x14ac:dyDescent="0.25">
      <c r="A889" s="101">
        <v>40716</v>
      </c>
      <c r="B889" s="9">
        <v>15.29</v>
      </c>
      <c r="C889" s="9">
        <v>15.53</v>
      </c>
      <c r="D889" s="9">
        <v>15.19</v>
      </c>
      <c r="E889" s="9">
        <v>15.23</v>
      </c>
      <c r="F889" s="9">
        <v>30154700</v>
      </c>
      <c r="G889" s="9">
        <v>15.23</v>
      </c>
    </row>
    <row r="890" spans="1:7" x14ac:dyDescent="0.25">
      <c r="A890" s="101">
        <v>40715</v>
      </c>
      <c r="B890" s="9">
        <v>15.03</v>
      </c>
      <c r="C890" s="9">
        <v>15.38</v>
      </c>
      <c r="D890" s="9">
        <v>14.91</v>
      </c>
      <c r="E890" s="9">
        <v>15.35</v>
      </c>
      <c r="F890" s="9">
        <v>17507800</v>
      </c>
      <c r="G890" s="9">
        <v>15.35</v>
      </c>
    </row>
    <row r="891" spans="1:7" x14ac:dyDescent="0.25">
      <c r="A891" s="101">
        <v>40714</v>
      </c>
      <c r="B891" s="9">
        <v>14.66</v>
      </c>
      <c r="C891" s="9">
        <v>15.42</v>
      </c>
      <c r="D891" s="9">
        <v>14.66</v>
      </c>
      <c r="E891" s="9">
        <v>14.99</v>
      </c>
      <c r="F891" s="9">
        <v>32646500</v>
      </c>
      <c r="G891" s="9">
        <v>14.99</v>
      </c>
    </row>
    <row r="892" spans="1:7" x14ac:dyDescent="0.25">
      <c r="A892" s="101">
        <v>40711</v>
      </c>
      <c r="B892" s="9">
        <v>14.98</v>
      </c>
      <c r="C892" s="9">
        <v>14.98</v>
      </c>
      <c r="D892" s="9">
        <v>14.56</v>
      </c>
      <c r="E892" s="9">
        <v>14.7</v>
      </c>
      <c r="F892" s="9">
        <v>22963400</v>
      </c>
      <c r="G892" s="9">
        <v>14.7</v>
      </c>
    </row>
    <row r="893" spans="1:7" x14ac:dyDescent="0.25">
      <c r="A893" s="101">
        <v>40710</v>
      </c>
      <c r="B893" s="9">
        <v>15.01</v>
      </c>
      <c r="C893" s="9">
        <v>15.09</v>
      </c>
      <c r="D893" s="9">
        <v>14.65</v>
      </c>
      <c r="E893" s="9">
        <v>14.78</v>
      </c>
      <c r="F893" s="9">
        <v>24446700</v>
      </c>
      <c r="G893" s="9">
        <v>14.78</v>
      </c>
    </row>
    <row r="894" spans="1:7" x14ac:dyDescent="0.25">
      <c r="A894" s="101">
        <v>40709</v>
      </c>
      <c r="B894" s="9">
        <v>15.01</v>
      </c>
      <c r="C894" s="9">
        <v>15.05</v>
      </c>
      <c r="D894" s="9">
        <v>14.5</v>
      </c>
      <c r="E894" s="9">
        <v>14.81</v>
      </c>
      <c r="F894" s="9">
        <v>41286100</v>
      </c>
      <c r="G894" s="9">
        <v>14.81</v>
      </c>
    </row>
    <row r="895" spans="1:7" x14ac:dyDescent="0.25">
      <c r="A895" s="101">
        <v>40708</v>
      </c>
      <c r="B895" s="9">
        <v>15.26</v>
      </c>
      <c r="C895" s="9">
        <v>15.56</v>
      </c>
      <c r="D895" s="9">
        <v>15.19</v>
      </c>
      <c r="E895" s="9">
        <v>15.2</v>
      </c>
      <c r="F895" s="9">
        <v>21994400</v>
      </c>
      <c r="G895" s="9">
        <v>15.2</v>
      </c>
    </row>
    <row r="896" spans="1:7" x14ac:dyDescent="0.25">
      <c r="A896" s="101">
        <v>40707</v>
      </c>
      <c r="B896" s="9">
        <v>15.2</v>
      </c>
      <c r="C896" s="9">
        <v>15.34</v>
      </c>
      <c r="D896" s="9">
        <v>15.1</v>
      </c>
      <c r="E896" s="9">
        <v>15.16</v>
      </c>
      <c r="F896" s="9">
        <v>14581200</v>
      </c>
      <c r="G896" s="9">
        <v>15.16</v>
      </c>
    </row>
    <row r="897" spans="1:7" x14ac:dyDescent="0.25">
      <c r="A897" s="101">
        <v>40704</v>
      </c>
      <c r="B897" s="9">
        <v>15.27</v>
      </c>
      <c r="C897" s="9">
        <v>15.73</v>
      </c>
      <c r="D897" s="9">
        <v>15.11</v>
      </c>
      <c r="E897" s="9">
        <v>15.2</v>
      </c>
      <c r="F897" s="9">
        <v>19452400</v>
      </c>
      <c r="G897" s="9">
        <v>15.2</v>
      </c>
    </row>
    <row r="898" spans="1:7" x14ac:dyDescent="0.25">
      <c r="A898" s="101">
        <v>40703</v>
      </c>
      <c r="B898" s="9">
        <v>15.18</v>
      </c>
      <c r="C898" s="9">
        <v>15.33</v>
      </c>
      <c r="D898" s="9">
        <v>14.94</v>
      </c>
      <c r="E898" s="9">
        <v>15.22</v>
      </c>
      <c r="F898" s="9">
        <v>18681900</v>
      </c>
      <c r="G898" s="9">
        <v>15.22</v>
      </c>
    </row>
    <row r="899" spans="1:7" x14ac:dyDescent="0.25">
      <c r="A899" s="101">
        <v>40702</v>
      </c>
      <c r="B899" s="9">
        <v>15.37</v>
      </c>
      <c r="C899" s="9">
        <v>15.38</v>
      </c>
      <c r="D899" s="9">
        <v>15.08</v>
      </c>
      <c r="E899" s="9">
        <v>15.1</v>
      </c>
      <c r="F899" s="9">
        <v>21986600</v>
      </c>
      <c r="G899" s="9">
        <v>15.1</v>
      </c>
    </row>
    <row r="900" spans="1:7" x14ac:dyDescent="0.25">
      <c r="A900" s="101">
        <v>40701</v>
      </c>
      <c r="B900" s="9">
        <v>15.54</v>
      </c>
      <c r="C900" s="9">
        <v>15.65</v>
      </c>
      <c r="D900" s="9">
        <v>15.32</v>
      </c>
      <c r="E900" s="9">
        <v>15.45</v>
      </c>
      <c r="F900" s="9">
        <v>16516100</v>
      </c>
      <c r="G900" s="9">
        <v>15.45</v>
      </c>
    </row>
    <row r="901" spans="1:7" x14ac:dyDescent="0.25">
      <c r="A901" s="101">
        <v>40700</v>
      </c>
      <c r="B901" s="9">
        <v>15.65</v>
      </c>
      <c r="C901" s="9">
        <v>15.85</v>
      </c>
      <c r="D901" s="9">
        <v>15.41</v>
      </c>
      <c r="E901" s="9">
        <v>15.45</v>
      </c>
      <c r="F901" s="9">
        <v>18200400</v>
      </c>
      <c r="G901" s="9">
        <v>15.45</v>
      </c>
    </row>
    <row r="902" spans="1:7" x14ac:dyDescent="0.25">
      <c r="A902" s="101">
        <v>40697</v>
      </c>
      <c r="B902" s="9">
        <v>15.82</v>
      </c>
      <c r="C902" s="9">
        <v>16</v>
      </c>
      <c r="D902" s="9">
        <v>15.63</v>
      </c>
      <c r="E902" s="9">
        <v>15.68</v>
      </c>
      <c r="F902" s="9">
        <v>22245200</v>
      </c>
      <c r="G902" s="9">
        <v>15.68</v>
      </c>
    </row>
    <row r="903" spans="1:7" x14ac:dyDescent="0.25">
      <c r="A903" s="101">
        <v>40696</v>
      </c>
      <c r="B903" s="9">
        <v>16</v>
      </c>
      <c r="C903" s="9">
        <v>16.11</v>
      </c>
      <c r="D903" s="9">
        <v>15.87</v>
      </c>
      <c r="E903" s="9">
        <v>16.02</v>
      </c>
      <c r="F903" s="9">
        <v>21005000</v>
      </c>
      <c r="G903" s="9">
        <v>16.02</v>
      </c>
    </row>
    <row r="904" spans="1:7" x14ac:dyDescent="0.25">
      <c r="A904" s="101">
        <v>40695</v>
      </c>
      <c r="B904" s="9">
        <v>16.34</v>
      </c>
      <c r="C904" s="9">
        <v>16.43</v>
      </c>
      <c r="D904" s="9">
        <v>15.79</v>
      </c>
      <c r="E904" s="9">
        <v>15.85</v>
      </c>
      <c r="F904" s="9">
        <v>40295600</v>
      </c>
      <c r="G904" s="9">
        <v>15.85</v>
      </c>
    </row>
    <row r="905" spans="1:7" x14ac:dyDescent="0.25">
      <c r="A905" s="101">
        <v>40694</v>
      </c>
      <c r="B905" s="9">
        <v>16.170000000000002</v>
      </c>
      <c r="C905" s="9">
        <v>16.59</v>
      </c>
      <c r="D905" s="9">
        <v>16.12</v>
      </c>
      <c r="E905" s="9">
        <v>16.55</v>
      </c>
      <c r="F905" s="9">
        <v>30266600</v>
      </c>
      <c r="G905" s="9">
        <v>16.55</v>
      </c>
    </row>
    <row r="906" spans="1:7" x14ac:dyDescent="0.25">
      <c r="A906" s="101">
        <v>40690</v>
      </c>
      <c r="B906" s="9">
        <v>16.03</v>
      </c>
      <c r="C906" s="9">
        <v>16.190000000000001</v>
      </c>
      <c r="D906" s="9">
        <v>15.95</v>
      </c>
      <c r="E906" s="9">
        <v>16.02</v>
      </c>
      <c r="F906" s="9">
        <v>20091200</v>
      </c>
      <c r="G906" s="9">
        <v>16.02</v>
      </c>
    </row>
    <row r="907" spans="1:7" x14ac:dyDescent="0.25">
      <c r="A907" s="101">
        <v>40689</v>
      </c>
      <c r="B907" s="9">
        <v>16.18</v>
      </c>
      <c r="C907" s="9">
        <v>16.22</v>
      </c>
      <c r="D907" s="9">
        <v>15.88</v>
      </c>
      <c r="E907" s="9">
        <v>15.98</v>
      </c>
      <c r="F907" s="9">
        <v>23999500</v>
      </c>
      <c r="G907" s="9">
        <v>15.98</v>
      </c>
    </row>
    <row r="908" spans="1:7" x14ac:dyDescent="0.25">
      <c r="A908" s="101">
        <v>40688</v>
      </c>
      <c r="B908" s="9">
        <v>16.190000000000001</v>
      </c>
      <c r="C908" s="9">
        <v>16.989999999999998</v>
      </c>
      <c r="D908" s="9">
        <v>16.100000000000001</v>
      </c>
      <c r="E908" s="9">
        <v>16.149999999999999</v>
      </c>
      <c r="F908" s="9">
        <v>34172600</v>
      </c>
      <c r="G908" s="9">
        <v>16.149999999999999</v>
      </c>
    </row>
    <row r="909" spans="1:7" x14ac:dyDescent="0.25">
      <c r="A909" s="101">
        <v>40687</v>
      </c>
      <c r="B909" s="9">
        <v>16.11</v>
      </c>
      <c r="C909" s="9">
        <v>16.41</v>
      </c>
      <c r="D909" s="9">
        <v>16.05</v>
      </c>
      <c r="E909" s="9">
        <v>16.14</v>
      </c>
      <c r="F909" s="9">
        <v>23150600</v>
      </c>
      <c r="G909" s="9">
        <v>16.14</v>
      </c>
    </row>
    <row r="910" spans="1:7" x14ac:dyDescent="0.25">
      <c r="A910" s="101">
        <v>40686</v>
      </c>
      <c r="B910" s="9">
        <v>16.05</v>
      </c>
      <c r="C910" s="9">
        <v>16.170000000000002</v>
      </c>
      <c r="D910" s="9">
        <v>16</v>
      </c>
      <c r="E910" s="9">
        <v>16.059999999999999</v>
      </c>
      <c r="F910" s="9">
        <v>19300000</v>
      </c>
      <c r="G910" s="9">
        <v>16.059999999999999</v>
      </c>
    </row>
    <row r="911" spans="1:7" x14ac:dyDescent="0.25">
      <c r="A911" s="101">
        <v>40683</v>
      </c>
      <c r="B911" s="9">
        <v>16.32</v>
      </c>
      <c r="C911" s="9">
        <v>16.440000000000001</v>
      </c>
      <c r="D911" s="9">
        <v>16.149999999999999</v>
      </c>
      <c r="E911" s="9">
        <v>16.3</v>
      </c>
      <c r="F911" s="9">
        <v>23582700</v>
      </c>
      <c r="G911" s="9">
        <v>16.3</v>
      </c>
    </row>
    <row r="912" spans="1:7" x14ac:dyDescent="0.25">
      <c r="A912" s="101">
        <v>40682</v>
      </c>
      <c r="B912" s="9">
        <v>16.05</v>
      </c>
      <c r="C912" s="9">
        <v>16.489999999999998</v>
      </c>
      <c r="D912" s="9">
        <v>16.04</v>
      </c>
      <c r="E912" s="9">
        <v>16.350000000000001</v>
      </c>
      <c r="F912" s="9">
        <v>40356400</v>
      </c>
      <c r="G912" s="9">
        <v>16.350000000000001</v>
      </c>
    </row>
    <row r="913" spans="1:7" x14ac:dyDescent="0.25">
      <c r="A913" s="101">
        <v>40681</v>
      </c>
      <c r="B913" s="9">
        <v>16.07</v>
      </c>
      <c r="C913" s="9">
        <v>16.16</v>
      </c>
      <c r="D913" s="9">
        <v>15.75</v>
      </c>
      <c r="E913" s="9">
        <v>15.96</v>
      </c>
      <c r="F913" s="9">
        <v>25880200</v>
      </c>
      <c r="G913" s="9">
        <v>15.96</v>
      </c>
    </row>
    <row r="914" spans="1:7" x14ac:dyDescent="0.25">
      <c r="A914" s="101">
        <v>40680</v>
      </c>
      <c r="B914" s="9">
        <v>15.88</v>
      </c>
      <c r="C914" s="9">
        <v>16.07</v>
      </c>
      <c r="D914" s="9">
        <v>15.73</v>
      </c>
      <c r="E914" s="9">
        <v>16</v>
      </c>
      <c r="F914" s="9">
        <v>31205200</v>
      </c>
      <c r="G914" s="9">
        <v>16</v>
      </c>
    </row>
    <row r="915" spans="1:7" x14ac:dyDescent="0.25">
      <c r="A915" s="101">
        <v>40679</v>
      </c>
      <c r="B915" s="9">
        <v>16.68</v>
      </c>
      <c r="C915" s="9">
        <v>16.690000000000001</v>
      </c>
      <c r="D915" s="9">
        <v>15.63</v>
      </c>
      <c r="E915" s="9">
        <v>15.81</v>
      </c>
      <c r="F915" s="9">
        <v>62082200</v>
      </c>
      <c r="G915" s="9">
        <v>15.81</v>
      </c>
    </row>
    <row r="916" spans="1:7" x14ac:dyDescent="0.25">
      <c r="A916" s="101">
        <v>40676</v>
      </c>
      <c r="B916" s="9">
        <v>16.14</v>
      </c>
      <c r="C916" s="9">
        <v>16.84</v>
      </c>
      <c r="D916" s="9">
        <v>15.96</v>
      </c>
      <c r="E916" s="9">
        <v>16.55</v>
      </c>
      <c r="F916" s="9">
        <v>120057600</v>
      </c>
      <c r="G916" s="9">
        <v>16.55</v>
      </c>
    </row>
    <row r="917" spans="1:7" x14ac:dyDescent="0.25">
      <c r="A917" s="101">
        <v>40675</v>
      </c>
      <c r="B917" s="9">
        <v>17.12</v>
      </c>
      <c r="C917" s="9">
        <v>17.809999999999999</v>
      </c>
      <c r="D917" s="9">
        <v>16.93</v>
      </c>
      <c r="E917" s="9">
        <v>17.170000000000002</v>
      </c>
      <c r="F917" s="9">
        <v>53000000</v>
      </c>
      <c r="G917" s="9">
        <v>17.170000000000002</v>
      </c>
    </row>
    <row r="918" spans="1:7" x14ac:dyDescent="0.25">
      <c r="A918" s="101">
        <v>40674</v>
      </c>
      <c r="B918" s="9">
        <v>18.45</v>
      </c>
      <c r="C918" s="9">
        <v>18.61</v>
      </c>
      <c r="D918" s="9">
        <v>16.739999999999998</v>
      </c>
      <c r="E918" s="9">
        <v>17.2</v>
      </c>
      <c r="F918" s="9">
        <v>131200000</v>
      </c>
      <c r="G918" s="9">
        <v>17.2</v>
      </c>
    </row>
    <row r="919" spans="1:7" x14ac:dyDescent="0.25">
      <c r="A919" s="101">
        <v>40673</v>
      </c>
      <c r="B919" s="9">
        <v>18.670000000000002</v>
      </c>
      <c r="C919" s="9">
        <v>18.7</v>
      </c>
      <c r="D919" s="9">
        <v>18.420000000000002</v>
      </c>
      <c r="E919" s="9">
        <v>18.55</v>
      </c>
      <c r="F919" s="9">
        <v>18475100</v>
      </c>
      <c r="G919" s="9">
        <v>18.55</v>
      </c>
    </row>
    <row r="920" spans="1:7" x14ac:dyDescent="0.25">
      <c r="A920" s="101">
        <v>40672</v>
      </c>
      <c r="B920" s="9">
        <v>18.600000000000001</v>
      </c>
      <c r="C920" s="9">
        <v>18.84</v>
      </c>
      <c r="D920" s="9">
        <v>18.54</v>
      </c>
      <c r="E920" s="9">
        <v>18.559999999999999</v>
      </c>
      <c r="F920" s="9">
        <v>15595600</v>
      </c>
      <c r="G920" s="9">
        <v>18.559999999999999</v>
      </c>
    </row>
    <row r="921" spans="1:7" x14ac:dyDescent="0.25">
      <c r="A921" s="101">
        <v>40669</v>
      </c>
      <c r="B921" s="9">
        <v>18.59</v>
      </c>
      <c r="C921" s="9">
        <v>18.8</v>
      </c>
      <c r="D921" s="9">
        <v>18.38</v>
      </c>
      <c r="E921" s="9">
        <v>18.649999999999999</v>
      </c>
      <c r="F921" s="9">
        <v>29690800</v>
      </c>
      <c r="G921" s="9">
        <v>18.649999999999999</v>
      </c>
    </row>
    <row r="922" spans="1:7" x14ac:dyDescent="0.25">
      <c r="A922" s="101">
        <v>40668</v>
      </c>
      <c r="B922" s="9">
        <v>18.12</v>
      </c>
      <c r="C922" s="9">
        <v>18.559999999999999</v>
      </c>
      <c r="D922" s="9">
        <v>18.05</v>
      </c>
      <c r="E922" s="9">
        <v>18.43</v>
      </c>
      <c r="F922" s="9">
        <v>30800000</v>
      </c>
      <c r="G922" s="9">
        <v>18.43</v>
      </c>
    </row>
    <row r="923" spans="1:7" x14ac:dyDescent="0.25">
      <c r="A923" s="101">
        <v>40667</v>
      </c>
      <c r="B923" s="9">
        <v>17.989999999999998</v>
      </c>
      <c r="C923" s="9">
        <v>18.38</v>
      </c>
      <c r="D923" s="9">
        <v>17.96</v>
      </c>
      <c r="E923" s="9">
        <v>18.2</v>
      </c>
      <c r="F923" s="9">
        <v>23584900</v>
      </c>
      <c r="G923" s="9">
        <v>18.2</v>
      </c>
    </row>
    <row r="924" spans="1:7" x14ac:dyDescent="0.25">
      <c r="A924" s="101">
        <v>40666</v>
      </c>
      <c r="B924" s="9">
        <v>18.23</v>
      </c>
      <c r="C924" s="9">
        <v>18.64</v>
      </c>
      <c r="D924" s="9">
        <v>17.88</v>
      </c>
      <c r="E924" s="9">
        <v>17.920000000000002</v>
      </c>
      <c r="F924" s="9">
        <v>32600000</v>
      </c>
      <c r="G924" s="9">
        <v>17.920000000000002</v>
      </c>
    </row>
    <row r="925" spans="1:7" x14ac:dyDescent="0.25">
      <c r="A925" s="101">
        <v>40665</v>
      </c>
      <c r="B925" s="9">
        <v>17.79</v>
      </c>
      <c r="C925" s="9">
        <v>18.350000000000001</v>
      </c>
      <c r="D925" s="9">
        <v>17.57</v>
      </c>
      <c r="E925" s="9">
        <v>18.14</v>
      </c>
      <c r="F925" s="9">
        <v>44030600</v>
      </c>
      <c r="G925" s="9">
        <v>18.14</v>
      </c>
    </row>
    <row r="926" spans="1:7" x14ac:dyDescent="0.25">
      <c r="A926" s="101">
        <v>40662</v>
      </c>
      <c r="B926" s="9">
        <v>17.46</v>
      </c>
      <c r="C926" s="9">
        <v>17.77</v>
      </c>
      <c r="D926" s="9">
        <v>17.36</v>
      </c>
      <c r="E926" s="9">
        <v>17.7</v>
      </c>
      <c r="F926" s="9">
        <v>30800000</v>
      </c>
      <c r="G926" s="9">
        <v>17.7</v>
      </c>
    </row>
    <row r="927" spans="1:7" x14ac:dyDescent="0.25">
      <c r="A927" s="101">
        <v>40661</v>
      </c>
      <c r="B927" s="9">
        <v>17.22</v>
      </c>
      <c r="C927" s="9">
        <v>17.53</v>
      </c>
      <c r="D927" s="9">
        <v>17.170000000000002</v>
      </c>
      <c r="E927" s="9">
        <v>17.510000000000002</v>
      </c>
      <c r="F927" s="9">
        <v>14400000</v>
      </c>
      <c r="G927" s="9">
        <v>17.510000000000002</v>
      </c>
    </row>
    <row r="928" spans="1:7" x14ac:dyDescent="0.25">
      <c r="A928" s="101">
        <v>40660</v>
      </c>
      <c r="B928" s="9">
        <v>17.3</v>
      </c>
      <c r="C928" s="9">
        <v>17.43</v>
      </c>
      <c r="D928" s="9">
        <v>17.18</v>
      </c>
      <c r="E928" s="9">
        <v>17.260000000000002</v>
      </c>
      <c r="F928" s="9">
        <v>16642400</v>
      </c>
      <c r="G928" s="9">
        <v>17.260000000000002</v>
      </c>
    </row>
    <row r="929" spans="1:7" x14ac:dyDescent="0.25">
      <c r="A929" s="101">
        <v>40659</v>
      </c>
      <c r="B929" s="9">
        <v>17.11</v>
      </c>
      <c r="C929" s="9">
        <v>17.37</v>
      </c>
      <c r="D929" s="9">
        <v>17.02</v>
      </c>
      <c r="E929" s="9">
        <v>17.28</v>
      </c>
      <c r="F929" s="9">
        <v>20000000</v>
      </c>
      <c r="G929" s="9">
        <v>17.28</v>
      </c>
    </row>
    <row r="930" spans="1:7" x14ac:dyDescent="0.25">
      <c r="A930" s="101">
        <v>40658</v>
      </c>
      <c r="B930" s="9">
        <v>17.010000000000002</v>
      </c>
      <c r="C930" s="9">
        <v>17.309999999999999</v>
      </c>
      <c r="D930" s="9">
        <v>16.899999999999999</v>
      </c>
      <c r="E930" s="9">
        <v>17.11</v>
      </c>
      <c r="F930" s="9">
        <v>17771500</v>
      </c>
      <c r="G930" s="9">
        <v>17.11</v>
      </c>
    </row>
    <row r="931" spans="1:7" x14ac:dyDescent="0.25">
      <c r="A931" s="101">
        <v>40654</v>
      </c>
      <c r="B931" s="9">
        <v>16.93</v>
      </c>
      <c r="C931" s="9">
        <v>16.940000000000001</v>
      </c>
      <c r="D931" s="9">
        <v>16.739999999999998</v>
      </c>
      <c r="E931" s="9">
        <v>16.850000000000001</v>
      </c>
      <c r="F931" s="9">
        <v>13985200</v>
      </c>
      <c r="G931" s="9">
        <v>16.850000000000001</v>
      </c>
    </row>
    <row r="932" spans="1:7" x14ac:dyDescent="0.25">
      <c r="A932" s="101">
        <v>40653</v>
      </c>
      <c r="B932" s="9">
        <v>16.7</v>
      </c>
      <c r="C932" s="9">
        <v>17.23</v>
      </c>
      <c r="D932" s="9">
        <v>16.59</v>
      </c>
      <c r="E932" s="9">
        <v>16.87</v>
      </c>
      <c r="F932" s="9">
        <v>34310400</v>
      </c>
      <c r="G932" s="9">
        <v>16.87</v>
      </c>
    </row>
    <row r="933" spans="1:7" x14ac:dyDescent="0.25">
      <c r="A933" s="101">
        <v>40652</v>
      </c>
      <c r="B933" s="9">
        <v>16.21</v>
      </c>
      <c r="C933" s="9">
        <v>16.36</v>
      </c>
      <c r="D933" s="9">
        <v>16.079999999999998</v>
      </c>
      <c r="E933" s="9">
        <v>16.12</v>
      </c>
      <c r="F933" s="9">
        <v>31547400</v>
      </c>
      <c r="G933" s="9">
        <v>16.12</v>
      </c>
    </row>
    <row r="934" spans="1:7" x14ac:dyDescent="0.25">
      <c r="A934" s="101">
        <v>40651</v>
      </c>
      <c r="B934" s="9">
        <v>16.350000000000001</v>
      </c>
      <c r="C934" s="9">
        <v>16.440000000000001</v>
      </c>
      <c r="D934" s="9">
        <v>16.059999999999999</v>
      </c>
      <c r="E934" s="9">
        <v>16.350000000000001</v>
      </c>
      <c r="F934" s="9">
        <v>21935700</v>
      </c>
      <c r="G934" s="9">
        <v>16.350000000000001</v>
      </c>
    </row>
    <row r="935" spans="1:7" x14ac:dyDescent="0.25">
      <c r="A935" s="101">
        <v>40648</v>
      </c>
      <c r="B935" s="9">
        <v>16.64</v>
      </c>
      <c r="C935" s="9">
        <v>16.78</v>
      </c>
      <c r="D935" s="9">
        <v>16.54</v>
      </c>
      <c r="E935" s="9">
        <v>16.62</v>
      </c>
      <c r="F935" s="9">
        <v>14756500</v>
      </c>
      <c r="G935" s="9">
        <v>16.62</v>
      </c>
    </row>
    <row r="936" spans="1:7" x14ac:dyDescent="0.25">
      <c r="A936" s="101">
        <v>40647</v>
      </c>
      <c r="B936" s="9">
        <v>16.55</v>
      </c>
      <c r="C936" s="9">
        <v>16.82</v>
      </c>
      <c r="D936" s="9">
        <v>16.43</v>
      </c>
      <c r="E936" s="9">
        <v>16.690000000000001</v>
      </c>
      <c r="F936" s="9">
        <v>16595500</v>
      </c>
      <c r="G936" s="9">
        <v>16.690000000000001</v>
      </c>
    </row>
    <row r="937" spans="1:7" x14ac:dyDescent="0.25">
      <c r="A937" s="101">
        <v>40646</v>
      </c>
      <c r="B937" s="9">
        <v>16.43</v>
      </c>
      <c r="C937" s="9">
        <v>16.690000000000001</v>
      </c>
      <c r="D937" s="9">
        <v>16.43</v>
      </c>
      <c r="E937" s="9">
        <v>16.64</v>
      </c>
      <c r="F937" s="9">
        <v>16700400</v>
      </c>
      <c r="G937" s="9">
        <v>16.64</v>
      </c>
    </row>
    <row r="938" spans="1:7" x14ac:dyDescent="0.25">
      <c r="A938" s="101">
        <v>40645</v>
      </c>
      <c r="B938" s="9">
        <v>16.55</v>
      </c>
      <c r="C938" s="9">
        <v>16.64</v>
      </c>
      <c r="D938" s="9">
        <v>16.29</v>
      </c>
      <c r="E938" s="9">
        <v>16.36</v>
      </c>
      <c r="F938" s="9">
        <v>19783600</v>
      </c>
      <c r="G938" s="9">
        <v>16.36</v>
      </c>
    </row>
    <row r="939" spans="1:7" x14ac:dyDescent="0.25">
      <c r="A939" s="101">
        <v>40644</v>
      </c>
      <c r="B939" s="9">
        <v>16.91</v>
      </c>
      <c r="C939" s="9">
        <v>16.96</v>
      </c>
      <c r="D939" s="9">
        <v>16.37</v>
      </c>
      <c r="E939" s="9">
        <v>16.59</v>
      </c>
      <c r="F939" s="9">
        <v>34841900</v>
      </c>
      <c r="G939" s="9">
        <v>16.59</v>
      </c>
    </row>
    <row r="940" spans="1:7" x14ac:dyDescent="0.25">
      <c r="A940" s="101">
        <v>40641</v>
      </c>
      <c r="B940" s="9">
        <v>17.079999999999998</v>
      </c>
      <c r="C940" s="9">
        <v>17.11</v>
      </c>
      <c r="D940" s="9">
        <v>16.77</v>
      </c>
      <c r="E940" s="9">
        <v>16.77</v>
      </c>
      <c r="F940" s="9">
        <v>13114200</v>
      </c>
      <c r="G940" s="9">
        <v>16.77</v>
      </c>
    </row>
    <row r="941" spans="1:7" x14ac:dyDescent="0.25">
      <c r="A941" s="101">
        <v>40640</v>
      </c>
      <c r="B941" s="9">
        <v>16.91</v>
      </c>
      <c r="C941" s="9">
        <v>17.100000000000001</v>
      </c>
      <c r="D941" s="9">
        <v>16.79</v>
      </c>
      <c r="E941" s="9">
        <v>17</v>
      </c>
      <c r="F941" s="9">
        <v>12778700</v>
      </c>
      <c r="G941" s="9">
        <v>17</v>
      </c>
    </row>
    <row r="942" spans="1:7" x14ac:dyDescent="0.25">
      <c r="A942" s="101">
        <v>40639</v>
      </c>
      <c r="B942" s="9">
        <v>17.170000000000002</v>
      </c>
      <c r="C942" s="9">
        <v>17.2</v>
      </c>
      <c r="D942" s="9">
        <v>16.940000000000001</v>
      </c>
      <c r="E942" s="9">
        <v>17.05</v>
      </c>
      <c r="F942" s="9">
        <v>13298700</v>
      </c>
      <c r="G942" s="9">
        <v>17.05</v>
      </c>
    </row>
    <row r="943" spans="1:7" x14ac:dyDescent="0.25">
      <c r="A943" s="101">
        <v>40638</v>
      </c>
      <c r="B943" s="9">
        <v>16.809999999999999</v>
      </c>
      <c r="C943" s="9">
        <v>17.29</v>
      </c>
      <c r="D943" s="9">
        <v>16.79</v>
      </c>
      <c r="E943" s="9">
        <v>17.11</v>
      </c>
      <c r="F943" s="9">
        <v>18464500</v>
      </c>
      <c r="G943" s="9">
        <v>17.11</v>
      </c>
    </row>
    <row r="944" spans="1:7" x14ac:dyDescent="0.25">
      <c r="A944" s="101">
        <v>40637</v>
      </c>
      <c r="B944" s="9">
        <v>16.899999999999999</v>
      </c>
      <c r="C944" s="9">
        <v>17.05</v>
      </c>
      <c r="D944" s="9">
        <v>16.809999999999999</v>
      </c>
      <c r="E944" s="9">
        <v>16.87</v>
      </c>
      <c r="F944" s="9">
        <v>9560800</v>
      </c>
      <c r="G944" s="9">
        <v>16.87</v>
      </c>
    </row>
    <row r="945" spans="1:7" x14ac:dyDescent="0.25">
      <c r="A945" s="101">
        <v>40634</v>
      </c>
      <c r="B945" s="9">
        <v>16.829999999999998</v>
      </c>
      <c r="C945" s="9">
        <v>16.98</v>
      </c>
      <c r="D945" s="9">
        <v>16.72</v>
      </c>
      <c r="E945" s="9">
        <v>16.84</v>
      </c>
      <c r="F945" s="9">
        <v>12487400</v>
      </c>
      <c r="G945" s="9">
        <v>16.84</v>
      </c>
    </row>
    <row r="946" spans="1:7" x14ac:dyDescent="0.25">
      <c r="A946" s="101">
        <v>40633</v>
      </c>
      <c r="B946" s="9">
        <v>16.71</v>
      </c>
      <c r="C946" s="9">
        <v>16.88</v>
      </c>
      <c r="D946" s="9">
        <v>16.649999999999999</v>
      </c>
      <c r="E946" s="9">
        <v>16.68</v>
      </c>
      <c r="F946" s="9">
        <v>15131500</v>
      </c>
      <c r="G946" s="9">
        <v>16.68</v>
      </c>
    </row>
    <row r="947" spans="1:7" x14ac:dyDescent="0.25">
      <c r="A947" s="101">
        <v>40632</v>
      </c>
      <c r="B947" s="9">
        <v>16.829999999999998</v>
      </c>
      <c r="C947" s="9">
        <v>16.920000000000002</v>
      </c>
      <c r="D947" s="9">
        <v>16.68</v>
      </c>
      <c r="E947" s="9">
        <v>16.739999999999998</v>
      </c>
      <c r="F947" s="9">
        <v>12944600</v>
      </c>
      <c r="G947" s="9">
        <v>16.739999999999998</v>
      </c>
    </row>
    <row r="948" spans="1:7" x14ac:dyDescent="0.25">
      <c r="A948" s="101">
        <v>40631</v>
      </c>
      <c r="B948" s="9">
        <v>16.600000000000001</v>
      </c>
      <c r="C948" s="9">
        <v>16.78</v>
      </c>
      <c r="D948" s="9">
        <v>16.53</v>
      </c>
      <c r="E948" s="9">
        <v>16.75</v>
      </c>
      <c r="F948" s="9">
        <v>10037900</v>
      </c>
      <c r="G948" s="9">
        <v>16.75</v>
      </c>
    </row>
    <row r="949" spans="1:7" x14ac:dyDescent="0.25">
      <c r="A949" s="101">
        <v>40630</v>
      </c>
      <c r="B949" s="9">
        <v>17.010000000000002</v>
      </c>
      <c r="C949" s="9">
        <v>17.059999999999999</v>
      </c>
      <c r="D949" s="9">
        <v>16.579999999999998</v>
      </c>
      <c r="E949" s="9">
        <v>16.579999999999998</v>
      </c>
      <c r="F949" s="9">
        <v>16066700</v>
      </c>
      <c r="G949" s="9">
        <v>16.579999999999998</v>
      </c>
    </row>
    <row r="950" spans="1:7" x14ac:dyDescent="0.25">
      <c r="A950" s="101">
        <v>40627</v>
      </c>
      <c r="B950" s="9">
        <v>16.940000000000001</v>
      </c>
      <c r="C950" s="9">
        <v>17.05</v>
      </c>
      <c r="D950" s="9">
        <v>16.7</v>
      </c>
      <c r="E950" s="9">
        <v>16.96</v>
      </c>
      <c r="F950" s="9">
        <v>21047200</v>
      </c>
      <c r="G950" s="9">
        <v>16.96</v>
      </c>
    </row>
    <row r="951" spans="1:7" x14ac:dyDescent="0.25">
      <c r="A951" s="101">
        <v>40626</v>
      </c>
      <c r="B951" s="9">
        <v>16.190000000000001</v>
      </c>
      <c r="C951" s="9">
        <v>16.91</v>
      </c>
      <c r="D951" s="9">
        <v>16.170000000000002</v>
      </c>
      <c r="E951" s="9">
        <v>16.829999999999998</v>
      </c>
      <c r="F951" s="9">
        <v>20120300</v>
      </c>
      <c r="G951" s="9">
        <v>16.829999999999998</v>
      </c>
    </row>
    <row r="952" spans="1:7" x14ac:dyDescent="0.25">
      <c r="A952" s="101">
        <v>40625</v>
      </c>
      <c r="B952" s="9">
        <v>16.3</v>
      </c>
      <c r="C952" s="9">
        <v>16.34</v>
      </c>
      <c r="D952" s="9">
        <v>15.98</v>
      </c>
      <c r="E952" s="9">
        <v>16.13</v>
      </c>
      <c r="F952" s="9">
        <v>30842500</v>
      </c>
      <c r="G952" s="9">
        <v>16.13</v>
      </c>
    </row>
    <row r="953" spans="1:7" x14ac:dyDescent="0.25">
      <c r="A953" s="101">
        <v>40624</v>
      </c>
      <c r="B953" s="9">
        <v>16.29</v>
      </c>
      <c r="C953" s="9">
        <v>16.48</v>
      </c>
      <c r="D953" s="9">
        <v>16.16</v>
      </c>
      <c r="E953" s="9">
        <v>16.36</v>
      </c>
      <c r="F953" s="9">
        <v>30692400</v>
      </c>
      <c r="G953" s="9">
        <v>16.36</v>
      </c>
    </row>
    <row r="954" spans="1:7" x14ac:dyDescent="0.25">
      <c r="A954" s="101">
        <v>40623</v>
      </c>
      <c r="B954" s="9">
        <v>16.18</v>
      </c>
      <c r="C954" s="9">
        <v>16.5</v>
      </c>
      <c r="D954" s="9">
        <v>16.16</v>
      </c>
      <c r="E954" s="9">
        <v>16.29</v>
      </c>
      <c r="F954" s="9">
        <v>20613700</v>
      </c>
      <c r="G954" s="9">
        <v>16.29</v>
      </c>
    </row>
    <row r="955" spans="1:7" x14ac:dyDescent="0.25">
      <c r="A955" s="101">
        <v>40620</v>
      </c>
      <c r="B955" s="9">
        <v>16.100000000000001</v>
      </c>
      <c r="C955" s="9">
        <v>16.190000000000001</v>
      </c>
      <c r="D955" s="9">
        <v>16.010000000000002</v>
      </c>
      <c r="E955" s="9">
        <v>16.03</v>
      </c>
      <c r="F955" s="9">
        <v>26660400</v>
      </c>
      <c r="G955" s="9">
        <v>16.03</v>
      </c>
    </row>
    <row r="956" spans="1:7" x14ac:dyDescent="0.25">
      <c r="A956" s="101">
        <v>40619</v>
      </c>
      <c r="B956" s="9">
        <v>16.16</v>
      </c>
      <c r="C956" s="9">
        <v>16.420000000000002</v>
      </c>
      <c r="D956" s="9">
        <v>15.81</v>
      </c>
      <c r="E956" s="9">
        <v>15.86</v>
      </c>
      <c r="F956" s="9">
        <v>37548800</v>
      </c>
      <c r="G956" s="9">
        <v>15.86</v>
      </c>
    </row>
    <row r="957" spans="1:7" x14ac:dyDescent="0.25">
      <c r="A957" s="101">
        <v>40618</v>
      </c>
      <c r="B957" s="9">
        <v>16.329999999999998</v>
      </c>
      <c r="C957" s="9">
        <v>16.48</v>
      </c>
      <c r="D957" s="9">
        <v>15.85</v>
      </c>
      <c r="E957" s="9">
        <v>15.91</v>
      </c>
      <c r="F957" s="9">
        <v>38378500</v>
      </c>
      <c r="G957" s="9">
        <v>15.91</v>
      </c>
    </row>
    <row r="958" spans="1:7" x14ac:dyDescent="0.25">
      <c r="A958" s="101">
        <v>40617</v>
      </c>
      <c r="B958" s="9">
        <v>16.66</v>
      </c>
      <c r="C958" s="9">
        <v>16.68</v>
      </c>
      <c r="D958" s="9">
        <v>16.04</v>
      </c>
      <c r="E958" s="9">
        <v>16.329999999999998</v>
      </c>
      <c r="F958" s="9">
        <v>51489300</v>
      </c>
      <c r="G958" s="9">
        <v>16.329999999999998</v>
      </c>
    </row>
    <row r="959" spans="1:7" x14ac:dyDescent="0.25">
      <c r="A959" s="101">
        <v>40616</v>
      </c>
      <c r="B959" s="9">
        <v>17.239999999999998</v>
      </c>
      <c r="C959" s="9">
        <v>17.440000000000001</v>
      </c>
      <c r="D959" s="9">
        <v>17.09</v>
      </c>
      <c r="E959" s="9">
        <v>17.309999999999999</v>
      </c>
      <c r="F959" s="9">
        <v>21615500</v>
      </c>
      <c r="G959" s="9">
        <v>17.309999999999999</v>
      </c>
    </row>
    <row r="960" spans="1:7" x14ac:dyDescent="0.25">
      <c r="A960" s="101">
        <v>40613</v>
      </c>
      <c r="B960" s="9">
        <v>17</v>
      </c>
      <c r="C960" s="9">
        <v>17.54</v>
      </c>
      <c r="D960" s="9">
        <v>17</v>
      </c>
      <c r="E960" s="9">
        <v>17.420000000000002</v>
      </c>
      <c r="F960" s="9">
        <v>19454900</v>
      </c>
      <c r="G960" s="9">
        <v>17.420000000000002</v>
      </c>
    </row>
    <row r="961" spans="1:7" x14ac:dyDescent="0.25">
      <c r="A961" s="101">
        <v>40612</v>
      </c>
      <c r="B961" s="9">
        <v>17.3</v>
      </c>
      <c r="C961" s="9">
        <v>17.39</v>
      </c>
      <c r="D961" s="9">
        <v>16.93</v>
      </c>
      <c r="E961" s="9">
        <v>17.059999999999999</v>
      </c>
      <c r="F961" s="9">
        <v>25659700</v>
      </c>
      <c r="G961" s="9">
        <v>17.059999999999999</v>
      </c>
    </row>
    <row r="962" spans="1:7" x14ac:dyDescent="0.25">
      <c r="A962" s="101">
        <v>40611</v>
      </c>
      <c r="B962" s="9">
        <v>16.89</v>
      </c>
      <c r="C962" s="9">
        <v>17.7</v>
      </c>
      <c r="D962" s="9">
        <v>16.850000000000001</v>
      </c>
      <c r="E962" s="9">
        <v>17.649999999999999</v>
      </c>
      <c r="F962" s="9">
        <v>33798000</v>
      </c>
      <c r="G962" s="9">
        <v>17.649999999999999</v>
      </c>
    </row>
    <row r="963" spans="1:7" x14ac:dyDescent="0.25">
      <c r="A963" s="101">
        <v>40610</v>
      </c>
      <c r="B963" s="9">
        <v>16.739999999999998</v>
      </c>
      <c r="C963" s="9">
        <v>17.02</v>
      </c>
      <c r="D963" s="9">
        <v>16.72</v>
      </c>
      <c r="E963" s="9">
        <v>16.940000000000001</v>
      </c>
      <c r="F963" s="9">
        <v>12717200</v>
      </c>
      <c r="G963" s="9">
        <v>16.940000000000001</v>
      </c>
    </row>
    <row r="964" spans="1:7" x14ac:dyDescent="0.25">
      <c r="A964" s="101">
        <v>40609</v>
      </c>
      <c r="B964" s="9">
        <v>17.07</v>
      </c>
      <c r="C964" s="9">
        <v>17.149999999999999</v>
      </c>
      <c r="D964" s="9">
        <v>16.489999999999998</v>
      </c>
      <c r="E964" s="9">
        <v>16.7</v>
      </c>
      <c r="F964" s="9">
        <v>18770800</v>
      </c>
      <c r="G964" s="9">
        <v>16.7</v>
      </c>
    </row>
    <row r="965" spans="1:7" x14ac:dyDescent="0.25">
      <c r="A965" s="101">
        <v>40606</v>
      </c>
      <c r="B965" s="9">
        <v>16.75</v>
      </c>
      <c r="C965" s="9">
        <v>17.2</v>
      </c>
      <c r="D965" s="9">
        <v>16.72</v>
      </c>
      <c r="E965" s="9">
        <v>17.079999999999998</v>
      </c>
      <c r="F965" s="9">
        <v>20274200</v>
      </c>
      <c r="G965" s="9">
        <v>17.079999999999998</v>
      </c>
    </row>
    <row r="966" spans="1:7" x14ac:dyDescent="0.25">
      <c r="A966" s="101">
        <v>40605</v>
      </c>
      <c r="B966" s="9">
        <v>16.850000000000001</v>
      </c>
      <c r="C966" s="9">
        <v>17.05</v>
      </c>
      <c r="D966" s="9">
        <v>16.760000000000002</v>
      </c>
      <c r="E966" s="9">
        <v>16.86</v>
      </c>
      <c r="F966" s="9">
        <v>35202100</v>
      </c>
      <c r="G966" s="9">
        <v>16.86</v>
      </c>
    </row>
    <row r="967" spans="1:7" x14ac:dyDescent="0.25">
      <c r="A967" s="101">
        <v>40604</v>
      </c>
      <c r="B967" s="9">
        <v>16.649999999999999</v>
      </c>
      <c r="C967" s="9">
        <v>16.850000000000001</v>
      </c>
      <c r="D967" s="9">
        <v>16.600000000000001</v>
      </c>
      <c r="E967" s="9">
        <v>16.63</v>
      </c>
      <c r="F967" s="9">
        <v>24521100</v>
      </c>
      <c r="G967" s="9">
        <v>16.63</v>
      </c>
    </row>
    <row r="968" spans="1:7" x14ac:dyDescent="0.25">
      <c r="A968" s="101">
        <v>40603</v>
      </c>
      <c r="B968" s="9">
        <v>16.46</v>
      </c>
      <c r="C968" s="9">
        <v>16.489999999999998</v>
      </c>
      <c r="D968" s="9">
        <v>16.079999999999998</v>
      </c>
      <c r="E968" s="9">
        <v>16.100000000000001</v>
      </c>
      <c r="F968" s="9">
        <v>16702800</v>
      </c>
      <c r="G968" s="9">
        <v>16.100000000000001</v>
      </c>
    </row>
    <row r="969" spans="1:7" x14ac:dyDescent="0.25">
      <c r="A969" s="101">
        <v>40602</v>
      </c>
      <c r="B969" s="9">
        <v>16.37</v>
      </c>
      <c r="C969" s="9">
        <v>16.600000000000001</v>
      </c>
      <c r="D969" s="9">
        <v>16.28</v>
      </c>
      <c r="E969" s="9">
        <v>16.399999999999999</v>
      </c>
      <c r="F969" s="9">
        <v>20210300</v>
      </c>
      <c r="G969" s="9">
        <v>16.399999999999999</v>
      </c>
    </row>
    <row r="970" spans="1:7" x14ac:dyDescent="0.25">
      <c r="A970" s="101">
        <v>40599</v>
      </c>
      <c r="B970" s="9">
        <v>16.39</v>
      </c>
      <c r="C970" s="9">
        <v>16.77</v>
      </c>
      <c r="D970" s="9">
        <v>16.38</v>
      </c>
      <c r="E970" s="9">
        <v>16.5</v>
      </c>
      <c r="F970" s="9">
        <v>16939600</v>
      </c>
      <c r="G970" s="9">
        <v>16.5</v>
      </c>
    </row>
    <row r="971" spans="1:7" x14ac:dyDescent="0.25">
      <c r="A971" s="101">
        <v>40598</v>
      </c>
      <c r="B971" s="9">
        <v>16.66</v>
      </c>
      <c r="C971" s="9">
        <v>16.73</v>
      </c>
      <c r="D971" s="9">
        <v>16.04</v>
      </c>
      <c r="E971" s="9">
        <v>16.37</v>
      </c>
      <c r="F971" s="9">
        <v>31570400</v>
      </c>
      <c r="G971" s="9">
        <v>16.37</v>
      </c>
    </row>
    <row r="972" spans="1:7" x14ac:dyDescent="0.25">
      <c r="A972" s="101">
        <v>40597</v>
      </c>
      <c r="B972" s="9">
        <v>17.03</v>
      </c>
      <c r="C972" s="9">
        <v>17.100000000000001</v>
      </c>
      <c r="D972" s="9">
        <v>16.350000000000001</v>
      </c>
      <c r="E972" s="9">
        <v>16.579999999999998</v>
      </c>
      <c r="F972" s="9">
        <v>35225100</v>
      </c>
      <c r="G972" s="9">
        <v>16.579999999999998</v>
      </c>
    </row>
    <row r="973" spans="1:7" x14ac:dyDescent="0.25">
      <c r="A973" s="101">
        <v>40596</v>
      </c>
      <c r="B973" s="9">
        <v>17.079999999999998</v>
      </c>
      <c r="C973" s="9">
        <v>17.39</v>
      </c>
      <c r="D973" s="9">
        <v>16.87</v>
      </c>
      <c r="E973" s="9">
        <v>16.91</v>
      </c>
      <c r="F973" s="9">
        <v>34759500</v>
      </c>
      <c r="G973" s="9">
        <v>16.91</v>
      </c>
    </row>
    <row r="974" spans="1:7" x14ac:dyDescent="0.25">
      <c r="A974" s="101">
        <v>40592</v>
      </c>
      <c r="B974" s="9">
        <v>17.690000000000001</v>
      </c>
      <c r="C974" s="9">
        <v>17.84</v>
      </c>
      <c r="D974" s="9">
        <v>17.57</v>
      </c>
      <c r="E974" s="9">
        <v>17.66</v>
      </c>
      <c r="F974" s="9">
        <v>13729900</v>
      </c>
      <c r="G974" s="9">
        <v>17.66</v>
      </c>
    </row>
    <row r="975" spans="1:7" x14ac:dyDescent="0.25">
      <c r="A975" s="101">
        <v>40591</v>
      </c>
      <c r="B975" s="9">
        <v>17.75</v>
      </c>
      <c r="C975" s="9">
        <v>17.82</v>
      </c>
      <c r="D975" s="9">
        <v>17.5</v>
      </c>
      <c r="E975" s="9">
        <v>17.77</v>
      </c>
      <c r="F975" s="9">
        <v>23566600</v>
      </c>
      <c r="G975" s="9">
        <v>17.77</v>
      </c>
    </row>
    <row r="976" spans="1:7" x14ac:dyDescent="0.25">
      <c r="A976" s="101">
        <v>40590</v>
      </c>
      <c r="B976" s="9">
        <v>17.23</v>
      </c>
      <c r="C976" s="9">
        <v>17.82</v>
      </c>
      <c r="D976" s="9">
        <v>17.21</v>
      </c>
      <c r="E976" s="9">
        <v>17.760000000000002</v>
      </c>
      <c r="F976" s="9">
        <v>41824100</v>
      </c>
      <c r="G976" s="9">
        <v>17.760000000000002</v>
      </c>
    </row>
    <row r="977" spans="1:7" x14ac:dyDescent="0.25">
      <c r="A977" s="101">
        <v>40589</v>
      </c>
      <c r="B977" s="9">
        <v>16.8</v>
      </c>
      <c r="C977" s="9">
        <v>17.39</v>
      </c>
      <c r="D977" s="9">
        <v>16.78</v>
      </c>
      <c r="E977" s="9">
        <v>17.2</v>
      </c>
      <c r="F977" s="9">
        <v>31395200</v>
      </c>
      <c r="G977" s="9">
        <v>17.2</v>
      </c>
    </row>
    <row r="978" spans="1:7" x14ac:dyDescent="0.25">
      <c r="A978" s="101">
        <v>40588</v>
      </c>
      <c r="B978" s="9">
        <v>16.84</v>
      </c>
      <c r="C978" s="9">
        <v>16.93</v>
      </c>
      <c r="D978" s="9">
        <v>16.72</v>
      </c>
      <c r="E978" s="9">
        <v>16.89</v>
      </c>
      <c r="F978" s="9">
        <v>14503000</v>
      </c>
      <c r="G978" s="9">
        <v>16.89</v>
      </c>
    </row>
    <row r="979" spans="1:7" x14ac:dyDescent="0.25">
      <c r="A979" s="101">
        <v>40585</v>
      </c>
      <c r="B979" s="9">
        <v>16.579999999999998</v>
      </c>
      <c r="C979" s="9">
        <v>16.87</v>
      </c>
      <c r="D979" s="9">
        <v>16.54</v>
      </c>
      <c r="E979" s="9">
        <v>16.850000000000001</v>
      </c>
      <c r="F979" s="9">
        <v>15386300</v>
      </c>
      <c r="G979" s="9">
        <v>16.850000000000001</v>
      </c>
    </row>
    <row r="980" spans="1:7" x14ac:dyDescent="0.25">
      <c r="A980" s="101">
        <v>40584</v>
      </c>
      <c r="B980" s="9">
        <v>16.39</v>
      </c>
      <c r="C980" s="9">
        <v>16.72</v>
      </c>
      <c r="D980" s="9">
        <v>16.350000000000001</v>
      </c>
      <c r="E980" s="9">
        <v>16.62</v>
      </c>
      <c r="F980" s="9">
        <v>15430500</v>
      </c>
      <c r="G980" s="9">
        <v>16.62</v>
      </c>
    </row>
    <row r="981" spans="1:7" x14ac:dyDescent="0.25">
      <c r="A981" s="101">
        <v>40583</v>
      </c>
      <c r="B981" s="9">
        <v>16.54</v>
      </c>
      <c r="C981" s="9">
        <v>16.7</v>
      </c>
      <c r="D981" s="9">
        <v>16.350000000000001</v>
      </c>
      <c r="E981" s="9">
        <v>16.43</v>
      </c>
      <c r="F981" s="9">
        <v>17778700</v>
      </c>
      <c r="G981" s="9">
        <v>16.43</v>
      </c>
    </row>
    <row r="982" spans="1:7" x14ac:dyDescent="0.25">
      <c r="A982" s="101">
        <v>40582</v>
      </c>
      <c r="B982" s="9">
        <v>16.829999999999998</v>
      </c>
      <c r="C982" s="9">
        <v>16.850000000000001</v>
      </c>
      <c r="D982" s="9">
        <v>16.48</v>
      </c>
      <c r="E982" s="9">
        <v>16.600000000000001</v>
      </c>
      <c r="F982" s="9">
        <v>17932000</v>
      </c>
      <c r="G982" s="9">
        <v>16.600000000000001</v>
      </c>
    </row>
    <row r="983" spans="1:7" x14ac:dyDescent="0.25">
      <c r="A983" s="101">
        <v>40581</v>
      </c>
      <c r="B983" s="9">
        <v>16.809999999999999</v>
      </c>
      <c r="C983" s="9">
        <v>17</v>
      </c>
      <c r="D983" s="9">
        <v>16.77</v>
      </c>
      <c r="E983" s="9">
        <v>16.8</v>
      </c>
      <c r="F983" s="9">
        <v>16046500</v>
      </c>
      <c r="G983" s="9">
        <v>16.8</v>
      </c>
    </row>
    <row r="984" spans="1:7" x14ac:dyDescent="0.25">
      <c r="A984" s="101">
        <v>40578</v>
      </c>
      <c r="B984" s="9">
        <v>16.739999999999998</v>
      </c>
      <c r="C984" s="9">
        <v>16.91</v>
      </c>
      <c r="D984" s="9">
        <v>16.45</v>
      </c>
      <c r="E984" s="9">
        <v>16.79</v>
      </c>
      <c r="F984" s="9">
        <v>19127900</v>
      </c>
      <c r="G984" s="9">
        <v>16.79</v>
      </c>
    </row>
    <row r="985" spans="1:7" x14ac:dyDescent="0.25">
      <c r="A985" s="101">
        <v>40577</v>
      </c>
      <c r="B985" s="9">
        <v>16.48</v>
      </c>
      <c r="C985" s="9">
        <v>16.91</v>
      </c>
      <c r="D985" s="9">
        <v>16.399999999999999</v>
      </c>
      <c r="E985" s="9">
        <v>16.690000000000001</v>
      </c>
      <c r="F985" s="9">
        <v>33314600</v>
      </c>
      <c r="G985" s="9">
        <v>16.690000000000001</v>
      </c>
    </row>
    <row r="986" spans="1:7" x14ac:dyDescent="0.25">
      <c r="A986" s="101">
        <v>40576</v>
      </c>
      <c r="B986" s="9">
        <v>16.25</v>
      </c>
      <c r="C986" s="9">
        <v>16.66</v>
      </c>
      <c r="D986" s="9">
        <v>16.25</v>
      </c>
      <c r="E986" s="9">
        <v>16.57</v>
      </c>
      <c r="F986" s="9">
        <v>21106800</v>
      </c>
      <c r="G986" s="9">
        <v>16.57</v>
      </c>
    </row>
    <row r="987" spans="1:7" x14ac:dyDescent="0.25">
      <c r="A987" s="101">
        <v>40575</v>
      </c>
      <c r="B987" s="9">
        <v>16.329999999999998</v>
      </c>
      <c r="C987" s="9">
        <v>16.46</v>
      </c>
      <c r="D987" s="9">
        <v>16.23</v>
      </c>
      <c r="E987" s="9">
        <v>16.38</v>
      </c>
      <c r="F987" s="9">
        <v>26938900</v>
      </c>
      <c r="G987" s="9">
        <v>16.38</v>
      </c>
    </row>
    <row r="988" spans="1:7" x14ac:dyDescent="0.25">
      <c r="A988" s="101">
        <v>40574</v>
      </c>
      <c r="B988" s="9">
        <v>15.82</v>
      </c>
      <c r="C988" s="9">
        <v>16.2</v>
      </c>
      <c r="D988" s="9">
        <v>15.79</v>
      </c>
      <c r="E988" s="9">
        <v>16.12</v>
      </c>
      <c r="F988" s="9">
        <v>22911400</v>
      </c>
      <c r="G988" s="9">
        <v>16.12</v>
      </c>
    </row>
    <row r="989" spans="1:7" x14ac:dyDescent="0.25">
      <c r="A989" s="101">
        <v>40571</v>
      </c>
      <c r="B989" s="9">
        <v>16.149999999999999</v>
      </c>
      <c r="C989" s="9">
        <v>16.21</v>
      </c>
      <c r="D989" s="9">
        <v>15.68</v>
      </c>
      <c r="E989" s="9">
        <v>15.83</v>
      </c>
      <c r="F989" s="9">
        <v>24734000</v>
      </c>
      <c r="G989" s="9">
        <v>15.83</v>
      </c>
    </row>
    <row r="990" spans="1:7" x14ac:dyDescent="0.25">
      <c r="A990" s="101">
        <v>40570</v>
      </c>
      <c r="B990" s="9">
        <v>15.58</v>
      </c>
      <c r="C990" s="9">
        <v>16.36</v>
      </c>
      <c r="D990" s="9">
        <v>15.58</v>
      </c>
      <c r="E990" s="9">
        <v>16.2</v>
      </c>
      <c r="F990" s="9">
        <v>39067000</v>
      </c>
      <c r="G990" s="9">
        <v>16.2</v>
      </c>
    </row>
    <row r="991" spans="1:7" x14ac:dyDescent="0.25">
      <c r="A991" s="101">
        <v>40569</v>
      </c>
      <c r="B991" s="9">
        <v>15.93</v>
      </c>
      <c r="C991" s="9">
        <v>16.05</v>
      </c>
      <c r="D991" s="9">
        <v>15.41</v>
      </c>
      <c r="E991" s="9">
        <v>15.57</v>
      </c>
      <c r="F991" s="9">
        <v>49690800</v>
      </c>
      <c r="G991" s="9">
        <v>15.57</v>
      </c>
    </row>
    <row r="992" spans="1:7" x14ac:dyDescent="0.25">
      <c r="A992" s="101">
        <v>40568</v>
      </c>
      <c r="B992" s="9">
        <v>16.170000000000002</v>
      </c>
      <c r="C992" s="9">
        <v>16.190000000000001</v>
      </c>
      <c r="D992" s="9">
        <v>15.85</v>
      </c>
      <c r="E992" s="9">
        <v>16.02</v>
      </c>
      <c r="F992" s="9">
        <v>26673100</v>
      </c>
      <c r="G992" s="9">
        <v>16.02</v>
      </c>
    </row>
    <row r="993" spans="1:7" x14ac:dyDescent="0.25">
      <c r="A993" s="101">
        <v>40567</v>
      </c>
      <c r="B993" s="9">
        <v>16</v>
      </c>
      <c r="C993" s="9">
        <v>16.239999999999998</v>
      </c>
      <c r="D993" s="9">
        <v>15.76</v>
      </c>
      <c r="E993" s="9">
        <v>16.09</v>
      </c>
      <c r="F993" s="9">
        <v>23375300</v>
      </c>
      <c r="G993" s="9">
        <v>16.09</v>
      </c>
    </row>
    <row r="994" spans="1:7" x14ac:dyDescent="0.25">
      <c r="A994" s="101">
        <v>40564</v>
      </c>
      <c r="B994" s="9">
        <v>16.27</v>
      </c>
      <c r="C994" s="9">
        <v>16.309999999999999</v>
      </c>
      <c r="D994" s="9">
        <v>15.93</v>
      </c>
      <c r="E994" s="9">
        <v>15.97</v>
      </c>
      <c r="F994" s="9">
        <v>23366200</v>
      </c>
      <c r="G994" s="9">
        <v>15.97</v>
      </c>
    </row>
    <row r="995" spans="1:7" x14ac:dyDescent="0.25">
      <c r="A995" s="101">
        <v>40563</v>
      </c>
      <c r="B995" s="9">
        <v>16.29</v>
      </c>
      <c r="C995" s="9">
        <v>16.329999999999998</v>
      </c>
      <c r="D995" s="9">
        <v>16.09</v>
      </c>
      <c r="E995" s="9">
        <v>16.23</v>
      </c>
      <c r="F995" s="9">
        <v>14622700</v>
      </c>
      <c r="G995" s="9">
        <v>16.23</v>
      </c>
    </row>
    <row r="996" spans="1:7" x14ac:dyDescent="0.25">
      <c r="A996" s="101">
        <v>40562</v>
      </c>
      <c r="B996" s="9">
        <v>16.489999999999998</v>
      </c>
      <c r="C996" s="9">
        <v>16.55</v>
      </c>
      <c r="D996" s="9">
        <v>16.23</v>
      </c>
      <c r="E996" s="9">
        <v>16.309999999999999</v>
      </c>
      <c r="F996" s="9">
        <v>17130000</v>
      </c>
      <c r="G996" s="9">
        <v>16.309999999999999</v>
      </c>
    </row>
    <row r="997" spans="1:7" x14ac:dyDescent="0.25">
      <c r="A997" s="101">
        <v>40561</v>
      </c>
      <c r="B997" s="9">
        <v>16.62</v>
      </c>
      <c r="C997" s="9">
        <v>16.68</v>
      </c>
      <c r="D997" s="9">
        <v>16.420000000000002</v>
      </c>
      <c r="E997" s="9">
        <v>16.5</v>
      </c>
      <c r="F997" s="9">
        <v>21392500</v>
      </c>
      <c r="G997" s="9">
        <v>16.5</v>
      </c>
    </row>
    <row r="998" spans="1:7" x14ac:dyDescent="0.25">
      <c r="A998" s="101">
        <v>40557</v>
      </c>
      <c r="B998" s="9">
        <v>16.670000000000002</v>
      </c>
      <c r="C998" s="9">
        <v>16.829999999999998</v>
      </c>
      <c r="D998" s="9">
        <v>16.600000000000001</v>
      </c>
      <c r="E998" s="9">
        <v>16.809999999999999</v>
      </c>
      <c r="F998" s="9">
        <v>13593500</v>
      </c>
      <c r="G998" s="9">
        <v>16.809999999999999</v>
      </c>
    </row>
    <row r="999" spans="1:7" x14ac:dyDescent="0.25">
      <c r="A999" s="101">
        <v>40556</v>
      </c>
      <c r="B999" s="9">
        <v>16.64</v>
      </c>
      <c r="C999" s="9">
        <v>16.920000000000002</v>
      </c>
      <c r="D999" s="9">
        <v>16.57</v>
      </c>
      <c r="E999" s="9">
        <v>16.75</v>
      </c>
      <c r="F999" s="9">
        <v>15961000</v>
      </c>
      <c r="G999" s="9">
        <v>16.75</v>
      </c>
    </row>
    <row r="1000" spans="1:7" x14ac:dyDescent="0.25">
      <c r="A1000" s="101">
        <v>40555</v>
      </c>
      <c r="B1000" s="9">
        <v>16.71</v>
      </c>
      <c r="C1000" s="9">
        <v>16.809999999999999</v>
      </c>
      <c r="D1000" s="9">
        <v>16.59</v>
      </c>
      <c r="E1000" s="9">
        <v>16.649999999999999</v>
      </c>
      <c r="F1000" s="9">
        <v>15066200</v>
      </c>
      <c r="G1000" s="9">
        <v>16.649999999999999</v>
      </c>
    </row>
    <row r="1001" spans="1:7" x14ac:dyDescent="0.25">
      <c r="A1001" s="101">
        <v>40554</v>
      </c>
      <c r="B1001" s="9">
        <v>16.7</v>
      </c>
      <c r="C1001" s="9">
        <v>16.73</v>
      </c>
      <c r="D1001" s="9">
        <v>16.53</v>
      </c>
      <c r="E1001" s="9">
        <v>16.579999999999998</v>
      </c>
      <c r="F1001" s="9">
        <v>14615700</v>
      </c>
      <c r="G1001" s="9">
        <v>16.579999999999998</v>
      </c>
    </row>
    <row r="1002" spans="1:7" x14ac:dyDescent="0.25">
      <c r="A1002" s="101">
        <v>40553</v>
      </c>
      <c r="B1002" s="9">
        <v>16.78</v>
      </c>
      <c r="C1002" s="9">
        <v>16.8</v>
      </c>
      <c r="D1002" s="9">
        <v>16.5</v>
      </c>
      <c r="E1002" s="9">
        <v>16.600000000000001</v>
      </c>
      <c r="F1002" s="9">
        <v>16176700</v>
      </c>
      <c r="G1002" s="9">
        <v>16.600000000000001</v>
      </c>
    </row>
    <row r="1003" spans="1:7" x14ac:dyDescent="0.25">
      <c r="A1003" s="101">
        <v>40550</v>
      </c>
      <c r="B1003" s="9">
        <v>17.03</v>
      </c>
      <c r="C1003" s="9">
        <v>17.170000000000002</v>
      </c>
      <c r="D1003" s="9">
        <v>16.649999999999999</v>
      </c>
      <c r="E1003" s="9">
        <v>16.899999999999999</v>
      </c>
      <c r="F1003" s="9">
        <v>19869500</v>
      </c>
      <c r="G1003" s="9">
        <v>16.899999999999999</v>
      </c>
    </row>
    <row r="1004" spans="1:7" x14ac:dyDescent="0.25">
      <c r="A1004" s="101">
        <v>40549</v>
      </c>
      <c r="B1004" s="9">
        <v>16.899999999999999</v>
      </c>
      <c r="C1004" s="9">
        <v>17.34</v>
      </c>
      <c r="D1004" s="9">
        <v>16.77</v>
      </c>
      <c r="E1004" s="9">
        <v>17.059999999999999</v>
      </c>
      <c r="F1004" s="9">
        <v>30656800</v>
      </c>
      <c r="G1004" s="9">
        <v>17.059999999999999</v>
      </c>
    </row>
    <row r="1005" spans="1:7" x14ac:dyDescent="0.25">
      <c r="A1005" s="101">
        <v>40548</v>
      </c>
      <c r="B1005" s="9">
        <v>16.55</v>
      </c>
      <c r="C1005" s="9">
        <v>16.91</v>
      </c>
      <c r="D1005" s="9">
        <v>16.34</v>
      </c>
      <c r="E1005" s="9">
        <v>16.91</v>
      </c>
      <c r="F1005" s="9">
        <v>23447700</v>
      </c>
      <c r="G1005" s="9">
        <v>16.91</v>
      </c>
    </row>
    <row r="1006" spans="1:7" x14ac:dyDescent="0.25">
      <c r="A1006" s="101">
        <v>40547</v>
      </c>
      <c r="B1006" s="9">
        <v>16.71</v>
      </c>
      <c r="C1006" s="9">
        <v>16.829999999999998</v>
      </c>
      <c r="D1006" s="9">
        <v>16.57</v>
      </c>
      <c r="E1006" s="9">
        <v>16.59</v>
      </c>
      <c r="F1006" s="9">
        <v>11092800</v>
      </c>
      <c r="G1006" s="9">
        <v>16.59</v>
      </c>
    </row>
    <row r="1007" spans="1:7" x14ac:dyDescent="0.25">
      <c r="A1007" s="101">
        <v>40546</v>
      </c>
      <c r="B1007" s="9">
        <v>16.809999999999999</v>
      </c>
      <c r="C1007" s="9">
        <v>16.940000000000001</v>
      </c>
      <c r="D1007" s="9">
        <v>16.670000000000002</v>
      </c>
      <c r="E1007" s="9">
        <v>16.75</v>
      </c>
      <c r="F1007" s="9">
        <v>17684000</v>
      </c>
      <c r="G1007" s="9">
        <v>16.75</v>
      </c>
    </row>
    <row r="1008" spans="1:7" x14ac:dyDescent="0.25">
      <c r="A1008" s="101">
        <v>40543</v>
      </c>
      <c r="B1008" s="9">
        <v>16.739999999999998</v>
      </c>
      <c r="C1008" s="9">
        <v>16.760000000000002</v>
      </c>
      <c r="D1008" s="9">
        <v>16.47</v>
      </c>
      <c r="E1008" s="9">
        <v>16.63</v>
      </c>
      <c r="F1008" s="9">
        <v>7754500</v>
      </c>
      <c r="G1008" s="9">
        <v>16.63</v>
      </c>
    </row>
    <row r="1009" spans="1:7" x14ac:dyDescent="0.25">
      <c r="A1009" s="101">
        <v>40542</v>
      </c>
      <c r="B1009" s="9">
        <v>16.600000000000001</v>
      </c>
      <c r="C1009" s="9">
        <v>16.77</v>
      </c>
      <c r="D1009" s="9">
        <v>16.52</v>
      </c>
      <c r="E1009" s="9">
        <v>16.760000000000002</v>
      </c>
      <c r="F1009" s="9">
        <v>8318900</v>
      </c>
      <c r="G1009" s="9">
        <v>16.760000000000002</v>
      </c>
    </row>
    <row r="1010" spans="1:7" x14ac:dyDescent="0.25">
      <c r="A1010" s="101">
        <v>40541</v>
      </c>
      <c r="B1010" s="9">
        <v>16.5</v>
      </c>
      <c r="C1010" s="9">
        <v>16.77</v>
      </c>
      <c r="D1010" s="9">
        <v>16.43</v>
      </c>
      <c r="E1010" s="9">
        <v>16.61</v>
      </c>
      <c r="F1010" s="9">
        <v>7668600</v>
      </c>
      <c r="G1010" s="9">
        <v>16.61</v>
      </c>
    </row>
    <row r="1011" spans="1:7" x14ac:dyDescent="0.25">
      <c r="A1011" s="101">
        <v>40540</v>
      </c>
      <c r="B1011" s="9">
        <v>16.47</v>
      </c>
      <c r="C1011" s="9">
        <v>16.54</v>
      </c>
      <c r="D1011" s="9">
        <v>16.329999999999998</v>
      </c>
      <c r="E1011" s="9">
        <v>16.43</v>
      </c>
      <c r="F1011" s="9">
        <v>8389100</v>
      </c>
      <c r="G1011" s="9">
        <v>16.43</v>
      </c>
    </row>
    <row r="1012" spans="1:7" x14ac:dyDescent="0.25">
      <c r="A1012" s="101">
        <v>40539</v>
      </c>
      <c r="B1012" s="9">
        <v>16.62</v>
      </c>
      <c r="C1012" s="9">
        <v>16.63</v>
      </c>
      <c r="D1012" s="9">
        <v>16.399999999999999</v>
      </c>
      <c r="E1012" s="9">
        <v>16.48</v>
      </c>
      <c r="F1012" s="9">
        <v>7492300</v>
      </c>
      <c r="G1012" s="9">
        <v>16.48</v>
      </c>
    </row>
    <row r="1013" spans="1:7" x14ac:dyDescent="0.25">
      <c r="A1013" s="101">
        <v>40535</v>
      </c>
      <c r="B1013" s="9">
        <v>16.559999999999999</v>
      </c>
      <c r="C1013" s="9">
        <v>16.73</v>
      </c>
      <c r="D1013" s="9">
        <v>16.45</v>
      </c>
      <c r="E1013" s="9">
        <v>16.72</v>
      </c>
      <c r="F1013" s="9">
        <v>8889200</v>
      </c>
      <c r="G1013" s="9">
        <v>16.72</v>
      </c>
    </row>
    <row r="1014" spans="1:7" x14ac:dyDescent="0.25">
      <c r="A1014" s="101">
        <v>40534</v>
      </c>
      <c r="B1014" s="9">
        <v>16.670000000000002</v>
      </c>
      <c r="C1014" s="9">
        <v>16.78</v>
      </c>
      <c r="D1014" s="9">
        <v>16.559999999999999</v>
      </c>
      <c r="E1014" s="9">
        <v>16.63</v>
      </c>
      <c r="F1014" s="9">
        <v>6767500</v>
      </c>
      <c r="G1014" s="9">
        <v>16.63</v>
      </c>
    </row>
    <row r="1015" spans="1:7" x14ac:dyDescent="0.25">
      <c r="A1015" s="101">
        <v>40533</v>
      </c>
      <c r="B1015" s="9">
        <v>16.309999999999999</v>
      </c>
      <c r="C1015" s="9">
        <v>16.68</v>
      </c>
      <c r="D1015" s="9">
        <v>16.2</v>
      </c>
      <c r="E1015" s="9">
        <v>16.600000000000001</v>
      </c>
      <c r="F1015" s="9">
        <v>11394700</v>
      </c>
      <c r="G1015" s="9">
        <v>16.600000000000001</v>
      </c>
    </row>
    <row r="1016" spans="1:7" x14ac:dyDescent="0.25">
      <c r="A1016" s="101">
        <v>40532</v>
      </c>
      <c r="B1016" s="9">
        <v>16.38</v>
      </c>
      <c r="C1016" s="9">
        <v>16.420000000000002</v>
      </c>
      <c r="D1016" s="9">
        <v>16.149999999999999</v>
      </c>
      <c r="E1016" s="9">
        <v>16.28</v>
      </c>
      <c r="F1016" s="9">
        <v>17566400</v>
      </c>
      <c r="G1016" s="9">
        <v>16.28</v>
      </c>
    </row>
    <row r="1017" spans="1:7" x14ac:dyDescent="0.25">
      <c r="A1017" s="101">
        <v>40529</v>
      </c>
      <c r="B1017" s="9">
        <v>16.510000000000002</v>
      </c>
      <c r="C1017" s="9">
        <v>16.66</v>
      </c>
      <c r="D1017" s="9">
        <v>16.32</v>
      </c>
      <c r="E1017" s="9">
        <v>16.38</v>
      </c>
      <c r="F1017" s="9">
        <v>24896100</v>
      </c>
      <c r="G1017" s="9">
        <v>16.38</v>
      </c>
    </row>
    <row r="1018" spans="1:7" x14ac:dyDescent="0.25">
      <c r="A1018" s="101">
        <v>40528</v>
      </c>
      <c r="B1018" s="9">
        <v>16.45</v>
      </c>
      <c r="C1018" s="9">
        <v>16.7</v>
      </c>
      <c r="D1018" s="9">
        <v>16.440000000000001</v>
      </c>
      <c r="E1018" s="9">
        <v>16.510000000000002</v>
      </c>
      <c r="F1018" s="9">
        <v>12940500</v>
      </c>
      <c r="G1018" s="9">
        <v>16.510000000000002</v>
      </c>
    </row>
    <row r="1019" spans="1:7" x14ac:dyDescent="0.25">
      <c r="A1019" s="101">
        <v>40527</v>
      </c>
      <c r="B1019" s="9">
        <v>16.55</v>
      </c>
      <c r="C1019" s="9">
        <v>16.73</v>
      </c>
      <c r="D1019" s="9">
        <v>16.420000000000002</v>
      </c>
      <c r="E1019" s="9">
        <v>16.45</v>
      </c>
      <c r="F1019" s="9">
        <v>10944200</v>
      </c>
      <c r="G1019" s="9">
        <v>16.45</v>
      </c>
    </row>
    <row r="1020" spans="1:7" x14ac:dyDescent="0.25">
      <c r="A1020" s="101">
        <v>40526</v>
      </c>
      <c r="B1020" s="9">
        <v>16.77</v>
      </c>
      <c r="C1020" s="9">
        <v>16.84</v>
      </c>
      <c r="D1020" s="9">
        <v>16.57</v>
      </c>
      <c r="E1020" s="9">
        <v>16.63</v>
      </c>
      <c r="F1020" s="9">
        <v>11429500</v>
      </c>
      <c r="G1020" s="9">
        <v>16.63</v>
      </c>
    </row>
    <row r="1021" spans="1:7" x14ac:dyDescent="0.25">
      <c r="A1021" s="101">
        <v>40525</v>
      </c>
      <c r="B1021" s="9">
        <v>16.899999999999999</v>
      </c>
      <c r="C1021" s="9">
        <v>16.989999999999998</v>
      </c>
      <c r="D1021" s="9">
        <v>16.690000000000001</v>
      </c>
      <c r="E1021" s="9">
        <v>16.7</v>
      </c>
      <c r="F1021" s="9">
        <v>12755400</v>
      </c>
      <c r="G1021" s="9">
        <v>16.7</v>
      </c>
    </row>
    <row r="1022" spans="1:7" x14ac:dyDescent="0.25">
      <c r="A1022" s="101">
        <v>40522</v>
      </c>
      <c r="B1022" s="9">
        <v>16.97</v>
      </c>
      <c r="C1022" s="9">
        <v>17.05</v>
      </c>
      <c r="D1022" s="9">
        <v>16.91</v>
      </c>
      <c r="E1022" s="9">
        <v>17.010000000000002</v>
      </c>
      <c r="F1022" s="9">
        <v>8985300</v>
      </c>
      <c r="G1022" s="9">
        <v>17.010000000000002</v>
      </c>
    </row>
    <row r="1023" spans="1:7" x14ac:dyDescent="0.25">
      <c r="A1023" s="101">
        <v>40521</v>
      </c>
      <c r="B1023" s="9">
        <v>17.12</v>
      </c>
      <c r="C1023" s="9">
        <v>17.190000000000001</v>
      </c>
      <c r="D1023" s="9">
        <v>16.8</v>
      </c>
      <c r="E1023" s="9">
        <v>16.95</v>
      </c>
      <c r="F1023" s="9">
        <v>8673300</v>
      </c>
      <c r="G1023" s="9">
        <v>16.95</v>
      </c>
    </row>
    <row r="1024" spans="1:7" x14ac:dyDescent="0.25">
      <c r="A1024" s="101">
        <v>40520</v>
      </c>
      <c r="B1024" s="9">
        <v>17.010000000000002</v>
      </c>
      <c r="C1024" s="9">
        <v>17.22</v>
      </c>
      <c r="D1024" s="9">
        <v>16.96</v>
      </c>
      <c r="E1024" s="9">
        <v>17.02</v>
      </c>
      <c r="F1024" s="9">
        <v>21773300</v>
      </c>
      <c r="G1024" s="9">
        <v>17.02</v>
      </c>
    </row>
    <row r="1025" spans="1:7" x14ac:dyDescent="0.25">
      <c r="A1025" s="101">
        <v>40519</v>
      </c>
      <c r="B1025" s="9">
        <v>16.5</v>
      </c>
      <c r="C1025" s="9">
        <v>17.07</v>
      </c>
      <c r="D1025" s="9">
        <v>16.5</v>
      </c>
      <c r="E1025" s="9">
        <v>16.940000000000001</v>
      </c>
      <c r="F1025" s="9">
        <v>29056400</v>
      </c>
      <c r="G1025" s="9">
        <v>16.940000000000001</v>
      </c>
    </row>
    <row r="1026" spans="1:7" x14ac:dyDescent="0.25">
      <c r="A1026" s="101">
        <v>40518</v>
      </c>
      <c r="B1026" s="9">
        <v>16.47</v>
      </c>
      <c r="C1026" s="9">
        <v>16.600000000000001</v>
      </c>
      <c r="D1026" s="9">
        <v>16.3</v>
      </c>
      <c r="E1026" s="9">
        <v>16.329999999999998</v>
      </c>
      <c r="F1026" s="9">
        <v>12063800</v>
      </c>
      <c r="G1026" s="9">
        <v>16.329999999999998</v>
      </c>
    </row>
    <row r="1027" spans="1:7" x14ac:dyDescent="0.25">
      <c r="A1027" s="101">
        <v>40515</v>
      </c>
      <c r="B1027" s="9">
        <v>16.27</v>
      </c>
      <c r="C1027" s="9">
        <v>16.37</v>
      </c>
      <c r="D1027" s="9">
        <v>16.2</v>
      </c>
      <c r="E1027" s="9">
        <v>16.350000000000001</v>
      </c>
      <c r="F1027" s="9">
        <v>9228000</v>
      </c>
      <c r="G1027" s="9">
        <v>16.350000000000001</v>
      </c>
    </row>
    <row r="1028" spans="1:7" x14ac:dyDescent="0.25">
      <c r="A1028" s="101">
        <v>40514</v>
      </c>
      <c r="B1028" s="9">
        <v>16.2</v>
      </c>
      <c r="C1028" s="9">
        <v>16.41</v>
      </c>
      <c r="D1028" s="9">
        <v>16.12</v>
      </c>
      <c r="E1028" s="9">
        <v>16.329999999999998</v>
      </c>
      <c r="F1028" s="9">
        <v>13167300</v>
      </c>
      <c r="G1028" s="9">
        <v>16.329999999999998</v>
      </c>
    </row>
    <row r="1029" spans="1:7" x14ac:dyDescent="0.25">
      <c r="A1029" s="101">
        <v>40513</v>
      </c>
      <c r="B1029" s="9">
        <v>16</v>
      </c>
      <c r="C1029" s="9">
        <v>16.399999999999999</v>
      </c>
      <c r="D1029" s="9">
        <v>16</v>
      </c>
      <c r="E1029" s="9">
        <v>16.149999999999999</v>
      </c>
      <c r="F1029" s="9">
        <v>17435900</v>
      </c>
      <c r="G1029" s="9">
        <v>16.149999999999999</v>
      </c>
    </row>
    <row r="1030" spans="1:7" x14ac:dyDescent="0.25">
      <c r="A1030" s="101">
        <v>40512</v>
      </c>
      <c r="B1030" s="9">
        <v>16.2</v>
      </c>
      <c r="C1030" s="9">
        <v>16.34</v>
      </c>
      <c r="D1030" s="9">
        <v>15.77</v>
      </c>
      <c r="E1030" s="9">
        <v>15.82</v>
      </c>
      <c r="F1030" s="9">
        <v>24981100</v>
      </c>
      <c r="G1030" s="9">
        <v>15.82</v>
      </c>
    </row>
    <row r="1031" spans="1:7" x14ac:dyDescent="0.25">
      <c r="A1031" s="101">
        <v>40511</v>
      </c>
      <c r="B1031" s="9">
        <v>16.100000000000001</v>
      </c>
      <c r="C1031" s="9">
        <v>16.45</v>
      </c>
      <c r="D1031" s="9">
        <v>15.95</v>
      </c>
      <c r="E1031" s="9">
        <v>16.38</v>
      </c>
      <c r="F1031" s="9">
        <v>14653000</v>
      </c>
      <c r="G1031" s="9">
        <v>16.38</v>
      </c>
    </row>
    <row r="1032" spans="1:7" x14ac:dyDescent="0.25">
      <c r="A1032" s="101">
        <v>40508</v>
      </c>
      <c r="B1032" s="9">
        <v>16.25</v>
      </c>
      <c r="C1032" s="9">
        <v>16.399999999999999</v>
      </c>
      <c r="D1032" s="9">
        <v>16.22</v>
      </c>
      <c r="E1032" s="9">
        <v>16.22</v>
      </c>
      <c r="F1032" s="9">
        <v>4953900</v>
      </c>
      <c r="G1032" s="9">
        <v>16.22</v>
      </c>
    </row>
    <row r="1033" spans="1:7" x14ac:dyDescent="0.25">
      <c r="A1033" s="101">
        <v>40506</v>
      </c>
      <c r="B1033" s="9">
        <v>16.309999999999999</v>
      </c>
      <c r="C1033" s="9">
        <v>16.48</v>
      </c>
      <c r="D1033" s="9">
        <v>16.149999999999999</v>
      </c>
      <c r="E1033" s="9">
        <v>16.41</v>
      </c>
      <c r="F1033" s="9">
        <v>11561700</v>
      </c>
      <c r="G1033" s="9">
        <v>16.41</v>
      </c>
    </row>
    <row r="1034" spans="1:7" x14ac:dyDescent="0.25">
      <c r="A1034" s="101">
        <v>40505</v>
      </c>
      <c r="B1034" s="9">
        <v>16.34</v>
      </c>
      <c r="C1034" s="9">
        <v>16.43</v>
      </c>
      <c r="D1034" s="9">
        <v>16.04</v>
      </c>
      <c r="E1034" s="9">
        <v>16.190000000000001</v>
      </c>
      <c r="F1034" s="9">
        <v>22437900</v>
      </c>
      <c r="G1034" s="9">
        <v>16.190000000000001</v>
      </c>
    </row>
    <row r="1035" spans="1:7" x14ac:dyDescent="0.25">
      <c r="A1035" s="101">
        <v>40504</v>
      </c>
      <c r="B1035" s="9">
        <v>16.43</v>
      </c>
      <c r="C1035" s="9">
        <v>16.649999999999999</v>
      </c>
      <c r="D1035" s="9">
        <v>16.25</v>
      </c>
      <c r="E1035" s="9">
        <v>16.559999999999999</v>
      </c>
      <c r="F1035" s="9">
        <v>14316900</v>
      </c>
      <c r="G1035" s="9">
        <v>16.559999999999999</v>
      </c>
    </row>
    <row r="1036" spans="1:7" x14ac:dyDescent="0.25">
      <c r="A1036" s="101">
        <v>40501</v>
      </c>
      <c r="B1036" s="9">
        <v>16.97</v>
      </c>
      <c r="C1036" s="9">
        <v>16.97</v>
      </c>
      <c r="D1036" s="9">
        <v>16.52</v>
      </c>
      <c r="E1036" s="9">
        <v>16.57</v>
      </c>
      <c r="F1036" s="9">
        <v>24036200</v>
      </c>
      <c r="G1036" s="9">
        <v>16.57</v>
      </c>
    </row>
    <row r="1037" spans="1:7" x14ac:dyDescent="0.25">
      <c r="A1037" s="101">
        <v>40500</v>
      </c>
      <c r="B1037" s="9">
        <v>16.399999999999999</v>
      </c>
      <c r="C1037" s="9">
        <v>17.170000000000002</v>
      </c>
      <c r="D1037" s="9">
        <v>16.29</v>
      </c>
      <c r="E1037" s="9">
        <v>16.989999999999998</v>
      </c>
      <c r="F1037" s="9">
        <v>46500100</v>
      </c>
      <c r="G1037" s="9">
        <v>16.989999999999998</v>
      </c>
    </row>
    <row r="1038" spans="1:7" x14ac:dyDescent="0.25">
      <c r="A1038" s="101">
        <v>40499</v>
      </c>
      <c r="B1038" s="9">
        <v>16.21</v>
      </c>
      <c r="C1038" s="9">
        <v>16.329999999999998</v>
      </c>
      <c r="D1038" s="9">
        <v>16.11</v>
      </c>
      <c r="E1038" s="9">
        <v>16.149999999999999</v>
      </c>
      <c r="F1038" s="9">
        <v>10305800</v>
      </c>
      <c r="G1038" s="9">
        <v>16.149999999999999</v>
      </c>
    </row>
    <row r="1039" spans="1:7" x14ac:dyDescent="0.25">
      <c r="A1039" s="101">
        <v>40498</v>
      </c>
      <c r="B1039" s="9">
        <v>16.45</v>
      </c>
      <c r="C1039" s="9">
        <v>16.489999999999998</v>
      </c>
      <c r="D1039" s="9">
        <v>16.100000000000001</v>
      </c>
      <c r="E1039" s="9">
        <v>16.239999999999998</v>
      </c>
      <c r="F1039" s="9">
        <v>23484100</v>
      </c>
      <c r="G1039" s="9">
        <v>16.239999999999998</v>
      </c>
    </row>
    <row r="1040" spans="1:7" x14ac:dyDescent="0.25">
      <c r="A1040" s="101">
        <v>40497</v>
      </c>
      <c r="B1040" s="9">
        <v>16.559999999999999</v>
      </c>
      <c r="C1040" s="9">
        <v>16.89</v>
      </c>
      <c r="D1040" s="9">
        <v>16.329999999999998</v>
      </c>
      <c r="E1040" s="9">
        <v>16.600000000000001</v>
      </c>
      <c r="F1040" s="9">
        <v>18934600</v>
      </c>
      <c r="G1040" s="9">
        <v>16.600000000000001</v>
      </c>
    </row>
    <row r="1041" spans="1:7" x14ac:dyDescent="0.25">
      <c r="A1041" s="101">
        <v>40494</v>
      </c>
      <c r="B1041" s="9">
        <v>16.649999999999999</v>
      </c>
      <c r="C1041" s="9">
        <v>16.75</v>
      </c>
      <c r="D1041" s="9">
        <v>16.399999999999999</v>
      </c>
      <c r="E1041" s="9">
        <v>16.55</v>
      </c>
      <c r="F1041" s="9">
        <v>17703400</v>
      </c>
      <c r="G1041" s="9">
        <v>16.55</v>
      </c>
    </row>
    <row r="1042" spans="1:7" x14ac:dyDescent="0.25">
      <c r="A1042" s="101">
        <v>40493</v>
      </c>
      <c r="B1042" s="9">
        <v>16.63</v>
      </c>
      <c r="C1042" s="9">
        <v>16.86</v>
      </c>
      <c r="D1042" s="9">
        <v>16.52</v>
      </c>
      <c r="E1042" s="9">
        <v>16.8</v>
      </c>
      <c r="F1042" s="9">
        <v>15310600</v>
      </c>
      <c r="G1042" s="9">
        <v>16.8</v>
      </c>
    </row>
    <row r="1043" spans="1:7" x14ac:dyDescent="0.25">
      <c r="A1043" s="101">
        <v>40492</v>
      </c>
      <c r="B1043" s="9">
        <v>17</v>
      </c>
      <c r="C1043" s="9">
        <v>17.010000000000002</v>
      </c>
      <c r="D1043" s="9">
        <v>16.75</v>
      </c>
      <c r="E1043" s="9">
        <v>16.940000000000001</v>
      </c>
      <c r="F1043" s="9">
        <v>17012600</v>
      </c>
      <c r="G1043" s="9">
        <v>16.940000000000001</v>
      </c>
    </row>
    <row r="1044" spans="1:7" x14ac:dyDescent="0.25">
      <c r="A1044" s="101">
        <v>40491</v>
      </c>
      <c r="B1044" s="9">
        <v>17.22</v>
      </c>
      <c r="C1044" s="9">
        <v>17.600000000000001</v>
      </c>
      <c r="D1044" s="9">
        <v>16.86</v>
      </c>
      <c r="E1044" s="9">
        <v>16.97</v>
      </c>
      <c r="F1044" s="9">
        <v>56218900</v>
      </c>
      <c r="G1044" s="9">
        <v>16.97</v>
      </c>
    </row>
    <row r="1045" spans="1:7" x14ac:dyDescent="0.25">
      <c r="A1045" s="101">
        <v>40490</v>
      </c>
      <c r="B1045" s="9">
        <v>16.29</v>
      </c>
      <c r="C1045" s="9">
        <v>16.5</v>
      </c>
      <c r="D1045" s="9">
        <v>16.25</v>
      </c>
      <c r="E1045" s="9">
        <v>16.440000000000001</v>
      </c>
      <c r="F1045" s="9">
        <v>15561500</v>
      </c>
      <c r="G1045" s="9">
        <v>16.440000000000001</v>
      </c>
    </row>
    <row r="1046" spans="1:7" x14ac:dyDescent="0.25">
      <c r="A1046" s="101">
        <v>40487</v>
      </c>
      <c r="B1046" s="9">
        <v>16.18</v>
      </c>
      <c r="C1046" s="9">
        <v>16.399999999999999</v>
      </c>
      <c r="D1046" s="9">
        <v>16.18</v>
      </c>
      <c r="E1046" s="9">
        <v>16.27</v>
      </c>
      <c r="F1046" s="9">
        <v>13414000</v>
      </c>
      <c r="G1046" s="9">
        <v>16.27</v>
      </c>
    </row>
    <row r="1047" spans="1:7" x14ac:dyDescent="0.25">
      <c r="A1047" s="101">
        <v>40486</v>
      </c>
      <c r="B1047" s="9">
        <v>16.309999999999999</v>
      </c>
      <c r="C1047" s="9">
        <v>16.350000000000001</v>
      </c>
      <c r="D1047" s="9">
        <v>16.02</v>
      </c>
      <c r="E1047" s="9">
        <v>16.2</v>
      </c>
      <c r="F1047" s="9">
        <v>26484700</v>
      </c>
      <c r="G1047" s="9">
        <v>16.2</v>
      </c>
    </row>
    <row r="1048" spans="1:7" x14ac:dyDescent="0.25">
      <c r="A1048" s="101">
        <v>40485</v>
      </c>
      <c r="B1048" s="9">
        <v>16.21</v>
      </c>
      <c r="C1048" s="9">
        <v>16.23</v>
      </c>
      <c r="D1048" s="9">
        <v>16.010000000000002</v>
      </c>
      <c r="E1048" s="9">
        <v>16.170000000000002</v>
      </c>
      <c r="F1048" s="9">
        <v>17325500</v>
      </c>
      <c r="G1048" s="9">
        <v>16.170000000000002</v>
      </c>
    </row>
    <row r="1049" spans="1:7" x14ac:dyDescent="0.25">
      <c r="A1049" s="101">
        <v>40484</v>
      </c>
      <c r="B1049" s="9">
        <v>16.29</v>
      </c>
      <c r="C1049" s="9">
        <v>16.399999999999999</v>
      </c>
      <c r="D1049" s="9">
        <v>16.18</v>
      </c>
      <c r="E1049" s="9">
        <v>16.190000000000001</v>
      </c>
      <c r="F1049" s="9">
        <v>9964700</v>
      </c>
      <c r="G1049" s="9">
        <v>16.190000000000001</v>
      </c>
    </row>
    <row r="1050" spans="1:7" x14ac:dyDescent="0.25">
      <c r="A1050" s="101">
        <v>40483</v>
      </c>
      <c r="B1050" s="9">
        <v>16.5</v>
      </c>
      <c r="C1050" s="9">
        <v>16.52</v>
      </c>
      <c r="D1050" s="9">
        <v>16.079999999999998</v>
      </c>
      <c r="E1050" s="9">
        <v>16.149999999999999</v>
      </c>
      <c r="F1050" s="9">
        <v>14360600</v>
      </c>
      <c r="G1050" s="9">
        <v>16.149999999999999</v>
      </c>
    </row>
    <row r="1051" spans="1:7" x14ac:dyDescent="0.25">
      <c r="A1051" s="101">
        <v>40480</v>
      </c>
      <c r="B1051" s="9">
        <v>16.37</v>
      </c>
      <c r="C1051" s="9">
        <v>16.52</v>
      </c>
      <c r="D1051" s="9">
        <v>16.329999999999998</v>
      </c>
      <c r="E1051" s="9">
        <v>16.489999999999998</v>
      </c>
      <c r="F1051" s="9">
        <v>16013700</v>
      </c>
      <c r="G1051" s="9">
        <v>16.489999999999998</v>
      </c>
    </row>
    <row r="1052" spans="1:7" x14ac:dyDescent="0.25">
      <c r="A1052" s="101">
        <v>40479</v>
      </c>
      <c r="B1052" s="9">
        <v>16.45</v>
      </c>
      <c r="C1052" s="9">
        <v>16.45</v>
      </c>
      <c r="D1052" s="9">
        <v>16.309999999999999</v>
      </c>
      <c r="E1052" s="9">
        <v>16.399999999999999</v>
      </c>
      <c r="F1052" s="9">
        <v>12689500</v>
      </c>
      <c r="G1052" s="9">
        <v>16.399999999999999</v>
      </c>
    </row>
    <row r="1053" spans="1:7" x14ac:dyDescent="0.25">
      <c r="A1053" s="101">
        <v>40478</v>
      </c>
      <c r="B1053" s="9">
        <v>16.399999999999999</v>
      </c>
      <c r="C1053" s="9">
        <v>16.43</v>
      </c>
      <c r="D1053" s="9">
        <v>16.2</v>
      </c>
      <c r="E1053" s="9">
        <v>16.420000000000002</v>
      </c>
      <c r="F1053" s="9">
        <v>13764400</v>
      </c>
      <c r="G1053" s="9">
        <v>16.420000000000002</v>
      </c>
    </row>
    <row r="1054" spans="1:7" x14ac:dyDescent="0.25">
      <c r="A1054" s="101">
        <v>40477</v>
      </c>
      <c r="B1054" s="9">
        <v>16.22</v>
      </c>
      <c r="C1054" s="9">
        <v>16.48</v>
      </c>
      <c r="D1054" s="9">
        <v>16.2</v>
      </c>
      <c r="E1054" s="9">
        <v>16.46</v>
      </c>
      <c r="F1054" s="9">
        <v>22349000</v>
      </c>
      <c r="G1054" s="9">
        <v>16.46</v>
      </c>
    </row>
    <row r="1055" spans="1:7" x14ac:dyDescent="0.25">
      <c r="A1055" s="101">
        <v>40476</v>
      </c>
      <c r="B1055" s="9">
        <v>16.3</v>
      </c>
      <c r="C1055" s="9">
        <v>16.440000000000001</v>
      </c>
      <c r="D1055" s="9">
        <v>16.149999999999999</v>
      </c>
      <c r="E1055" s="9">
        <v>16.399999999999999</v>
      </c>
      <c r="F1055" s="9">
        <v>17251500</v>
      </c>
      <c r="G1055" s="9">
        <v>16.399999999999999</v>
      </c>
    </row>
    <row r="1056" spans="1:7" x14ac:dyDescent="0.25">
      <c r="A1056" s="101">
        <v>40473</v>
      </c>
      <c r="B1056" s="9">
        <v>15.9</v>
      </c>
      <c r="C1056" s="9">
        <v>16.41</v>
      </c>
      <c r="D1056" s="9">
        <v>15.86</v>
      </c>
      <c r="E1056" s="9">
        <v>16.309999999999999</v>
      </c>
      <c r="F1056" s="9">
        <v>24264100</v>
      </c>
      <c r="G1056" s="9">
        <v>16.309999999999999</v>
      </c>
    </row>
    <row r="1057" spans="1:7" x14ac:dyDescent="0.25">
      <c r="A1057" s="101">
        <v>40472</v>
      </c>
      <c r="B1057" s="9">
        <v>15.9</v>
      </c>
      <c r="C1057" s="9">
        <v>16</v>
      </c>
      <c r="D1057" s="9">
        <v>15.73</v>
      </c>
      <c r="E1057" s="9">
        <v>15.97</v>
      </c>
      <c r="F1057" s="9">
        <v>26935500</v>
      </c>
      <c r="G1057" s="9">
        <v>15.97</v>
      </c>
    </row>
    <row r="1058" spans="1:7" x14ac:dyDescent="0.25">
      <c r="A1058" s="101">
        <v>40471</v>
      </c>
      <c r="B1058" s="9">
        <v>15.79</v>
      </c>
      <c r="C1058" s="9">
        <v>16.25</v>
      </c>
      <c r="D1058" s="9">
        <v>15.79</v>
      </c>
      <c r="E1058" s="9">
        <v>15.8</v>
      </c>
      <c r="F1058" s="9">
        <v>37790200</v>
      </c>
      <c r="G1058" s="9">
        <v>15.8</v>
      </c>
    </row>
    <row r="1059" spans="1:7" x14ac:dyDescent="0.25">
      <c r="A1059" s="101">
        <v>40470</v>
      </c>
      <c r="B1059" s="9">
        <v>15.73</v>
      </c>
      <c r="C1059" s="9">
        <v>15.8</v>
      </c>
      <c r="D1059" s="9">
        <v>15.37</v>
      </c>
      <c r="E1059" s="9">
        <v>15.49</v>
      </c>
      <c r="F1059" s="9">
        <v>32678600</v>
      </c>
      <c r="G1059" s="9">
        <v>15.49</v>
      </c>
    </row>
    <row r="1060" spans="1:7" x14ac:dyDescent="0.25">
      <c r="A1060" s="101">
        <v>40469</v>
      </c>
      <c r="B1060" s="9">
        <v>16.2</v>
      </c>
      <c r="C1060" s="9">
        <v>16.28</v>
      </c>
      <c r="D1060" s="9">
        <v>15.75</v>
      </c>
      <c r="E1060" s="9">
        <v>15.93</v>
      </c>
      <c r="F1060" s="9">
        <v>35876500</v>
      </c>
      <c r="G1060" s="9">
        <v>15.93</v>
      </c>
    </row>
    <row r="1061" spans="1:7" x14ac:dyDescent="0.25">
      <c r="A1061" s="101">
        <v>40466</v>
      </c>
      <c r="B1061" s="9">
        <v>16.170000000000002</v>
      </c>
      <c r="C1061" s="9">
        <v>16.73</v>
      </c>
      <c r="D1061" s="9">
        <v>15.9</v>
      </c>
      <c r="E1061" s="9">
        <v>16.25</v>
      </c>
      <c r="F1061" s="9">
        <v>58481800</v>
      </c>
      <c r="G1061" s="9">
        <v>16.25</v>
      </c>
    </row>
    <row r="1062" spans="1:7" x14ac:dyDescent="0.25">
      <c r="A1062" s="101">
        <v>40465</v>
      </c>
      <c r="B1062" s="9">
        <v>16.75</v>
      </c>
      <c r="C1062" s="9">
        <v>16.760000000000002</v>
      </c>
      <c r="D1062" s="9">
        <v>15.75</v>
      </c>
      <c r="E1062" s="9">
        <v>15.93</v>
      </c>
      <c r="F1062" s="9">
        <v>123449900</v>
      </c>
      <c r="G1062" s="9">
        <v>15.93</v>
      </c>
    </row>
    <row r="1063" spans="1:7" x14ac:dyDescent="0.25">
      <c r="A1063" s="101">
        <v>40464</v>
      </c>
      <c r="B1063" s="9">
        <v>14.57</v>
      </c>
      <c r="C1063" s="9">
        <v>15.48</v>
      </c>
      <c r="D1063" s="9">
        <v>14.5</v>
      </c>
      <c r="E1063" s="9">
        <v>15.25</v>
      </c>
      <c r="F1063" s="9">
        <v>50773400</v>
      </c>
      <c r="G1063" s="9">
        <v>15.25</v>
      </c>
    </row>
    <row r="1064" spans="1:7" x14ac:dyDescent="0.25">
      <c r="A1064" s="101">
        <v>40463</v>
      </c>
      <c r="B1064" s="9">
        <v>14.36</v>
      </c>
      <c r="C1064" s="9">
        <v>14.47</v>
      </c>
      <c r="D1064" s="9">
        <v>14.27</v>
      </c>
      <c r="E1064" s="9">
        <v>14.43</v>
      </c>
      <c r="F1064" s="9">
        <v>12465700</v>
      </c>
      <c r="G1064" s="9">
        <v>14.43</v>
      </c>
    </row>
    <row r="1065" spans="1:7" x14ac:dyDescent="0.25">
      <c r="A1065" s="101">
        <v>40462</v>
      </c>
      <c r="B1065" s="9">
        <v>14.45</v>
      </c>
      <c r="C1065" s="9">
        <v>14.58</v>
      </c>
      <c r="D1065" s="9">
        <v>14.38</v>
      </c>
      <c r="E1065" s="9">
        <v>14.41</v>
      </c>
      <c r="F1065" s="9">
        <v>8348200</v>
      </c>
      <c r="G1065" s="9">
        <v>14.41</v>
      </c>
    </row>
    <row r="1066" spans="1:7" x14ac:dyDescent="0.25">
      <c r="A1066" s="101">
        <v>40459</v>
      </c>
      <c r="B1066" s="9">
        <v>14.21</v>
      </c>
      <c r="C1066" s="9">
        <v>14.56</v>
      </c>
      <c r="D1066" s="9">
        <v>14.18</v>
      </c>
      <c r="E1066" s="9">
        <v>14.49</v>
      </c>
      <c r="F1066" s="9">
        <v>16102900</v>
      </c>
      <c r="G1066" s="9">
        <v>14.49</v>
      </c>
    </row>
    <row r="1067" spans="1:7" x14ac:dyDescent="0.25">
      <c r="A1067" s="101">
        <v>40458</v>
      </c>
      <c r="B1067" s="9">
        <v>14.6</v>
      </c>
      <c r="C1067" s="9">
        <v>14.61</v>
      </c>
      <c r="D1067" s="9">
        <v>14.14</v>
      </c>
      <c r="E1067" s="9">
        <v>14.23</v>
      </c>
      <c r="F1067" s="9">
        <v>18068600</v>
      </c>
      <c r="G1067" s="9">
        <v>14.23</v>
      </c>
    </row>
    <row r="1068" spans="1:7" x14ac:dyDescent="0.25">
      <c r="A1068" s="101">
        <v>40457</v>
      </c>
      <c r="B1068" s="9">
        <v>14.6</v>
      </c>
      <c r="C1068" s="9">
        <v>14.7</v>
      </c>
      <c r="D1068" s="9">
        <v>14.34</v>
      </c>
      <c r="E1068" s="9">
        <v>14.52</v>
      </c>
      <c r="F1068" s="9">
        <v>20297000</v>
      </c>
      <c r="G1068" s="9">
        <v>14.52</v>
      </c>
    </row>
    <row r="1069" spans="1:7" x14ac:dyDescent="0.25">
      <c r="A1069" s="101">
        <v>40456</v>
      </c>
      <c r="B1069" s="9">
        <v>14.45</v>
      </c>
      <c r="C1069" s="9">
        <v>14.77</v>
      </c>
      <c r="D1069" s="9">
        <v>14.4</v>
      </c>
      <c r="E1069" s="9">
        <v>14.61</v>
      </c>
      <c r="F1069" s="9">
        <v>23988400</v>
      </c>
      <c r="G1069" s="9">
        <v>14.61</v>
      </c>
    </row>
    <row r="1070" spans="1:7" x14ac:dyDescent="0.25">
      <c r="A1070" s="101">
        <v>40455</v>
      </c>
      <c r="B1070" s="9">
        <v>14.2</v>
      </c>
      <c r="C1070" s="9">
        <v>14.32</v>
      </c>
      <c r="D1070" s="9">
        <v>14.13</v>
      </c>
      <c r="E1070" s="9">
        <v>14.28</v>
      </c>
      <c r="F1070" s="9">
        <v>20557500</v>
      </c>
      <c r="G1070" s="9">
        <v>14.28</v>
      </c>
    </row>
    <row r="1071" spans="1:7" x14ac:dyDescent="0.25">
      <c r="A1071" s="101">
        <v>40452</v>
      </c>
      <c r="B1071" s="9">
        <v>14.19</v>
      </c>
      <c r="C1071" s="9">
        <v>14.35</v>
      </c>
      <c r="D1071" s="9">
        <v>14.13</v>
      </c>
      <c r="E1071" s="9">
        <v>14.27</v>
      </c>
      <c r="F1071" s="9">
        <v>16096500</v>
      </c>
      <c r="G1071" s="9">
        <v>14.27</v>
      </c>
    </row>
    <row r="1072" spans="1:7" x14ac:dyDescent="0.25">
      <c r="A1072" s="101">
        <v>40451</v>
      </c>
      <c r="B1072" s="9">
        <v>14.26</v>
      </c>
      <c r="C1072" s="9">
        <v>14.35</v>
      </c>
      <c r="D1072" s="9">
        <v>13.99</v>
      </c>
      <c r="E1072" s="9">
        <v>14.17</v>
      </c>
      <c r="F1072" s="9">
        <v>20376200</v>
      </c>
      <c r="G1072" s="9">
        <v>14.17</v>
      </c>
    </row>
    <row r="1073" spans="1:7" x14ac:dyDescent="0.25">
      <c r="A1073" s="101">
        <v>40450</v>
      </c>
      <c r="B1073" s="9">
        <v>14.36</v>
      </c>
      <c r="C1073" s="9">
        <v>14.39</v>
      </c>
      <c r="D1073" s="9">
        <v>14.06</v>
      </c>
      <c r="E1073" s="9">
        <v>14.34</v>
      </c>
      <c r="F1073" s="9">
        <v>24475700</v>
      </c>
      <c r="G1073" s="9">
        <v>14.34</v>
      </c>
    </row>
    <row r="1074" spans="1:7" x14ac:dyDescent="0.25">
      <c r="A1074" s="101">
        <v>40449</v>
      </c>
      <c r="B1074" s="9">
        <v>14.33</v>
      </c>
      <c r="C1074" s="9">
        <v>14.45</v>
      </c>
      <c r="D1074" s="9">
        <v>14.14</v>
      </c>
      <c r="E1074" s="9">
        <v>14.39</v>
      </c>
      <c r="F1074" s="9">
        <v>16074100</v>
      </c>
      <c r="G1074" s="9">
        <v>14.39</v>
      </c>
    </row>
    <row r="1075" spans="1:7" x14ac:dyDescent="0.25">
      <c r="A1075" s="101">
        <v>40448</v>
      </c>
      <c r="B1075" s="9">
        <v>14.46</v>
      </c>
      <c r="C1075" s="9">
        <v>14.53</v>
      </c>
      <c r="D1075" s="9">
        <v>14.25</v>
      </c>
      <c r="E1075" s="9">
        <v>14.28</v>
      </c>
      <c r="F1075" s="9">
        <v>20674000</v>
      </c>
      <c r="G1075" s="9">
        <v>14.28</v>
      </c>
    </row>
    <row r="1076" spans="1:7" x14ac:dyDescent="0.25">
      <c r="A1076" s="101">
        <v>40445</v>
      </c>
      <c r="B1076" s="9">
        <v>14.3</v>
      </c>
      <c r="C1076" s="9">
        <v>14.51</v>
      </c>
      <c r="D1076" s="9">
        <v>14.24</v>
      </c>
      <c r="E1076" s="9">
        <v>14.5</v>
      </c>
      <c r="F1076" s="9">
        <v>24154800</v>
      </c>
      <c r="G1076" s="9">
        <v>14.5</v>
      </c>
    </row>
    <row r="1077" spans="1:7" x14ac:dyDescent="0.25">
      <c r="A1077" s="101">
        <v>40444</v>
      </c>
      <c r="B1077" s="9">
        <v>13.93</v>
      </c>
      <c r="C1077" s="9">
        <v>14.24</v>
      </c>
      <c r="D1077" s="9">
        <v>13.93</v>
      </c>
      <c r="E1077" s="9">
        <v>14.17</v>
      </c>
      <c r="F1077" s="9">
        <v>16931600</v>
      </c>
      <c r="G1077" s="9">
        <v>14.17</v>
      </c>
    </row>
    <row r="1078" spans="1:7" x14ac:dyDescent="0.25">
      <c r="A1078" s="101">
        <v>40443</v>
      </c>
      <c r="B1078" s="9">
        <v>14.19</v>
      </c>
      <c r="C1078" s="9">
        <v>14.25</v>
      </c>
      <c r="D1078" s="9">
        <v>13.97</v>
      </c>
      <c r="E1078" s="9">
        <v>14.04</v>
      </c>
      <c r="F1078" s="9">
        <v>18567400</v>
      </c>
      <c r="G1078" s="9">
        <v>14.04</v>
      </c>
    </row>
    <row r="1079" spans="1:7" x14ac:dyDescent="0.25">
      <c r="A1079" s="101">
        <v>40442</v>
      </c>
      <c r="B1079" s="9">
        <v>13.94</v>
      </c>
      <c r="C1079" s="9">
        <v>14.26</v>
      </c>
      <c r="D1079" s="9">
        <v>13.92</v>
      </c>
      <c r="E1079" s="9">
        <v>14.18</v>
      </c>
      <c r="F1079" s="9">
        <v>32048400</v>
      </c>
      <c r="G1079" s="9">
        <v>14.18</v>
      </c>
    </row>
    <row r="1080" spans="1:7" x14ac:dyDescent="0.25">
      <c r="A1080" s="101">
        <v>40441</v>
      </c>
      <c r="B1080" s="9">
        <v>13.95</v>
      </c>
      <c r="C1080" s="9">
        <v>14.06</v>
      </c>
      <c r="D1080" s="9">
        <v>13.84</v>
      </c>
      <c r="E1080" s="9">
        <v>13.86</v>
      </c>
      <c r="F1080" s="9">
        <v>26234600</v>
      </c>
      <c r="G1080" s="9">
        <v>13.86</v>
      </c>
    </row>
    <row r="1081" spans="1:7" x14ac:dyDescent="0.25">
      <c r="A1081" s="101">
        <v>40438</v>
      </c>
      <c r="B1081" s="9">
        <v>14.33</v>
      </c>
      <c r="C1081" s="9">
        <v>14.33</v>
      </c>
      <c r="D1081" s="9">
        <v>13.88</v>
      </c>
      <c r="E1081" s="9">
        <v>13.89</v>
      </c>
      <c r="F1081" s="9">
        <v>79565400</v>
      </c>
      <c r="G1081" s="9">
        <v>13.89</v>
      </c>
    </row>
    <row r="1082" spans="1:7" x14ac:dyDescent="0.25">
      <c r="A1082" s="101">
        <v>40437</v>
      </c>
      <c r="B1082" s="9">
        <v>14.2</v>
      </c>
      <c r="C1082" s="9">
        <v>14.23</v>
      </c>
      <c r="D1082" s="9">
        <v>13.98</v>
      </c>
      <c r="E1082" s="9">
        <v>14.19</v>
      </c>
      <c r="F1082" s="9">
        <v>27281500</v>
      </c>
      <c r="G1082" s="9">
        <v>14.19</v>
      </c>
    </row>
    <row r="1083" spans="1:7" x14ac:dyDescent="0.25">
      <c r="A1083" s="101">
        <v>40436</v>
      </c>
      <c r="B1083" s="9">
        <v>14.03</v>
      </c>
      <c r="C1083" s="9">
        <v>14.35</v>
      </c>
      <c r="D1083" s="9">
        <v>13.77</v>
      </c>
      <c r="E1083" s="9">
        <v>14.27</v>
      </c>
      <c r="F1083" s="9">
        <v>90035400</v>
      </c>
      <c r="G1083" s="9">
        <v>14.27</v>
      </c>
    </row>
    <row r="1084" spans="1:7" x14ac:dyDescent="0.25">
      <c r="A1084" s="101">
        <v>40435</v>
      </c>
      <c r="B1084" s="9">
        <v>13.76</v>
      </c>
      <c r="C1084" s="9">
        <v>13.76</v>
      </c>
      <c r="D1084" s="9">
        <v>13.6</v>
      </c>
      <c r="E1084" s="9">
        <v>13.63</v>
      </c>
      <c r="F1084" s="9">
        <v>23064500</v>
      </c>
      <c r="G1084" s="9">
        <v>13.63</v>
      </c>
    </row>
    <row r="1085" spans="1:7" x14ac:dyDescent="0.25">
      <c r="A1085" s="101">
        <v>40434</v>
      </c>
      <c r="B1085" s="9">
        <v>13.83</v>
      </c>
      <c r="C1085" s="9">
        <v>13.88</v>
      </c>
      <c r="D1085" s="9">
        <v>13.61</v>
      </c>
      <c r="E1085" s="9">
        <v>13.73</v>
      </c>
      <c r="F1085" s="9">
        <v>24261400</v>
      </c>
      <c r="G1085" s="9">
        <v>13.73</v>
      </c>
    </row>
    <row r="1086" spans="1:7" x14ac:dyDescent="0.25">
      <c r="A1086" s="101">
        <v>40431</v>
      </c>
      <c r="B1086" s="9">
        <v>13.68</v>
      </c>
      <c r="C1086" s="9">
        <v>13.77</v>
      </c>
      <c r="D1086" s="9">
        <v>13.54</v>
      </c>
      <c r="E1086" s="9">
        <v>13.68</v>
      </c>
      <c r="F1086" s="9">
        <v>18590100</v>
      </c>
      <c r="G1086" s="9">
        <v>13.68</v>
      </c>
    </row>
    <row r="1087" spans="1:7" x14ac:dyDescent="0.25">
      <c r="A1087" s="101">
        <v>40430</v>
      </c>
      <c r="B1087" s="9">
        <v>13.88</v>
      </c>
      <c r="C1087" s="9">
        <v>13.92</v>
      </c>
      <c r="D1087" s="9">
        <v>13.57</v>
      </c>
      <c r="E1087" s="9">
        <v>13.65</v>
      </c>
      <c r="F1087" s="9">
        <v>17735500</v>
      </c>
      <c r="G1087" s="9">
        <v>13.65</v>
      </c>
    </row>
    <row r="1088" spans="1:7" x14ac:dyDescent="0.25">
      <c r="A1088" s="101">
        <v>40429</v>
      </c>
      <c r="B1088" s="9">
        <v>13.66</v>
      </c>
      <c r="C1088" s="9">
        <v>13.82</v>
      </c>
      <c r="D1088" s="9">
        <v>13.62</v>
      </c>
      <c r="E1088" s="9">
        <v>13.75</v>
      </c>
      <c r="F1088" s="9">
        <v>12102700</v>
      </c>
      <c r="G1088" s="9">
        <v>13.75</v>
      </c>
    </row>
    <row r="1089" spans="1:7" x14ac:dyDescent="0.25">
      <c r="A1089" s="101">
        <v>40428</v>
      </c>
      <c r="B1089" s="9">
        <v>13.56</v>
      </c>
      <c r="C1089" s="9">
        <v>13.62</v>
      </c>
      <c r="D1089" s="9">
        <v>13.5</v>
      </c>
      <c r="E1089" s="9">
        <v>13.53</v>
      </c>
      <c r="F1089" s="9">
        <v>10240600</v>
      </c>
      <c r="G1089" s="9">
        <v>13.53</v>
      </c>
    </row>
    <row r="1090" spans="1:7" x14ac:dyDescent="0.25">
      <c r="A1090" s="101">
        <v>40424</v>
      </c>
      <c r="B1090" s="9">
        <v>13.69</v>
      </c>
      <c r="C1090" s="9">
        <v>13.75</v>
      </c>
      <c r="D1090" s="9">
        <v>13.56</v>
      </c>
      <c r="E1090" s="9">
        <v>13.62</v>
      </c>
      <c r="F1090" s="9">
        <v>12478500</v>
      </c>
      <c r="G1090" s="9">
        <v>13.62</v>
      </c>
    </row>
    <row r="1091" spans="1:7" x14ac:dyDescent="0.25">
      <c r="A1091" s="101">
        <v>40423</v>
      </c>
      <c r="B1091" s="9">
        <v>13.33</v>
      </c>
      <c r="C1091" s="9">
        <v>13.55</v>
      </c>
      <c r="D1091" s="9">
        <v>13.26</v>
      </c>
      <c r="E1091" s="9">
        <v>13.51</v>
      </c>
      <c r="F1091" s="9">
        <v>18190200</v>
      </c>
      <c r="G1091" s="9">
        <v>13.51</v>
      </c>
    </row>
    <row r="1092" spans="1:7" x14ac:dyDescent="0.25">
      <c r="A1092" s="101">
        <v>40422</v>
      </c>
      <c r="B1092" s="9">
        <v>13.2</v>
      </c>
      <c r="C1092" s="9">
        <v>13.41</v>
      </c>
      <c r="D1092" s="9">
        <v>13.13</v>
      </c>
      <c r="E1092" s="9">
        <v>13.37</v>
      </c>
      <c r="F1092" s="9">
        <v>24616700</v>
      </c>
      <c r="G1092" s="9">
        <v>13.37</v>
      </c>
    </row>
    <row r="1093" spans="1:7" x14ac:dyDescent="0.25">
      <c r="A1093" s="101">
        <v>40421</v>
      </c>
      <c r="B1093" s="9">
        <v>13.11</v>
      </c>
      <c r="C1093" s="9">
        <v>13.14</v>
      </c>
      <c r="D1093" s="9">
        <v>12.94</v>
      </c>
      <c r="E1093" s="9">
        <v>13.11</v>
      </c>
      <c r="F1093" s="9">
        <v>16489500</v>
      </c>
      <c r="G1093" s="9">
        <v>13.11</v>
      </c>
    </row>
    <row r="1094" spans="1:7" x14ac:dyDescent="0.25">
      <c r="A1094" s="101">
        <v>40420</v>
      </c>
      <c r="B1094" s="9">
        <v>13.27</v>
      </c>
      <c r="C1094" s="9">
        <v>13.42</v>
      </c>
      <c r="D1094" s="9">
        <v>13.18</v>
      </c>
      <c r="E1094" s="9">
        <v>13.18</v>
      </c>
      <c r="F1094" s="9">
        <v>7120900</v>
      </c>
      <c r="G1094" s="9">
        <v>13.18</v>
      </c>
    </row>
    <row r="1095" spans="1:7" x14ac:dyDescent="0.25">
      <c r="A1095" s="101">
        <v>40417</v>
      </c>
      <c r="B1095" s="9">
        <v>13.24</v>
      </c>
      <c r="C1095" s="9">
        <v>13.47</v>
      </c>
      <c r="D1095" s="9">
        <v>13.03</v>
      </c>
      <c r="E1095" s="9">
        <v>13.43</v>
      </c>
      <c r="F1095" s="9">
        <v>12705600</v>
      </c>
      <c r="G1095" s="9">
        <v>13.43</v>
      </c>
    </row>
    <row r="1096" spans="1:7" x14ac:dyDescent="0.25">
      <c r="A1096" s="101">
        <v>40416</v>
      </c>
      <c r="B1096" s="9">
        <v>13.36</v>
      </c>
      <c r="C1096" s="9">
        <v>13.4</v>
      </c>
      <c r="D1096" s="9">
        <v>13.21</v>
      </c>
      <c r="E1096" s="9">
        <v>13.21</v>
      </c>
      <c r="F1096" s="9">
        <v>14602700</v>
      </c>
      <c r="G1096" s="9">
        <v>13.21</v>
      </c>
    </row>
    <row r="1097" spans="1:7" x14ac:dyDescent="0.25">
      <c r="A1097" s="101">
        <v>40415</v>
      </c>
      <c r="B1097" s="9">
        <v>13.29</v>
      </c>
      <c r="C1097" s="9">
        <v>13.37</v>
      </c>
      <c r="D1097" s="9">
        <v>13.14</v>
      </c>
      <c r="E1097" s="9">
        <v>13.26</v>
      </c>
      <c r="F1097" s="9">
        <v>15556800</v>
      </c>
      <c r="G1097" s="9">
        <v>13.26</v>
      </c>
    </row>
    <row r="1098" spans="1:7" x14ac:dyDescent="0.25">
      <c r="A1098" s="101">
        <v>40414</v>
      </c>
      <c r="B1098" s="9">
        <v>13.53</v>
      </c>
      <c r="C1098" s="9">
        <v>13.64</v>
      </c>
      <c r="D1098" s="9">
        <v>13.39</v>
      </c>
      <c r="E1098" s="9">
        <v>13.4</v>
      </c>
      <c r="F1098" s="9">
        <v>13425800</v>
      </c>
      <c r="G1098" s="9">
        <v>13.4</v>
      </c>
    </row>
    <row r="1099" spans="1:7" x14ac:dyDescent="0.25">
      <c r="A1099" s="101">
        <v>40413</v>
      </c>
      <c r="B1099" s="9">
        <v>13.81</v>
      </c>
      <c r="C1099" s="9">
        <v>13.87</v>
      </c>
      <c r="D1099" s="9">
        <v>13.54</v>
      </c>
      <c r="E1099" s="9">
        <v>13.65</v>
      </c>
      <c r="F1099" s="9">
        <v>12297600</v>
      </c>
      <c r="G1099" s="9">
        <v>13.65</v>
      </c>
    </row>
    <row r="1100" spans="1:7" x14ac:dyDescent="0.25">
      <c r="A1100" s="101">
        <v>40410</v>
      </c>
      <c r="B1100" s="9">
        <v>13.85</v>
      </c>
      <c r="C1100" s="9">
        <v>13.95</v>
      </c>
      <c r="D1100" s="9">
        <v>13.74</v>
      </c>
      <c r="E1100" s="9">
        <v>13.79</v>
      </c>
      <c r="F1100" s="9">
        <v>17192200</v>
      </c>
      <c r="G1100" s="9">
        <v>13.79</v>
      </c>
    </row>
    <row r="1101" spans="1:7" x14ac:dyDescent="0.25">
      <c r="A1101" s="101">
        <v>40409</v>
      </c>
      <c r="B1101" s="9">
        <v>13.85</v>
      </c>
      <c r="C1101" s="9">
        <v>14</v>
      </c>
      <c r="D1101" s="9">
        <v>13.8</v>
      </c>
      <c r="E1101" s="9">
        <v>13.85</v>
      </c>
      <c r="F1101" s="9">
        <v>14100700</v>
      </c>
      <c r="G1101" s="9">
        <v>13.85</v>
      </c>
    </row>
    <row r="1102" spans="1:7" x14ac:dyDescent="0.25">
      <c r="A1102" s="101">
        <v>40408</v>
      </c>
      <c r="B1102" s="9">
        <v>13.98</v>
      </c>
      <c r="C1102" s="9">
        <v>14.05</v>
      </c>
      <c r="D1102" s="9">
        <v>13.84</v>
      </c>
      <c r="E1102" s="9">
        <v>13.99</v>
      </c>
      <c r="F1102" s="9">
        <v>15533300</v>
      </c>
      <c r="G1102" s="9">
        <v>13.99</v>
      </c>
    </row>
    <row r="1103" spans="1:7" x14ac:dyDescent="0.25">
      <c r="A1103" s="101">
        <v>40407</v>
      </c>
      <c r="B1103" s="9">
        <v>13.84</v>
      </c>
      <c r="C1103" s="9">
        <v>14</v>
      </c>
      <c r="D1103" s="9">
        <v>13.75</v>
      </c>
      <c r="E1103" s="9">
        <v>13.94</v>
      </c>
      <c r="F1103" s="9">
        <v>13298600</v>
      </c>
      <c r="G1103" s="9">
        <v>13.94</v>
      </c>
    </row>
    <row r="1104" spans="1:7" x14ac:dyDescent="0.25">
      <c r="A1104" s="101">
        <v>40406</v>
      </c>
      <c r="B1104" s="9">
        <v>13.75</v>
      </c>
      <c r="C1104" s="9">
        <v>13.9</v>
      </c>
      <c r="D1104" s="9">
        <v>13.68</v>
      </c>
      <c r="E1104" s="9">
        <v>13.79</v>
      </c>
      <c r="F1104" s="9">
        <v>11416400</v>
      </c>
      <c r="G1104" s="9">
        <v>13.79</v>
      </c>
    </row>
    <row r="1105" spans="1:7" x14ac:dyDescent="0.25">
      <c r="A1105" s="101">
        <v>40403</v>
      </c>
      <c r="B1105" s="9">
        <v>13.81</v>
      </c>
      <c r="C1105" s="9">
        <v>13.96</v>
      </c>
      <c r="D1105" s="9">
        <v>13.76</v>
      </c>
      <c r="E1105" s="9">
        <v>13.83</v>
      </c>
      <c r="F1105" s="9">
        <v>7845600</v>
      </c>
      <c r="G1105" s="9">
        <v>13.83</v>
      </c>
    </row>
    <row r="1106" spans="1:7" x14ac:dyDescent="0.25">
      <c r="A1106" s="101">
        <v>40402</v>
      </c>
      <c r="B1106" s="9">
        <v>13.77</v>
      </c>
      <c r="C1106" s="9">
        <v>13.99</v>
      </c>
      <c r="D1106" s="9">
        <v>13.75</v>
      </c>
      <c r="E1106" s="9">
        <v>13.85</v>
      </c>
      <c r="F1106" s="9">
        <v>11659900</v>
      </c>
      <c r="G1106" s="9">
        <v>13.85</v>
      </c>
    </row>
    <row r="1107" spans="1:7" x14ac:dyDescent="0.25">
      <c r="A1107" s="101">
        <v>40401</v>
      </c>
      <c r="B1107" s="9">
        <v>14.14</v>
      </c>
      <c r="C1107" s="9">
        <v>14.2</v>
      </c>
      <c r="D1107" s="9">
        <v>13.84</v>
      </c>
      <c r="E1107" s="9">
        <v>13.87</v>
      </c>
      <c r="F1107" s="9">
        <v>13235500</v>
      </c>
      <c r="G1107" s="9">
        <v>13.87</v>
      </c>
    </row>
    <row r="1108" spans="1:7" x14ac:dyDescent="0.25">
      <c r="A1108" s="101">
        <v>40400</v>
      </c>
      <c r="B1108" s="9">
        <v>14.26</v>
      </c>
      <c r="C1108" s="9">
        <v>14.46</v>
      </c>
      <c r="D1108" s="9">
        <v>14.2</v>
      </c>
      <c r="E1108" s="9">
        <v>14.35</v>
      </c>
      <c r="F1108" s="9">
        <v>9658000</v>
      </c>
      <c r="G1108" s="9">
        <v>14.35</v>
      </c>
    </row>
    <row r="1109" spans="1:7" x14ac:dyDescent="0.25">
      <c r="A1109" s="101">
        <v>40399</v>
      </c>
      <c r="B1109" s="9">
        <v>14.34</v>
      </c>
      <c r="C1109" s="9">
        <v>14.52</v>
      </c>
      <c r="D1109" s="9">
        <v>14.34</v>
      </c>
      <c r="E1109" s="9">
        <v>14.4</v>
      </c>
      <c r="F1109" s="9">
        <v>12202600</v>
      </c>
      <c r="G1109" s="9">
        <v>14.4</v>
      </c>
    </row>
    <row r="1110" spans="1:7" x14ac:dyDescent="0.25">
      <c r="A1110" s="101">
        <v>40396</v>
      </c>
      <c r="B1110" s="9">
        <v>14.06</v>
      </c>
      <c r="C1110" s="9">
        <v>14.38</v>
      </c>
      <c r="D1110" s="9">
        <v>14</v>
      </c>
      <c r="E1110" s="9">
        <v>14.34</v>
      </c>
      <c r="F1110" s="9">
        <v>13394800</v>
      </c>
      <c r="G1110" s="9">
        <v>14.34</v>
      </c>
    </row>
    <row r="1111" spans="1:7" x14ac:dyDescent="0.25">
      <c r="A1111" s="101">
        <v>40395</v>
      </c>
      <c r="B1111" s="9">
        <v>14.16</v>
      </c>
      <c r="C1111" s="9">
        <v>14.25</v>
      </c>
      <c r="D1111" s="9">
        <v>14.02</v>
      </c>
      <c r="E1111" s="9">
        <v>14.16</v>
      </c>
      <c r="F1111" s="9">
        <v>13072700</v>
      </c>
      <c r="G1111" s="9">
        <v>14.16</v>
      </c>
    </row>
    <row r="1112" spans="1:7" x14ac:dyDescent="0.25">
      <c r="A1112" s="101">
        <v>40394</v>
      </c>
      <c r="B1112" s="9">
        <v>14</v>
      </c>
      <c r="C1112" s="9">
        <v>14.2</v>
      </c>
      <c r="D1112" s="9">
        <v>13.92</v>
      </c>
      <c r="E1112" s="9">
        <v>14.18</v>
      </c>
      <c r="F1112" s="9">
        <v>14297200</v>
      </c>
      <c r="G1112" s="9">
        <v>14.18</v>
      </c>
    </row>
    <row r="1113" spans="1:7" x14ac:dyDescent="0.25">
      <c r="A1113" s="101">
        <v>40393</v>
      </c>
      <c r="B1113" s="9">
        <v>13.95</v>
      </c>
      <c r="C1113" s="9">
        <v>14.07</v>
      </c>
      <c r="D1113" s="9">
        <v>13.91</v>
      </c>
      <c r="E1113" s="9">
        <v>13.94</v>
      </c>
      <c r="F1113" s="9">
        <v>14098600</v>
      </c>
      <c r="G1113" s="9">
        <v>13.94</v>
      </c>
    </row>
    <row r="1114" spans="1:7" x14ac:dyDescent="0.25">
      <c r="A1114" s="101">
        <v>40392</v>
      </c>
      <c r="B1114" s="9">
        <v>14.01</v>
      </c>
      <c r="C1114" s="9">
        <v>14.08</v>
      </c>
      <c r="D1114" s="9">
        <v>13.96</v>
      </c>
      <c r="E1114" s="9">
        <v>14</v>
      </c>
      <c r="F1114" s="9">
        <v>14167200</v>
      </c>
      <c r="G1114" s="9">
        <v>14</v>
      </c>
    </row>
    <row r="1115" spans="1:7" x14ac:dyDescent="0.25">
      <c r="A1115" s="101">
        <v>40389</v>
      </c>
      <c r="B1115" s="9">
        <v>13.69</v>
      </c>
      <c r="C1115" s="9">
        <v>13.98</v>
      </c>
      <c r="D1115" s="9">
        <v>13.68</v>
      </c>
      <c r="E1115" s="9">
        <v>13.88</v>
      </c>
      <c r="F1115" s="9">
        <v>18380400</v>
      </c>
      <c r="G1115" s="9">
        <v>13.88</v>
      </c>
    </row>
    <row r="1116" spans="1:7" x14ac:dyDescent="0.25">
      <c r="A1116" s="101">
        <v>40388</v>
      </c>
      <c r="B1116" s="9">
        <v>13.9</v>
      </c>
      <c r="C1116" s="9">
        <v>13.96</v>
      </c>
      <c r="D1116" s="9">
        <v>13.75</v>
      </c>
      <c r="E1116" s="9">
        <v>13.76</v>
      </c>
      <c r="F1116" s="9">
        <v>16703000</v>
      </c>
      <c r="G1116" s="9">
        <v>13.76</v>
      </c>
    </row>
    <row r="1117" spans="1:7" x14ac:dyDescent="0.25">
      <c r="A1117" s="101">
        <v>40387</v>
      </c>
      <c r="B1117" s="9">
        <v>13.91</v>
      </c>
      <c r="C1117" s="9">
        <v>13.99</v>
      </c>
      <c r="D1117" s="9">
        <v>13.85</v>
      </c>
      <c r="E1117" s="9">
        <v>13.87</v>
      </c>
      <c r="F1117" s="9">
        <v>13522600</v>
      </c>
      <c r="G1117" s="9">
        <v>13.87</v>
      </c>
    </row>
    <row r="1118" spans="1:7" x14ac:dyDescent="0.25">
      <c r="A1118" s="101">
        <v>40386</v>
      </c>
      <c r="B1118" s="9">
        <v>14.07</v>
      </c>
      <c r="C1118" s="9">
        <v>14.1</v>
      </c>
      <c r="D1118" s="9">
        <v>13.89</v>
      </c>
      <c r="E1118" s="9">
        <v>13.95</v>
      </c>
      <c r="F1118" s="9">
        <v>20971000</v>
      </c>
      <c r="G1118" s="9">
        <v>13.95</v>
      </c>
    </row>
    <row r="1119" spans="1:7" x14ac:dyDescent="0.25">
      <c r="A1119" s="101">
        <v>40385</v>
      </c>
      <c r="B1119" s="9">
        <v>13.96</v>
      </c>
      <c r="C1119" s="9">
        <v>14.22</v>
      </c>
      <c r="D1119" s="9">
        <v>13.95</v>
      </c>
      <c r="E1119" s="9">
        <v>14.15</v>
      </c>
      <c r="F1119" s="9">
        <v>23247800</v>
      </c>
      <c r="G1119" s="9">
        <v>14.15</v>
      </c>
    </row>
    <row r="1120" spans="1:7" x14ac:dyDescent="0.25">
      <c r="A1120" s="101">
        <v>40382</v>
      </c>
      <c r="B1120" s="9">
        <v>13.78</v>
      </c>
      <c r="C1120" s="9">
        <v>14.04</v>
      </c>
      <c r="D1120" s="9">
        <v>13.52</v>
      </c>
      <c r="E1120" s="9">
        <v>13.99</v>
      </c>
      <c r="F1120" s="9">
        <v>34318400</v>
      </c>
      <c r="G1120" s="9">
        <v>13.99</v>
      </c>
    </row>
    <row r="1121" spans="1:7" x14ac:dyDescent="0.25">
      <c r="A1121" s="101">
        <v>40381</v>
      </c>
      <c r="B1121" s="9">
        <v>13.89</v>
      </c>
      <c r="C1121" s="9">
        <v>14.17</v>
      </c>
      <c r="D1121" s="9">
        <v>13.81</v>
      </c>
      <c r="E1121" s="9">
        <v>13.88</v>
      </c>
      <c r="F1121" s="9">
        <v>42677600</v>
      </c>
      <c r="G1121" s="9">
        <v>13.88</v>
      </c>
    </row>
    <row r="1122" spans="1:7" x14ac:dyDescent="0.25">
      <c r="A1122" s="101">
        <v>40380</v>
      </c>
      <c r="B1122" s="9">
        <v>14.27</v>
      </c>
      <c r="C1122" s="9">
        <v>14.28</v>
      </c>
      <c r="D1122" s="9">
        <v>13.75</v>
      </c>
      <c r="E1122" s="9">
        <v>13.91</v>
      </c>
      <c r="F1122" s="9">
        <v>78035800</v>
      </c>
      <c r="G1122" s="9">
        <v>13.91</v>
      </c>
    </row>
    <row r="1123" spans="1:7" x14ac:dyDescent="0.25">
      <c r="A1123" s="101">
        <v>40379</v>
      </c>
      <c r="B1123" s="9">
        <v>14.99</v>
      </c>
      <c r="C1123" s="9">
        <v>15.28</v>
      </c>
      <c r="D1123" s="9">
        <v>14.8</v>
      </c>
      <c r="E1123" s="9">
        <v>15.2</v>
      </c>
      <c r="F1123" s="9">
        <v>29578300</v>
      </c>
      <c r="G1123" s="9">
        <v>15.2</v>
      </c>
    </row>
    <row r="1124" spans="1:7" x14ac:dyDescent="0.25">
      <c r="A1124" s="101">
        <v>40378</v>
      </c>
      <c r="B1124" s="9">
        <v>15.23</v>
      </c>
      <c r="C1124" s="9">
        <v>15.38</v>
      </c>
      <c r="D1124" s="9">
        <v>15.02</v>
      </c>
      <c r="E1124" s="9">
        <v>15.1</v>
      </c>
      <c r="F1124" s="9">
        <v>16168200</v>
      </c>
      <c r="G1124" s="9">
        <v>15.1</v>
      </c>
    </row>
    <row r="1125" spans="1:7" x14ac:dyDescent="0.25">
      <c r="A1125" s="101">
        <v>40375</v>
      </c>
      <c r="B1125" s="9">
        <v>15.33</v>
      </c>
      <c r="C1125" s="9">
        <v>15.37</v>
      </c>
      <c r="D1125" s="9">
        <v>13.86</v>
      </c>
      <c r="E1125" s="9">
        <v>14.9</v>
      </c>
      <c r="F1125" s="9">
        <v>16829800</v>
      </c>
      <c r="G1125" s="9">
        <v>14.9</v>
      </c>
    </row>
    <row r="1126" spans="1:7" x14ac:dyDescent="0.25">
      <c r="A1126" s="101">
        <v>40374</v>
      </c>
      <c r="B1126" s="9">
        <v>15.31</v>
      </c>
      <c r="C1126" s="9">
        <v>15.39</v>
      </c>
      <c r="D1126" s="9">
        <v>15.04</v>
      </c>
      <c r="E1126" s="9">
        <v>15.37</v>
      </c>
      <c r="F1126" s="9">
        <v>12626600</v>
      </c>
      <c r="G1126" s="9">
        <v>15.37</v>
      </c>
    </row>
    <row r="1127" spans="1:7" x14ac:dyDescent="0.25">
      <c r="A1127" s="101">
        <v>40373</v>
      </c>
      <c r="B1127" s="9">
        <v>15.32</v>
      </c>
      <c r="C1127" s="9">
        <v>15.42</v>
      </c>
      <c r="D1127" s="9">
        <v>15.2</v>
      </c>
      <c r="E1127" s="9">
        <v>15.37</v>
      </c>
      <c r="F1127" s="9">
        <v>12255700</v>
      </c>
      <c r="G1127" s="9">
        <v>15.37</v>
      </c>
    </row>
    <row r="1128" spans="1:7" x14ac:dyDescent="0.25">
      <c r="A1128" s="101">
        <v>40372</v>
      </c>
      <c r="B1128" s="9">
        <v>15.06</v>
      </c>
      <c r="C1128" s="9">
        <v>15.6</v>
      </c>
      <c r="D1128" s="9">
        <v>14.99</v>
      </c>
      <c r="E1128" s="9">
        <v>15.52</v>
      </c>
      <c r="F1128" s="9">
        <v>22328800</v>
      </c>
      <c r="G1128" s="9">
        <v>15.52</v>
      </c>
    </row>
    <row r="1129" spans="1:7" x14ac:dyDescent="0.25">
      <c r="A1129" s="101">
        <v>40371</v>
      </c>
      <c r="B1129" s="9">
        <v>14.93</v>
      </c>
      <c r="C1129" s="9">
        <v>15.21</v>
      </c>
      <c r="D1129" s="9">
        <v>14.78</v>
      </c>
      <c r="E1129" s="9">
        <v>14.94</v>
      </c>
      <c r="F1129" s="9">
        <v>15585900</v>
      </c>
      <c r="G1129" s="9">
        <v>14.94</v>
      </c>
    </row>
    <row r="1130" spans="1:7" x14ac:dyDescent="0.25">
      <c r="A1130" s="101">
        <v>40368</v>
      </c>
      <c r="B1130" s="9">
        <v>14.6</v>
      </c>
      <c r="C1130" s="9">
        <v>14.93</v>
      </c>
      <c r="D1130" s="9">
        <v>14.59</v>
      </c>
      <c r="E1130" s="9">
        <v>14.89</v>
      </c>
      <c r="F1130" s="9">
        <v>12682000</v>
      </c>
      <c r="G1130" s="9">
        <v>14.89</v>
      </c>
    </row>
    <row r="1131" spans="1:7" x14ac:dyDescent="0.25">
      <c r="A1131" s="101">
        <v>40367</v>
      </c>
      <c r="B1131" s="9">
        <v>14.43</v>
      </c>
      <c r="C1131" s="9">
        <v>14.77</v>
      </c>
      <c r="D1131" s="9">
        <v>14.4</v>
      </c>
      <c r="E1131" s="9">
        <v>14.6</v>
      </c>
      <c r="F1131" s="9">
        <v>17088700</v>
      </c>
      <c r="G1131" s="9">
        <v>14.6</v>
      </c>
    </row>
    <row r="1132" spans="1:7" x14ac:dyDescent="0.25">
      <c r="A1132" s="101">
        <v>40366</v>
      </c>
      <c r="B1132" s="9">
        <v>14.18</v>
      </c>
      <c r="C1132" s="9">
        <v>14.42</v>
      </c>
      <c r="D1132" s="9">
        <v>14.12</v>
      </c>
      <c r="E1132" s="9">
        <v>14.4</v>
      </c>
      <c r="F1132" s="9">
        <v>17417900</v>
      </c>
      <c r="G1132" s="9">
        <v>14.4</v>
      </c>
    </row>
    <row r="1133" spans="1:7" x14ac:dyDescent="0.25">
      <c r="A1133" s="101">
        <v>40365</v>
      </c>
      <c r="B1133" s="9">
        <v>14.23</v>
      </c>
      <c r="C1133" s="9">
        <v>14.46</v>
      </c>
      <c r="D1133" s="9">
        <v>14</v>
      </c>
      <c r="E1133" s="9">
        <v>14.13</v>
      </c>
      <c r="F1133" s="9">
        <v>17334100</v>
      </c>
      <c r="G1133" s="9">
        <v>14.13</v>
      </c>
    </row>
    <row r="1134" spans="1:7" x14ac:dyDescent="0.25">
      <c r="A1134" s="101">
        <v>40361</v>
      </c>
      <c r="B1134" s="9">
        <v>14.08</v>
      </c>
      <c r="C1134" s="9">
        <v>14.24</v>
      </c>
      <c r="D1134" s="9">
        <v>14.03</v>
      </c>
      <c r="E1134" s="9">
        <v>14.07</v>
      </c>
      <c r="F1134" s="9">
        <v>18564400</v>
      </c>
      <c r="G1134" s="9">
        <v>14.07</v>
      </c>
    </row>
    <row r="1135" spans="1:7" x14ac:dyDescent="0.25">
      <c r="A1135" s="101">
        <v>40360</v>
      </c>
      <c r="B1135" s="9">
        <v>13.99</v>
      </c>
      <c r="C1135" s="9">
        <v>14.15</v>
      </c>
      <c r="D1135" s="9">
        <v>13.75</v>
      </c>
      <c r="E1135" s="9">
        <v>14.09</v>
      </c>
      <c r="F1135" s="9">
        <v>33222500</v>
      </c>
      <c r="G1135" s="9">
        <v>14.09</v>
      </c>
    </row>
    <row r="1136" spans="1:7" x14ac:dyDescent="0.25">
      <c r="A1136" s="101">
        <v>40359</v>
      </c>
      <c r="B1136" s="9">
        <v>13.95</v>
      </c>
      <c r="C1136" s="9">
        <v>14.22</v>
      </c>
      <c r="D1136" s="9">
        <v>13.79</v>
      </c>
      <c r="E1136" s="9">
        <v>13.84</v>
      </c>
      <c r="F1136" s="9">
        <v>23912900</v>
      </c>
      <c r="G1136" s="9">
        <v>13.84</v>
      </c>
    </row>
    <row r="1137" spans="1:7" x14ac:dyDescent="0.25">
      <c r="A1137" s="101">
        <v>40358</v>
      </c>
      <c r="B1137" s="9">
        <v>14.53</v>
      </c>
      <c r="C1137" s="9">
        <v>14.54</v>
      </c>
      <c r="D1137" s="9">
        <v>13.88</v>
      </c>
      <c r="E1137" s="9">
        <v>14.04</v>
      </c>
      <c r="F1137" s="9">
        <v>31825900</v>
      </c>
      <c r="G1137" s="9">
        <v>14.04</v>
      </c>
    </row>
    <row r="1138" spans="1:7" x14ac:dyDescent="0.25">
      <c r="A1138" s="101">
        <v>40357</v>
      </c>
      <c r="B1138" s="9">
        <v>14.83</v>
      </c>
      <c r="C1138" s="9">
        <v>14.86</v>
      </c>
      <c r="D1138" s="9">
        <v>14.58</v>
      </c>
      <c r="E1138" s="9">
        <v>14.73</v>
      </c>
      <c r="F1138" s="9">
        <v>8175400</v>
      </c>
      <c r="G1138" s="9">
        <v>14.73</v>
      </c>
    </row>
    <row r="1139" spans="1:7" x14ac:dyDescent="0.25">
      <c r="A1139" s="101">
        <v>40354</v>
      </c>
      <c r="B1139" s="9">
        <v>14.86</v>
      </c>
      <c r="C1139" s="9">
        <v>14.92</v>
      </c>
      <c r="D1139" s="9">
        <v>14.57</v>
      </c>
      <c r="E1139" s="9">
        <v>14.81</v>
      </c>
      <c r="F1139" s="9">
        <v>29817600</v>
      </c>
      <c r="G1139" s="9">
        <v>14.81</v>
      </c>
    </row>
    <row r="1140" spans="1:7" x14ac:dyDescent="0.25">
      <c r="A1140" s="101">
        <v>40353</v>
      </c>
      <c r="B1140" s="9">
        <v>15.11</v>
      </c>
      <c r="C1140" s="9">
        <v>15.19</v>
      </c>
      <c r="D1140" s="9">
        <v>14.7</v>
      </c>
      <c r="E1140" s="9">
        <v>14.83</v>
      </c>
      <c r="F1140" s="9">
        <v>18287700</v>
      </c>
      <c r="G1140" s="9">
        <v>14.83</v>
      </c>
    </row>
    <row r="1141" spans="1:7" x14ac:dyDescent="0.25">
      <c r="A1141" s="101">
        <v>40352</v>
      </c>
      <c r="B1141" s="9">
        <v>15.14</v>
      </c>
      <c r="C1141" s="9">
        <v>15.39</v>
      </c>
      <c r="D1141" s="9">
        <v>14.95</v>
      </c>
      <c r="E1141" s="9">
        <v>15.23</v>
      </c>
      <c r="F1141" s="9">
        <v>13374000</v>
      </c>
      <c r="G1141" s="9">
        <v>15.23</v>
      </c>
    </row>
    <row r="1142" spans="1:7" x14ac:dyDescent="0.25">
      <c r="A1142" s="101">
        <v>40351</v>
      </c>
      <c r="B1142" s="9">
        <v>15.24</v>
      </c>
      <c r="C1142" s="9">
        <v>15.51</v>
      </c>
      <c r="D1142" s="9">
        <v>15.07</v>
      </c>
      <c r="E1142" s="9">
        <v>15.09</v>
      </c>
      <c r="F1142" s="9">
        <v>22418100</v>
      </c>
      <c r="G1142" s="9">
        <v>15.09</v>
      </c>
    </row>
    <row r="1143" spans="1:7" x14ac:dyDescent="0.25">
      <c r="A1143" s="101">
        <v>40350</v>
      </c>
      <c r="B1143" s="9">
        <v>15.71</v>
      </c>
      <c r="C1143" s="9">
        <v>15.84</v>
      </c>
      <c r="D1143" s="9">
        <v>15.09</v>
      </c>
      <c r="E1143" s="9">
        <v>15.21</v>
      </c>
      <c r="F1143" s="9">
        <v>20412800</v>
      </c>
      <c r="G1143" s="9">
        <v>15.21</v>
      </c>
    </row>
    <row r="1144" spans="1:7" x14ac:dyDescent="0.25">
      <c r="A1144" s="101">
        <v>40347</v>
      </c>
      <c r="B1144" s="9">
        <v>15.66</v>
      </c>
      <c r="C1144" s="9">
        <v>15.67</v>
      </c>
      <c r="D1144" s="9">
        <v>15.47</v>
      </c>
      <c r="E1144" s="9">
        <v>15.54</v>
      </c>
      <c r="F1144" s="9">
        <v>12767100</v>
      </c>
      <c r="G1144" s="9">
        <v>15.54</v>
      </c>
    </row>
    <row r="1145" spans="1:7" x14ac:dyDescent="0.25">
      <c r="A1145" s="101">
        <v>40346</v>
      </c>
      <c r="B1145" s="9">
        <v>15.72</v>
      </c>
      <c r="C1145" s="9">
        <v>15.72</v>
      </c>
      <c r="D1145" s="9">
        <v>15.44</v>
      </c>
      <c r="E1145" s="9">
        <v>15.6</v>
      </c>
      <c r="F1145" s="9">
        <v>10769300</v>
      </c>
      <c r="G1145" s="9">
        <v>15.6</v>
      </c>
    </row>
    <row r="1146" spans="1:7" x14ac:dyDescent="0.25">
      <c r="A1146" s="101">
        <v>40345</v>
      </c>
      <c r="B1146" s="9">
        <v>15.58</v>
      </c>
      <c r="C1146" s="9">
        <v>15.65</v>
      </c>
      <c r="D1146" s="9">
        <v>15.34</v>
      </c>
      <c r="E1146" s="9">
        <v>15.49</v>
      </c>
      <c r="F1146" s="9">
        <v>15920300</v>
      </c>
      <c r="G1146" s="9">
        <v>15.49</v>
      </c>
    </row>
    <row r="1147" spans="1:7" x14ac:dyDescent="0.25">
      <c r="A1147" s="101">
        <v>40344</v>
      </c>
      <c r="B1147" s="9">
        <v>15.29</v>
      </c>
      <c r="C1147" s="9">
        <v>15.69</v>
      </c>
      <c r="D1147" s="9">
        <v>15.23</v>
      </c>
      <c r="E1147" s="9">
        <v>15.65</v>
      </c>
      <c r="F1147" s="9">
        <v>13888300</v>
      </c>
      <c r="G1147" s="9">
        <v>15.65</v>
      </c>
    </row>
    <row r="1148" spans="1:7" x14ac:dyDescent="0.25">
      <c r="A1148" s="101">
        <v>40343</v>
      </c>
      <c r="B1148" s="9">
        <v>15.46</v>
      </c>
      <c r="C1148" s="9">
        <v>15.49</v>
      </c>
      <c r="D1148" s="9">
        <v>15.15</v>
      </c>
      <c r="E1148" s="9">
        <v>15.17</v>
      </c>
      <c r="F1148" s="9">
        <v>12493100</v>
      </c>
      <c r="G1148" s="9">
        <v>15.17</v>
      </c>
    </row>
    <row r="1149" spans="1:7" x14ac:dyDescent="0.25">
      <c r="A1149" s="101">
        <v>40340</v>
      </c>
      <c r="B1149" s="9">
        <v>15.02</v>
      </c>
      <c r="C1149" s="9">
        <v>15.35</v>
      </c>
      <c r="D1149" s="9">
        <v>14.98</v>
      </c>
      <c r="E1149" s="9">
        <v>15.29</v>
      </c>
      <c r="F1149" s="9">
        <v>14056600</v>
      </c>
      <c r="G1149" s="9">
        <v>15.29</v>
      </c>
    </row>
    <row r="1150" spans="1:7" x14ac:dyDescent="0.25">
      <c r="A1150" s="101">
        <v>40339</v>
      </c>
      <c r="B1150" s="9">
        <v>14.94</v>
      </c>
      <c r="C1150" s="9">
        <v>15.14</v>
      </c>
      <c r="D1150" s="9">
        <v>14.87</v>
      </c>
      <c r="E1150" s="9">
        <v>15.1</v>
      </c>
      <c r="F1150" s="9">
        <v>21249100</v>
      </c>
      <c r="G1150" s="9">
        <v>15.1</v>
      </c>
    </row>
    <row r="1151" spans="1:7" x14ac:dyDescent="0.25">
      <c r="A1151" s="101">
        <v>40338</v>
      </c>
      <c r="B1151" s="9">
        <v>14.93</v>
      </c>
      <c r="C1151" s="9">
        <v>15.06</v>
      </c>
      <c r="D1151" s="9">
        <v>14.65</v>
      </c>
      <c r="E1151" s="9">
        <v>14.69</v>
      </c>
      <c r="F1151" s="9">
        <v>18108600</v>
      </c>
      <c r="G1151" s="9">
        <v>14.69</v>
      </c>
    </row>
    <row r="1152" spans="1:7" x14ac:dyDescent="0.25">
      <c r="A1152" s="101">
        <v>40337</v>
      </c>
      <c r="B1152" s="9">
        <v>15.05</v>
      </c>
      <c r="C1152" s="9">
        <v>15.12</v>
      </c>
      <c r="D1152" s="9">
        <v>14.62</v>
      </c>
      <c r="E1152" s="9">
        <v>14.79</v>
      </c>
      <c r="F1152" s="9">
        <v>35500700</v>
      </c>
      <c r="G1152" s="9">
        <v>14.79</v>
      </c>
    </row>
    <row r="1153" spans="1:7" x14ac:dyDescent="0.25">
      <c r="A1153" s="101">
        <v>40336</v>
      </c>
      <c r="B1153" s="9">
        <v>15.19</v>
      </c>
      <c r="C1153" s="9">
        <v>15.36</v>
      </c>
      <c r="D1153" s="9">
        <v>14.94</v>
      </c>
      <c r="E1153" s="9">
        <v>14.94</v>
      </c>
      <c r="F1153" s="9">
        <v>19153200</v>
      </c>
      <c r="G1153" s="9">
        <v>14.94</v>
      </c>
    </row>
    <row r="1154" spans="1:7" x14ac:dyDescent="0.25">
      <c r="A1154" s="101">
        <v>40333</v>
      </c>
      <c r="B1154" s="9">
        <v>15.12</v>
      </c>
      <c r="C1154" s="9">
        <v>15.38</v>
      </c>
      <c r="D1154" s="9">
        <v>14.96</v>
      </c>
      <c r="E1154" s="9">
        <v>15</v>
      </c>
      <c r="F1154" s="9">
        <v>23606400</v>
      </c>
      <c r="G1154" s="9">
        <v>15</v>
      </c>
    </row>
    <row r="1155" spans="1:7" x14ac:dyDescent="0.25">
      <c r="A1155" s="101">
        <v>40332</v>
      </c>
      <c r="B1155" s="9">
        <v>15.32</v>
      </c>
      <c r="C1155" s="9">
        <v>15.5</v>
      </c>
      <c r="D1155" s="9">
        <v>15.16</v>
      </c>
      <c r="E1155" s="9">
        <v>15.43</v>
      </c>
      <c r="F1155" s="9">
        <v>28395100</v>
      </c>
      <c r="G1155" s="9">
        <v>15.43</v>
      </c>
    </row>
    <row r="1156" spans="1:7" x14ac:dyDescent="0.25">
      <c r="A1156" s="101">
        <v>40331</v>
      </c>
      <c r="B1156" s="9">
        <v>15.04</v>
      </c>
      <c r="C1156" s="9">
        <v>15.2</v>
      </c>
      <c r="D1156" s="9">
        <v>14.96</v>
      </c>
      <c r="E1156" s="9">
        <v>15.18</v>
      </c>
      <c r="F1156" s="9">
        <v>24993000</v>
      </c>
      <c r="G1156" s="9">
        <v>15.18</v>
      </c>
    </row>
    <row r="1157" spans="1:7" x14ac:dyDescent="0.25">
      <c r="A1157" s="101">
        <v>40330</v>
      </c>
      <c r="B1157" s="9">
        <v>15.31</v>
      </c>
      <c r="C1157" s="9">
        <v>15.55</v>
      </c>
      <c r="D1157" s="9">
        <v>14.98</v>
      </c>
      <c r="E1157" s="9">
        <v>15.02</v>
      </c>
      <c r="F1157" s="9">
        <v>30475500</v>
      </c>
      <c r="G1157" s="9">
        <v>15.02</v>
      </c>
    </row>
    <row r="1158" spans="1:7" x14ac:dyDescent="0.25">
      <c r="A1158" s="101">
        <v>40326</v>
      </c>
      <c r="B1158" s="9">
        <v>15.61</v>
      </c>
      <c r="C1158" s="9">
        <v>15.69</v>
      </c>
      <c r="D1158" s="9">
        <v>15</v>
      </c>
      <c r="E1158" s="9">
        <v>15.34</v>
      </c>
      <c r="F1158" s="9">
        <v>17619700</v>
      </c>
      <c r="G1158" s="9">
        <v>15.34</v>
      </c>
    </row>
    <row r="1159" spans="1:7" x14ac:dyDescent="0.25">
      <c r="A1159" s="101">
        <v>40325</v>
      </c>
      <c r="B1159" s="9">
        <v>15.83</v>
      </c>
      <c r="C1159" s="9">
        <v>15.84</v>
      </c>
      <c r="D1159" s="9">
        <v>15.36</v>
      </c>
      <c r="E1159" s="9">
        <v>15.69</v>
      </c>
      <c r="F1159" s="9">
        <v>31091700</v>
      </c>
      <c r="G1159" s="9">
        <v>15.69</v>
      </c>
    </row>
    <row r="1160" spans="1:7" x14ac:dyDescent="0.25">
      <c r="A1160" s="101">
        <v>40324</v>
      </c>
      <c r="B1160" s="9">
        <v>15.6</v>
      </c>
      <c r="C1160" s="9">
        <v>15.83</v>
      </c>
      <c r="D1160" s="9">
        <v>15.43</v>
      </c>
      <c r="E1160" s="9">
        <v>15.45</v>
      </c>
      <c r="F1160" s="9">
        <v>33656000</v>
      </c>
      <c r="G1160" s="9">
        <v>15.45</v>
      </c>
    </row>
    <row r="1161" spans="1:7" x14ac:dyDescent="0.25">
      <c r="A1161" s="101">
        <v>40323</v>
      </c>
      <c r="B1161" s="9">
        <v>15.04</v>
      </c>
      <c r="C1161" s="9">
        <v>15.31</v>
      </c>
      <c r="D1161" s="9">
        <v>14.89</v>
      </c>
      <c r="E1161" s="9">
        <v>15.31</v>
      </c>
      <c r="F1161" s="9">
        <v>27856300</v>
      </c>
      <c r="G1161" s="9">
        <v>15.31</v>
      </c>
    </row>
    <row r="1162" spans="1:7" x14ac:dyDescent="0.25">
      <c r="A1162" s="101">
        <v>40322</v>
      </c>
      <c r="B1162" s="9">
        <v>15.42</v>
      </c>
      <c r="C1162" s="9">
        <v>15.79</v>
      </c>
      <c r="D1162" s="9">
        <v>15.36</v>
      </c>
      <c r="E1162" s="9">
        <v>15.54</v>
      </c>
      <c r="F1162" s="9">
        <v>20116800</v>
      </c>
      <c r="G1162" s="9">
        <v>15.54</v>
      </c>
    </row>
    <row r="1163" spans="1:7" x14ac:dyDescent="0.25">
      <c r="A1163" s="101">
        <v>40319</v>
      </c>
      <c r="B1163" s="9">
        <v>14.81</v>
      </c>
      <c r="C1163" s="9">
        <v>15.9</v>
      </c>
      <c r="D1163" s="9">
        <v>14.63</v>
      </c>
      <c r="E1163" s="9">
        <v>15.48</v>
      </c>
      <c r="F1163" s="9">
        <v>31215300</v>
      </c>
      <c r="G1163" s="9">
        <v>15.48</v>
      </c>
    </row>
    <row r="1164" spans="1:7" x14ac:dyDescent="0.25">
      <c r="A1164" s="101">
        <v>40318</v>
      </c>
      <c r="B1164" s="9">
        <v>15.45</v>
      </c>
      <c r="C1164" s="9">
        <v>15.49</v>
      </c>
      <c r="D1164" s="9">
        <v>15.06</v>
      </c>
      <c r="E1164" s="9">
        <v>15.1</v>
      </c>
      <c r="F1164" s="9">
        <v>33789000</v>
      </c>
      <c r="G1164" s="9">
        <v>15.1</v>
      </c>
    </row>
    <row r="1165" spans="1:7" x14ac:dyDescent="0.25">
      <c r="A1165" s="101">
        <v>40317</v>
      </c>
      <c r="B1165" s="9">
        <v>15.83</v>
      </c>
      <c r="C1165" s="9">
        <v>16</v>
      </c>
      <c r="D1165" s="9">
        <v>15.51</v>
      </c>
      <c r="E1165" s="9">
        <v>15.79</v>
      </c>
      <c r="F1165" s="9">
        <v>20485400</v>
      </c>
      <c r="G1165" s="9">
        <v>15.79</v>
      </c>
    </row>
    <row r="1166" spans="1:7" x14ac:dyDescent="0.25">
      <c r="A1166" s="101">
        <v>40316</v>
      </c>
      <c r="B1166" s="9">
        <v>16.27</v>
      </c>
      <c r="C1166" s="9">
        <v>16.440000000000001</v>
      </c>
      <c r="D1166" s="9">
        <v>15.95</v>
      </c>
      <c r="E1166" s="9">
        <v>16.03</v>
      </c>
      <c r="F1166" s="9">
        <v>16182200</v>
      </c>
      <c r="G1166" s="9">
        <v>16.03</v>
      </c>
    </row>
    <row r="1167" spans="1:7" x14ac:dyDescent="0.25">
      <c r="A1167" s="101">
        <v>40315</v>
      </c>
      <c r="B1167" s="9">
        <v>16.41</v>
      </c>
      <c r="C1167" s="9">
        <v>16.47</v>
      </c>
      <c r="D1167" s="9">
        <v>15.96</v>
      </c>
      <c r="E1167" s="9">
        <v>16.27</v>
      </c>
      <c r="F1167" s="9">
        <v>21935000</v>
      </c>
      <c r="G1167" s="9">
        <v>16.27</v>
      </c>
    </row>
    <row r="1168" spans="1:7" x14ac:dyDescent="0.25">
      <c r="A1168" s="101">
        <v>40312</v>
      </c>
      <c r="B1168" s="9">
        <v>16.510000000000002</v>
      </c>
      <c r="C1168" s="9">
        <v>16.66</v>
      </c>
      <c r="D1168" s="9">
        <v>16.14</v>
      </c>
      <c r="E1168" s="9">
        <v>16.39</v>
      </c>
      <c r="F1168" s="9">
        <v>28111400</v>
      </c>
      <c r="G1168" s="9">
        <v>16.39</v>
      </c>
    </row>
    <row r="1169" spans="1:7" x14ac:dyDescent="0.25">
      <c r="A1169" s="101">
        <v>40311</v>
      </c>
      <c r="B1169" s="9">
        <v>16.489999999999998</v>
      </c>
      <c r="C1169" s="9">
        <v>16.5</v>
      </c>
      <c r="D1169" s="9">
        <v>16.079999999999998</v>
      </c>
      <c r="E1169" s="9">
        <v>16.14</v>
      </c>
      <c r="F1169" s="9">
        <v>15363800</v>
      </c>
      <c r="G1169" s="9">
        <v>16.14</v>
      </c>
    </row>
    <row r="1170" spans="1:7" x14ac:dyDescent="0.25">
      <c r="A1170" s="101">
        <v>40310</v>
      </c>
      <c r="B1170" s="9">
        <v>16.45</v>
      </c>
      <c r="C1170" s="9">
        <v>16.5</v>
      </c>
      <c r="D1170" s="9">
        <v>16.329999999999998</v>
      </c>
      <c r="E1170" s="9">
        <v>16.47</v>
      </c>
      <c r="F1170" s="9">
        <v>16405900</v>
      </c>
      <c r="G1170" s="9">
        <v>16.47</v>
      </c>
    </row>
    <row r="1171" spans="1:7" x14ac:dyDescent="0.25">
      <c r="A1171" s="101">
        <v>40309</v>
      </c>
      <c r="B1171" s="9">
        <v>15.95</v>
      </c>
      <c r="C1171" s="9">
        <v>16.64</v>
      </c>
      <c r="D1171" s="9">
        <v>15.91</v>
      </c>
      <c r="E1171" s="9">
        <v>16.41</v>
      </c>
      <c r="F1171" s="9">
        <v>27786500</v>
      </c>
      <c r="G1171" s="9">
        <v>16.41</v>
      </c>
    </row>
    <row r="1172" spans="1:7" x14ac:dyDescent="0.25">
      <c r="A1172" s="101">
        <v>40308</v>
      </c>
      <c r="B1172" s="9">
        <v>16.04</v>
      </c>
      <c r="C1172" s="9">
        <v>16.829999999999998</v>
      </c>
      <c r="D1172" s="9">
        <v>16</v>
      </c>
      <c r="E1172" s="9">
        <v>16.329999999999998</v>
      </c>
      <c r="F1172" s="9">
        <v>28103500</v>
      </c>
      <c r="G1172" s="9">
        <v>16.329999999999998</v>
      </c>
    </row>
    <row r="1173" spans="1:7" x14ac:dyDescent="0.25">
      <c r="A1173" s="101">
        <v>40305</v>
      </c>
      <c r="B1173" s="9">
        <v>15.77</v>
      </c>
      <c r="C1173" s="9">
        <v>15.95</v>
      </c>
      <c r="D1173" s="9">
        <v>15.25</v>
      </c>
      <c r="E1173" s="9">
        <v>15.29</v>
      </c>
      <c r="F1173" s="9">
        <v>43941000</v>
      </c>
      <c r="G1173" s="9">
        <v>15.29</v>
      </c>
    </row>
    <row r="1174" spans="1:7" x14ac:dyDescent="0.25">
      <c r="A1174" s="101">
        <v>40304</v>
      </c>
      <c r="B1174" s="9">
        <v>16.34</v>
      </c>
      <c r="C1174" s="9">
        <v>16.510000000000002</v>
      </c>
      <c r="D1174" s="9">
        <v>15.43</v>
      </c>
      <c r="E1174" s="9">
        <v>15.92</v>
      </c>
      <c r="F1174" s="9">
        <v>32125800</v>
      </c>
      <c r="G1174" s="9">
        <v>15.92</v>
      </c>
    </row>
    <row r="1175" spans="1:7" x14ac:dyDescent="0.25">
      <c r="A1175" s="101">
        <v>40303</v>
      </c>
      <c r="B1175" s="9">
        <v>16.170000000000002</v>
      </c>
      <c r="C1175" s="9">
        <v>16.7</v>
      </c>
      <c r="D1175" s="9">
        <v>16.11</v>
      </c>
      <c r="E1175" s="9">
        <v>16.489999999999998</v>
      </c>
      <c r="F1175" s="9">
        <v>23004200</v>
      </c>
      <c r="G1175" s="9">
        <v>16.489999999999998</v>
      </c>
    </row>
    <row r="1176" spans="1:7" x14ac:dyDescent="0.25">
      <c r="A1176" s="101">
        <v>40302</v>
      </c>
      <c r="B1176" s="9">
        <v>16.63</v>
      </c>
      <c r="C1176" s="9">
        <v>16.899999999999999</v>
      </c>
      <c r="D1176" s="9">
        <v>16.25</v>
      </c>
      <c r="E1176" s="9">
        <v>16.32</v>
      </c>
      <c r="F1176" s="9">
        <v>31375300</v>
      </c>
      <c r="G1176" s="9">
        <v>16.32</v>
      </c>
    </row>
    <row r="1177" spans="1:7" x14ac:dyDescent="0.25">
      <c r="A1177" s="101">
        <v>40301</v>
      </c>
      <c r="B1177" s="9">
        <v>16.68</v>
      </c>
      <c r="C1177" s="9">
        <v>16.989999999999998</v>
      </c>
      <c r="D1177" s="9">
        <v>16.559999999999999</v>
      </c>
      <c r="E1177" s="9">
        <v>16.95</v>
      </c>
      <c r="F1177" s="9">
        <v>18162400</v>
      </c>
      <c r="G1177" s="9">
        <v>16.95</v>
      </c>
    </row>
    <row r="1178" spans="1:7" x14ac:dyDescent="0.25">
      <c r="A1178" s="101">
        <v>40298</v>
      </c>
      <c r="B1178" s="9">
        <v>17.11</v>
      </c>
      <c r="C1178" s="9">
        <v>17.13</v>
      </c>
      <c r="D1178" s="9">
        <v>16.53</v>
      </c>
      <c r="E1178" s="9">
        <v>16.53</v>
      </c>
      <c r="F1178" s="9">
        <v>19688200</v>
      </c>
      <c r="G1178" s="9">
        <v>16.53</v>
      </c>
    </row>
    <row r="1179" spans="1:7" x14ac:dyDescent="0.25">
      <c r="A1179" s="101">
        <v>40297</v>
      </c>
      <c r="B1179" s="9">
        <v>16.82</v>
      </c>
      <c r="C1179" s="9">
        <v>17.05</v>
      </c>
      <c r="D1179" s="9">
        <v>16.78</v>
      </c>
      <c r="E1179" s="9">
        <v>16.97</v>
      </c>
      <c r="F1179" s="9">
        <v>16788100</v>
      </c>
      <c r="G1179" s="9">
        <v>16.97</v>
      </c>
    </row>
    <row r="1180" spans="1:7" x14ac:dyDescent="0.25">
      <c r="A1180" s="101">
        <v>40296</v>
      </c>
      <c r="B1180" s="9">
        <v>16.98</v>
      </c>
      <c r="C1180" s="9">
        <v>17</v>
      </c>
      <c r="D1180" s="9">
        <v>16.63</v>
      </c>
      <c r="E1180" s="9">
        <v>16.75</v>
      </c>
      <c r="F1180" s="9">
        <v>26452500</v>
      </c>
      <c r="G1180" s="9">
        <v>16.75</v>
      </c>
    </row>
    <row r="1181" spans="1:7" x14ac:dyDescent="0.25">
      <c r="A1181" s="101">
        <v>40295</v>
      </c>
      <c r="B1181" s="9">
        <v>17.28</v>
      </c>
      <c r="C1181" s="9">
        <v>17.36</v>
      </c>
      <c r="D1181" s="9">
        <v>16.88</v>
      </c>
      <c r="E1181" s="9">
        <v>16.920000000000002</v>
      </c>
      <c r="F1181" s="9">
        <v>22851000</v>
      </c>
      <c r="G1181" s="9">
        <v>16.920000000000002</v>
      </c>
    </row>
    <row r="1182" spans="1:7" x14ac:dyDescent="0.25">
      <c r="A1182" s="101">
        <v>40294</v>
      </c>
      <c r="B1182" s="9">
        <v>17.690000000000001</v>
      </c>
      <c r="C1182" s="9">
        <v>17.72</v>
      </c>
      <c r="D1182" s="9">
        <v>17.34</v>
      </c>
      <c r="E1182" s="9">
        <v>17.39</v>
      </c>
      <c r="F1182" s="9">
        <v>17363800</v>
      </c>
      <c r="G1182" s="9">
        <v>17.39</v>
      </c>
    </row>
    <row r="1183" spans="1:7" x14ac:dyDescent="0.25">
      <c r="A1183" s="101">
        <v>40291</v>
      </c>
      <c r="B1183" s="9">
        <v>17.71</v>
      </c>
      <c r="C1183" s="9">
        <v>17.829999999999998</v>
      </c>
      <c r="D1183" s="9">
        <v>17.5</v>
      </c>
      <c r="E1183" s="9">
        <v>17.64</v>
      </c>
      <c r="F1183" s="9">
        <v>18901000</v>
      </c>
      <c r="G1183" s="9">
        <v>17.64</v>
      </c>
    </row>
    <row r="1184" spans="1:7" x14ac:dyDescent="0.25">
      <c r="A1184" s="101">
        <v>40290</v>
      </c>
      <c r="B1184" s="9">
        <v>17.37</v>
      </c>
      <c r="C1184" s="9">
        <v>17.78</v>
      </c>
      <c r="D1184" s="9">
        <v>17.149999999999999</v>
      </c>
      <c r="E1184" s="9">
        <v>17.72</v>
      </c>
      <c r="F1184" s="9">
        <v>36231400</v>
      </c>
      <c r="G1184" s="9">
        <v>17.72</v>
      </c>
    </row>
    <row r="1185" spans="1:7" x14ac:dyDescent="0.25">
      <c r="A1185" s="101">
        <v>40289</v>
      </c>
      <c r="B1185" s="9">
        <v>17.579999999999998</v>
      </c>
      <c r="C1185" s="9">
        <v>17.78</v>
      </c>
      <c r="D1185" s="9">
        <v>17.3</v>
      </c>
      <c r="E1185" s="9">
        <v>17.45</v>
      </c>
      <c r="F1185" s="9">
        <v>71686200</v>
      </c>
      <c r="G1185" s="9">
        <v>17.45</v>
      </c>
    </row>
    <row r="1186" spans="1:7" x14ac:dyDescent="0.25">
      <c r="A1186" s="101">
        <v>40288</v>
      </c>
      <c r="B1186" s="9">
        <v>18.5</v>
      </c>
      <c r="C1186" s="9">
        <v>18.53</v>
      </c>
      <c r="D1186" s="9">
        <v>18.23</v>
      </c>
      <c r="E1186" s="9">
        <v>18.38</v>
      </c>
      <c r="F1186" s="9">
        <v>39171900</v>
      </c>
      <c r="G1186" s="9">
        <v>18.38</v>
      </c>
    </row>
    <row r="1187" spans="1:7" x14ac:dyDescent="0.25">
      <c r="A1187" s="101">
        <v>40287</v>
      </c>
      <c r="B1187" s="9">
        <v>18.010000000000002</v>
      </c>
      <c r="C1187" s="9">
        <v>18.399999999999999</v>
      </c>
      <c r="D1187" s="9">
        <v>17.989999999999998</v>
      </c>
      <c r="E1187" s="9">
        <v>18.39</v>
      </c>
      <c r="F1187" s="9">
        <v>26971800</v>
      </c>
      <c r="G1187" s="9">
        <v>18.39</v>
      </c>
    </row>
    <row r="1188" spans="1:7" x14ac:dyDescent="0.25">
      <c r="A1188" s="101">
        <v>40284</v>
      </c>
      <c r="B1188" s="9">
        <v>18.670000000000002</v>
      </c>
      <c r="C1188" s="9">
        <v>18.68</v>
      </c>
      <c r="D1188" s="9">
        <v>17.96</v>
      </c>
      <c r="E1188" s="9">
        <v>18.170000000000002</v>
      </c>
      <c r="F1188" s="9">
        <v>51424700</v>
      </c>
      <c r="G1188" s="9">
        <v>18.170000000000002</v>
      </c>
    </row>
    <row r="1189" spans="1:7" x14ac:dyDescent="0.25">
      <c r="A1189" s="101">
        <v>40283</v>
      </c>
      <c r="B1189" s="9">
        <v>18.3</v>
      </c>
      <c r="C1189" s="9">
        <v>19.12</v>
      </c>
      <c r="D1189" s="9">
        <v>18.13</v>
      </c>
      <c r="E1189" s="9">
        <v>18.97</v>
      </c>
      <c r="F1189" s="9">
        <v>60024700</v>
      </c>
      <c r="G1189" s="9">
        <v>18.97</v>
      </c>
    </row>
    <row r="1190" spans="1:7" x14ac:dyDescent="0.25">
      <c r="A1190" s="101">
        <v>40282</v>
      </c>
      <c r="B1190" s="9">
        <v>18.149999999999999</v>
      </c>
      <c r="C1190" s="9">
        <v>18.47</v>
      </c>
      <c r="D1190" s="9">
        <v>18.059999999999999</v>
      </c>
      <c r="E1190" s="9">
        <v>18.38</v>
      </c>
      <c r="F1190" s="9">
        <v>41024800</v>
      </c>
      <c r="G1190" s="9">
        <v>18.38</v>
      </c>
    </row>
    <row r="1191" spans="1:7" x14ac:dyDescent="0.25">
      <c r="A1191" s="101">
        <v>40281</v>
      </c>
      <c r="B1191" s="9">
        <v>17.510000000000002</v>
      </c>
      <c r="C1191" s="9">
        <v>18.3</v>
      </c>
      <c r="D1191" s="9">
        <v>17.399999999999999</v>
      </c>
      <c r="E1191" s="9">
        <v>18.18</v>
      </c>
      <c r="F1191" s="9">
        <v>47514500</v>
      </c>
      <c r="G1191" s="9">
        <v>18.18</v>
      </c>
    </row>
    <row r="1192" spans="1:7" x14ac:dyDescent="0.25">
      <c r="A1192" s="101">
        <v>40280</v>
      </c>
      <c r="B1192" s="9">
        <v>17.52</v>
      </c>
      <c r="C1192" s="9">
        <v>17.88</v>
      </c>
      <c r="D1192" s="9">
        <v>17.41</v>
      </c>
      <c r="E1192" s="9">
        <v>17.64</v>
      </c>
      <c r="F1192" s="9">
        <v>22828900</v>
      </c>
      <c r="G1192" s="9">
        <v>17.64</v>
      </c>
    </row>
    <row r="1193" spans="1:7" x14ac:dyDescent="0.25">
      <c r="A1193" s="101">
        <v>40277</v>
      </c>
      <c r="B1193" s="9">
        <v>17.420000000000002</v>
      </c>
      <c r="C1193" s="9">
        <v>18.07</v>
      </c>
      <c r="D1193" s="9">
        <v>17.25</v>
      </c>
      <c r="E1193" s="9">
        <v>17.52</v>
      </c>
      <c r="F1193" s="9">
        <v>47732000</v>
      </c>
      <c r="G1193" s="9">
        <v>17.52</v>
      </c>
    </row>
    <row r="1194" spans="1:7" x14ac:dyDescent="0.25">
      <c r="A1194" s="101">
        <v>40276</v>
      </c>
      <c r="B1194" s="9">
        <v>16.91</v>
      </c>
      <c r="C1194" s="9">
        <v>17.41</v>
      </c>
      <c r="D1194" s="9">
        <v>16.899999999999999</v>
      </c>
      <c r="E1194" s="9">
        <v>17.350000000000001</v>
      </c>
      <c r="F1194" s="9">
        <v>45369200</v>
      </c>
      <c r="G1194" s="9">
        <v>17.350000000000001</v>
      </c>
    </row>
    <row r="1195" spans="1:7" x14ac:dyDescent="0.25">
      <c r="A1195" s="101">
        <v>40275</v>
      </c>
      <c r="B1195" s="9">
        <v>16.78</v>
      </c>
      <c r="C1195" s="9">
        <v>16.920000000000002</v>
      </c>
      <c r="D1195" s="9">
        <v>16.760000000000002</v>
      </c>
      <c r="E1195" s="9">
        <v>16.87</v>
      </c>
      <c r="F1195" s="9">
        <v>19921000</v>
      </c>
      <c r="G1195" s="9">
        <v>16.87</v>
      </c>
    </row>
    <row r="1196" spans="1:7" x14ac:dyDescent="0.25">
      <c r="A1196" s="101">
        <v>40274</v>
      </c>
      <c r="B1196" s="9">
        <v>16.55</v>
      </c>
      <c r="C1196" s="9">
        <v>16.98</v>
      </c>
      <c r="D1196" s="9">
        <v>16.420000000000002</v>
      </c>
      <c r="E1196" s="9">
        <v>16.920000000000002</v>
      </c>
      <c r="F1196" s="9">
        <v>25696700</v>
      </c>
      <c r="G1196" s="9">
        <v>16.920000000000002</v>
      </c>
    </row>
    <row r="1197" spans="1:7" x14ac:dyDescent="0.25">
      <c r="A1197" s="101">
        <v>40273</v>
      </c>
      <c r="B1197" s="9">
        <v>16.39</v>
      </c>
      <c r="C1197" s="9">
        <v>16.559999999999999</v>
      </c>
      <c r="D1197" s="9">
        <v>16.3</v>
      </c>
      <c r="E1197" s="9">
        <v>16.510000000000002</v>
      </c>
      <c r="F1197" s="9">
        <v>9220200</v>
      </c>
      <c r="G1197" s="9">
        <v>16.510000000000002</v>
      </c>
    </row>
    <row r="1198" spans="1:7" x14ac:dyDescent="0.25">
      <c r="A1198" s="101">
        <v>40269</v>
      </c>
      <c r="B1198" s="9">
        <v>16.579999999999998</v>
      </c>
      <c r="C1198" s="9">
        <v>16.600000000000001</v>
      </c>
      <c r="D1198" s="9">
        <v>16.22</v>
      </c>
      <c r="E1198" s="9">
        <v>16.29</v>
      </c>
      <c r="F1198" s="9">
        <v>20103800</v>
      </c>
      <c r="G1198" s="9">
        <v>16.29</v>
      </c>
    </row>
    <row r="1199" spans="1:7" x14ac:dyDescent="0.25">
      <c r="A1199" s="101">
        <v>40268</v>
      </c>
      <c r="B1199" s="9">
        <v>16.45</v>
      </c>
      <c r="C1199" s="9">
        <v>16.579999999999998</v>
      </c>
      <c r="D1199" s="9">
        <v>16.420000000000002</v>
      </c>
      <c r="E1199" s="9">
        <v>16.53</v>
      </c>
      <c r="F1199" s="9">
        <v>11996900</v>
      </c>
      <c r="G1199" s="9">
        <v>16.53</v>
      </c>
    </row>
    <row r="1200" spans="1:7" x14ac:dyDescent="0.25">
      <c r="A1200" s="101">
        <v>40267</v>
      </c>
      <c r="B1200" s="9">
        <v>16.55</v>
      </c>
      <c r="C1200" s="9">
        <v>16.690000000000001</v>
      </c>
      <c r="D1200" s="9">
        <v>16.39</v>
      </c>
      <c r="E1200" s="9">
        <v>16.61</v>
      </c>
      <c r="F1200" s="9">
        <v>16204100</v>
      </c>
      <c r="G1200" s="9">
        <v>16.61</v>
      </c>
    </row>
    <row r="1201" spans="1:7" x14ac:dyDescent="0.25">
      <c r="A1201" s="101">
        <v>40266</v>
      </c>
      <c r="B1201" s="9">
        <v>16.48</v>
      </c>
      <c r="C1201" s="9">
        <v>16.68</v>
      </c>
      <c r="D1201" s="9">
        <v>16.47</v>
      </c>
      <c r="E1201" s="9">
        <v>16.559999999999999</v>
      </c>
      <c r="F1201" s="9">
        <v>14902800</v>
      </c>
      <c r="G1201" s="9">
        <v>16.559999999999999</v>
      </c>
    </row>
    <row r="1202" spans="1:7" x14ac:dyDescent="0.25">
      <c r="A1202" s="101">
        <v>40263</v>
      </c>
      <c r="B1202" s="9">
        <v>16.34</v>
      </c>
      <c r="C1202" s="9">
        <v>16.57</v>
      </c>
      <c r="D1202" s="9">
        <v>16.309999999999999</v>
      </c>
      <c r="E1202" s="9">
        <v>16.54</v>
      </c>
      <c r="F1202" s="9">
        <v>23224900</v>
      </c>
      <c r="G1202" s="9">
        <v>16.54</v>
      </c>
    </row>
    <row r="1203" spans="1:7" x14ac:dyDescent="0.25">
      <c r="A1203" s="101">
        <v>40262</v>
      </c>
      <c r="B1203" s="9">
        <v>16.170000000000002</v>
      </c>
      <c r="C1203" s="9">
        <v>16.59</v>
      </c>
      <c r="D1203" s="9">
        <v>16.14</v>
      </c>
      <c r="E1203" s="9">
        <v>16.32</v>
      </c>
      <c r="F1203" s="9">
        <v>27487400</v>
      </c>
      <c r="G1203" s="9">
        <v>16.32</v>
      </c>
    </row>
    <row r="1204" spans="1:7" x14ac:dyDescent="0.25">
      <c r="A1204" s="101">
        <v>40261</v>
      </c>
      <c r="B1204" s="9">
        <v>16.100000000000001</v>
      </c>
      <c r="C1204" s="9">
        <v>16.2</v>
      </c>
      <c r="D1204" s="9">
        <v>15.92</v>
      </c>
      <c r="E1204" s="9">
        <v>16.09</v>
      </c>
      <c r="F1204" s="9">
        <v>32654500</v>
      </c>
      <c r="G1204" s="9">
        <v>16.09</v>
      </c>
    </row>
    <row r="1205" spans="1:7" x14ac:dyDescent="0.25">
      <c r="A1205" s="101">
        <v>40260</v>
      </c>
      <c r="B1205" s="9">
        <v>16.34</v>
      </c>
      <c r="C1205" s="9">
        <v>16.34</v>
      </c>
      <c r="D1205" s="9">
        <v>15.97</v>
      </c>
      <c r="E1205" s="9">
        <v>16.03</v>
      </c>
      <c r="F1205" s="9">
        <v>31875700</v>
      </c>
      <c r="G1205" s="9">
        <v>16.03</v>
      </c>
    </row>
    <row r="1206" spans="1:7" x14ac:dyDescent="0.25">
      <c r="A1206" s="101">
        <v>40259</v>
      </c>
      <c r="B1206" s="9">
        <v>16.37</v>
      </c>
      <c r="C1206" s="9">
        <v>16.54</v>
      </c>
      <c r="D1206" s="9">
        <v>16.32</v>
      </c>
      <c r="E1206" s="9">
        <v>16.34</v>
      </c>
      <c r="F1206" s="9">
        <v>18743500</v>
      </c>
      <c r="G1206" s="9">
        <v>16.34</v>
      </c>
    </row>
    <row r="1207" spans="1:7" x14ac:dyDescent="0.25">
      <c r="A1207" s="101">
        <v>40256</v>
      </c>
      <c r="B1207" s="9">
        <v>16.62</v>
      </c>
      <c r="C1207" s="9">
        <v>16.809999999999999</v>
      </c>
      <c r="D1207" s="9">
        <v>16.34</v>
      </c>
      <c r="E1207" s="9">
        <v>16.440000000000001</v>
      </c>
      <c r="F1207" s="9">
        <v>17871000</v>
      </c>
      <c r="G1207" s="9">
        <v>16.440000000000001</v>
      </c>
    </row>
    <row r="1208" spans="1:7" x14ac:dyDescent="0.25">
      <c r="A1208" s="101">
        <v>40255</v>
      </c>
      <c r="B1208" s="9">
        <v>16.46</v>
      </c>
      <c r="C1208" s="9">
        <v>16.57</v>
      </c>
      <c r="D1208" s="9">
        <v>16.32</v>
      </c>
      <c r="E1208" s="9">
        <v>16.559999999999999</v>
      </c>
      <c r="F1208" s="9">
        <v>12626200</v>
      </c>
      <c r="G1208" s="9">
        <v>16.559999999999999</v>
      </c>
    </row>
    <row r="1209" spans="1:7" x14ac:dyDescent="0.25">
      <c r="A1209" s="101">
        <v>40254</v>
      </c>
      <c r="B1209" s="9">
        <v>16.28</v>
      </c>
      <c r="C1209" s="9">
        <v>16.63</v>
      </c>
      <c r="D1209" s="9">
        <v>16.28</v>
      </c>
      <c r="E1209" s="9">
        <v>16.5</v>
      </c>
      <c r="F1209" s="9">
        <v>13754600</v>
      </c>
      <c r="G1209" s="9">
        <v>16.5</v>
      </c>
    </row>
    <row r="1210" spans="1:7" x14ac:dyDescent="0.25">
      <c r="A1210" s="101">
        <v>40253</v>
      </c>
      <c r="B1210" s="9">
        <v>16.47</v>
      </c>
      <c r="C1210" s="9">
        <v>16.59</v>
      </c>
      <c r="D1210" s="9">
        <v>16.23</v>
      </c>
      <c r="E1210" s="9">
        <v>16.36</v>
      </c>
      <c r="F1210" s="9">
        <v>18309900</v>
      </c>
      <c r="G1210" s="9">
        <v>16.36</v>
      </c>
    </row>
    <row r="1211" spans="1:7" x14ac:dyDescent="0.25">
      <c r="A1211" s="101">
        <v>40252</v>
      </c>
      <c r="B1211" s="9">
        <v>16.350000000000001</v>
      </c>
      <c r="C1211" s="9">
        <v>16.64</v>
      </c>
      <c r="D1211" s="9">
        <v>16.28</v>
      </c>
      <c r="E1211" s="9">
        <v>16.46</v>
      </c>
      <c r="F1211" s="9">
        <v>18967700</v>
      </c>
      <c r="G1211" s="9">
        <v>16.46</v>
      </c>
    </row>
    <row r="1212" spans="1:7" x14ac:dyDescent="0.25">
      <c r="A1212" s="101">
        <v>40249</v>
      </c>
      <c r="B1212" s="9">
        <v>16.510000000000002</v>
      </c>
      <c r="C1212" s="9">
        <v>16.59</v>
      </c>
      <c r="D1212" s="9">
        <v>16.260000000000002</v>
      </c>
      <c r="E1212" s="9">
        <v>16.32</v>
      </c>
      <c r="F1212" s="9">
        <v>23106400</v>
      </c>
      <c r="G1212" s="9">
        <v>16.32</v>
      </c>
    </row>
    <row r="1213" spans="1:7" x14ac:dyDescent="0.25">
      <c r="A1213" s="101">
        <v>40248</v>
      </c>
      <c r="B1213" s="9">
        <v>16.57</v>
      </c>
      <c r="C1213" s="9">
        <v>16.649999999999999</v>
      </c>
      <c r="D1213" s="9">
        <v>16.100000000000001</v>
      </c>
      <c r="E1213" s="9">
        <v>16.53</v>
      </c>
      <c r="F1213" s="9">
        <v>21732900</v>
      </c>
      <c r="G1213" s="9">
        <v>16.53</v>
      </c>
    </row>
    <row r="1214" spans="1:7" x14ac:dyDescent="0.25">
      <c r="A1214" s="101">
        <v>40247</v>
      </c>
      <c r="B1214" s="9">
        <v>16.510000000000002</v>
      </c>
      <c r="C1214" s="9">
        <v>16.940000000000001</v>
      </c>
      <c r="D1214" s="9">
        <v>16.510000000000002</v>
      </c>
      <c r="E1214" s="9">
        <v>16.79</v>
      </c>
      <c r="F1214" s="9">
        <v>33088600</v>
      </c>
      <c r="G1214" s="9">
        <v>16.79</v>
      </c>
    </row>
    <row r="1215" spans="1:7" x14ac:dyDescent="0.25">
      <c r="A1215" s="101">
        <v>40246</v>
      </c>
      <c r="B1215" s="9">
        <v>16.41</v>
      </c>
      <c r="C1215" s="9">
        <v>16.72</v>
      </c>
      <c r="D1215" s="9">
        <v>16.399999999999999</v>
      </c>
      <c r="E1215" s="9">
        <v>16.53</v>
      </c>
      <c r="F1215" s="9">
        <v>20755200</v>
      </c>
      <c r="G1215" s="9">
        <v>16.53</v>
      </c>
    </row>
    <row r="1216" spans="1:7" x14ac:dyDescent="0.25">
      <c r="A1216" s="101">
        <v>40245</v>
      </c>
      <c r="B1216" s="9">
        <v>16.32</v>
      </c>
      <c r="C1216" s="9">
        <v>16.61</v>
      </c>
      <c r="D1216" s="9">
        <v>16.3</v>
      </c>
      <c r="E1216" s="9">
        <v>16.52</v>
      </c>
      <c r="F1216" s="9">
        <v>30554000</v>
      </c>
      <c r="G1216" s="9">
        <v>16.52</v>
      </c>
    </row>
    <row r="1217" spans="1:7" x14ac:dyDescent="0.25">
      <c r="A1217" s="101">
        <v>40242</v>
      </c>
      <c r="B1217" s="9">
        <v>15.89</v>
      </c>
      <c r="C1217" s="9">
        <v>16.38</v>
      </c>
      <c r="D1217" s="9">
        <v>15.89</v>
      </c>
      <c r="E1217" s="9">
        <v>16.059999999999999</v>
      </c>
      <c r="F1217" s="9">
        <v>21415000</v>
      </c>
      <c r="G1217" s="9">
        <v>16.059999999999999</v>
      </c>
    </row>
    <row r="1218" spans="1:7" x14ac:dyDescent="0.25">
      <c r="A1218" s="101">
        <v>40241</v>
      </c>
      <c r="B1218" s="9">
        <v>15.55</v>
      </c>
      <c r="C1218" s="9">
        <v>15.85</v>
      </c>
      <c r="D1218" s="9">
        <v>15.52</v>
      </c>
      <c r="E1218" s="9">
        <v>15.81</v>
      </c>
      <c r="F1218" s="9">
        <v>22906000</v>
      </c>
      <c r="G1218" s="9">
        <v>15.81</v>
      </c>
    </row>
    <row r="1219" spans="1:7" x14ac:dyDescent="0.25">
      <c r="A1219" s="101">
        <v>40240</v>
      </c>
      <c r="B1219" s="9">
        <v>15.85</v>
      </c>
      <c r="C1219" s="9">
        <v>15.85</v>
      </c>
      <c r="D1219" s="9">
        <v>15.55</v>
      </c>
      <c r="E1219" s="9">
        <v>15.57</v>
      </c>
      <c r="F1219" s="9">
        <v>20613800</v>
      </c>
      <c r="G1219" s="9">
        <v>15.57</v>
      </c>
    </row>
    <row r="1220" spans="1:7" x14ac:dyDescent="0.25">
      <c r="A1220" s="101">
        <v>40239</v>
      </c>
      <c r="B1220" s="9">
        <v>15.87</v>
      </c>
      <c r="C1220" s="9">
        <v>15.96</v>
      </c>
      <c r="D1220" s="9">
        <v>15.67</v>
      </c>
      <c r="E1220" s="9">
        <v>15.73</v>
      </c>
      <c r="F1220" s="9">
        <v>20101800</v>
      </c>
      <c r="G1220" s="9">
        <v>15.73</v>
      </c>
    </row>
    <row r="1221" spans="1:7" x14ac:dyDescent="0.25">
      <c r="A1221" s="101">
        <v>40238</v>
      </c>
      <c r="B1221" s="9">
        <v>15.43</v>
      </c>
      <c r="C1221" s="9">
        <v>15.83</v>
      </c>
      <c r="D1221" s="9">
        <v>15.4</v>
      </c>
      <c r="E1221" s="9">
        <v>15.79</v>
      </c>
      <c r="F1221" s="9">
        <v>17238000</v>
      </c>
      <c r="G1221" s="9">
        <v>15.79</v>
      </c>
    </row>
    <row r="1222" spans="1:7" x14ac:dyDescent="0.25">
      <c r="A1222" s="101">
        <v>40235</v>
      </c>
      <c r="B1222" s="9">
        <v>15.27</v>
      </c>
      <c r="C1222" s="9">
        <v>15.41</v>
      </c>
      <c r="D1222" s="9">
        <v>15.16</v>
      </c>
      <c r="E1222" s="9">
        <v>15.31</v>
      </c>
      <c r="F1222" s="9">
        <v>14975600</v>
      </c>
      <c r="G1222" s="9">
        <v>15.31</v>
      </c>
    </row>
    <row r="1223" spans="1:7" x14ac:dyDescent="0.25">
      <c r="A1223" s="101">
        <v>40234</v>
      </c>
      <c r="B1223" s="9">
        <v>15.32</v>
      </c>
      <c r="C1223" s="9">
        <v>15.35</v>
      </c>
      <c r="D1223" s="9">
        <v>15.13</v>
      </c>
      <c r="E1223" s="9">
        <v>15.24</v>
      </c>
      <c r="F1223" s="9">
        <v>20126900</v>
      </c>
      <c r="G1223" s="9">
        <v>15.24</v>
      </c>
    </row>
    <row r="1224" spans="1:7" x14ac:dyDescent="0.25">
      <c r="A1224" s="101">
        <v>40233</v>
      </c>
      <c r="B1224" s="9">
        <v>15.48</v>
      </c>
      <c r="C1224" s="9">
        <v>15.71</v>
      </c>
      <c r="D1224" s="9">
        <v>15.33</v>
      </c>
      <c r="E1224" s="9">
        <v>15.59</v>
      </c>
      <c r="F1224" s="9">
        <v>19284200</v>
      </c>
      <c r="G1224" s="9">
        <v>15.59</v>
      </c>
    </row>
    <row r="1225" spans="1:7" x14ac:dyDescent="0.25">
      <c r="A1225" s="101">
        <v>40232</v>
      </c>
      <c r="B1225" s="9">
        <v>15.45</v>
      </c>
      <c r="C1225" s="9">
        <v>15.51</v>
      </c>
      <c r="D1225" s="9">
        <v>15.14</v>
      </c>
      <c r="E1225" s="9">
        <v>15.38</v>
      </c>
      <c r="F1225" s="9">
        <v>18346700</v>
      </c>
      <c r="G1225" s="9">
        <v>15.38</v>
      </c>
    </row>
    <row r="1226" spans="1:7" x14ac:dyDescent="0.25">
      <c r="A1226" s="101">
        <v>40231</v>
      </c>
      <c r="B1226" s="9">
        <v>15.61</v>
      </c>
      <c r="C1226" s="9">
        <v>15.68</v>
      </c>
      <c r="D1226" s="9">
        <v>15.44</v>
      </c>
      <c r="E1226" s="9">
        <v>15.49</v>
      </c>
      <c r="F1226" s="9">
        <v>10463500</v>
      </c>
      <c r="G1226" s="9">
        <v>15.49</v>
      </c>
    </row>
    <row r="1227" spans="1:7" x14ac:dyDescent="0.25">
      <c r="A1227" s="101">
        <v>40228</v>
      </c>
      <c r="B1227" s="9">
        <v>15.49</v>
      </c>
      <c r="C1227" s="9">
        <v>15.71</v>
      </c>
      <c r="D1227" s="9">
        <v>15.33</v>
      </c>
      <c r="E1227" s="9">
        <v>15.58</v>
      </c>
      <c r="F1227" s="9">
        <v>15407900</v>
      </c>
      <c r="G1227" s="9">
        <v>15.58</v>
      </c>
    </row>
    <row r="1228" spans="1:7" x14ac:dyDescent="0.25">
      <c r="A1228" s="101">
        <v>40227</v>
      </c>
      <c r="B1228" s="9">
        <v>15.4</v>
      </c>
      <c r="C1228" s="9">
        <v>15.6</v>
      </c>
      <c r="D1228" s="9">
        <v>15.32</v>
      </c>
      <c r="E1228" s="9">
        <v>15.54</v>
      </c>
      <c r="F1228" s="9">
        <v>13700100</v>
      </c>
      <c r="G1228" s="9">
        <v>15.54</v>
      </c>
    </row>
    <row r="1229" spans="1:7" x14ac:dyDescent="0.25">
      <c r="A1229" s="101">
        <v>40226</v>
      </c>
      <c r="B1229" s="9">
        <v>15.5</v>
      </c>
      <c r="C1229" s="9">
        <v>15.52</v>
      </c>
      <c r="D1229" s="9">
        <v>15.32</v>
      </c>
      <c r="E1229" s="9">
        <v>15.44</v>
      </c>
      <c r="F1229" s="9">
        <v>12731900</v>
      </c>
      <c r="G1229" s="9">
        <v>15.44</v>
      </c>
    </row>
    <row r="1230" spans="1:7" x14ac:dyDescent="0.25">
      <c r="A1230" s="101">
        <v>40225</v>
      </c>
      <c r="B1230" s="9">
        <v>15.23</v>
      </c>
      <c r="C1230" s="9">
        <v>15.48</v>
      </c>
      <c r="D1230" s="9">
        <v>15.18</v>
      </c>
      <c r="E1230" s="9">
        <v>15.41</v>
      </c>
      <c r="F1230" s="9">
        <v>21447200</v>
      </c>
      <c r="G1230" s="9">
        <v>15.41</v>
      </c>
    </row>
    <row r="1231" spans="1:7" x14ac:dyDescent="0.25">
      <c r="A1231" s="101">
        <v>40221</v>
      </c>
      <c r="B1231" s="9">
        <v>15.07</v>
      </c>
      <c r="C1231" s="9">
        <v>15.19</v>
      </c>
      <c r="D1231" s="9">
        <v>14.85</v>
      </c>
      <c r="E1231" s="9">
        <v>15.17</v>
      </c>
      <c r="F1231" s="9">
        <v>18926400</v>
      </c>
      <c r="G1231" s="9">
        <v>15.17</v>
      </c>
    </row>
    <row r="1232" spans="1:7" x14ac:dyDescent="0.25">
      <c r="A1232" s="101">
        <v>40220</v>
      </c>
      <c r="B1232" s="9">
        <v>14.87</v>
      </c>
      <c r="C1232" s="9">
        <v>15.25</v>
      </c>
      <c r="D1232" s="9">
        <v>14.77</v>
      </c>
      <c r="E1232" s="9">
        <v>15.22</v>
      </c>
      <c r="F1232" s="9">
        <v>24509500</v>
      </c>
      <c r="G1232" s="9">
        <v>15.22</v>
      </c>
    </row>
    <row r="1233" spans="1:7" x14ac:dyDescent="0.25">
      <c r="A1233" s="101">
        <v>40219</v>
      </c>
      <c r="B1233" s="9">
        <v>15.02</v>
      </c>
      <c r="C1233" s="9">
        <v>15.02</v>
      </c>
      <c r="D1233" s="9">
        <v>14.48</v>
      </c>
      <c r="E1233" s="9">
        <v>14.8</v>
      </c>
      <c r="F1233" s="9">
        <v>36518100</v>
      </c>
      <c r="G1233" s="9">
        <v>14.8</v>
      </c>
    </row>
    <row r="1234" spans="1:7" x14ac:dyDescent="0.25">
      <c r="A1234" s="101">
        <v>40218</v>
      </c>
      <c r="B1234" s="9">
        <v>15.2</v>
      </c>
      <c r="C1234" s="9">
        <v>15.24</v>
      </c>
      <c r="D1234" s="9">
        <v>14.94</v>
      </c>
      <c r="E1234" s="9">
        <v>15.07</v>
      </c>
      <c r="F1234" s="9">
        <v>16716900</v>
      </c>
      <c r="G1234" s="9">
        <v>15.07</v>
      </c>
    </row>
    <row r="1235" spans="1:7" x14ac:dyDescent="0.25">
      <c r="A1235" s="101">
        <v>40217</v>
      </c>
      <c r="B1235" s="9">
        <v>15.18</v>
      </c>
      <c r="C1235" s="9">
        <v>15.47</v>
      </c>
      <c r="D1235" s="9">
        <v>14.95</v>
      </c>
      <c r="E1235" s="9">
        <v>14.99</v>
      </c>
      <c r="F1235" s="9">
        <v>19856400</v>
      </c>
      <c r="G1235" s="9">
        <v>14.99</v>
      </c>
    </row>
    <row r="1236" spans="1:7" x14ac:dyDescent="0.25">
      <c r="A1236" s="101">
        <v>40214</v>
      </c>
      <c r="B1236" s="9">
        <v>15.01</v>
      </c>
      <c r="C1236" s="9">
        <v>15.25</v>
      </c>
      <c r="D1236" s="9">
        <v>14.92</v>
      </c>
      <c r="E1236" s="9">
        <v>15.19</v>
      </c>
      <c r="F1236" s="9">
        <v>20713800</v>
      </c>
      <c r="G1236" s="9">
        <v>15.19</v>
      </c>
    </row>
    <row r="1237" spans="1:7" x14ac:dyDescent="0.25">
      <c r="A1237" s="101">
        <v>40213</v>
      </c>
      <c r="B1237" s="9">
        <v>15.34</v>
      </c>
      <c r="C1237" s="9">
        <v>15.52</v>
      </c>
      <c r="D1237" s="9">
        <v>14.99</v>
      </c>
      <c r="E1237" s="9">
        <v>15.01</v>
      </c>
      <c r="F1237" s="9">
        <v>27668100</v>
      </c>
      <c r="G1237" s="9">
        <v>15.01</v>
      </c>
    </row>
    <row r="1238" spans="1:7" x14ac:dyDescent="0.25">
      <c r="A1238" s="101">
        <v>40212</v>
      </c>
      <c r="B1238" s="9">
        <v>15.12</v>
      </c>
      <c r="C1238" s="9">
        <v>15.6</v>
      </c>
      <c r="D1238" s="9">
        <v>15.12</v>
      </c>
      <c r="E1238" s="9">
        <v>15.46</v>
      </c>
      <c r="F1238" s="9">
        <v>24730600</v>
      </c>
      <c r="G1238" s="9">
        <v>15.46</v>
      </c>
    </row>
    <row r="1239" spans="1:7" x14ac:dyDescent="0.25">
      <c r="A1239" s="101">
        <v>40211</v>
      </c>
      <c r="B1239" s="9">
        <v>15.1</v>
      </c>
      <c r="C1239" s="9">
        <v>15.32</v>
      </c>
      <c r="D1239" s="9">
        <v>15.03</v>
      </c>
      <c r="E1239" s="9">
        <v>15.17</v>
      </c>
      <c r="F1239" s="9">
        <v>27555200</v>
      </c>
      <c r="G1239" s="9">
        <v>15.17</v>
      </c>
    </row>
    <row r="1240" spans="1:7" x14ac:dyDescent="0.25">
      <c r="A1240" s="101">
        <v>40210</v>
      </c>
      <c r="B1240" s="9">
        <v>15.14</v>
      </c>
      <c r="C1240" s="9">
        <v>15.3</v>
      </c>
      <c r="D1240" s="9">
        <v>14.87</v>
      </c>
      <c r="E1240" s="9">
        <v>15.05</v>
      </c>
      <c r="F1240" s="9">
        <v>29865700</v>
      </c>
      <c r="G1240" s="9">
        <v>15.05</v>
      </c>
    </row>
    <row r="1241" spans="1:7" x14ac:dyDescent="0.25">
      <c r="A1241" s="101">
        <v>40207</v>
      </c>
      <c r="B1241" s="9">
        <v>15.51</v>
      </c>
      <c r="C1241" s="9">
        <v>15.67</v>
      </c>
      <c r="D1241" s="9">
        <v>14.9</v>
      </c>
      <c r="E1241" s="9">
        <v>15.01</v>
      </c>
      <c r="F1241" s="9">
        <v>39664600</v>
      </c>
      <c r="G1241" s="9">
        <v>15.01</v>
      </c>
    </row>
    <row r="1242" spans="1:7" x14ac:dyDescent="0.25">
      <c r="A1242" s="101">
        <v>40206</v>
      </c>
      <c r="B1242" s="9">
        <v>15.93</v>
      </c>
      <c r="C1242" s="9">
        <v>15.96</v>
      </c>
      <c r="D1242" s="9">
        <v>15.44</v>
      </c>
      <c r="E1242" s="9">
        <v>15.44</v>
      </c>
      <c r="F1242" s="9">
        <v>30159500</v>
      </c>
      <c r="G1242" s="9">
        <v>15.44</v>
      </c>
    </row>
    <row r="1243" spans="1:7" x14ac:dyDescent="0.25">
      <c r="A1243" s="101">
        <v>40205</v>
      </c>
      <c r="B1243" s="9">
        <v>16.46</v>
      </c>
      <c r="C1243" s="9">
        <v>16.489999999999998</v>
      </c>
      <c r="D1243" s="9">
        <v>15.77</v>
      </c>
      <c r="E1243" s="9">
        <v>15.98</v>
      </c>
      <c r="F1243" s="9">
        <v>41701000</v>
      </c>
      <c r="G1243" s="9">
        <v>15.98</v>
      </c>
    </row>
    <row r="1244" spans="1:7" x14ac:dyDescent="0.25">
      <c r="A1244" s="101">
        <v>40204</v>
      </c>
      <c r="B1244" s="9">
        <v>15.82</v>
      </c>
      <c r="C1244" s="9">
        <v>16.170000000000002</v>
      </c>
      <c r="D1244" s="9">
        <v>15.7</v>
      </c>
      <c r="E1244" s="9">
        <v>15.99</v>
      </c>
      <c r="F1244" s="9">
        <v>43979400</v>
      </c>
      <c r="G1244" s="9">
        <v>15.99</v>
      </c>
    </row>
    <row r="1245" spans="1:7" x14ac:dyDescent="0.25">
      <c r="A1245" s="101">
        <v>40203</v>
      </c>
      <c r="B1245" s="9">
        <v>16.07</v>
      </c>
      <c r="C1245" s="9">
        <v>16.11</v>
      </c>
      <c r="D1245" s="9">
        <v>15.74</v>
      </c>
      <c r="E1245" s="9">
        <v>15.86</v>
      </c>
      <c r="F1245" s="9">
        <v>19683700</v>
      </c>
      <c r="G1245" s="9">
        <v>15.86</v>
      </c>
    </row>
    <row r="1246" spans="1:7" x14ac:dyDescent="0.25">
      <c r="A1246" s="101">
        <v>40200</v>
      </c>
      <c r="B1246" s="9">
        <v>16.079999999999998</v>
      </c>
      <c r="C1246" s="9">
        <v>16.21</v>
      </c>
      <c r="D1246" s="9">
        <v>15.81</v>
      </c>
      <c r="E1246" s="9">
        <v>15.88</v>
      </c>
      <c r="F1246" s="9">
        <v>25132800</v>
      </c>
      <c r="G1246" s="9">
        <v>15.88</v>
      </c>
    </row>
    <row r="1247" spans="1:7" x14ac:dyDescent="0.25">
      <c r="A1247" s="101">
        <v>40199</v>
      </c>
      <c r="B1247" s="9">
        <v>16.39</v>
      </c>
      <c r="C1247" s="9">
        <v>16.579999999999998</v>
      </c>
      <c r="D1247" s="9">
        <v>16.100000000000001</v>
      </c>
      <c r="E1247" s="9">
        <v>16.2</v>
      </c>
      <c r="F1247" s="9">
        <v>21858400</v>
      </c>
      <c r="G1247" s="9">
        <v>16.2</v>
      </c>
    </row>
    <row r="1248" spans="1:7" x14ac:dyDescent="0.25">
      <c r="A1248" s="101">
        <v>40198</v>
      </c>
      <c r="B1248" s="9">
        <v>16.649999999999999</v>
      </c>
      <c r="C1248" s="9">
        <v>16.68</v>
      </c>
      <c r="D1248" s="9">
        <v>16.25</v>
      </c>
      <c r="E1248" s="9">
        <v>16.38</v>
      </c>
      <c r="F1248" s="9">
        <v>14419500</v>
      </c>
      <c r="G1248" s="9">
        <v>16.38</v>
      </c>
    </row>
    <row r="1249" spans="1:7" x14ac:dyDescent="0.25">
      <c r="A1249" s="101">
        <v>40197</v>
      </c>
      <c r="B1249" s="9">
        <v>16.78</v>
      </c>
      <c r="C1249" s="9">
        <v>16.96</v>
      </c>
      <c r="D1249" s="9">
        <v>16.64</v>
      </c>
      <c r="E1249" s="9">
        <v>16.75</v>
      </c>
      <c r="F1249" s="9">
        <v>15182600</v>
      </c>
      <c r="G1249" s="9">
        <v>16.75</v>
      </c>
    </row>
    <row r="1250" spans="1:7" x14ac:dyDescent="0.25">
      <c r="A1250" s="101">
        <v>40193</v>
      </c>
      <c r="B1250" s="9">
        <v>17.25</v>
      </c>
      <c r="C1250" s="9">
        <v>17.25</v>
      </c>
      <c r="D1250" s="9">
        <v>16.75</v>
      </c>
      <c r="E1250" s="9">
        <v>16.82</v>
      </c>
      <c r="F1250" s="9">
        <v>18415000</v>
      </c>
      <c r="G1250" s="9">
        <v>16.82</v>
      </c>
    </row>
    <row r="1251" spans="1:7" x14ac:dyDescent="0.25">
      <c r="A1251" s="101">
        <v>40192</v>
      </c>
      <c r="B1251" s="9">
        <v>16.809999999999999</v>
      </c>
      <c r="C1251" s="9">
        <v>17.23</v>
      </c>
      <c r="D1251" s="9">
        <v>16.8</v>
      </c>
      <c r="E1251" s="9">
        <v>17.12</v>
      </c>
      <c r="F1251" s="9">
        <v>16715600</v>
      </c>
      <c r="G1251" s="9">
        <v>17.12</v>
      </c>
    </row>
    <row r="1252" spans="1:7" x14ac:dyDescent="0.25">
      <c r="A1252" s="101">
        <v>40191</v>
      </c>
      <c r="B1252" s="9">
        <v>16.88</v>
      </c>
      <c r="C1252" s="9">
        <v>16.98</v>
      </c>
      <c r="D1252" s="9">
        <v>16.649999999999999</v>
      </c>
      <c r="E1252" s="9">
        <v>16.899999999999999</v>
      </c>
      <c r="F1252" s="9">
        <v>16955600</v>
      </c>
      <c r="G1252" s="9">
        <v>16.899999999999999</v>
      </c>
    </row>
    <row r="1253" spans="1:7" x14ac:dyDescent="0.25">
      <c r="A1253" s="101">
        <v>40190</v>
      </c>
      <c r="B1253" s="9">
        <v>16.649999999999999</v>
      </c>
      <c r="C1253" s="9">
        <v>16.86</v>
      </c>
      <c r="D1253" s="9">
        <v>16.600000000000001</v>
      </c>
      <c r="E1253" s="9">
        <v>16.68</v>
      </c>
      <c r="F1253" s="9">
        <v>15672400</v>
      </c>
      <c r="G1253" s="9">
        <v>16.68</v>
      </c>
    </row>
    <row r="1254" spans="1:7" x14ac:dyDescent="0.25">
      <c r="A1254" s="101">
        <v>40189</v>
      </c>
      <c r="B1254" s="9">
        <v>16.77</v>
      </c>
      <c r="C1254" s="9">
        <v>16.829999999999998</v>
      </c>
      <c r="D1254" s="9">
        <v>16.48</v>
      </c>
      <c r="E1254" s="9">
        <v>16.739999999999998</v>
      </c>
      <c r="F1254" s="9">
        <v>16181900</v>
      </c>
      <c r="G1254" s="9">
        <v>16.739999999999998</v>
      </c>
    </row>
    <row r="1255" spans="1:7" x14ac:dyDescent="0.25">
      <c r="A1255" s="101">
        <v>40186</v>
      </c>
      <c r="B1255" s="9">
        <v>16.68</v>
      </c>
      <c r="C1255" s="9">
        <v>16.760000000000002</v>
      </c>
      <c r="D1255" s="9">
        <v>16.62</v>
      </c>
      <c r="E1255" s="9">
        <v>16.7</v>
      </c>
      <c r="F1255" s="9">
        <v>15470000</v>
      </c>
      <c r="G1255" s="9">
        <v>16.7</v>
      </c>
    </row>
    <row r="1256" spans="1:7" x14ac:dyDescent="0.25">
      <c r="A1256" s="101">
        <v>40185</v>
      </c>
      <c r="B1256" s="9">
        <v>16.809999999999999</v>
      </c>
      <c r="C1256" s="9">
        <v>16.899999999999999</v>
      </c>
      <c r="D1256" s="9">
        <v>16.57</v>
      </c>
      <c r="E1256" s="9">
        <v>16.7</v>
      </c>
      <c r="F1256" s="9">
        <v>31816300</v>
      </c>
      <c r="G1256" s="9">
        <v>16.7</v>
      </c>
    </row>
    <row r="1257" spans="1:7" x14ac:dyDescent="0.25">
      <c r="A1257" s="101">
        <v>40184</v>
      </c>
      <c r="B1257" s="9">
        <v>17.170000000000002</v>
      </c>
      <c r="C1257" s="9">
        <v>17.3</v>
      </c>
      <c r="D1257" s="9">
        <v>17.07</v>
      </c>
      <c r="E1257" s="9">
        <v>17.170000000000002</v>
      </c>
      <c r="F1257" s="9">
        <v>16422000</v>
      </c>
      <c r="G1257" s="9">
        <v>17.170000000000002</v>
      </c>
    </row>
    <row r="1258" spans="1:7" x14ac:dyDescent="0.25">
      <c r="A1258" s="101">
        <v>40183</v>
      </c>
      <c r="B1258" s="9">
        <v>17.22</v>
      </c>
      <c r="C1258" s="9">
        <v>17.23</v>
      </c>
      <c r="D1258" s="9">
        <v>17</v>
      </c>
      <c r="E1258" s="9">
        <v>17.23</v>
      </c>
      <c r="F1258" s="9">
        <v>11718100</v>
      </c>
      <c r="G1258" s="9">
        <v>17.23</v>
      </c>
    </row>
    <row r="1259" spans="1:7" x14ac:dyDescent="0.25">
      <c r="A1259" s="101">
        <v>40182</v>
      </c>
      <c r="B1259" s="9">
        <v>16.940000000000001</v>
      </c>
      <c r="C1259" s="9">
        <v>17.2</v>
      </c>
      <c r="D1259" s="9">
        <v>16.88</v>
      </c>
      <c r="E1259" s="9">
        <v>17.100000000000001</v>
      </c>
      <c r="F1259" s="9">
        <v>16587400</v>
      </c>
      <c r="G1259" s="9">
        <v>17.100000000000001</v>
      </c>
    </row>
    <row r="1260" spans="1:7" x14ac:dyDescent="0.25">
      <c r="A1260" s="101">
        <v>40178</v>
      </c>
      <c r="B1260" s="9">
        <v>16.920000000000002</v>
      </c>
      <c r="C1260" s="9">
        <v>16.96</v>
      </c>
      <c r="D1260" s="9">
        <v>16.77</v>
      </c>
      <c r="E1260" s="9">
        <v>16.78</v>
      </c>
      <c r="F1260" s="9">
        <v>9515600</v>
      </c>
      <c r="G1260" s="9">
        <v>16.78</v>
      </c>
    </row>
    <row r="1261" spans="1:7" x14ac:dyDescent="0.25">
      <c r="A1261" s="101">
        <v>40177</v>
      </c>
      <c r="B1261" s="9">
        <v>16.829999999999998</v>
      </c>
      <c r="C1261" s="9">
        <v>16.989999999999998</v>
      </c>
      <c r="D1261" s="9">
        <v>16.809999999999999</v>
      </c>
      <c r="E1261" s="9">
        <v>16.98</v>
      </c>
      <c r="F1261" s="9">
        <v>8188000</v>
      </c>
      <c r="G1261" s="9">
        <v>16.98</v>
      </c>
    </row>
    <row r="1262" spans="1:7" x14ac:dyDescent="0.25">
      <c r="A1262" s="101">
        <v>40176</v>
      </c>
      <c r="B1262" s="9">
        <v>16.84</v>
      </c>
      <c r="C1262" s="9">
        <v>16.97</v>
      </c>
      <c r="D1262" s="9">
        <v>16.68</v>
      </c>
      <c r="E1262" s="9">
        <v>16.920000000000002</v>
      </c>
      <c r="F1262" s="9">
        <v>13450200</v>
      </c>
      <c r="G1262" s="9">
        <v>16.920000000000002</v>
      </c>
    </row>
    <row r="1263" spans="1:7" x14ac:dyDescent="0.25">
      <c r="A1263" s="101">
        <v>40175</v>
      </c>
      <c r="B1263" s="9">
        <v>16.739999999999998</v>
      </c>
      <c r="C1263" s="9">
        <v>16.940000000000001</v>
      </c>
      <c r="D1263" s="9">
        <v>16.68</v>
      </c>
      <c r="E1263" s="9">
        <v>16.88</v>
      </c>
      <c r="F1263" s="9">
        <v>11504300</v>
      </c>
      <c r="G1263" s="9">
        <v>16.88</v>
      </c>
    </row>
    <row r="1264" spans="1:7" x14ac:dyDescent="0.25">
      <c r="A1264" s="101">
        <v>40171</v>
      </c>
      <c r="B1264" s="9">
        <v>16.690000000000001</v>
      </c>
      <c r="C1264" s="9">
        <v>16.75</v>
      </c>
      <c r="D1264" s="9">
        <v>16.649999999999999</v>
      </c>
      <c r="E1264" s="9">
        <v>16.72</v>
      </c>
      <c r="F1264" s="9">
        <v>4736600</v>
      </c>
      <c r="G1264" s="9">
        <v>16.72</v>
      </c>
    </row>
    <row r="1265" spans="1:7" x14ac:dyDescent="0.25">
      <c r="A1265" s="101">
        <v>40170</v>
      </c>
      <c r="B1265" s="9">
        <v>16.350000000000001</v>
      </c>
      <c r="C1265" s="9">
        <v>16.7</v>
      </c>
      <c r="D1265" s="9">
        <v>16</v>
      </c>
      <c r="E1265" s="9">
        <v>16.670000000000002</v>
      </c>
      <c r="F1265" s="9">
        <v>23584100</v>
      </c>
      <c r="G1265" s="9">
        <v>16.670000000000002</v>
      </c>
    </row>
    <row r="1266" spans="1:7" x14ac:dyDescent="0.25">
      <c r="A1266" s="101">
        <v>40169</v>
      </c>
      <c r="B1266" s="9">
        <v>15.88</v>
      </c>
      <c r="C1266" s="9">
        <v>16.079999999999998</v>
      </c>
      <c r="D1266" s="9">
        <v>15.82</v>
      </c>
      <c r="E1266" s="9">
        <v>15.98</v>
      </c>
      <c r="F1266" s="9">
        <v>10631600</v>
      </c>
      <c r="G1266" s="9">
        <v>15.98</v>
      </c>
    </row>
    <row r="1267" spans="1:7" x14ac:dyDescent="0.25">
      <c r="A1267" s="101">
        <v>40168</v>
      </c>
      <c r="B1267" s="9">
        <v>16.11</v>
      </c>
      <c r="C1267" s="9">
        <v>16.170000000000002</v>
      </c>
      <c r="D1267" s="9">
        <v>15.85</v>
      </c>
      <c r="E1267" s="9">
        <v>15.88</v>
      </c>
      <c r="F1267" s="9">
        <v>17806100</v>
      </c>
      <c r="G1267" s="9">
        <v>15.88</v>
      </c>
    </row>
    <row r="1268" spans="1:7" x14ac:dyDescent="0.25">
      <c r="A1268" s="101">
        <v>40165</v>
      </c>
      <c r="B1268" s="9">
        <v>15.94</v>
      </c>
      <c r="C1268" s="9">
        <v>16.14</v>
      </c>
      <c r="D1268" s="9">
        <v>15.78</v>
      </c>
      <c r="E1268" s="9">
        <v>16.14</v>
      </c>
      <c r="F1268" s="9">
        <v>30021100</v>
      </c>
      <c r="G1268" s="9">
        <v>16.14</v>
      </c>
    </row>
    <row r="1269" spans="1:7" x14ac:dyDescent="0.25">
      <c r="A1269" s="101">
        <v>40164</v>
      </c>
      <c r="B1269" s="9">
        <v>15.72</v>
      </c>
      <c r="C1269" s="9">
        <v>15.96</v>
      </c>
      <c r="D1269" s="9">
        <v>15.64</v>
      </c>
      <c r="E1269" s="9">
        <v>15.82</v>
      </c>
      <c r="F1269" s="9">
        <v>26156700</v>
      </c>
      <c r="G1269" s="9">
        <v>15.82</v>
      </c>
    </row>
    <row r="1270" spans="1:7" x14ac:dyDescent="0.25">
      <c r="A1270" s="101">
        <v>40163</v>
      </c>
      <c r="B1270" s="9">
        <v>15.57</v>
      </c>
      <c r="C1270" s="9">
        <v>15.82</v>
      </c>
      <c r="D1270" s="9">
        <v>15.47</v>
      </c>
      <c r="E1270" s="9">
        <v>15.79</v>
      </c>
      <c r="F1270" s="9">
        <v>20637500</v>
      </c>
      <c r="G1270" s="9">
        <v>15.79</v>
      </c>
    </row>
    <row r="1271" spans="1:7" x14ac:dyDescent="0.25">
      <c r="A1271" s="101">
        <v>40162</v>
      </c>
      <c r="B1271" s="9">
        <v>15.77</v>
      </c>
      <c r="C1271" s="9">
        <v>15.88</v>
      </c>
      <c r="D1271" s="9">
        <v>15.65</v>
      </c>
      <c r="E1271" s="9">
        <v>15.74</v>
      </c>
      <c r="F1271" s="9">
        <v>13272900</v>
      </c>
      <c r="G1271" s="9">
        <v>15.74</v>
      </c>
    </row>
    <row r="1272" spans="1:7" x14ac:dyDescent="0.25">
      <c r="A1272" s="101">
        <v>40161</v>
      </c>
      <c r="B1272" s="9">
        <v>15.9</v>
      </c>
      <c r="C1272" s="9">
        <v>15.97</v>
      </c>
      <c r="D1272" s="9">
        <v>15.64</v>
      </c>
      <c r="E1272" s="9">
        <v>15.81</v>
      </c>
      <c r="F1272" s="9">
        <v>18086300</v>
      </c>
      <c r="G1272" s="9">
        <v>15.81</v>
      </c>
    </row>
    <row r="1273" spans="1:7" x14ac:dyDescent="0.25">
      <c r="A1273" s="101">
        <v>40158</v>
      </c>
      <c r="B1273" s="9">
        <v>15.85</v>
      </c>
      <c r="C1273" s="9">
        <v>15.9</v>
      </c>
      <c r="D1273" s="9">
        <v>15.62</v>
      </c>
      <c r="E1273" s="9">
        <v>15.74</v>
      </c>
      <c r="F1273" s="9">
        <v>22607500</v>
      </c>
      <c r="G1273" s="9">
        <v>15.74</v>
      </c>
    </row>
    <row r="1274" spans="1:7" x14ac:dyDescent="0.25">
      <c r="A1274" s="101">
        <v>40157</v>
      </c>
      <c r="B1274" s="9">
        <v>15.34</v>
      </c>
      <c r="C1274" s="9">
        <v>15.57</v>
      </c>
      <c r="D1274" s="9">
        <v>15.24</v>
      </c>
      <c r="E1274" s="9">
        <v>15.49</v>
      </c>
      <c r="F1274" s="9">
        <v>18743000</v>
      </c>
      <c r="G1274" s="9">
        <v>15.49</v>
      </c>
    </row>
    <row r="1275" spans="1:7" x14ac:dyDescent="0.25">
      <c r="A1275" s="101">
        <v>40156</v>
      </c>
      <c r="B1275" s="9">
        <v>15.52</v>
      </c>
      <c r="C1275" s="9">
        <v>15.54</v>
      </c>
      <c r="D1275" s="9">
        <v>15.12</v>
      </c>
      <c r="E1275" s="9">
        <v>15.18</v>
      </c>
      <c r="F1275" s="9">
        <v>25396900</v>
      </c>
      <c r="G1275" s="9">
        <v>15.18</v>
      </c>
    </row>
    <row r="1276" spans="1:7" x14ac:dyDescent="0.25">
      <c r="A1276" s="101">
        <v>40155</v>
      </c>
      <c r="B1276" s="9">
        <v>15.45</v>
      </c>
      <c r="C1276" s="9">
        <v>15.9</v>
      </c>
      <c r="D1276" s="9">
        <v>15.23</v>
      </c>
      <c r="E1276" s="9">
        <v>15.45</v>
      </c>
      <c r="F1276" s="9">
        <v>31160600</v>
      </c>
      <c r="G1276" s="9">
        <v>15.45</v>
      </c>
    </row>
    <row r="1277" spans="1:7" x14ac:dyDescent="0.25">
      <c r="A1277" s="101">
        <v>40154</v>
      </c>
      <c r="B1277" s="9">
        <v>15.36</v>
      </c>
      <c r="C1277" s="9">
        <v>15.65</v>
      </c>
      <c r="D1277" s="9">
        <v>15.32</v>
      </c>
      <c r="E1277" s="9">
        <v>15.45</v>
      </c>
      <c r="F1277" s="9">
        <v>18035200</v>
      </c>
      <c r="G1277" s="9">
        <v>15.45</v>
      </c>
    </row>
    <row r="1278" spans="1:7" x14ac:dyDescent="0.25">
      <c r="A1278" s="101">
        <v>40151</v>
      </c>
      <c r="B1278" s="9">
        <v>15.32</v>
      </c>
      <c r="C1278" s="9">
        <v>15.38</v>
      </c>
      <c r="D1278" s="9">
        <v>15</v>
      </c>
      <c r="E1278" s="9">
        <v>15.19</v>
      </c>
      <c r="F1278" s="9">
        <v>17576000</v>
      </c>
      <c r="G1278" s="9">
        <v>15.19</v>
      </c>
    </row>
    <row r="1279" spans="1:7" x14ac:dyDescent="0.25">
      <c r="A1279" s="101">
        <v>40150</v>
      </c>
      <c r="B1279" s="9">
        <v>15.33</v>
      </c>
      <c r="C1279" s="9">
        <v>15.38</v>
      </c>
      <c r="D1279" s="9">
        <v>15.1</v>
      </c>
      <c r="E1279" s="9">
        <v>15.11</v>
      </c>
      <c r="F1279" s="9">
        <v>17196200</v>
      </c>
      <c r="G1279" s="9">
        <v>15.11</v>
      </c>
    </row>
    <row r="1280" spans="1:7" x14ac:dyDescent="0.25">
      <c r="A1280" s="101">
        <v>40149</v>
      </c>
      <c r="B1280" s="9">
        <v>15.17</v>
      </c>
      <c r="C1280" s="9">
        <v>15.5</v>
      </c>
      <c r="D1280" s="9">
        <v>15.16</v>
      </c>
      <c r="E1280" s="9">
        <v>15.31</v>
      </c>
      <c r="F1280" s="9">
        <v>17807800</v>
      </c>
      <c r="G1280" s="9">
        <v>15.31</v>
      </c>
    </row>
    <row r="1281" spans="1:7" x14ac:dyDescent="0.25">
      <c r="A1281" s="101">
        <v>40148</v>
      </c>
      <c r="B1281" s="9">
        <v>15.03</v>
      </c>
      <c r="C1281" s="9">
        <v>15.19</v>
      </c>
      <c r="D1281" s="9">
        <v>14.85</v>
      </c>
      <c r="E1281" s="9">
        <v>15.13</v>
      </c>
      <c r="F1281" s="9">
        <v>17096500</v>
      </c>
      <c r="G1281" s="9">
        <v>15.13</v>
      </c>
    </row>
    <row r="1282" spans="1:7" x14ac:dyDescent="0.25">
      <c r="A1282" s="101">
        <v>40147</v>
      </c>
      <c r="B1282" s="9">
        <v>14.9</v>
      </c>
      <c r="C1282" s="9">
        <v>15.1</v>
      </c>
      <c r="D1282" s="9">
        <v>14.8</v>
      </c>
      <c r="E1282" s="9">
        <v>14.97</v>
      </c>
      <c r="F1282" s="9">
        <v>17587000</v>
      </c>
      <c r="G1282" s="9">
        <v>14.97</v>
      </c>
    </row>
    <row r="1283" spans="1:7" x14ac:dyDescent="0.25">
      <c r="A1283" s="101">
        <v>40144</v>
      </c>
      <c r="B1283" s="9">
        <v>15.04</v>
      </c>
      <c r="C1283" s="9">
        <v>15.09</v>
      </c>
      <c r="D1283" s="9">
        <v>14.88</v>
      </c>
      <c r="E1283" s="9">
        <v>15</v>
      </c>
      <c r="F1283" s="9">
        <v>11452900</v>
      </c>
      <c r="G1283" s="9">
        <v>15</v>
      </c>
    </row>
    <row r="1284" spans="1:7" x14ac:dyDescent="0.25">
      <c r="A1284" s="101">
        <v>40142</v>
      </c>
      <c r="B1284" s="9">
        <v>15.29</v>
      </c>
      <c r="C1284" s="9">
        <v>15.35</v>
      </c>
      <c r="D1284" s="9">
        <v>15.17</v>
      </c>
      <c r="E1284" s="9">
        <v>15.3</v>
      </c>
      <c r="F1284" s="9">
        <v>21370600</v>
      </c>
      <c r="G1284" s="9">
        <v>15.3</v>
      </c>
    </row>
    <row r="1285" spans="1:7" x14ac:dyDescent="0.25">
      <c r="A1285" s="101">
        <v>40141</v>
      </c>
      <c r="B1285" s="9">
        <v>15.38</v>
      </c>
      <c r="C1285" s="9">
        <v>15.49</v>
      </c>
      <c r="D1285" s="9">
        <v>15.2</v>
      </c>
      <c r="E1285" s="9">
        <v>15.24</v>
      </c>
      <c r="F1285" s="9">
        <v>19774000</v>
      </c>
      <c r="G1285" s="9">
        <v>15.24</v>
      </c>
    </row>
    <row r="1286" spans="1:7" x14ac:dyDescent="0.25">
      <c r="A1286" s="101">
        <v>40140</v>
      </c>
      <c r="B1286" s="9">
        <v>15.58</v>
      </c>
      <c r="C1286" s="9">
        <v>15.65</v>
      </c>
      <c r="D1286" s="9">
        <v>15.34</v>
      </c>
      <c r="E1286" s="9">
        <v>15.45</v>
      </c>
      <c r="F1286" s="9">
        <v>24501400</v>
      </c>
      <c r="G1286" s="9">
        <v>15.45</v>
      </c>
    </row>
    <row r="1287" spans="1:7" x14ac:dyDescent="0.25">
      <c r="A1287" s="101">
        <v>40137</v>
      </c>
      <c r="B1287" s="9">
        <v>15.6</v>
      </c>
      <c r="C1287" s="9">
        <v>15.74</v>
      </c>
      <c r="D1287" s="9">
        <v>15.36</v>
      </c>
      <c r="E1287" s="9">
        <v>15.38</v>
      </c>
      <c r="F1287" s="9">
        <v>16127300</v>
      </c>
      <c r="G1287" s="9">
        <v>15.38</v>
      </c>
    </row>
    <row r="1288" spans="1:7" x14ac:dyDescent="0.25">
      <c r="A1288" s="101">
        <v>40136</v>
      </c>
      <c r="B1288" s="9">
        <v>15.83</v>
      </c>
      <c r="C1288" s="9">
        <v>15.85</v>
      </c>
      <c r="D1288" s="9">
        <v>15.52</v>
      </c>
      <c r="E1288" s="9">
        <v>15.61</v>
      </c>
      <c r="F1288" s="9">
        <v>26891000</v>
      </c>
      <c r="G1288" s="9">
        <v>15.61</v>
      </c>
    </row>
    <row r="1289" spans="1:7" x14ac:dyDescent="0.25">
      <c r="A1289" s="101">
        <v>40135</v>
      </c>
      <c r="B1289" s="9">
        <v>16.02</v>
      </c>
      <c r="C1289" s="9">
        <v>16.13</v>
      </c>
      <c r="D1289" s="9">
        <v>15.84</v>
      </c>
      <c r="E1289" s="9">
        <v>15.98</v>
      </c>
      <c r="F1289" s="9">
        <v>12775400</v>
      </c>
      <c r="G1289" s="9">
        <v>15.98</v>
      </c>
    </row>
    <row r="1290" spans="1:7" x14ac:dyDescent="0.25">
      <c r="A1290" s="101">
        <v>40134</v>
      </c>
      <c r="B1290" s="9">
        <v>15.89</v>
      </c>
      <c r="C1290" s="9">
        <v>16.11</v>
      </c>
      <c r="D1290" s="9">
        <v>15.73</v>
      </c>
      <c r="E1290" s="9">
        <v>16.05</v>
      </c>
      <c r="F1290" s="9">
        <v>22249500</v>
      </c>
      <c r="G1290" s="9">
        <v>16.05</v>
      </c>
    </row>
    <row r="1291" spans="1:7" x14ac:dyDescent="0.25">
      <c r="A1291" s="101">
        <v>40133</v>
      </c>
      <c r="B1291" s="9">
        <v>16.079999999999998</v>
      </c>
      <c r="C1291" s="9">
        <v>16.190000000000001</v>
      </c>
      <c r="D1291" s="9">
        <v>15.92</v>
      </c>
      <c r="E1291" s="9">
        <v>16.07</v>
      </c>
      <c r="F1291" s="9">
        <v>26125200</v>
      </c>
      <c r="G1291" s="9">
        <v>16.07</v>
      </c>
    </row>
    <row r="1292" spans="1:7" x14ac:dyDescent="0.25">
      <c r="A1292" s="101">
        <v>40130</v>
      </c>
      <c r="B1292" s="9">
        <v>16.04</v>
      </c>
      <c r="C1292" s="9">
        <v>16.100000000000001</v>
      </c>
      <c r="D1292" s="9">
        <v>15.92</v>
      </c>
      <c r="E1292" s="9">
        <v>15.93</v>
      </c>
      <c r="F1292" s="9">
        <v>26453800</v>
      </c>
      <c r="G1292" s="9">
        <v>15.93</v>
      </c>
    </row>
    <row r="1293" spans="1:7" x14ac:dyDescent="0.25">
      <c r="A1293" s="101">
        <v>40129</v>
      </c>
      <c r="B1293" s="9">
        <v>16.100000000000001</v>
      </c>
      <c r="C1293" s="9">
        <v>16.28</v>
      </c>
      <c r="D1293" s="9">
        <v>15.97</v>
      </c>
      <c r="E1293" s="9">
        <v>16</v>
      </c>
      <c r="F1293" s="9">
        <v>10210100</v>
      </c>
      <c r="G1293" s="9">
        <v>16</v>
      </c>
    </row>
    <row r="1294" spans="1:7" x14ac:dyDescent="0.25">
      <c r="A1294" s="101">
        <v>40128</v>
      </c>
      <c r="B1294" s="9">
        <v>16</v>
      </c>
      <c r="C1294" s="9">
        <v>16.16</v>
      </c>
      <c r="D1294" s="9">
        <v>15.92</v>
      </c>
      <c r="E1294" s="9">
        <v>16.09</v>
      </c>
      <c r="F1294" s="9">
        <v>16346100</v>
      </c>
      <c r="G1294" s="9">
        <v>16.09</v>
      </c>
    </row>
    <row r="1295" spans="1:7" x14ac:dyDescent="0.25">
      <c r="A1295" s="101">
        <v>40127</v>
      </c>
      <c r="B1295" s="9">
        <v>16.079999999999998</v>
      </c>
      <c r="C1295" s="9">
        <v>16.36</v>
      </c>
      <c r="D1295" s="9">
        <v>16.010000000000002</v>
      </c>
      <c r="E1295" s="9">
        <v>16.04</v>
      </c>
      <c r="F1295" s="9">
        <v>24097400</v>
      </c>
      <c r="G1295" s="9">
        <v>16.04</v>
      </c>
    </row>
    <row r="1296" spans="1:7" x14ac:dyDescent="0.25">
      <c r="A1296" s="101">
        <v>40126</v>
      </c>
      <c r="B1296" s="9">
        <v>16.13</v>
      </c>
      <c r="C1296" s="9">
        <v>16.190000000000001</v>
      </c>
      <c r="D1296" s="9">
        <v>15.97</v>
      </c>
      <c r="E1296" s="9">
        <v>16.02</v>
      </c>
      <c r="F1296" s="9">
        <v>14831900</v>
      </c>
      <c r="G1296" s="9">
        <v>16.02</v>
      </c>
    </row>
    <row r="1297" spans="1:7" x14ac:dyDescent="0.25">
      <c r="A1297" s="101">
        <v>40123</v>
      </c>
      <c r="B1297" s="9">
        <v>15.89</v>
      </c>
      <c r="C1297" s="9">
        <v>16.03</v>
      </c>
      <c r="D1297" s="9">
        <v>15.76</v>
      </c>
      <c r="E1297" s="9">
        <v>15.94</v>
      </c>
      <c r="F1297" s="9">
        <v>13562500</v>
      </c>
      <c r="G1297" s="9">
        <v>15.94</v>
      </c>
    </row>
    <row r="1298" spans="1:7" x14ac:dyDescent="0.25">
      <c r="A1298" s="101">
        <v>40122</v>
      </c>
      <c r="B1298" s="9">
        <v>15.8</v>
      </c>
      <c r="C1298" s="9">
        <v>16</v>
      </c>
      <c r="D1298" s="9">
        <v>15.74</v>
      </c>
      <c r="E1298" s="9">
        <v>15.9</v>
      </c>
      <c r="F1298" s="9">
        <v>27732500</v>
      </c>
      <c r="G1298" s="9">
        <v>15.9</v>
      </c>
    </row>
    <row r="1299" spans="1:7" x14ac:dyDescent="0.25">
      <c r="A1299" s="101">
        <v>40121</v>
      </c>
      <c r="B1299" s="9">
        <v>15.9</v>
      </c>
      <c r="C1299" s="9">
        <v>15.9</v>
      </c>
      <c r="D1299" s="9">
        <v>15.66</v>
      </c>
      <c r="E1299" s="9">
        <v>15.69</v>
      </c>
      <c r="F1299" s="9">
        <v>18697100</v>
      </c>
      <c r="G1299" s="9">
        <v>15.69</v>
      </c>
    </row>
    <row r="1300" spans="1:7" x14ac:dyDescent="0.25">
      <c r="A1300" s="101">
        <v>40120</v>
      </c>
      <c r="B1300" s="9">
        <v>15.71</v>
      </c>
      <c r="C1300" s="9">
        <v>15.79</v>
      </c>
      <c r="D1300" s="9">
        <v>15.63</v>
      </c>
      <c r="E1300" s="9">
        <v>15.7</v>
      </c>
      <c r="F1300" s="9">
        <v>17240200</v>
      </c>
      <c r="G1300" s="9">
        <v>15.7</v>
      </c>
    </row>
    <row r="1301" spans="1:7" x14ac:dyDescent="0.25">
      <c r="A1301" s="101">
        <v>40119</v>
      </c>
      <c r="B1301" s="9">
        <v>15.75</v>
      </c>
      <c r="C1301" s="9">
        <v>15.9</v>
      </c>
      <c r="D1301" s="9">
        <v>15.59</v>
      </c>
      <c r="E1301" s="9">
        <v>15.85</v>
      </c>
      <c r="F1301" s="9">
        <v>15258200</v>
      </c>
      <c r="G1301" s="9">
        <v>15.85</v>
      </c>
    </row>
    <row r="1302" spans="1:7" x14ac:dyDescent="0.25">
      <c r="A1302" s="101">
        <v>40116</v>
      </c>
      <c r="B1302" s="9">
        <v>16.059999999999999</v>
      </c>
      <c r="C1302" s="9">
        <v>16.37</v>
      </c>
      <c r="D1302" s="9">
        <v>15.8</v>
      </c>
      <c r="E1302" s="9">
        <v>15.9</v>
      </c>
      <c r="F1302" s="9">
        <v>22321700</v>
      </c>
      <c r="G1302" s="9">
        <v>15.9</v>
      </c>
    </row>
    <row r="1303" spans="1:7" x14ac:dyDescent="0.25">
      <c r="A1303" s="101">
        <v>40115</v>
      </c>
      <c r="B1303" s="9">
        <v>16.190000000000001</v>
      </c>
      <c r="C1303" s="9">
        <v>16.38</v>
      </c>
      <c r="D1303" s="9">
        <v>15.74</v>
      </c>
      <c r="E1303" s="9">
        <v>16.13</v>
      </c>
      <c r="F1303" s="9">
        <v>39146700</v>
      </c>
      <c r="G1303" s="9">
        <v>16.13</v>
      </c>
    </row>
    <row r="1304" spans="1:7" x14ac:dyDescent="0.25">
      <c r="A1304" s="101">
        <v>40114</v>
      </c>
      <c r="B1304" s="9">
        <v>16.690000000000001</v>
      </c>
      <c r="C1304" s="9">
        <v>16.77</v>
      </c>
      <c r="D1304" s="9">
        <v>16.02</v>
      </c>
      <c r="E1304" s="9">
        <v>16.04</v>
      </c>
      <c r="F1304" s="9">
        <v>25044800</v>
      </c>
      <c r="G1304" s="9">
        <v>16.04</v>
      </c>
    </row>
    <row r="1305" spans="1:7" x14ac:dyDescent="0.25">
      <c r="A1305" s="101">
        <v>40113</v>
      </c>
      <c r="B1305" s="9">
        <v>16.690000000000001</v>
      </c>
      <c r="C1305" s="9">
        <v>16.87</v>
      </c>
      <c r="D1305" s="9">
        <v>16.350000000000001</v>
      </c>
      <c r="E1305" s="9">
        <v>16.690000000000001</v>
      </c>
      <c r="F1305" s="9">
        <v>19917800</v>
      </c>
      <c r="G1305" s="9">
        <v>16.690000000000001</v>
      </c>
    </row>
    <row r="1306" spans="1:7" x14ac:dyDescent="0.25">
      <c r="A1306" s="101">
        <v>40112</v>
      </c>
      <c r="B1306" s="9">
        <v>17.05</v>
      </c>
      <c r="C1306" s="9">
        <v>17.2</v>
      </c>
      <c r="D1306" s="9">
        <v>16.670000000000002</v>
      </c>
      <c r="E1306" s="9">
        <v>16.87</v>
      </c>
      <c r="F1306" s="9">
        <v>21213100</v>
      </c>
      <c r="G1306" s="9">
        <v>16.87</v>
      </c>
    </row>
    <row r="1307" spans="1:7" x14ac:dyDescent="0.25">
      <c r="A1307" s="101">
        <v>40109</v>
      </c>
      <c r="B1307" s="9">
        <v>17.71</v>
      </c>
      <c r="C1307" s="9">
        <v>17.75</v>
      </c>
      <c r="D1307" s="9">
        <v>17.09</v>
      </c>
      <c r="E1307" s="9">
        <v>17.22</v>
      </c>
      <c r="F1307" s="9">
        <v>17760400</v>
      </c>
      <c r="G1307" s="9">
        <v>17.22</v>
      </c>
    </row>
    <row r="1308" spans="1:7" x14ac:dyDescent="0.25">
      <c r="A1308" s="101">
        <v>40108</v>
      </c>
      <c r="B1308" s="9">
        <v>17.54</v>
      </c>
      <c r="C1308" s="9">
        <v>17.75</v>
      </c>
      <c r="D1308" s="9">
        <v>17.3</v>
      </c>
      <c r="E1308" s="9">
        <v>17.670000000000002</v>
      </c>
      <c r="F1308" s="9">
        <v>16018100</v>
      </c>
      <c r="G1308" s="9">
        <v>17.670000000000002</v>
      </c>
    </row>
    <row r="1309" spans="1:7" x14ac:dyDescent="0.25">
      <c r="A1309" s="101">
        <v>40107</v>
      </c>
      <c r="B1309" s="9">
        <v>17.98</v>
      </c>
      <c r="C1309" s="9">
        <v>18.02</v>
      </c>
      <c r="D1309" s="9">
        <v>17.57</v>
      </c>
      <c r="E1309" s="9">
        <v>17.66</v>
      </c>
      <c r="F1309" s="9">
        <v>46204500</v>
      </c>
      <c r="G1309" s="9">
        <v>17.66</v>
      </c>
    </row>
    <row r="1310" spans="1:7" x14ac:dyDescent="0.25">
      <c r="A1310" s="101">
        <v>40106</v>
      </c>
      <c r="B1310" s="9">
        <v>17.37</v>
      </c>
      <c r="C1310" s="9">
        <v>17.41</v>
      </c>
      <c r="D1310" s="9">
        <v>16.87</v>
      </c>
      <c r="E1310" s="9">
        <v>17.170000000000002</v>
      </c>
      <c r="F1310" s="9">
        <v>38320400</v>
      </c>
      <c r="G1310" s="9">
        <v>17.170000000000002</v>
      </c>
    </row>
    <row r="1311" spans="1:7" x14ac:dyDescent="0.25">
      <c r="A1311" s="101">
        <v>40105</v>
      </c>
      <c r="B1311" s="9">
        <v>16.8</v>
      </c>
      <c r="C1311" s="9">
        <v>17.29</v>
      </c>
      <c r="D1311" s="9">
        <v>16.7</v>
      </c>
      <c r="E1311" s="9">
        <v>17.22</v>
      </c>
      <c r="F1311" s="9">
        <v>17878000</v>
      </c>
      <c r="G1311" s="9">
        <v>17.22</v>
      </c>
    </row>
    <row r="1312" spans="1:7" x14ac:dyDescent="0.25">
      <c r="A1312" s="101">
        <v>40102</v>
      </c>
      <c r="B1312" s="9">
        <v>16.61</v>
      </c>
      <c r="C1312" s="9">
        <v>16.850000000000001</v>
      </c>
      <c r="D1312" s="9">
        <v>16.399999999999999</v>
      </c>
      <c r="E1312" s="9">
        <v>16.809999999999999</v>
      </c>
      <c r="F1312" s="9">
        <v>20479000</v>
      </c>
      <c r="G1312" s="9">
        <v>16.809999999999999</v>
      </c>
    </row>
    <row r="1313" spans="1:7" x14ac:dyDescent="0.25">
      <c r="A1313" s="101">
        <v>40101</v>
      </c>
      <c r="B1313" s="9">
        <v>16.84</v>
      </c>
      <c r="C1313" s="9">
        <v>16.89</v>
      </c>
      <c r="D1313" s="9">
        <v>16.46</v>
      </c>
      <c r="E1313" s="9">
        <v>16.52</v>
      </c>
      <c r="F1313" s="9">
        <v>24337300</v>
      </c>
      <c r="G1313" s="9">
        <v>16.52</v>
      </c>
    </row>
    <row r="1314" spans="1:7" x14ac:dyDescent="0.25">
      <c r="A1314" s="101">
        <v>40100</v>
      </c>
      <c r="B1314" s="9">
        <v>16.93</v>
      </c>
      <c r="C1314" s="9">
        <v>17.03</v>
      </c>
      <c r="D1314" s="9">
        <v>16.82</v>
      </c>
      <c r="E1314" s="9">
        <v>16.95</v>
      </c>
      <c r="F1314" s="9">
        <v>17508000</v>
      </c>
      <c r="G1314" s="9">
        <v>16.95</v>
      </c>
    </row>
    <row r="1315" spans="1:7" x14ac:dyDescent="0.25">
      <c r="A1315" s="101">
        <v>40099</v>
      </c>
      <c r="B1315" s="9">
        <v>16.95</v>
      </c>
      <c r="C1315" s="9">
        <v>17</v>
      </c>
      <c r="D1315" s="9">
        <v>16.809999999999999</v>
      </c>
      <c r="E1315" s="9">
        <v>16.88</v>
      </c>
      <c r="F1315" s="9">
        <v>19492500</v>
      </c>
      <c r="G1315" s="9">
        <v>16.88</v>
      </c>
    </row>
    <row r="1316" spans="1:7" x14ac:dyDescent="0.25">
      <c r="A1316" s="101">
        <v>40098</v>
      </c>
      <c r="B1316" s="9">
        <v>16.96</v>
      </c>
      <c r="C1316" s="9">
        <v>17.11</v>
      </c>
      <c r="D1316" s="9">
        <v>16.66</v>
      </c>
      <c r="E1316" s="9">
        <v>16.75</v>
      </c>
      <c r="F1316" s="9">
        <v>16904700</v>
      </c>
      <c r="G1316" s="9">
        <v>16.75</v>
      </c>
    </row>
    <row r="1317" spans="1:7" x14ac:dyDescent="0.25">
      <c r="A1317" s="101">
        <v>40095</v>
      </c>
      <c r="B1317" s="9">
        <v>17.43</v>
      </c>
      <c r="C1317" s="9">
        <v>17.48</v>
      </c>
      <c r="D1317" s="9">
        <v>16.84</v>
      </c>
      <c r="E1317" s="9">
        <v>16.87</v>
      </c>
      <c r="F1317" s="9">
        <v>29015700</v>
      </c>
      <c r="G1317" s="9">
        <v>16.87</v>
      </c>
    </row>
    <row r="1318" spans="1:7" x14ac:dyDescent="0.25">
      <c r="A1318" s="101">
        <v>40094</v>
      </c>
      <c r="B1318" s="9">
        <v>17.63</v>
      </c>
      <c r="C1318" s="9">
        <v>17.86</v>
      </c>
      <c r="D1318" s="9">
        <v>17.54</v>
      </c>
      <c r="E1318" s="9">
        <v>17.579999999999998</v>
      </c>
      <c r="F1318" s="9">
        <v>27966900</v>
      </c>
      <c r="G1318" s="9">
        <v>17.579999999999998</v>
      </c>
    </row>
    <row r="1319" spans="1:7" x14ac:dyDescent="0.25">
      <c r="A1319" s="101">
        <v>40093</v>
      </c>
      <c r="B1319" s="9">
        <v>17.22</v>
      </c>
      <c r="C1319" s="9">
        <v>17.489999999999998</v>
      </c>
      <c r="D1319" s="9">
        <v>17.149999999999999</v>
      </c>
      <c r="E1319" s="9">
        <v>17.489999999999998</v>
      </c>
      <c r="F1319" s="9">
        <v>12456700</v>
      </c>
      <c r="G1319" s="9">
        <v>17.489999999999998</v>
      </c>
    </row>
    <row r="1320" spans="1:7" x14ac:dyDescent="0.25">
      <c r="A1320" s="101">
        <v>40092</v>
      </c>
      <c r="B1320" s="9">
        <v>16.96</v>
      </c>
      <c r="C1320" s="9">
        <v>17.350000000000001</v>
      </c>
      <c r="D1320" s="9">
        <v>16.95</v>
      </c>
      <c r="E1320" s="9">
        <v>17.3</v>
      </c>
      <c r="F1320" s="9">
        <v>21427600</v>
      </c>
      <c r="G1320" s="9">
        <v>17.3</v>
      </c>
    </row>
    <row r="1321" spans="1:7" x14ac:dyDescent="0.25">
      <c r="A1321" s="101">
        <v>40091</v>
      </c>
      <c r="B1321" s="9">
        <v>16.850000000000001</v>
      </c>
      <c r="C1321" s="9">
        <v>17.13</v>
      </c>
      <c r="D1321" s="9">
        <v>16.66</v>
      </c>
      <c r="E1321" s="9">
        <v>16.8</v>
      </c>
      <c r="F1321" s="9">
        <v>22224900</v>
      </c>
      <c r="G1321" s="9">
        <v>16.8</v>
      </c>
    </row>
    <row r="1322" spans="1:7" x14ac:dyDescent="0.25">
      <c r="A1322" s="101">
        <v>40088</v>
      </c>
      <c r="B1322" s="9">
        <v>17.23</v>
      </c>
      <c r="C1322" s="9">
        <v>17.350000000000001</v>
      </c>
      <c r="D1322" s="9">
        <v>16.78</v>
      </c>
      <c r="E1322" s="9">
        <v>16.84</v>
      </c>
      <c r="F1322" s="9">
        <v>32685300</v>
      </c>
      <c r="G1322" s="9">
        <v>16.84</v>
      </c>
    </row>
    <row r="1323" spans="1:7" x14ac:dyDescent="0.25">
      <c r="A1323" s="101">
        <v>40087</v>
      </c>
      <c r="B1323" s="9">
        <v>17.649999999999999</v>
      </c>
      <c r="C1323" s="9">
        <v>17.72</v>
      </c>
      <c r="D1323" s="9">
        <v>17.2</v>
      </c>
      <c r="E1323" s="9">
        <v>17.39</v>
      </c>
      <c r="F1323" s="9">
        <v>24871600</v>
      </c>
      <c r="G1323" s="9">
        <v>17.39</v>
      </c>
    </row>
    <row r="1324" spans="1:7" x14ac:dyDescent="0.25">
      <c r="A1324" s="101">
        <v>40086</v>
      </c>
      <c r="B1324" s="9">
        <v>17.48</v>
      </c>
      <c r="C1324" s="9">
        <v>17.940000000000001</v>
      </c>
      <c r="D1324" s="9">
        <v>17.239999999999998</v>
      </c>
      <c r="E1324" s="9">
        <v>17.809999999999999</v>
      </c>
      <c r="F1324" s="9">
        <v>39878200</v>
      </c>
      <c r="G1324" s="9">
        <v>17.809999999999999</v>
      </c>
    </row>
    <row r="1325" spans="1:7" x14ac:dyDescent="0.25">
      <c r="A1325" s="101">
        <v>40085</v>
      </c>
      <c r="B1325" s="9">
        <v>17.5</v>
      </c>
      <c r="C1325" s="9">
        <v>17.66</v>
      </c>
      <c r="D1325" s="9">
        <v>17.21</v>
      </c>
      <c r="E1325" s="9">
        <v>17.45</v>
      </c>
      <c r="F1325" s="9">
        <v>31600100</v>
      </c>
      <c r="G1325" s="9">
        <v>17.45</v>
      </c>
    </row>
    <row r="1326" spans="1:7" x14ac:dyDescent="0.25">
      <c r="A1326" s="101">
        <v>40084</v>
      </c>
      <c r="B1326" s="9">
        <v>16.98</v>
      </c>
      <c r="C1326" s="9">
        <v>17.47</v>
      </c>
      <c r="D1326" s="9">
        <v>16.95</v>
      </c>
      <c r="E1326" s="9">
        <v>17.47</v>
      </c>
      <c r="F1326" s="9">
        <v>26412200</v>
      </c>
      <c r="G1326" s="9">
        <v>17.47</v>
      </c>
    </row>
    <row r="1327" spans="1:7" x14ac:dyDescent="0.25">
      <c r="A1327" s="101">
        <v>40081</v>
      </c>
      <c r="B1327" s="9">
        <v>16.8</v>
      </c>
      <c r="C1327" s="9">
        <v>17.149999999999999</v>
      </c>
      <c r="D1327" s="9">
        <v>16.75</v>
      </c>
      <c r="E1327" s="9">
        <v>17.079999999999998</v>
      </c>
      <c r="F1327" s="9">
        <v>20701400</v>
      </c>
      <c r="G1327" s="9">
        <v>17.079999999999998</v>
      </c>
    </row>
    <row r="1328" spans="1:7" x14ac:dyDescent="0.25">
      <c r="A1328" s="101">
        <v>40080</v>
      </c>
      <c r="B1328" s="9">
        <v>17.309999999999999</v>
      </c>
      <c r="C1328" s="9">
        <v>17.32</v>
      </c>
      <c r="D1328" s="9">
        <v>16.649999999999999</v>
      </c>
      <c r="E1328" s="9">
        <v>16.89</v>
      </c>
      <c r="F1328" s="9">
        <v>26493700</v>
      </c>
      <c r="G1328" s="9">
        <v>16.89</v>
      </c>
    </row>
    <row r="1329" spans="1:7" x14ac:dyDescent="0.25">
      <c r="A1329" s="101">
        <v>40079</v>
      </c>
      <c r="B1329" s="9">
        <v>17.100000000000001</v>
      </c>
      <c r="C1329" s="9">
        <v>17.600000000000001</v>
      </c>
      <c r="D1329" s="9">
        <v>16.97</v>
      </c>
      <c r="E1329" s="9">
        <v>17.21</v>
      </c>
      <c r="F1329" s="9">
        <v>36814300</v>
      </c>
      <c r="G1329" s="9">
        <v>17.21</v>
      </c>
    </row>
    <row r="1330" spans="1:7" x14ac:dyDescent="0.25">
      <c r="A1330" s="101">
        <v>40078</v>
      </c>
      <c r="B1330" s="9">
        <v>17.170000000000002</v>
      </c>
      <c r="C1330" s="9">
        <v>17.22</v>
      </c>
      <c r="D1330" s="9">
        <v>16.75</v>
      </c>
      <c r="E1330" s="9">
        <v>16.86</v>
      </c>
      <c r="F1330" s="9">
        <v>30588800</v>
      </c>
      <c r="G1330" s="9">
        <v>16.86</v>
      </c>
    </row>
    <row r="1331" spans="1:7" x14ac:dyDescent="0.25">
      <c r="A1331" s="101">
        <v>40077</v>
      </c>
      <c r="B1331" s="9">
        <v>17.23</v>
      </c>
      <c r="C1331" s="9">
        <v>17.23</v>
      </c>
      <c r="D1331" s="9">
        <v>16.96</v>
      </c>
      <c r="E1331" s="9">
        <v>17.04</v>
      </c>
      <c r="F1331" s="9">
        <v>26826900</v>
      </c>
      <c r="G1331" s="9">
        <v>17.04</v>
      </c>
    </row>
    <row r="1332" spans="1:7" x14ac:dyDescent="0.25">
      <c r="A1332" s="101">
        <v>40074</v>
      </c>
      <c r="B1332" s="9">
        <v>17.7</v>
      </c>
      <c r="C1332" s="9">
        <v>17.7</v>
      </c>
      <c r="D1332" s="9">
        <v>16.850000000000001</v>
      </c>
      <c r="E1332" s="9">
        <v>17.39</v>
      </c>
      <c r="F1332" s="9">
        <v>86402600</v>
      </c>
      <c r="G1332" s="9">
        <v>17.39</v>
      </c>
    </row>
    <row r="1333" spans="1:7" x14ac:dyDescent="0.25">
      <c r="A1333" s="101">
        <v>40073</v>
      </c>
      <c r="B1333" s="9">
        <v>17</v>
      </c>
      <c r="C1333" s="9">
        <v>17.79</v>
      </c>
      <c r="D1333" s="9">
        <v>16.96</v>
      </c>
      <c r="E1333" s="9">
        <v>17.5</v>
      </c>
      <c r="F1333" s="9">
        <v>62010000</v>
      </c>
      <c r="G1333" s="9">
        <v>17.5</v>
      </c>
    </row>
    <row r="1334" spans="1:7" x14ac:dyDescent="0.25">
      <c r="A1334" s="101">
        <v>40072</v>
      </c>
      <c r="B1334" s="9">
        <v>16.57</v>
      </c>
      <c r="C1334" s="9">
        <v>17.11</v>
      </c>
      <c r="D1334" s="9">
        <v>16.52</v>
      </c>
      <c r="E1334" s="9">
        <v>16.989999999999998</v>
      </c>
      <c r="F1334" s="9">
        <v>53594700</v>
      </c>
      <c r="G1334" s="9">
        <v>16.989999999999998</v>
      </c>
    </row>
    <row r="1335" spans="1:7" x14ac:dyDescent="0.25">
      <c r="A1335" s="101">
        <v>40071</v>
      </c>
      <c r="B1335" s="9">
        <v>16.010000000000002</v>
      </c>
      <c r="C1335" s="9">
        <v>16.489999999999998</v>
      </c>
      <c r="D1335" s="9">
        <v>15.87</v>
      </c>
      <c r="E1335" s="9">
        <v>16.41</v>
      </c>
      <c r="F1335" s="9">
        <v>64668200</v>
      </c>
      <c r="G1335" s="9">
        <v>16.41</v>
      </c>
    </row>
    <row r="1336" spans="1:7" x14ac:dyDescent="0.25">
      <c r="A1336" s="101">
        <v>40070</v>
      </c>
      <c r="B1336" s="9">
        <v>15.45</v>
      </c>
      <c r="C1336" s="9">
        <v>15.58</v>
      </c>
      <c r="D1336" s="9">
        <v>15.28</v>
      </c>
      <c r="E1336" s="9">
        <v>15.57</v>
      </c>
      <c r="F1336" s="9">
        <v>19451200</v>
      </c>
      <c r="G1336" s="9">
        <v>15.57</v>
      </c>
    </row>
    <row r="1337" spans="1:7" x14ac:dyDescent="0.25">
      <c r="A1337" s="101">
        <v>40067</v>
      </c>
      <c r="B1337" s="9">
        <v>15.53</v>
      </c>
      <c r="C1337" s="9">
        <v>15.68</v>
      </c>
      <c r="D1337" s="9">
        <v>15.41</v>
      </c>
      <c r="E1337" s="9">
        <v>15.59</v>
      </c>
      <c r="F1337" s="9">
        <v>26860700</v>
      </c>
      <c r="G1337" s="9">
        <v>15.59</v>
      </c>
    </row>
    <row r="1338" spans="1:7" x14ac:dyDescent="0.25">
      <c r="A1338" s="101">
        <v>40066</v>
      </c>
      <c r="B1338" s="9">
        <v>15.28</v>
      </c>
      <c r="C1338" s="9">
        <v>15.63</v>
      </c>
      <c r="D1338" s="9">
        <v>15.15</v>
      </c>
      <c r="E1338" s="9">
        <v>15.45</v>
      </c>
      <c r="F1338" s="9">
        <v>49083300</v>
      </c>
      <c r="G1338" s="9">
        <v>15.45</v>
      </c>
    </row>
    <row r="1339" spans="1:7" x14ac:dyDescent="0.25">
      <c r="A1339" s="101">
        <v>40065</v>
      </c>
      <c r="B1339" s="9">
        <v>14.45</v>
      </c>
      <c r="C1339" s="9">
        <v>14.86</v>
      </c>
      <c r="D1339" s="9">
        <v>14.42</v>
      </c>
      <c r="E1339" s="9">
        <v>14.78</v>
      </c>
      <c r="F1339" s="9">
        <v>19096300</v>
      </c>
      <c r="G1339" s="9">
        <v>14.78</v>
      </c>
    </row>
    <row r="1340" spans="1:7" x14ac:dyDescent="0.25">
      <c r="A1340" s="101">
        <v>40064</v>
      </c>
      <c r="B1340" s="9">
        <v>14.65</v>
      </c>
      <c r="C1340" s="9">
        <v>14.66</v>
      </c>
      <c r="D1340" s="9">
        <v>14.37</v>
      </c>
      <c r="E1340" s="9">
        <v>14.49</v>
      </c>
      <c r="F1340" s="9">
        <v>17712200</v>
      </c>
      <c r="G1340" s="9">
        <v>14.49</v>
      </c>
    </row>
    <row r="1341" spans="1:7" x14ac:dyDescent="0.25">
      <c r="A1341" s="101">
        <v>40060</v>
      </c>
      <c r="B1341" s="9">
        <v>14.26</v>
      </c>
      <c r="C1341" s="9">
        <v>14.64</v>
      </c>
      <c r="D1341" s="9">
        <v>14.23</v>
      </c>
      <c r="E1341" s="9">
        <v>14.5</v>
      </c>
      <c r="F1341" s="9">
        <v>17003900</v>
      </c>
      <c r="G1341" s="9">
        <v>14.5</v>
      </c>
    </row>
    <row r="1342" spans="1:7" x14ac:dyDescent="0.25">
      <c r="A1342" s="101">
        <v>40059</v>
      </c>
      <c r="B1342" s="9">
        <v>14.36</v>
      </c>
      <c r="C1342" s="9">
        <v>14.43</v>
      </c>
      <c r="D1342" s="9">
        <v>14.16</v>
      </c>
      <c r="E1342" s="9">
        <v>14.28</v>
      </c>
      <c r="F1342" s="9">
        <v>14661900</v>
      </c>
      <c r="G1342" s="9">
        <v>14.28</v>
      </c>
    </row>
    <row r="1343" spans="1:7" x14ac:dyDescent="0.25">
      <c r="A1343" s="101">
        <v>40058</v>
      </c>
      <c r="B1343" s="9">
        <v>14.08</v>
      </c>
      <c r="C1343" s="9">
        <v>14.33</v>
      </c>
      <c r="D1343" s="9">
        <v>13.97</v>
      </c>
      <c r="E1343" s="9">
        <v>14.23</v>
      </c>
      <c r="F1343" s="9">
        <v>23591500</v>
      </c>
      <c r="G1343" s="9">
        <v>14.23</v>
      </c>
    </row>
    <row r="1344" spans="1:7" x14ac:dyDescent="0.25">
      <c r="A1344" s="101">
        <v>40057</v>
      </c>
      <c r="B1344" s="9">
        <v>14.5</v>
      </c>
      <c r="C1344" s="9">
        <v>14.68</v>
      </c>
      <c r="D1344" s="9">
        <v>14.15</v>
      </c>
      <c r="E1344" s="9">
        <v>14.18</v>
      </c>
      <c r="F1344" s="9">
        <v>30615300</v>
      </c>
      <c r="G1344" s="9">
        <v>14.18</v>
      </c>
    </row>
    <row r="1345" spans="1:7" x14ac:dyDescent="0.25">
      <c r="A1345" s="101">
        <v>40056</v>
      </c>
      <c r="B1345" s="9">
        <v>14.74</v>
      </c>
      <c r="C1345" s="9">
        <v>14.8</v>
      </c>
      <c r="D1345" s="9">
        <v>14.56</v>
      </c>
      <c r="E1345" s="9">
        <v>14.61</v>
      </c>
      <c r="F1345" s="9">
        <v>15420500</v>
      </c>
      <c r="G1345" s="9">
        <v>14.61</v>
      </c>
    </row>
    <row r="1346" spans="1:7" x14ac:dyDescent="0.25">
      <c r="A1346" s="101">
        <v>40053</v>
      </c>
      <c r="B1346" s="9">
        <v>14.98</v>
      </c>
      <c r="C1346" s="9">
        <v>15.08</v>
      </c>
      <c r="D1346" s="9">
        <v>14.8</v>
      </c>
      <c r="E1346" s="9">
        <v>14.85</v>
      </c>
      <c r="F1346" s="9">
        <v>33918200</v>
      </c>
      <c r="G1346" s="9">
        <v>14.85</v>
      </c>
    </row>
    <row r="1347" spans="1:7" x14ac:dyDescent="0.25">
      <c r="A1347" s="101">
        <v>40052</v>
      </c>
      <c r="B1347" s="9">
        <v>14.92</v>
      </c>
      <c r="C1347" s="9">
        <v>15</v>
      </c>
      <c r="D1347" s="9">
        <v>14.71</v>
      </c>
      <c r="E1347" s="9">
        <v>14.93</v>
      </c>
      <c r="F1347" s="9">
        <v>30411000</v>
      </c>
      <c r="G1347" s="9">
        <v>14.93</v>
      </c>
    </row>
    <row r="1348" spans="1:7" x14ac:dyDescent="0.25">
      <c r="A1348" s="101">
        <v>40051</v>
      </c>
      <c r="B1348" s="9">
        <v>15.09</v>
      </c>
      <c r="C1348" s="9">
        <v>15.14</v>
      </c>
      <c r="D1348" s="9">
        <v>14.86</v>
      </c>
      <c r="E1348" s="9">
        <v>14.93</v>
      </c>
      <c r="F1348" s="9">
        <v>15845300</v>
      </c>
      <c r="G1348" s="9">
        <v>14.93</v>
      </c>
    </row>
    <row r="1349" spans="1:7" x14ac:dyDescent="0.25">
      <c r="A1349" s="101">
        <v>40050</v>
      </c>
      <c r="B1349" s="9">
        <v>15.12</v>
      </c>
      <c r="C1349" s="9">
        <v>15.21</v>
      </c>
      <c r="D1349" s="9">
        <v>14.94</v>
      </c>
      <c r="E1349" s="9">
        <v>15.07</v>
      </c>
      <c r="F1349" s="9">
        <v>22850600</v>
      </c>
      <c r="G1349" s="9">
        <v>15.07</v>
      </c>
    </row>
    <row r="1350" spans="1:7" x14ac:dyDescent="0.25">
      <c r="A1350" s="101">
        <v>40049</v>
      </c>
      <c r="B1350" s="9">
        <v>14.89</v>
      </c>
      <c r="C1350" s="9">
        <v>15.19</v>
      </c>
      <c r="D1350" s="9">
        <v>14.83</v>
      </c>
      <c r="E1350" s="9">
        <v>14.99</v>
      </c>
      <c r="F1350" s="9">
        <v>26171000</v>
      </c>
      <c r="G1350" s="9">
        <v>14.99</v>
      </c>
    </row>
    <row r="1351" spans="1:7" x14ac:dyDescent="0.25">
      <c r="A1351" s="101">
        <v>40046</v>
      </c>
      <c r="B1351" s="9">
        <v>14.88</v>
      </c>
      <c r="C1351" s="9">
        <v>14.96</v>
      </c>
      <c r="D1351" s="9">
        <v>14.73</v>
      </c>
      <c r="E1351" s="9">
        <v>14.79</v>
      </c>
      <c r="F1351" s="9">
        <v>23537700</v>
      </c>
      <c r="G1351" s="9">
        <v>14.79</v>
      </c>
    </row>
    <row r="1352" spans="1:7" x14ac:dyDescent="0.25">
      <c r="A1352" s="101">
        <v>40045</v>
      </c>
      <c r="B1352" s="9">
        <v>14.75</v>
      </c>
      <c r="C1352" s="9">
        <v>14.9</v>
      </c>
      <c r="D1352" s="9">
        <v>14.7</v>
      </c>
      <c r="E1352" s="9">
        <v>14.77</v>
      </c>
      <c r="F1352" s="9">
        <v>15579900</v>
      </c>
      <c r="G1352" s="9">
        <v>14.77</v>
      </c>
    </row>
    <row r="1353" spans="1:7" x14ac:dyDescent="0.25">
      <c r="A1353" s="101">
        <v>40044</v>
      </c>
      <c r="B1353" s="9">
        <v>14.58</v>
      </c>
      <c r="C1353" s="9">
        <v>14.91</v>
      </c>
      <c r="D1353" s="9">
        <v>14.55</v>
      </c>
      <c r="E1353" s="9">
        <v>14.79</v>
      </c>
      <c r="F1353" s="9">
        <v>15501500</v>
      </c>
      <c r="G1353" s="9">
        <v>14.79</v>
      </c>
    </row>
    <row r="1354" spans="1:7" x14ac:dyDescent="0.25">
      <c r="A1354" s="101">
        <v>40043</v>
      </c>
      <c r="B1354" s="9">
        <v>14.64</v>
      </c>
      <c r="C1354" s="9">
        <v>14.78</v>
      </c>
      <c r="D1354" s="9">
        <v>14.56</v>
      </c>
      <c r="E1354" s="9">
        <v>14.75</v>
      </c>
      <c r="F1354" s="9">
        <v>14797300</v>
      </c>
      <c r="G1354" s="9">
        <v>14.75</v>
      </c>
    </row>
    <row r="1355" spans="1:7" x14ac:dyDescent="0.25">
      <c r="A1355" s="101">
        <v>40042</v>
      </c>
      <c r="B1355" s="9">
        <v>14.69</v>
      </c>
      <c r="C1355" s="9">
        <v>14.78</v>
      </c>
      <c r="D1355" s="9">
        <v>14.51</v>
      </c>
      <c r="E1355" s="9">
        <v>14.56</v>
      </c>
      <c r="F1355" s="9">
        <v>29268300</v>
      </c>
      <c r="G1355" s="9">
        <v>14.56</v>
      </c>
    </row>
    <row r="1356" spans="1:7" x14ac:dyDescent="0.25">
      <c r="A1356" s="101">
        <v>40039</v>
      </c>
      <c r="B1356" s="9">
        <v>14.98</v>
      </c>
      <c r="C1356" s="9">
        <v>15.14</v>
      </c>
      <c r="D1356" s="9">
        <v>14.85</v>
      </c>
      <c r="E1356" s="9">
        <v>15.04</v>
      </c>
      <c r="F1356" s="9">
        <v>28817100</v>
      </c>
      <c r="G1356" s="9">
        <v>15.04</v>
      </c>
    </row>
    <row r="1357" spans="1:7" x14ac:dyDescent="0.25">
      <c r="A1357" s="101">
        <v>40038</v>
      </c>
      <c r="B1357" s="9">
        <v>14.74</v>
      </c>
      <c r="C1357" s="9">
        <v>15.07</v>
      </c>
      <c r="D1357" s="9">
        <v>14.61</v>
      </c>
      <c r="E1357" s="9">
        <v>15.04</v>
      </c>
      <c r="F1357" s="9">
        <v>40193000</v>
      </c>
      <c r="G1357" s="9">
        <v>15.04</v>
      </c>
    </row>
    <row r="1358" spans="1:7" x14ac:dyDescent="0.25">
      <c r="A1358" s="101">
        <v>40037</v>
      </c>
      <c r="B1358" s="9">
        <v>14.47</v>
      </c>
      <c r="C1358" s="9">
        <v>14.76</v>
      </c>
      <c r="D1358" s="9">
        <v>14.41</v>
      </c>
      <c r="E1358" s="9">
        <v>14.68</v>
      </c>
      <c r="F1358" s="9">
        <v>24256200</v>
      </c>
      <c r="G1358" s="9">
        <v>14.68</v>
      </c>
    </row>
    <row r="1359" spans="1:7" x14ac:dyDescent="0.25">
      <c r="A1359" s="101">
        <v>40036</v>
      </c>
      <c r="B1359" s="9">
        <v>14.54</v>
      </c>
      <c r="C1359" s="9">
        <v>14.65</v>
      </c>
      <c r="D1359" s="9">
        <v>14.33</v>
      </c>
      <c r="E1359" s="9">
        <v>14.46</v>
      </c>
      <c r="F1359" s="9">
        <v>17823200</v>
      </c>
      <c r="G1359" s="9">
        <v>14.46</v>
      </c>
    </row>
    <row r="1360" spans="1:7" x14ac:dyDescent="0.25">
      <c r="A1360" s="101">
        <v>40035</v>
      </c>
      <c r="B1360" s="9">
        <v>14.66</v>
      </c>
      <c r="C1360" s="9">
        <v>14.68</v>
      </c>
      <c r="D1360" s="9">
        <v>14.49</v>
      </c>
      <c r="E1360" s="9">
        <v>14.63</v>
      </c>
      <c r="F1360" s="9">
        <v>18350900</v>
      </c>
      <c r="G1360" s="9">
        <v>14.63</v>
      </c>
    </row>
    <row r="1361" spans="1:7" x14ac:dyDescent="0.25">
      <c r="A1361" s="101">
        <v>40032</v>
      </c>
      <c r="B1361" s="9">
        <v>14.86</v>
      </c>
      <c r="C1361" s="9">
        <v>14.9</v>
      </c>
      <c r="D1361" s="9">
        <v>14.56</v>
      </c>
      <c r="E1361" s="9">
        <v>14.62</v>
      </c>
      <c r="F1361" s="9">
        <v>28261000</v>
      </c>
      <c r="G1361" s="9">
        <v>14.62</v>
      </c>
    </row>
    <row r="1362" spans="1:7" x14ac:dyDescent="0.25">
      <c r="A1362" s="101">
        <v>40031</v>
      </c>
      <c r="B1362" s="9">
        <v>14.76</v>
      </c>
      <c r="C1362" s="9">
        <v>14.86</v>
      </c>
      <c r="D1362" s="9">
        <v>14.63</v>
      </c>
      <c r="E1362" s="9">
        <v>14.74</v>
      </c>
      <c r="F1362" s="9">
        <v>35659500</v>
      </c>
      <c r="G1362" s="9">
        <v>14.74</v>
      </c>
    </row>
    <row r="1363" spans="1:7" x14ac:dyDescent="0.25">
      <c r="A1363" s="101">
        <v>40030</v>
      </c>
      <c r="B1363" s="9">
        <v>14.76</v>
      </c>
      <c r="C1363" s="9">
        <v>14.91</v>
      </c>
      <c r="D1363" s="9">
        <v>14.61</v>
      </c>
      <c r="E1363" s="9">
        <v>14.67</v>
      </c>
      <c r="F1363" s="9">
        <v>50910100</v>
      </c>
      <c r="G1363" s="9">
        <v>14.67</v>
      </c>
    </row>
    <row r="1364" spans="1:7" x14ac:dyDescent="0.25">
      <c r="A1364" s="101">
        <v>40029</v>
      </c>
      <c r="B1364" s="9">
        <v>14.44</v>
      </c>
      <c r="C1364" s="9">
        <v>14.68</v>
      </c>
      <c r="D1364" s="9">
        <v>14.37</v>
      </c>
      <c r="E1364" s="9">
        <v>14.51</v>
      </c>
      <c r="F1364" s="9">
        <v>43084800</v>
      </c>
      <c r="G1364" s="9">
        <v>14.51</v>
      </c>
    </row>
    <row r="1365" spans="1:7" x14ac:dyDescent="0.25">
      <c r="A1365" s="101">
        <v>40028</v>
      </c>
      <c r="B1365" s="9">
        <v>14.56</v>
      </c>
      <c r="C1365" s="9">
        <v>14.62</v>
      </c>
      <c r="D1365" s="9">
        <v>14.3</v>
      </c>
      <c r="E1365" s="9">
        <v>14.34</v>
      </c>
      <c r="F1365" s="9">
        <v>43976900</v>
      </c>
      <c r="G1365" s="9">
        <v>14.34</v>
      </c>
    </row>
    <row r="1366" spans="1:7" x14ac:dyDescent="0.25">
      <c r="A1366" s="101">
        <v>40025</v>
      </c>
      <c r="B1366" s="9">
        <v>14.72</v>
      </c>
      <c r="C1366" s="9">
        <v>14.89</v>
      </c>
      <c r="D1366" s="9">
        <v>14.29</v>
      </c>
      <c r="E1366" s="9">
        <v>14.32</v>
      </c>
      <c r="F1366" s="9">
        <v>62659900</v>
      </c>
      <c r="G1366" s="9">
        <v>14.32</v>
      </c>
    </row>
    <row r="1367" spans="1:7" x14ac:dyDescent="0.25">
      <c r="A1367" s="101">
        <v>40024</v>
      </c>
      <c r="B1367" s="9">
        <v>15.13</v>
      </c>
      <c r="C1367" s="9">
        <v>15.14</v>
      </c>
      <c r="D1367" s="9">
        <v>14.24</v>
      </c>
      <c r="E1367" s="9">
        <v>14.6</v>
      </c>
      <c r="F1367" s="9">
        <v>100889000</v>
      </c>
      <c r="G1367" s="9">
        <v>14.6</v>
      </c>
    </row>
    <row r="1368" spans="1:7" x14ac:dyDescent="0.25">
      <c r="A1368" s="101">
        <v>40023</v>
      </c>
      <c r="B1368" s="9">
        <v>16</v>
      </c>
      <c r="C1368" s="9">
        <v>16.2</v>
      </c>
      <c r="D1368" s="9">
        <v>15.05</v>
      </c>
      <c r="E1368" s="9">
        <v>15.14</v>
      </c>
      <c r="F1368" s="9">
        <v>126807700</v>
      </c>
      <c r="G1368" s="9">
        <v>15.14</v>
      </c>
    </row>
    <row r="1369" spans="1:7" x14ac:dyDescent="0.25">
      <c r="A1369" s="101">
        <v>40022</v>
      </c>
      <c r="B1369" s="9">
        <v>16.97</v>
      </c>
      <c r="C1369" s="9">
        <v>17.489999999999998</v>
      </c>
      <c r="D1369" s="9">
        <v>16.52</v>
      </c>
      <c r="E1369" s="9">
        <v>17.22</v>
      </c>
      <c r="F1369" s="9">
        <v>36152600</v>
      </c>
      <c r="G1369" s="9">
        <v>17.22</v>
      </c>
    </row>
    <row r="1370" spans="1:7" x14ac:dyDescent="0.25">
      <c r="A1370" s="101">
        <v>40021</v>
      </c>
      <c r="B1370" s="9">
        <v>17.37</v>
      </c>
      <c r="C1370" s="9">
        <v>17.48</v>
      </c>
      <c r="D1370" s="9">
        <v>16.850000000000001</v>
      </c>
      <c r="E1370" s="9">
        <v>17</v>
      </c>
      <c r="F1370" s="9">
        <v>19951800</v>
      </c>
      <c r="G1370" s="9">
        <v>17</v>
      </c>
    </row>
    <row r="1371" spans="1:7" x14ac:dyDescent="0.25">
      <c r="A1371" s="101">
        <v>40018</v>
      </c>
      <c r="B1371" s="9">
        <v>17.43</v>
      </c>
      <c r="C1371" s="9">
        <v>17.59</v>
      </c>
      <c r="D1371" s="9">
        <v>17.02</v>
      </c>
      <c r="E1371" s="9">
        <v>17.48</v>
      </c>
      <c r="F1371" s="9">
        <v>19944700</v>
      </c>
      <c r="G1371" s="9">
        <v>17.48</v>
      </c>
    </row>
    <row r="1372" spans="1:7" x14ac:dyDescent="0.25">
      <c r="A1372" s="101">
        <v>40017</v>
      </c>
      <c r="B1372" s="9">
        <v>17.41</v>
      </c>
      <c r="C1372" s="9">
        <v>17.68</v>
      </c>
      <c r="D1372" s="9">
        <v>17.16</v>
      </c>
      <c r="E1372" s="9">
        <v>17.36</v>
      </c>
      <c r="F1372" s="9">
        <v>37524900</v>
      </c>
      <c r="G1372" s="9">
        <v>17.36</v>
      </c>
    </row>
    <row r="1373" spans="1:7" x14ac:dyDescent="0.25">
      <c r="A1373" s="101">
        <v>40016</v>
      </c>
      <c r="B1373" s="9">
        <v>16.190000000000001</v>
      </c>
      <c r="C1373" s="9">
        <v>17.48</v>
      </c>
      <c r="D1373" s="9">
        <v>16.12</v>
      </c>
      <c r="E1373" s="9">
        <v>17.37</v>
      </c>
      <c r="F1373" s="9">
        <v>53615500</v>
      </c>
      <c r="G1373" s="9">
        <v>17.37</v>
      </c>
    </row>
    <row r="1374" spans="1:7" x14ac:dyDescent="0.25">
      <c r="A1374" s="101">
        <v>40015</v>
      </c>
      <c r="B1374" s="9">
        <v>17.05</v>
      </c>
      <c r="C1374" s="9">
        <v>17.11</v>
      </c>
      <c r="D1374" s="9">
        <v>16.440000000000001</v>
      </c>
      <c r="E1374" s="9">
        <v>16.75</v>
      </c>
      <c r="F1374" s="9">
        <v>33601800</v>
      </c>
      <c r="G1374" s="9">
        <v>16.75</v>
      </c>
    </row>
    <row r="1375" spans="1:7" x14ac:dyDescent="0.25">
      <c r="A1375" s="101">
        <v>40014</v>
      </c>
      <c r="B1375" s="9">
        <v>17.18</v>
      </c>
      <c r="C1375" s="9">
        <v>17.43</v>
      </c>
      <c r="D1375" s="9">
        <v>16.649999999999999</v>
      </c>
      <c r="E1375" s="9">
        <v>17.010000000000002</v>
      </c>
      <c r="F1375" s="9">
        <v>27760800</v>
      </c>
      <c r="G1375" s="9">
        <v>17.010000000000002</v>
      </c>
    </row>
    <row r="1376" spans="1:7" x14ac:dyDescent="0.25">
      <c r="A1376" s="101">
        <v>40011</v>
      </c>
      <c r="B1376" s="9">
        <v>16.75</v>
      </c>
      <c r="C1376" s="9">
        <v>16.91</v>
      </c>
      <c r="D1376" s="9">
        <v>16.45</v>
      </c>
      <c r="E1376" s="9">
        <v>16.84</v>
      </c>
      <c r="F1376" s="9">
        <v>32514700</v>
      </c>
      <c r="G1376" s="9">
        <v>16.84</v>
      </c>
    </row>
    <row r="1377" spans="1:7" x14ac:dyDescent="0.25">
      <c r="A1377" s="101">
        <v>40010</v>
      </c>
      <c r="B1377" s="9">
        <v>15.8</v>
      </c>
      <c r="C1377" s="9">
        <v>16.25</v>
      </c>
      <c r="D1377" s="9">
        <v>15.78</v>
      </c>
      <c r="E1377" s="9">
        <v>16.190000000000001</v>
      </c>
      <c r="F1377" s="9">
        <v>21919500</v>
      </c>
      <c r="G1377" s="9">
        <v>16.190000000000001</v>
      </c>
    </row>
    <row r="1378" spans="1:7" x14ac:dyDescent="0.25">
      <c r="A1378" s="101">
        <v>40009</v>
      </c>
      <c r="B1378" s="9">
        <v>15.23</v>
      </c>
      <c r="C1378" s="9">
        <v>15.74</v>
      </c>
      <c r="D1378" s="9">
        <v>15.15</v>
      </c>
      <c r="E1378" s="9">
        <v>15.71</v>
      </c>
      <c r="F1378" s="9">
        <v>18813600</v>
      </c>
      <c r="G1378" s="9">
        <v>15.71</v>
      </c>
    </row>
    <row r="1379" spans="1:7" x14ac:dyDescent="0.25">
      <c r="A1379" s="101">
        <v>40008</v>
      </c>
      <c r="B1379" s="9">
        <v>15.07</v>
      </c>
      <c r="C1379" s="9">
        <v>15.22</v>
      </c>
      <c r="D1379" s="9">
        <v>14.98</v>
      </c>
      <c r="E1379" s="9">
        <v>15.18</v>
      </c>
      <c r="F1379" s="9">
        <v>13039500</v>
      </c>
      <c r="G1379" s="9">
        <v>15.18</v>
      </c>
    </row>
    <row r="1380" spans="1:7" x14ac:dyDescent="0.25">
      <c r="A1380" s="101">
        <v>40007</v>
      </c>
      <c r="B1380" s="9">
        <v>14.95</v>
      </c>
      <c r="C1380" s="9">
        <v>15.06</v>
      </c>
      <c r="D1380" s="9">
        <v>14.64</v>
      </c>
      <c r="E1380" s="9">
        <v>15.01</v>
      </c>
      <c r="F1380" s="9">
        <v>13174400</v>
      </c>
      <c r="G1380" s="9">
        <v>15.01</v>
      </c>
    </row>
    <row r="1381" spans="1:7" x14ac:dyDescent="0.25">
      <c r="A1381" s="101">
        <v>40004</v>
      </c>
      <c r="B1381" s="9">
        <v>14.78</v>
      </c>
      <c r="C1381" s="9">
        <v>15.18</v>
      </c>
      <c r="D1381" s="9">
        <v>14.75</v>
      </c>
      <c r="E1381" s="9">
        <v>14.93</v>
      </c>
      <c r="F1381" s="9">
        <v>23061200</v>
      </c>
      <c r="G1381" s="9">
        <v>14.93</v>
      </c>
    </row>
    <row r="1382" spans="1:7" x14ac:dyDescent="0.25">
      <c r="A1382" s="101">
        <v>40003</v>
      </c>
      <c r="B1382" s="9">
        <v>14.48</v>
      </c>
      <c r="C1382" s="9">
        <v>14.68</v>
      </c>
      <c r="D1382" s="9">
        <v>14.25</v>
      </c>
      <c r="E1382" s="9">
        <v>14.55</v>
      </c>
      <c r="F1382" s="9">
        <v>15598200</v>
      </c>
      <c r="G1382" s="9">
        <v>14.55</v>
      </c>
    </row>
    <row r="1383" spans="1:7" x14ac:dyDescent="0.25">
      <c r="A1383" s="101">
        <v>40002</v>
      </c>
      <c r="B1383" s="9">
        <v>14.44</v>
      </c>
      <c r="C1383" s="9">
        <v>14.69</v>
      </c>
      <c r="D1383" s="9">
        <v>14.22</v>
      </c>
      <c r="E1383" s="9">
        <v>14.38</v>
      </c>
      <c r="F1383" s="9">
        <v>15352700</v>
      </c>
      <c r="G1383" s="9">
        <v>14.38</v>
      </c>
    </row>
    <row r="1384" spans="1:7" x14ac:dyDescent="0.25">
      <c r="A1384" s="101">
        <v>40001</v>
      </c>
      <c r="B1384" s="9">
        <v>14.92</v>
      </c>
      <c r="C1384" s="9">
        <v>14.93</v>
      </c>
      <c r="D1384" s="9">
        <v>14.36</v>
      </c>
      <c r="E1384" s="9">
        <v>14.44</v>
      </c>
      <c r="F1384" s="9">
        <v>22021700</v>
      </c>
      <c r="G1384" s="9">
        <v>14.44</v>
      </c>
    </row>
    <row r="1385" spans="1:7" x14ac:dyDescent="0.25">
      <c r="A1385" s="101">
        <v>40000</v>
      </c>
      <c r="B1385" s="9">
        <v>14.83</v>
      </c>
      <c r="C1385" s="9">
        <v>14.93</v>
      </c>
      <c r="D1385" s="9">
        <v>14.55</v>
      </c>
      <c r="E1385" s="9">
        <v>14.91</v>
      </c>
      <c r="F1385" s="9">
        <v>13690700</v>
      </c>
      <c r="G1385" s="9">
        <v>14.91</v>
      </c>
    </row>
    <row r="1386" spans="1:7" x14ac:dyDescent="0.25">
      <c r="A1386" s="101">
        <v>39996</v>
      </c>
      <c r="B1386" s="9">
        <v>15.24</v>
      </c>
      <c r="C1386" s="9">
        <v>15.28</v>
      </c>
      <c r="D1386" s="9">
        <v>14.88</v>
      </c>
      <c r="E1386" s="9">
        <v>14.99</v>
      </c>
      <c r="F1386" s="9">
        <v>16919900</v>
      </c>
      <c r="G1386" s="9">
        <v>14.99</v>
      </c>
    </row>
    <row r="1387" spans="1:7" x14ac:dyDescent="0.25">
      <c r="A1387" s="101">
        <v>39995</v>
      </c>
      <c r="B1387" s="9">
        <v>15.49</v>
      </c>
      <c r="C1387" s="9">
        <v>15.69</v>
      </c>
      <c r="D1387" s="9">
        <v>15.35</v>
      </c>
      <c r="E1387" s="9">
        <v>15.41</v>
      </c>
      <c r="F1387" s="9">
        <v>12716100</v>
      </c>
      <c r="G1387" s="9">
        <v>15.41</v>
      </c>
    </row>
    <row r="1388" spans="1:7" x14ac:dyDescent="0.25">
      <c r="A1388" s="101">
        <v>39994</v>
      </c>
      <c r="B1388" s="9">
        <v>15.85</v>
      </c>
      <c r="C1388" s="9">
        <v>15.9</v>
      </c>
      <c r="D1388" s="9">
        <v>15.35</v>
      </c>
      <c r="E1388" s="9">
        <v>15.66</v>
      </c>
      <c r="F1388" s="9">
        <v>16033900</v>
      </c>
      <c r="G1388" s="9">
        <v>15.66</v>
      </c>
    </row>
    <row r="1389" spans="1:7" x14ac:dyDescent="0.25">
      <c r="A1389" s="101">
        <v>39993</v>
      </c>
      <c r="B1389" s="9">
        <v>15.86</v>
      </c>
      <c r="C1389" s="9">
        <v>16.010000000000002</v>
      </c>
      <c r="D1389" s="9">
        <v>15.6</v>
      </c>
      <c r="E1389" s="9">
        <v>15.9</v>
      </c>
      <c r="F1389" s="9">
        <v>12324000</v>
      </c>
      <c r="G1389" s="9">
        <v>15.9</v>
      </c>
    </row>
    <row r="1390" spans="1:7" x14ac:dyDescent="0.25">
      <c r="A1390" s="101">
        <v>39990</v>
      </c>
      <c r="B1390" s="9">
        <v>15.6</v>
      </c>
      <c r="C1390" s="9">
        <v>15.8</v>
      </c>
      <c r="D1390" s="9">
        <v>15.48</v>
      </c>
      <c r="E1390" s="9">
        <v>15.74</v>
      </c>
      <c r="F1390" s="9">
        <v>26449100</v>
      </c>
      <c r="G1390" s="9">
        <v>15.74</v>
      </c>
    </row>
    <row r="1391" spans="1:7" x14ac:dyDescent="0.25">
      <c r="A1391" s="101">
        <v>39989</v>
      </c>
      <c r="B1391" s="9">
        <v>15.44</v>
      </c>
      <c r="C1391" s="9">
        <v>15.67</v>
      </c>
      <c r="D1391" s="9">
        <v>15.25</v>
      </c>
      <c r="E1391" s="9">
        <v>15.53</v>
      </c>
      <c r="F1391" s="9">
        <v>19827800</v>
      </c>
      <c r="G1391" s="9">
        <v>15.53</v>
      </c>
    </row>
    <row r="1392" spans="1:7" x14ac:dyDescent="0.25">
      <c r="A1392" s="101">
        <v>39988</v>
      </c>
      <c r="B1392" s="9">
        <v>14.76</v>
      </c>
      <c r="C1392" s="9">
        <v>15.6</v>
      </c>
      <c r="D1392" s="9">
        <v>14.76</v>
      </c>
      <c r="E1392" s="9">
        <v>15.45</v>
      </c>
      <c r="F1392" s="9">
        <v>30979700</v>
      </c>
      <c r="G1392" s="9">
        <v>15.45</v>
      </c>
    </row>
    <row r="1393" spans="1:7" x14ac:dyDescent="0.25">
      <c r="A1393" s="101">
        <v>39987</v>
      </c>
      <c r="B1393" s="9">
        <v>14.75</v>
      </c>
      <c r="C1393" s="9">
        <v>14.9</v>
      </c>
      <c r="D1393" s="9">
        <v>14.55</v>
      </c>
      <c r="E1393" s="9">
        <v>14.68</v>
      </c>
      <c r="F1393" s="9">
        <v>15866300</v>
      </c>
      <c r="G1393" s="9">
        <v>14.68</v>
      </c>
    </row>
    <row r="1394" spans="1:7" x14ac:dyDescent="0.25">
      <c r="A1394" s="101">
        <v>39986</v>
      </c>
      <c r="B1394" s="9">
        <v>15.55</v>
      </c>
      <c r="C1394" s="9">
        <v>15.61</v>
      </c>
      <c r="D1394" s="9">
        <v>14.71</v>
      </c>
      <c r="E1394" s="9">
        <v>14.71</v>
      </c>
      <c r="F1394" s="9">
        <v>26488700</v>
      </c>
      <c r="G1394" s="9">
        <v>14.71</v>
      </c>
    </row>
    <row r="1395" spans="1:7" x14ac:dyDescent="0.25">
      <c r="A1395" s="101">
        <v>39983</v>
      </c>
      <c r="B1395" s="9">
        <v>15.5</v>
      </c>
      <c r="C1395" s="9">
        <v>15.84</v>
      </c>
      <c r="D1395" s="9">
        <v>15.4</v>
      </c>
      <c r="E1395" s="9">
        <v>15.8</v>
      </c>
      <c r="F1395" s="9">
        <v>20323100</v>
      </c>
      <c r="G1395" s="9">
        <v>15.8</v>
      </c>
    </row>
    <row r="1396" spans="1:7" x14ac:dyDescent="0.25">
      <c r="A1396" s="101">
        <v>39982</v>
      </c>
      <c r="B1396" s="9">
        <v>15.62</v>
      </c>
      <c r="C1396" s="9">
        <v>15.64</v>
      </c>
      <c r="D1396" s="9">
        <v>15.23</v>
      </c>
      <c r="E1396" s="9">
        <v>15.34</v>
      </c>
      <c r="F1396" s="9">
        <v>16185400</v>
      </c>
      <c r="G1396" s="9">
        <v>15.34</v>
      </c>
    </row>
    <row r="1397" spans="1:7" x14ac:dyDescent="0.25">
      <c r="A1397" s="101">
        <v>39981</v>
      </c>
      <c r="B1397" s="9">
        <v>15.91</v>
      </c>
      <c r="C1397" s="9">
        <v>16.03</v>
      </c>
      <c r="D1397" s="9">
        <v>15.46</v>
      </c>
      <c r="E1397" s="9">
        <v>15.6</v>
      </c>
      <c r="F1397" s="9">
        <v>16521300</v>
      </c>
      <c r="G1397" s="9">
        <v>15.6</v>
      </c>
    </row>
    <row r="1398" spans="1:7" x14ac:dyDescent="0.25">
      <c r="A1398" s="101">
        <v>39980</v>
      </c>
      <c r="B1398" s="9">
        <v>16.329999999999998</v>
      </c>
      <c r="C1398" s="9">
        <v>16.38</v>
      </c>
      <c r="D1398" s="9">
        <v>15.9</v>
      </c>
      <c r="E1398" s="9">
        <v>15.96</v>
      </c>
      <c r="F1398" s="9">
        <v>15116000</v>
      </c>
      <c r="G1398" s="9">
        <v>15.96</v>
      </c>
    </row>
    <row r="1399" spans="1:7" x14ac:dyDescent="0.25">
      <c r="A1399" s="101">
        <v>39979</v>
      </c>
      <c r="B1399" s="9">
        <v>16.559999999999999</v>
      </c>
      <c r="C1399" s="9">
        <v>16.68</v>
      </c>
      <c r="D1399" s="9">
        <v>16.13</v>
      </c>
      <c r="E1399" s="9">
        <v>16.399999999999999</v>
      </c>
      <c r="F1399" s="9">
        <v>23251700</v>
      </c>
      <c r="G1399" s="9">
        <v>16.399999999999999</v>
      </c>
    </row>
    <row r="1400" spans="1:7" x14ac:dyDescent="0.25">
      <c r="A1400" s="101">
        <v>39976</v>
      </c>
      <c r="B1400" s="9">
        <v>16.170000000000002</v>
      </c>
      <c r="C1400" s="9">
        <v>16.47</v>
      </c>
      <c r="D1400" s="9">
        <v>16.100000000000001</v>
      </c>
      <c r="E1400" s="9">
        <v>16.399999999999999</v>
      </c>
      <c r="F1400" s="9">
        <v>16962900</v>
      </c>
      <c r="G1400" s="9">
        <v>16.399999999999999</v>
      </c>
    </row>
    <row r="1401" spans="1:7" x14ac:dyDescent="0.25">
      <c r="A1401" s="101">
        <v>39975</v>
      </c>
      <c r="B1401" s="9">
        <v>16.260000000000002</v>
      </c>
      <c r="C1401" s="9">
        <v>16.46</v>
      </c>
      <c r="D1401" s="9">
        <v>16.149999999999999</v>
      </c>
      <c r="E1401" s="9">
        <v>16.190000000000001</v>
      </c>
      <c r="F1401" s="9">
        <v>15042300</v>
      </c>
      <c r="G1401" s="9">
        <v>16.190000000000001</v>
      </c>
    </row>
    <row r="1402" spans="1:7" x14ac:dyDescent="0.25">
      <c r="A1402" s="101">
        <v>39974</v>
      </c>
      <c r="B1402" s="9">
        <v>16.7</v>
      </c>
      <c r="C1402" s="9">
        <v>16.72</v>
      </c>
      <c r="D1402" s="9">
        <v>16.100000000000001</v>
      </c>
      <c r="E1402" s="9">
        <v>16.32</v>
      </c>
      <c r="F1402" s="9">
        <v>15771200</v>
      </c>
      <c r="G1402" s="9">
        <v>16.32</v>
      </c>
    </row>
    <row r="1403" spans="1:7" x14ac:dyDescent="0.25">
      <c r="A1403" s="101">
        <v>39973</v>
      </c>
      <c r="B1403" s="9">
        <v>16.23</v>
      </c>
      <c r="C1403" s="9">
        <v>16.5</v>
      </c>
      <c r="D1403" s="9">
        <v>16.18</v>
      </c>
      <c r="E1403" s="9">
        <v>16.399999999999999</v>
      </c>
      <c r="F1403" s="9">
        <v>13083200</v>
      </c>
      <c r="G1403" s="9">
        <v>16.399999999999999</v>
      </c>
    </row>
    <row r="1404" spans="1:7" x14ac:dyDescent="0.25">
      <c r="A1404" s="101">
        <v>39972</v>
      </c>
      <c r="B1404" s="9">
        <v>16.47</v>
      </c>
      <c r="C1404" s="9">
        <v>16.489999999999998</v>
      </c>
      <c r="D1404" s="9">
        <v>16.04</v>
      </c>
      <c r="E1404" s="9">
        <v>16.190000000000001</v>
      </c>
      <c r="F1404" s="9">
        <v>13692600</v>
      </c>
      <c r="G1404" s="9">
        <v>16.190000000000001</v>
      </c>
    </row>
    <row r="1405" spans="1:7" x14ac:dyDescent="0.25">
      <c r="A1405" s="101">
        <v>39969</v>
      </c>
      <c r="B1405" s="9">
        <v>16.77</v>
      </c>
      <c r="C1405" s="9">
        <v>16.989999999999998</v>
      </c>
      <c r="D1405" s="9">
        <v>16.3</v>
      </c>
      <c r="E1405" s="9">
        <v>16.64</v>
      </c>
      <c r="F1405" s="9">
        <v>17311400</v>
      </c>
      <c r="G1405" s="9">
        <v>16.64</v>
      </c>
    </row>
    <row r="1406" spans="1:7" x14ac:dyDescent="0.25">
      <c r="A1406" s="101">
        <v>39968</v>
      </c>
      <c r="B1406" s="9">
        <v>16.399999999999999</v>
      </c>
      <c r="C1406" s="9">
        <v>16.71</v>
      </c>
      <c r="D1406" s="9">
        <v>16.04</v>
      </c>
      <c r="E1406" s="9">
        <v>16.649999999999999</v>
      </c>
      <c r="F1406" s="9">
        <v>19001400</v>
      </c>
      <c r="G1406" s="9">
        <v>16.649999999999999</v>
      </c>
    </row>
    <row r="1407" spans="1:7" x14ac:dyDescent="0.25">
      <c r="A1407" s="101">
        <v>39967</v>
      </c>
      <c r="B1407" s="9">
        <v>16.5</v>
      </c>
      <c r="C1407" s="9">
        <v>16.5</v>
      </c>
      <c r="D1407" s="9">
        <v>15.67</v>
      </c>
      <c r="E1407" s="9">
        <v>16.3</v>
      </c>
      <c r="F1407" s="9">
        <v>26358100</v>
      </c>
      <c r="G1407" s="9">
        <v>16.3</v>
      </c>
    </row>
    <row r="1408" spans="1:7" x14ac:dyDescent="0.25">
      <c r="A1408" s="101">
        <v>39966</v>
      </c>
      <c r="B1408" s="9">
        <v>16.600000000000001</v>
      </c>
      <c r="C1408" s="9">
        <v>16.75</v>
      </c>
      <c r="D1408" s="9">
        <v>16.25</v>
      </c>
      <c r="E1408" s="9">
        <v>16.62</v>
      </c>
      <c r="F1408" s="9">
        <v>15286700</v>
      </c>
      <c r="G1408" s="9">
        <v>16.62</v>
      </c>
    </row>
    <row r="1409" spans="1:7" x14ac:dyDescent="0.25">
      <c r="A1409" s="101">
        <v>39965</v>
      </c>
      <c r="B1409" s="9">
        <v>16.170000000000002</v>
      </c>
      <c r="C1409" s="9">
        <v>16.649999999999999</v>
      </c>
      <c r="D1409" s="9">
        <v>16.13</v>
      </c>
      <c r="E1409" s="9">
        <v>16.579999999999998</v>
      </c>
      <c r="F1409" s="9">
        <v>27926100</v>
      </c>
      <c r="G1409" s="9">
        <v>16.579999999999998</v>
      </c>
    </row>
    <row r="1410" spans="1:7" x14ac:dyDescent="0.25">
      <c r="A1410" s="101">
        <v>39962</v>
      </c>
      <c r="B1410" s="9">
        <v>15.19</v>
      </c>
      <c r="C1410" s="9">
        <v>15.84</v>
      </c>
      <c r="D1410" s="9">
        <v>15.11</v>
      </c>
      <c r="E1410" s="9">
        <v>15.84</v>
      </c>
      <c r="F1410" s="9">
        <v>29557500</v>
      </c>
      <c r="G1410" s="9">
        <v>15.84</v>
      </c>
    </row>
    <row r="1411" spans="1:7" x14ac:dyDescent="0.25">
      <c r="A1411" s="101">
        <v>39961</v>
      </c>
      <c r="B1411" s="9">
        <v>15.09</v>
      </c>
      <c r="C1411" s="9">
        <v>15.24</v>
      </c>
      <c r="D1411" s="9">
        <v>14.69</v>
      </c>
      <c r="E1411" s="9">
        <v>15.09</v>
      </c>
      <c r="F1411" s="9">
        <v>19131600</v>
      </c>
      <c r="G1411" s="9">
        <v>15.09</v>
      </c>
    </row>
    <row r="1412" spans="1:7" x14ac:dyDescent="0.25">
      <c r="A1412" s="101">
        <v>39960</v>
      </c>
      <c r="B1412" s="9">
        <v>15.27</v>
      </c>
      <c r="C1412" s="9">
        <v>15.53</v>
      </c>
      <c r="D1412" s="9">
        <v>14.88</v>
      </c>
      <c r="E1412" s="9">
        <v>14.94</v>
      </c>
      <c r="F1412" s="9">
        <v>18977400</v>
      </c>
      <c r="G1412" s="9">
        <v>14.94</v>
      </c>
    </row>
    <row r="1413" spans="1:7" x14ac:dyDescent="0.25">
      <c r="A1413" s="101">
        <v>39959</v>
      </c>
      <c r="B1413" s="9">
        <v>14.68</v>
      </c>
      <c r="C1413" s="9">
        <v>15.44</v>
      </c>
      <c r="D1413" s="9">
        <v>14.67</v>
      </c>
      <c r="E1413" s="9">
        <v>15.28</v>
      </c>
      <c r="F1413" s="9">
        <v>19953000</v>
      </c>
      <c r="G1413" s="9">
        <v>15.28</v>
      </c>
    </row>
    <row r="1414" spans="1:7" x14ac:dyDescent="0.25">
      <c r="A1414" s="101">
        <v>39955</v>
      </c>
      <c r="B1414" s="9">
        <v>14.89</v>
      </c>
      <c r="C1414" s="9">
        <v>15.17</v>
      </c>
      <c r="D1414" s="9">
        <v>14.75</v>
      </c>
      <c r="E1414" s="9">
        <v>14.98</v>
      </c>
      <c r="F1414" s="9">
        <v>19150500</v>
      </c>
      <c r="G1414" s="9">
        <v>14.98</v>
      </c>
    </row>
    <row r="1415" spans="1:7" x14ac:dyDescent="0.25">
      <c r="A1415" s="101">
        <v>39954</v>
      </c>
      <c r="B1415" s="9">
        <v>14.92</v>
      </c>
      <c r="C1415" s="9">
        <v>15.12</v>
      </c>
      <c r="D1415" s="9">
        <v>14.62</v>
      </c>
      <c r="E1415" s="9">
        <v>14.87</v>
      </c>
      <c r="F1415" s="9">
        <v>15186800</v>
      </c>
      <c r="G1415" s="9">
        <v>14.87</v>
      </c>
    </row>
    <row r="1416" spans="1:7" x14ac:dyDescent="0.25">
      <c r="A1416" s="101">
        <v>39953</v>
      </c>
      <c r="B1416" s="9">
        <v>15.08</v>
      </c>
      <c r="C1416" s="9">
        <v>15.31</v>
      </c>
      <c r="D1416" s="9">
        <v>14.8</v>
      </c>
      <c r="E1416" s="9">
        <v>14.96</v>
      </c>
      <c r="F1416" s="9">
        <v>15781600</v>
      </c>
      <c r="G1416" s="9">
        <v>14.96</v>
      </c>
    </row>
    <row r="1417" spans="1:7" x14ac:dyDescent="0.25">
      <c r="A1417" s="101">
        <v>39952</v>
      </c>
      <c r="B1417" s="9">
        <v>15.06</v>
      </c>
      <c r="C1417" s="9">
        <v>15.34</v>
      </c>
      <c r="D1417" s="9">
        <v>15.02</v>
      </c>
      <c r="E1417" s="9">
        <v>15.18</v>
      </c>
      <c r="F1417" s="9">
        <v>13676000</v>
      </c>
      <c r="G1417" s="9">
        <v>15.18</v>
      </c>
    </row>
    <row r="1418" spans="1:7" x14ac:dyDescent="0.25">
      <c r="A1418" s="101">
        <v>39951</v>
      </c>
      <c r="B1418" s="9">
        <v>15.1</v>
      </c>
      <c r="C1418" s="9">
        <v>15.18</v>
      </c>
      <c r="D1418" s="9">
        <v>14.74</v>
      </c>
      <c r="E1418" s="9">
        <v>15.17</v>
      </c>
      <c r="F1418" s="9">
        <v>18629500</v>
      </c>
      <c r="G1418" s="9">
        <v>15.17</v>
      </c>
    </row>
    <row r="1419" spans="1:7" x14ac:dyDescent="0.25">
      <c r="A1419" s="101">
        <v>39948</v>
      </c>
      <c r="B1419" s="9">
        <v>15</v>
      </c>
      <c r="C1419" s="9">
        <v>15.1</v>
      </c>
      <c r="D1419" s="9">
        <v>14.86</v>
      </c>
      <c r="E1419" s="9">
        <v>14.91</v>
      </c>
      <c r="F1419" s="9">
        <v>22525900</v>
      </c>
      <c r="G1419" s="9">
        <v>14.91</v>
      </c>
    </row>
    <row r="1420" spans="1:7" x14ac:dyDescent="0.25">
      <c r="A1420" s="101">
        <v>39947</v>
      </c>
      <c r="B1420" s="9">
        <v>14.5</v>
      </c>
      <c r="C1420" s="9">
        <v>14.86</v>
      </c>
      <c r="D1420" s="9">
        <v>14.4</v>
      </c>
      <c r="E1420" s="9">
        <v>14.76</v>
      </c>
      <c r="F1420" s="9">
        <v>20841800</v>
      </c>
      <c r="G1420" s="9">
        <v>14.76</v>
      </c>
    </row>
    <row r="1421" spans="1:7" x14ac:dyDescent="0.25">
      <c r="A1421" s="101">
        <v>39946</v>
      </c>
      <c r="B1421" s="9">
        <v>14.92</v>
      </c>
      <c r="C1421" s="9">
        <v>14.95</v>
      </c>
      <c r="D1421" s="9">
        <v>14.5</v>
      </c>
      <c r="E1421" s="9">
        <v>14.52</v>
      </c>
      <c r="F1421" s="9">
        <v>23585400</v>
      </c>
      <c r="G1421" s="9">
        <v>14.52</v>
      </c>
    </row>
    <row r="1422" spans="1:7" x14ac:dyDescent="0.25">
      <c r="A1422" s="101">
        <v>39945</v>
      </c>
      <c r="B1422" s="9">
        <v>15.5</v>
      </c>
      <c r="C1422" s="9">
        <v>15.5</v>
      </c>
      <c r="D1422" s="9">
        <v>14.9</v>
      </c>
      <c r="E1422" s="9">
        <v>15.1</v>
      </c>
      <c r="F1422" s="9">
        <v>31403300</v>
      </c>
      <c r="G1422" s="9">
        <v>15.1</v>
      </c>
    </row>
    <row r="1423" spans="1:7" x14ac:dyDescent="0.25">
      <c r="A1423" s="101">
        <v>39944</v>
      </c>
      <c r="B1423" s="9">
        <v>14.9</v>
      </c>
      <c r="C1423" s="9">
        <v>15.83</v>
      </c>
      <c r="D1423" s="9">
        <v>14.81</v>
      </c>
      <c r="E1423" s="9">
        <v>15.54</v>
      </c>
      <c r="F1423" s="9">
        <v>39492400</v>
      </c>
      <c r="G1423" s="9">
        <v>15.54</v>
      </c>
    </row>
    <row r="1424" spans="1:7" x14ac:dyDescent="0.25">
      <c r="A1424" s="101">
        <v>39941</v>
      </c>
      <c r="B1424" s="9">
        <v>14.88</v>
      </c>
      <c r="C1424" s="9">
        <v>15.3</v>
      </c>
      <c r="D1424" s="9">
        <v>14.7</v>
      </c>
      <c r="E1424" s="9">
        <v>15.15</v>
      </c>
      <c r="F1424" s="9">
        <v>22461200</v>
      </c>
      <c r="G1424" s="9">
        <v>15.15</v>
      </c>
    </row>
    <row r="1425" spans="1:7" x14ac:dyDescent="0.25">
      <c r="A1425" s="101">
        <v>39940</v>
      </c>
      <c r="B1425" s="9">
        <v>15.03</v>
      </c>
      <c r="C1425" s="9">
        <v>15.1</v>
      </c>
      <c r="D1425" s="9">
        <v>14.38</v>
      </c>
      <c r="E1425" s="9">
        <v>14.8</v>
      </c>
      <c r="F1425" s="9">
        <v>24328500</v>
      </c>
      <c r="G1425" s="9">
        <v>14.8</v>
      </c>
    </row>
    <row r="1426" spans="1:7" x14ac:dyDescent="0.25">
      <c r="A1426" s="101">
        <v>39939</v>
      </c>
      <c r="B1426" s="9">
        <v>14.8</v>
      </c>
      <c r="C1426" s="9">
        <v>15</v>
      </c>
      <c r="D1426" s="9">
        <v>14.52</v>
      </c>
      <c r="E1426" s="9">
        <v>14.85</v>
      </c>
      <c r="F1426" s="9">
        <v>19105800</v>
      </c>
      <c r="G1426" s="9">
        <v>14.85</v>
      </c>
    </row>
    <row r="1427" spans="1:7" x14ac:dyDescent="0.25">
      <c r="A1427" s="101">
        <v>39938</v>
      </c>
      <c r="B1427" s="9">
        <v>14.55</v>
      </c>
      <c r="C1427" s="9">
        <v>14.99</v>
      </c>
      <c r="D1427" s="9">
        <v>14.18</v>
      </c>
      <c r="E1427" s="9">
        <v>14.74</v>
      </c>
      <c r="F1427" s="9">
        <v>35233200</v>
      </c>
      <c r="G1427" s="9">
        <v>14.74</v>
      </c>
    </row>
    <row r="1428" spans="1:7" x14ac:dyDescent="0.25">
      <c r="A1428" s="101">
        <v>39937</v>
      </c>
      <c r="B1428" s="9">
        <v>14.2</v>
      </c>
      <c r="C1428" s="9">
        <v>14.25</v>
      </c>
      <c r="D1428" s="9">
        <v>13.96</v>
      </c>
      <c r="E1428" s="9">
        <v>14.18</v>
      </c>
      <c r="F1428" s="9">
        <v>25094600</v>
      </c>
      <c r="G1428" s="9">
        <v>14.18</v>
      </c>
    </row>
    <row r="1429" spans="1:7" x14ac:dyDescent="0.25">
      <c r="A1429" s="101">
        <v>39934</v>
      </c>
      <c r="B1429" s="9">
        <v>14.5</v>
      </c>
      <c r="C1429" s="9">
        <v>14.5</v>
      </c>
      <c r="D1429" s="9">
        <v>13.91</v>
      </c>
      <c r="E1429" s="9">
        <v>14.14</v>
      </c>
      <c r="F1429" s="9">
        <v>23721700</v>
      </c>
      <c r="G1429" s="9">
        <v>14.14</v>
      </c>
    </row>
    <row r="1430" spans="1:7" x14ac:dyDescent="0.25">
      <c r="A1430" s="101">
        <v>39933</v>
      </c>
      <c r="B1430" s="9">
        <v>14.12</v>
      </c>
      <c r="C1430" s="9">
        <v>14.6</v>
      </c>
      <c r="D1430" s="9">
        <v>14.12</v>
      </c>
      <c r="E1430" s="9">
        <v>14.29</v>
      </c>
      <c r="F1430" s="9">
        <v>25883300</v>
      </c>
      <c r="G1430" s="9">
        <v>14.29</v>
      </c>
    </row>
    <row r="1431" spans="1:7" x14ac:dyDescent="0.25">
      <c r="A1431" s="101">
        <v>39932</v>
      </c>
      <c r="B1431" s="9">
        <v>13.7</v>
      </c>
      <c r="C1431" s="9">
        <v>14.35</v>
      </c>
      <c r="D1431" s="9">
        <v>13.7</v>
      </c>
      <c r="E1431" s="9">
        <v>14.02</v>
      </c>
      <c r="F1431" s="9">
        <v>16570900</v>
      </c>
      <c r="G1431" s="9">
        <v>14.02</v>
      </c>
    </row>
    <row r="1432" spans="1:7" x14ac:dyDescent="0.25">
      <c r="A1432" s="101">
        <v>39931</v>
      </c>
      <c r="B1432" s="9">
        <v>13.74</v>
      </c>
      <c r="C1432" s="9">
        <v>14.05</v>
      </c>
      <c r="D1432" s="9">
        <v>13.6</v>
      </c>
      <c r="E1432" s="9">
        <v>13.64</v>
      </c>
      <c r="F1432" s="9">
        <v>18856500</v>
      </c>
      <c r="G1432" s="9">
        <v>13.64</v>
      </c>
    </row>
    <row r="1433" spans="1:7" x14ac:dyDescent="0.25">
      <c r="A1433" s="101">
        <v>39930</v>
      </c>
      <c r="B1433" s="9">
        <v>14.48</v>
      </c>
      <c r="C1433" s="9">
        <v>14.55</v>
      </c>
      <c r="D1433" s="9">
        <v>13.88</v>
      </c>
      <c r="E1433" s="9">
        <v>13.89</v>
      </c>
      <c r="F1433" s="9">
        <v>22640600</v>
      </c>
      <c r="G1433" s="9">
        <v>13.89</v>
      </c>
    </row>
    <row r="1434" spans="1:7" x14ac:dyDescent="0.25">
      <c r="A1434" s="101">
        <v>39927</v>
      </c>
      <c r="B1434" s="9">
        <v>14.79</v>
      </c>
      <c r="C1434" s="9">
        <v>14.94</v>
      </c>
      <c r="D1434" s="9">
        <v>14.36</v>
      </c>
      <c r="E1434" s="9">
        <v>14.73</v>
      </c>
      <c r="F1434" s="9">
        <v>25803000</v>
      </c>
      <c r="G1434" s="9">
        <v>14.73</v>
      </c>
    </row>
    <row r="1435" spans="1:7" x14ac:dyDescent="0.25">
      <c r="A1435" s="101">
        <v>39926</v>
      </c>
      <c r="B1435" s="9">
        <v>14.56</v>
      </c>
      <c r="C1435" s="9">
        <v>14.74</v>
      </c>
      <c r="D1435" s="9">
        <v>14.11</v>
      </c>
      <c r="E1435" s="9">
        <v>14.55</v>
      </c>
      <c r="F1435" s="9">
        <v>32943200</v>
      </c>
      <c r="G1435" s="9">
        <v>14.55</v>
      </c>
    </row>
    <row r="1436" spans="1:7" x14ac:dyDescent="0.25">
      <c r="A1436" s="101">
        <v>39925</v>
      </c>
      <c r="B1436" s="9">
        <v>14.62</v>
      </c>
      <c r="C1436" s="9">
        <v>15.39</v>
      </c>
      <c r="D1436" s="9">
        <v>14.41</v>
      </c>
      <c r="E1436" s="9">
        <v>14.48</v>
      </c>
      <c r="F1436" s="9">
        <v>65407800</v>
      </c>
      <c r="G1436" s="9">
        <v>14.48</v>
      </c>
    </row>
    <row r="1437" spans="1:7" x14ac:dyDescent="0.25">
      <c r="A1437" s="101">
        <v>39924</v>
      </c>
      <c r="B1437" s="9">
        <v>13.94</v>
      </c>
      <c r="C1437" s="9">
        <v>14.59</v>
      </c>
      <c r="D1437" s="9">
        <v>13.71</v>
      </c>
      <c r="E1437" s="9">
        <v>14.38</v>
      </c>
      <c r="F1437" s="9">
        <v>54237700</v>
      </c>
      <c r="G1437" s="9">
        <v>14.38</v>
      </c>
    </row>
    <row r="1438" spans="1:7" x14ac:dyDescent="0.25">
      <c r="A1438" s="101">
        <v>39923</v>
      </c>
      <c r="B1438" s="9">
        <v>14.16</v>
      </c>
      <c r="C1438" s="9">
        <v>14.25</v>
      </c>
      <c r="D1438" s="9">
        <v>13.6</v>
      </c>
      <c r="E1438" s="9">
        <v>13.66</v>
      </c>
      <c r="F1438" s="9">
        <v>13470500</v>
      </c>
      <c r="G1438" s="9">
        <v>13.66</v>
      </c>
    </row>
    <row r="1439" spans="1:7" x14ac:dyDescent="0.25">
      <c r="A1439" s="101">
        <v>39920</v>
      </c>
      <c r="B1439" s="9">
        <v>14.43</v>
      </c>
      <c r="C1439" s="9">
        <v>14.52</v>
      </c>
      <c r="D1439" s="9">
        <v>14.03</v>
      </c>
      <c r="E1439" s="9">
        <v>14.39</v>
      </c>
      <c r="F1439" s="9">
        <v>19800400</v>
      </c>
      <c r="G1439" s="9">
        <v>14.39</v>
      </c>
    </row>
    <row r="1440" spans="1:7" x14ac:dyDescent="0.25">
      <c r="A1440" s="101">
        <v>39919</v>
      </c>
      <c r="B1440" s="9">
        <v>14.15</v>
      </c>
      <c r="C1440" s="9">
        <v>14.53</v>
      </c>
      <c r="D1440" s="9">
        <v>14.05</v>
      </c>
      <c r="E1440" s="9">
        <v>14.43</v>
      </c>
      <c r="F1440" s="9">
        <v>19156500</v>
      </c>
      <c r="G1440" s="9">
        <v>14.43</v>
      </c>
    </row>
    <row r="1441" spans="1:7" x14ac:dyDescent="0.25">
      <c r="A1441" s="101">
        <v>39918</v>
      </c>
      <c r="B1441" s="9">
        <v>13.93</v>
      </c>
      <c r="C1441" s="9">
        <v>14.09</v>
      </c>
      <c r="D1441" s="9">
        <v>13.77</v>
      </c>
      <c r="E1441" s="9">
        <v>14.02</v>
      </c>
      <c r="F1441" s="9">
        <v>12383200</v>
      </c>
      <c r="G1441" s="9">
        <v>14.02</v>
      </c>
    </row>
    <row r="1442" spans="1:7" x14ac:dyDescent="0.25">
      <c r="A1442" s="101">
        <v>39917</v>
      </c>
      <c r="B1442" s="9">
        <v>14.4</v>
      </c>
      <c r="C1442" s="9">
        <v>14.42</v>
      </c>
      <c r="D1442" s="9">
        <v>14</v>
      </c>
      <c r="E1442" s="9">
        <v>14.07</v>
      </c>
      <c r="F1442" s="9">
        <v>15151700</v>
      </c>
      <c r="G1442" s="9">
        <v>14.07</v>
      </c>
    </row>
    <row r="1443" spans="1:7" x14ac:dyDescent="0.25">
      <c r="A1443" s="101">
        <v>39916</v>
      </c>
      <c r="B1443" s="9">
        <v>14.02</v>
      </c>
      <c r="C1443" s="9">
        <v>14.54</v>
      </c>
      <c r="D1443" s="9">
        <v>13.86</v>
      </c>
      <c r="E1443" s="9">
        <v>14.42</v>
      </c>
      <c r="F1443" s="9">
        <v>35067600</v>
      </c>
      <c r="G1443" s="9">
        <v>14.42</v>
      </c>
    </row>
    <row r="1444" spans="1:7" x14ac:dyDescent="0.25">
      <c r="A1444" s="101">
        <v>39912</v>
      </c>
      <c r="B1444" s="9">
        <v>13.14</v>
      </c>
      <c r="C1444" s="9">
        <v>13.59</v>
      </c>
      <c r="D1444" s="9">
        <v>13.07</v>
      </c>
      <c r="E1444" s="9">
        <v>13.47</v>
      </c>
      <c r="F1444" s="9">
        <v>17285800</v>
      </c>
      <c r="G1444" s="9">
        <v>13.47</v>
      </c>
    </row>
    <row r="1445" spans="1:7" x14ac:dyDescent="0.25">
      <c r="A1445" s="101">
        <v>39911</v>
      </c>
      <c r="B1445" s="9">
        <v>12.9</v>
      </c>
      <c r="C1445" s="9">
        <v>13.01</v>
      </c>
      <c r="D1445" s="9">
        <v>12.75</v>
      </c>
      <c r="E1445" s="9">
        <v>12.92</v>
      </c>
      <c r="F1445" s="9">
        <v>11241000</v>
      </c>
      <c r="G1445" s="9">
        <v>12.92</v>
      </c>
    </row>
    <row r="1446" spans="1:7" x14ac:dyDescent="0.25">
      <c r="A1446" s="101">
        <v>39910</v>
      </c>
      <c r="B1446" s="9">
        <v>13</v>
      </c>
      <c r="C1446" s="9">
        <v>13.1</v>
      </c>
      <c r="D1446" s="9">
        <v>12.68</v>
      </c>
      <c r="E1446" s="9">
        <v>12.81</v>
      </c>
      <c r="F1446" s="9">
        <v>12306400</v>
      </c>
      <c r="G1446" s="9">
        <v>12.81</v>
      </c>
    </row>
    <row r="1447" spans="1:7" x14ac:dyDescent="0.25">
      <c r="A1447" s="101">
        <v>39909</v>
      </c>
      <c r="B1447" s="9">
        <v>13.08</v>
      </c>
      <c r="C1447" s="9">
        <v>13.24</v>
      </c>
      <c r="D1447" s="9">
        <v>12.99</v>
      </c>
      <c r="E1447" s="9">
        <v>13.23</v>
      </c>
      <c r="F1447" s="9">
        <v>11935700</v>
      </c>
      <c r="G1447" s="9">
        <v>13.23</v>
      </c>
    </row>
    <row r="1448" spans="1:7" x14ac:dyDescent="0.25">
      <c r="A1448" s="101">
        <v>39906</v>
      </c>
      <c r="B1448" s="9">
        <v>12.95</v>
      </c>
      <c r="C1448" s="9">
        <v>13.39</v>
      </c>
      <c r="D1448" s="9">
        <v>12.78</v>
      </c>
      <c r="E1448" s="9">
        <v>13.34</v>
      </c>
      <c r="F1448" s="9">
        <v>18534900</v>
      </c>
      <c r="G1448" s="9">
        <v>13.34</v>
      </c>
    </row>
    <row r="1449" spans="1:7" x14ac:dyDescent="0.25">
      <c r="A1449" s="101">
        <v>39905</v>
      </c>
      <c r="B1449" s="9">
        <v>13.04</v>
      </c>
      <c r="C1449" s="9">
        <v>13.14</v>
      </c>
      <c r="D1449" s="9">
        <v>12.8</v>
      </c>
      <c r="E1449" s="9">
        <v>12.95</v>
      </c>
      <c r="F1449" s="9">
        <v>28823100</v>
      </c>
      <c r="G1449" s="9">
        <v>12.95</v>
      </c>
    </row>
    <row r="1450" spans="1:7" x14ac:dyDescent="0.25">
      <c r="A1450" s="101">
        <v>39904</v>
      </c>
      <c r="B1450" s="9">
        <v>12.7</v>
      </c>
      <c r="C1450" s="9">
        <v>13.12</v>
      </c>
      <c r="D1450" s="9">
        <v>12.6</v>
      </c>
      <c r="E1450" s="9">
        <v>12.75</v>
      </c>
      <c r="F1450" s="9">
        <v>14540400</v>
      </c>
      <c r="G1450" s="9">
        <v>12.75</v>
      </c>
    </row>
    <row r="1451" spans="1:7" x14ac:dyDescent="0.25">
      <c r="A1451" s="101">
        <v>39903</v>
      </c>
      <c r="B1451" s="9">
        <v>12.76</v>
      </c>
      <c r="C1451" s="9">
        <v>13.1</v>
      </c>
      <c r="D1451" s="9">
        <v>12.67</v>
      </c>
      <c r="E1451" s="9">
        <v>12.81</v>
      </c>
      <c r="F1451" s="9">
        <v>12066000</v>
      </c>
      <c r="G1451" s="9">
        <v>12.81</v>
      </c>
    </row>
    <row r="1452" spans="1:7" x14ac:dyDescent="0.25">
      <c r="A1452" s="101">
        <v>39902</v>
      </c>
      <c r="B1452" s="9">
        <v>12.93</v>
      </c>
      <c r="C1452" s="9">
        <v>13.14</v>
      </c>
      <c r="D1452" s="9">
        <v>12.51</v>
      </c>
      <c r="E1452" s="9">
        <v>12.7</v>
      </c>
      <c r="F1452" s="9">
        <v>16558800</v>
      </c>
      <c r="G1452" s="9">
        <v>12.7</v>
      </c>
    </row>
    <row r="1453" spans="1:7" x14ac:dyDescent="0.25">
      <c r="A1453" s="101">
        <v>39899</v>
      </c>
      <c r="B1453" s="9">
        <v>13.17</v>
      </c>
      <c r="C1453" s="9">
        <v>13.61</v>
      </c>
      <c r="D1453" s="9">
        <v>13.12</v>
      </c>
      <c r="E1453" s="9">
        <v>13.18</v>
      </c>
      <c r="F1453" s="9">
        <v>22426200</v>
      </c>
      <c r="G1453" s="9">
        <v>13.18</v>
      </c>
    </row>
    <row r="1454" spans="1:7" x14ac:dyDescent="0.25">
      <c r="A1454" s="101">
        <v>39898</v>
      </c>
      <c r="B1454" s="9">
        <v>13.55</v>
      </c>
      <c r="C1454" s="9">
        <v>13.61</v>
      </c>
      <c r="D1454" s="9">
        <v>13</v>
      </c>
      <c r="E1454" s="9">
        <v>13.35</v>
      </c>
      <c r="F1454" s="9">
        <v>24223400</v>
      </c>
      <c r="G1454" s="9">
        <v>13.35</v>
      </c>
    </row>
    <row r="1455" spans="1:7" x14ac:dyDescent="0.25">
      <c r="A1455" s="101">
        <v>39897</v>
      </c>
      <c r="B1455" s="9">
        <v>13.69</v>
      </c>
      <c r="C1455" s="9">
        <v>13.88</v>
      </c>
      <c r="D1455" s="9">
        <v>13.35</v>
      </c>
      <c r="E1455" s="9">
        <v>13.55</v>
      </c>
      <c r="F1455" s="9">
        <v>16746400</v>
      </c>
      <c r="G1455" s="9">
        <v>13.55</v>
      </c>
    </row>
    <row r="1456" spans="1:7" x14ac:dyDescent="0.25">
      <c r="A1456" s="101">
        <v>39896</v>
      </c>
      <c r="B1456" s="9">
        <v>13.98</v>
      </c>
      <c r="C1456" s="9">
        <v>14.02</v>
      </c>
      <c r="D1456" s="9">
        <v>13.56</v>
      </c>
      <c r="E1456" s="9">
        <v>13.63</v>
      </c>
      <c r="F1456" s="9">
        <v>17293600</v>
      </c>
      <c r="G1456" s="9">
        <v>13.63</v>
      </c>
    </row>
    <row r="1457" spans="1:7" x14ac:dyDescent="0.25">
      <c r="A1457" s="101">
        <v>39895</v>
      </c>
      <c r="B1457" s="9">
        <v>13.79</v>
      </c>
      <c r="C1457" s="9">
        <v>14.12</v>
      </c>
      <c r="D1457" s="9">
        <v>13.62</v>
      </c>
      <c r="E1457" s="9">
        <v>14.09</v>
      </c>
      <c r="F1457" s="9">
        <v>18200000</v>
      </c>
      <c r="G1457" s="9">
        <v>14.09</v>
      </c>
    </row>
    <row r="1458" spans="1:7" x14ac:dyDescent="0.25">
      <c r="A1458" s="101">
        <v>39892</v>
      </c>
      <c r="B1458" s="9">
        <v>13.63</v>
      </c>
      <c r="C1458" s="9">
        <v>13.87</v>
      </c>
      <c r="D1458" s="9">
        <v>13.51</v>
      </c>
      <c r="E1458" s="9">
        <v>13.6</v>
      </c>
      <c r="F1458" s="9">
        <v>22079300</v>
      </c>
      <c r="G1458" s="9">
        <v>13.6</v>
      </c>
    </row>
    <row r="1459" spans="1:7" x14ac:dyDescent="0.25">
      <c r="A1459" s="101">
        <v>39891</v>
      </c>
      <c r="B1459" s="9">
        <v>13.68</v>
      </c>
      <c r="C1459" s="9">
        <v>14.14</v>
      </c>
      <c r="D1459" s="9">
        <v>13.61</v>
      </c>
      <c r="E1459" s="9">
        <v>13.74</v>
      </c>
      <c r="F1459" s="9">
        <v>25954300</v>
      </c>
      <c r="G1459" s="9">
        <v>13.74</v>
      </c>
    </row>
    <row r="1460" spans="1:7" x14ac:dyDescent="0.25">
      <c r="A1460" s="101">
        <v>39890</v>
      </c>
      <c r="B1460" s="9">
        <v>13.81</v>
      </c>
      <c r="C1460" s="9">
        <v>13.95</v>
      </c>
      <c r="D1460" s="9">
        <v>13.23</v>
      </c>
      <c r="E1460" s="9">
        <v>13.42</v>
      </c>
      <c r="F1460" s="9">
        <v>26324300</v>
      </c>
      <c r="G1460" s="9">
        <v>13.42</v>
      </c>
    </row>
    <row r="1461" spans="1:7" x14ac:dyDescent="0.25">
      <c r="A1461" s="101">
        <v>39889</v>
      </c>
      <c r="B1461" s="9">
        <v>13.35</v>
      </c>
      <c r="C1461" s="9">
        <v>14.04</v>
      </c>
      <c r="D1461" s="9">
        <v>13.22</v>
      </c>
      <c r="E1461" s="9">
        <v>13.99</v>
      </c>
      <c r="F1461" s="9">
        <v>16719400</v>
      </c>
      <c r="G1461" s="9">
        <v>13.99</v>
      </c>
    </row>
    <row r="1462" spans="1:7" x14ac:dyDescent="0.25">
      <c r="A1462" s="101">
        <v>39888</v>
      </c>
      <c r="B1462" s="9">
        <v>13.66</v>
      </c>
      <c r="C1462" s="9">
        <v>13.66</v>
      </c>
      <c r="D1462" s="9">
        <v>13.2</v>
      </c>
      <c r="E1462" s="9">
        <v>13.22</v>
      </c>
      <c r="F1462" s="9">
        <v>19448800</v>
      </c>
      <c r="G1462" s="9">
        <v>13.22</v>
      </c>
    </row>
    <row r="1463" spans="1:7" x14ac:dyDescent="0.25">
      <c r="A1463" s="101">
        <v>39885</v>
      </c>
      <c r="B1463" s="9">
        <v>13.58</v>
      </c>
      <c r="C1463" s="9">
        <v>13.64</v>
      </c>
      <c r="D1463" s="9">
        <v>13.27</v>
      </c>
      <c r="E1463" s="9">
        <v>13.51</v>
      </c>
      <c r="F1463" s="9">
        <v>12522600</v>
      </c>
      <c r="G1463" s="9">
        <v>13.51</v>
      </c>
    </row>
    <row r="1464" spans="1:7" x14ac:dyDescent="0.25">
      <c r="A1464" s="101">
        <v>39884</v>
      </c>
      <c r="B1464" s="9">
        <v>13.35</v>
      </c>
      <c r="C1464" s="9">
        <v>13.6</v>
      </c>
      <c r="D1464" s="9">
        <v>13.1</v>
      </c>
      <c r="E1464" s="9">
        <v>13.6</v>
      </c>
      <c r="F1464" s="9">
        <v>16682500</v>
      </c>
      <c r="G1464" s="9">
        <v>13.6</v>
      </c>
    </row>
    <row r="1465" spans="1:7" x14ac:dyDescent="0.25">
      <c r="A1465" s="101">
        <v>39883</v>
      </c>
      <c r="B1465" s="9">
        <v>13.31</v>
      </c>
      <c r="C1465" s="9">
        <v>13.5</v>
      </c>
      <c r="D1465" s="9">
        <v>13.03</v>
      </c>
      <c r="E1465" s="9">
        <v>13.39</v>
      </c>
      <c r="F1465" s="9">
        <v>17505000</v>
      </c>
      <c r="G1465" s="9">
        <v>13.39</v>
      </c>
    </row>
    <row r="1466" spans="1:7" x14ac:dyDescent="0.25">
      <c r="A1466" s="101">
        <v>39882</v>
      </c>
      <c r="B1466" s="9">
        <v>12.81</v>
      </c>
      <c r="C1466" s="9">
        <v>13.4</v>
      </c>
      <c r="D1466" s="9">
        <v>12.75</v>
      </c>
      <c r="E1466" s="9">
        <v>13.23</v>
      </c>
      <c r="F1466" s="9">
        <v>22730900</v>
      </c>
      <c r="G1466" s="9">
        <v>13.23</v>
      </c>
    </row>
    <row r="1467" spans="1:7" x14ac:dyDescent="0.25">
      <c r="A1467" s="101">
        <v>39881</v>
      </c>
      <c r="B1467" s="9">
        <v>12.85</v>
      </c>
      <c r="C1467" s="9">
        <v>13.45</v>
      </c>
      <c r="D1467" s="9">
        <v>12.55</v>
      </c>
      <c r="E1467" s="9">
        <v>12.66</v>
      </c>
      <c r="F1467" s="9">
        <v>23119700</v>
      </c>
      <c r="G1467" s="9">
        <v>12.66</v>
      </c>
    </row>
    <row r="1468" spans="1:7" x14ac:dyDescent="0.25">
      <c r="A1468" s="101">
        <v>39878</v>
      </c>
      <c r="B1468" s="9">
        <v>12.6</v>
      </c>
      <c r="C1468" s="9">
        <v>13.18</v>
      </c>
      <c r="D1468" s="9">
        <v>12.52</v>
      </c>
      <c r="E1468" s="9">
        <v>13.05</v>
      </c>
      <c r="F1468" s="9">
        <v>30994200</v>
      </c>
      <c r="G1468" s="9">
        <v>13.05</v>
      </c>
    </row>
    <row r="1469" spans="1:7" x14ac:dyDescent="0.25">
      <c r="A1469" s="101">
        <v>39877</v>
      </c>
      <c r="B1469" s="9">
        <v>12.77</v>
      </c>
      <c r="C1469" s="9">
        <v>13.07</v>
      </c>
      <c r="D1469" s="9">
        <v>12.48</v>
      </c>
      <c r="E1469" s="9">
        <v>12.53</v>
      </c>
      <c r="F1469" s="9">
        <v>18477000</v>
      </c>
      <c r="G1469" s="9">
        <v>12.53</v>
      </c>
    </row>
    <row r="1470" spans="1:7" x14ac:dyDescent="0.25">
      <c r="A1470" s="101">
        <v>39876</v>
      </c>
      <c r="B1470" s="9">
        <v>12.72</v>
      </c>
      <c r="C1470" s="9">
        <v>13.49</v>
      </c>
      <c r="D1470" s="9">
        <v>12.51</v>
      </c>
      <c r="E1470" s="9">
        <v>13.16</v>
      </c>
      <c r="F1470" s="9">
        <v>24076200</v>
      </c>
      <c r="G1470" s="9">
        <v>13.16</v>
      </c>
    </row>
    <row r="1471" spans="1:7" x14ac:dyDescent="0.25">
      <c r="A1471" s="101">
        <v>39875</v>
      </c>
      <c r="B1471" s="9">
        <v>12.79</v>
      </c>
      <c r="C1471" s="9">
        <v>12.87</v>
      </c>
      <c r="D1471" s="9">
        <v>12.31</v>
      </c>
      <c r="E1471" s="9">
        <v>12.5</v>
      </c>
      <c r="F1471" s="9">
        <v>16509700</v>
      </c>
      <c r="G1471" s="9">
        <v>12.5</v>
      </c>
    </row>
    <row r="1472" spans="1:7" x14ac:dyDescent="0.25">
      <c r="A1472" s="101">
        <v>39874</v>
      </c>
      <c r="B1472" s="9">
        <v>12.85</v>
      </c>
      <c r="C1472" s="9">
        <v>12.97</v>
      </c>
      <c r="D1472" s="9">
        <v>12.47</v>
      </c>
      <c r="E1472" s="9">
        <v>12.58</v>
      </c>
      <c r="F1472" s="9">
        <v>20934900</v>
      </c>
      <c r="G1472" s="9">
        <v>12.58</v>
      </c>
    </row>
    <row r="1473" spans="1:7" x14ac:dyDescent="0.25">
      <c r="A1473" s="101">
        <v>39871</v>
      </c>
      <c r="B1473" s="9">
        <v>12.66</v>
      </c>
      <c r="C1473" s="9">
        <v>13.33</v>
      </c>
      <c r="D1473" s="9">
        <v>12.61</v>
      </c>
      <c r="E1473" s="9">
        <v>13.23</v>
      </c>
      <c r="F1473" s="9">
        <v>20392600</v>
      </c>
      <c r="G1473" s="9">
        <v>13.23</v>
      </c>
    </row>
    <row r="1474" spans="1:7" x14ac:dyDescent="0.25">
      <c r="A1474" s="101">
        <v>39870</v>
      </c>
      <c r="B1474" s="9">
        <v>12.88</v>
      </c>
      <c r="C1474" s="9">
        <v>13.39</v>
      </c>
      <c r="D1474" s="9">
        <v>12.74</v>
      </c>
      <c r="E1474" s="9">
        <v>12.98</v>
      </c>
      <c r="F1474" s="9">
        <v>26571900</v>
      </c>
      <c r="G1474" s="9">
        <v>12.98</v>
      </c>
    </row>
    <row r="1475" spans="1:7" x14ac:dyDescent="0.25">
      <c r="A1475" s="101">
        <v>39869</v>
      </c>
      <c r="B1475" s="9">
        <v>12.45</v>
      </c>
      <c r="C1475" s="9">
        <v>12.79</v>
      </c>
      <c r="D1475" s="9">
        <v>12.3</v>
      </c>
      <c r="E1475" s="9">
        <v>12.48</v>
      </c>
      <c r="F1475" s="9">
        <v>16195700</v>
      </c>
      <c r="G1475" s="9">
        <v>12.48</v>
      </c>
    </row>
    <row r="1476" spans="1:7" x14ac:dyDescent="0.25">
      <c r="A1476" s="101">
        <v>39868</v>
      </c>
      <c r="B1476" s="9">
        <v>12.57</v>
      </c>
      <c r="C1476" s="9">
        <v>12.86</v>
      </c>
      <c r="D1476" s="9">
        <v>12.27</v>
      </c>
      <c r="E1476" s="9">
        <v>12.75</v>
      </c>
      <c r="F1476" s="9">
        <v>22529300</v>
      </c>
      <c r="G1476" s="9">
        <v>12.75</v>
      </c>
    </row>
    <row r="1477" spans="1:7" x14ac:dyDescent="0.25">
      <c r="A1477" s="101">
        <v>39867</v>
      </c>
      <c r="B1477" s="9">
        <v>12.2</v>
      </c>
      <c r="C1477" s="9">
        <v>12.35</v>
      </c>
      <c r="D1477" s="9">
        <v>11.83</v>
      </c>
      <c r="E1477" s="9">
        <v>11.97</v>
      </c>
      <c r="F1477" s="9">
        <v>16517300</v>
      </c>
      <c r="G1477" s="9">
        <v>11.97</v>
      </c>
    </row>
    <row r="1478" spans="1:7" x14ac:dyDescent="0.25">
      <c r="A1478" s="101">
        <v>39864</v>
      </c>
      <c r="B1478" s="9">
        <v>11.9</v>
      </c>
      <c r="C1478" s="9">
        <v>12.27</v>
      </c>
      <c r="D1478" s="9">
        <v>11.75</v>
      </c>
      <c r="E1478" s="9">
        <v>12.14</v>
      </c>
      <c r="F1478" s="9">
        <v>16485500</v>
      </c>
      <c r="G1478" s="9">
        <v>12.14</v>
      </c>
    </row>
    <row r="1479" spans="1:7" x14ac:dyDescent="0.25">
      <c r="A1479" s="101">
        <v>39863</v>
      </c>
      <c r="B1479" s="9">
        <v>12.35</v>
      </c>
      <c r="C1479" s="9">
        <v>12.59</v>
      </c>
      <c r="D1479" s="9">
        <v>11.93</v>
      </c>
      <c r="E1479" s="9">
        <v>11.98</v>
      </c>
      <c r="F1479" s="9">
        <v>12537600</v>
      </c>
      <c r="G1479" s="9">
        <v>11.98</v>
      </c>
    </row>
    <row r="1480" spans="1:7" x14ac:dyDescent="0.25">
      <c r="A1480" s="101">
        <v>39862</v>
      </c>
      <c r="B1480" s="9">
        <v>12.12</v>
      </c>
      <c r="C1480" s="9">
        <v>12.53</v>
      </c>
      <c r="D1480" s="9">
        <v>12.07</v>
      </c>
      <c r="E1480" s="9">
        <v>12.22</v>
      </c>
      <c r="F1480" s="9">
        <v>12434300</v>
      </c>
      <c r="G1480" s="9">
        <v>12.22</v>
      </c>
    </row>
    <row r="1481" spans="1:7" x14ac:dyDescent="0.25">
      <c r="A1481" s="101">
        <v>39861</v>
      </c>
      <c r="B1481" s="9">
        <v>12.31</v>
      </c>
      <c r="C1481" s="9">
        <v>12.58</v>
      </c>
      <c r="D1481" s="9">
        <v>12.01</v>
      </c>
      <c r="E1481" s="9">
        <v>12.02</v>
      </c>
      <c r="F1481" s="9">
        <v>15708400</v>
      </c>
      <c r="G1481" s="9">
        <v>12.02</v>
      </c>
    </row>
    <row r="1482" spans="1:7" x14ac:dyDescent="0.25">
      <c r="A1482" s="101">
        <v>39857</v>
      </c>
      <c r="B1482" s="9">
        <v>12.67</v>
      </c>
      <c r="C1482" s="9">
        <v>12.99</v>
      </c>
      <c r="D1482" s="9">
        <v>12.59</v>
      </c>
      <c r="E1482" s="9">
        <v>12.84</v>
      </c>
      <c r="F1482" s="9">
        <v>11139300</v>
      </c>
      <c r="G1482" s="9">
        <v>12.84</v>
      </c>
    </row>
    <row r="1483" spans="1:7" x14ac:dyDescent="0.25">
      <c r="A1483" s="101">
        <v>39856</v>
      </c>
      <c r="B1483" s="9">
        <v>12.5</v>
      </c>
      <c r="C1483" s="9">
        <v>12.66</v>
      </c>
      <c r="D1483" s="9">
        <v>12.14</v>
      </c>
      <c r="E1483" s="9">
        <v>12.66</v>
      </c>
      <c r="F1483" s="9">
        <v>15452500</v>
      </c>
      <c r="G1483" s="9">
        <v>12.66</v>
      </c>
    </row>
    <row r="1484" spans="1:7" x14ac:dyDescent="0.25">
      <c r="A1484" s="101">
        <v>39855</v>
      </c>
      <c r="B1484" s="9">
        <v>12.87</v>
      </c>
      <c r="C1484" s="9">
        <v>12.91</v>
      </c>
      <c r="D1484" s="9">
        <v>12.38</v>
      </c>
      <c r="E1484" s="9">
        <v>12.63</v>
      </c>
      <c r="F1484" s="9">
        <v>13726600</v>
      </c>
      <c r="G1484" s="9">
        <v>12.63</v>
      </c>
    </row>
    <row r="1485" spans="1:7" x14ac:dyDescent="0.25">
      <c r="A1485" s="101">
        <v>39854</v>
      </c>
      <c r="B1485" s="9">
        <v>13.54</v>
      </c>
      <c r="C1485" s="9">
        <v>13.9</v>
      </c>
      <c r="D1485" s="9">
        <v>12.72</v>
      </c>
      <c r="E1485" s="9">
        <v>12.75</v>
      </c>
      <c r="F1485" s="9">
        <v>24148400</v>
      </c>
      <c r="G1485" s="9">
        <v>12.75</v>
      </c>
    </row>
    <row r="1486" spans="1:7" x14ac:dyDescent="0.25">
      <c r="A1486" s="101">
        <v>39853</v>
      </c>
      <c r="B1486" s="9">
        <v>13.59</v>
      </c>
      <c r="C1486" s="9">
        <v>14</v>
      </c>
      <c r="D1486" s="9">
        <v>13.47</v>
      </c>
      <c r="E1486" s="9">
        <v>13.9</v>
      </c>
      <c r="F1486" s="9">
        <v>15686200</v>
      </c>
      <c r="G1486" s="9">
        <v>13.9</v>
      </c>
    </row>
    <row r="1487" spans="1:7" x14ac:dyDescent="0.25">
      <c r="A1487" s="101">
        <v>39850</v>
      </c>
      <c r="B1487" s="9">
        <v>13.41</v>
      </c>
      <c r="C1487" s="9">
        <v>13.84</v>
      </c>
      <c r="D1487" s="9">
        <v>13.2</v>
      </c>
      <c r="E1487" s="9">
        <v>13.63</v>
      </c>
      <c r="F1487" s="9">
        <v>17594600</v>
      </c>
      <c r="G1487" s="9">
        <v>13.63</v>
      </c>
    </row>
    <row r="1488" spans="1:7" x14ac:dyDescent="0.25">
      <c r="A1488" s="101">
        <v>39849</v>
      </c>
      <c r="B1488" s="9">
        <v>12.93</v>
      </c>
      <c r="C1488" s="9">
        <v>13.52</v>
      </c>
      <c r="D1488" s="9">
        <v>12.85</v>
      </c>
      <c r="E1488" s="9">
        <v>13.51</v>
      </c>
      <c r="F1488" s="9">
        <v>17566800</v>
      </c>
      <c r="G1488" s="9">
        <v>13.51</v>
      </c>
    </row>
    <row r="1489" spans="1:7" x14ac:dyDescent="0.25">
      <c r="A1489" s="101">
        <v>39848</v>
      </c>
      <c r="B1489" s="9">
        <v>12.67</v>
      </c>
      <c r="C1489" s="9">
        <v>13.23</v>
      </c>
      <c r="D1489" s="9">
        <v>12.55</v>
      </c>
      <c r="E1489" s="9">
        <v>13</v>
      </c>
      <c r="F1489" s="9">
        <v>22933800</v>
      </c>
      <c r="G1489" s="9">
        <v>13</v>
      </c>
    </row>
    <row r="1490" spans="1:7" x14ac:dyDescent="0.25">
      <c r="A1490" s="101">
        <v>39847</v>
      </c>
      <c r="B1490" s="9">
        <v>12.3</v>
      </c>
      <c r="C1490" s="9">
        <v>12.71</v>
      </c>
      <c r="D1490" s="9">
        <v>12.01</v>
      </c>
      <c r="E1490" s="9">
        <v>12.68</v>
      </c>
      <c r="F1490" s="9">
        <v>18669700</v>
      </c>
      <c r="G1490" s="9">
        <v>12.68</v>
      </c>
    </row>
    <row r="1491" spans="1:7" x14ac:dyDescent="0.25">
      <c r="A1491" s="101">
        <v>39846</v>
      </c>
      <c r="B1491" s="9">
        <v>11.5</v>
      </c>
      <c r="C1491" s="9">
        <v>12.32</v>
      </c>
      <c r="D1491" s="9">
        <v>11.49</v>
      </c>
      <c r="E1491" s="9">
        <v>12.15</v>
      </c>
      <c r="F1491" s="9">
        <v>21223000</v>
      </c>
      <c r="G1491" s="9">
        <v>12.15</v>
      </c>
    </row>
    <row r="1492" spans="1:7" x14ac:dyDescent="0.25">
      <c r="A1492" s="101">
        <v>39843</v>
      </c>
      <c r="B1492" s="9">
        <v>11.86</v>
      </c>
      <c r="C1492" s="9">
        <v>12.15</v>
      </c>
      <c r="D1492" s="9">
        <v>11.51</v>
      </c>
      <c r="E1492" s="9">
        <v>11.73</v>
      </c>
      <c r="F1492" s="9">
        <v>21508900</v>
      </c>
      <c r="G1492" s="9">
        <v>11.73</v>
      </c>
    </row>
    <row r="1493" spans="1:7" x14ac:dyDescent="0.25">
      <c r="A1493" s="101">
        <v>39842</v>
      </c>
      <c r="B1493" s="9">
        <v>12.02</v>
      </c>
      <c r="C1493" s="9">
        <v>12.24</v>
      </c>
      <c r="D1493" s="9">
        <v>11.73</v>
      </c>
      <c r="E1493" s="9">
        <v>11.74</v>
      </c>
      <c r="F1493" s="9">
        <v>22124100</v>
      </c>
      <c r="G1493" s="9">
        <v>11.74</v>
      </c>
    </row>
    <row r="1494" spans="1:7" x14ac:dyDescent="0.25">
      <c r="A1494" s="101">
        <v>39841</v>
      </c>
      <c r="B1494" s="9">
        <v>12.23</v>
      </c>
      <c r="C1494" s="9">
        <v>12.38</v>
      </c>
      <c r="D1494" s="9">
        <v>11.92</v>
      </c>
      <c r="E1494" s="9">
        <v>12.24</v>
      </c>
      <c r="F1494" s="9">
        <v>35686800</v>
      </c>
      <c r="G1494" s="9">
        <v>12.24</v>
      </c>
    </row>
    <row r="1495" spans="1:7" x14ac:dyDescent="0.25">
      <c r="A1495" s="101">
        <v>39840</v>
      </c>
      <c r="B1495" s="9">
        <v>11.2</v>
      </c>
      <c r="C1495" s="9">
        <v>11.37</v>
      </c>
      <c r="D1495" s="9">
        <v>10.85</v>
      </c>
      <c r="E1495" s="9">
        <v>11.34</v>
      </c>
      <c r="F1495" s="9">
        <v>33708200</v>
      </c>
      <c r="G1495" s="9">
        <v>11.34</v>
      </c>
    </row>
    <row r="1496" spans="1:7" x14ac:dyDescent="0.25">
      <c r="A1496" s="101">
        <v>39839</v>
      </c>
      <c r="B1496" s="9">
        <v>11.26</v>
      </c>
      <c r="C1496" s="9">
        <v>11.28</v>
      </c>
      <c r="D1496" s="9">
        <v>10.81</v>
      </c>
      <c r="E1496" s="9">
        <v>11.17</v>
      </c>
      <c r="F1496" s="9">
        <v>16469800</v>
      </c>
      <c r="G1496" s="9">
        <v>11.17</v>
      </c>
    </row>
    <row r="1497" spans="1:7" x14ac:dyDescent="0.25">
      <c r="A1497" s="101">
        <v>39836</v>
      </c>
      <c r="B1497" s="9">
        <v>10.9</v>
      </c>
      <c r="C1497" s="9">
        <v>11.55</v>
      </c>
      <c r="D1497" s="9">
        <v>10.86</v>
      </c>
      <c r="E1497" s="9">
        <v>11.32</v>
      </c>
      <c r="F1497" s="9">
        <v>15864000</v>
      </c>
      <c r="G1497" s="9">
        <v>11.32</v>
      </c>
    </row>
    <row r="1498" spans="1:7" x14ac:dyDescent="0.25">
      <c r="A1498" s="101">
        <v>39835</v>
      </c>
      <c r="B1498" s="9">
        <v>11.35</v>
      </c>
      <c r="C1498" s="9">
        <v>11.51</v>
      </c>
      <c r="D1498" s="9">
        <v>10.9</v>
      </c>
      <c r="E1498" s="9">
        <v>11.28</v>
      </c>
      <c r="F1498" s="9">
        <v>17201700</v>
      </c>
      <c r="G1498" s="9">
        <v>11.28</v>
      </c>
    </row>
    <row r="1499" spans="1:7" x14ac:dyDescent="0.25">
      <c r="A1499" s="101">
        <v>39834</v>
      </c>
      <c r="B1499" s="9">
        <v>11.17</v>
      </c>
      <c r="C1499" s="9">
        <v>11.59</v>
      </c>
      <c r="D1499" s="9">
        <v>11.08</v>
      </c>
      <c r="E1499" s="9">
        <v>11.59</v>
      </c>
      <c r="F1499" s="9">
        <v>15892200</v>
      </c>
      <c r="G1499" s="9">
        <v>11.59</v>
      </c>
    </row>
    <row r="1500" spans="1:7" x14ac:dyDescent="0.25">
      <c r="A1500" s="101">
        <v>39833</v>
      </c>
      <c r="B1500" s="9">
        <v>11.72</v>
      </c>
      <c r="C1500" s="9">
        <v>11.8</v>
      </c>
      <c r="D1500" s="9">
        <v>11.01</v>
      </c>
      <c r="E1500" s="9">
        <v>11.01</v>
      </c>
      <c r="F1500" s="9">
        <v>18692000</v>
      </c>
      <c r="G1500" s="9">
        <v>11.01</v>
      </c>
    </row>
    <row r="1501" spans="1:7" x14ac:dyDescent="0.25">
      <c r="A1501" s="101">
        <v>39829</v>
      </c>
      <c r="B1501" s="9">
        <v>11.87</v>
      </c>
      <c r="C1501" s="9">
        <v>11.97</v>
      </c>
      <c r="D1501" s="9">
        <v>11.44</v>
      </c>
      <c r="E1501" s="9">
        <v>11.59</v>
      </c>
      <c r="F1501" s="9">
        <v>24783700</v>
      </c>
      <c r="G1501" s="9">
        <v>11.59</v>
      </c>
    </row>
    <row r="1502" spans="1:7" x14ac:dyDescent="0.25">
      <c r="A1502" s="101">
        <v>39828</v>
      </c>
      <c r="B1502" s="9">
        <v>12.32</v>
      </c>
      <c r="C1502" s="9">
        <v>12.35</v>
      </c>
      <c r="D1502" s="9">
        <v>11.22</v>
      </c>
      <c r="E1502" s="9">
        <v>11.61</v>
      </c>
      <c r="F1502" s="9">
        <v>25247500</v>
      </c>
      <c r="G1502" s="9">
        <v>11.61</v>
      </c>
    </row>
    <row r="1503" spans="1:7" x14ac:dyDescent="0.25">
      <c r="A1503" s="101">
        <v>39827</v>
      </c>
      <c r="B1503" s="9">
        <v>12.26</v>
      </c>
      <c r="C1503" s="9">
        <v>12.53</v>
      </c>
      <c r="D1503" s="9">
        <v>11.81</v>
      </c>
      <c r="E1503" s="9">
        <v>12.41</v>
      </c>
      <c r="F1503" s="9">
        <v>23595200</v>
      </c>
      <c r="G1503" s="9">
        <v>12.41</v>
      </c>
    </row>
    <row r="1504" spans="1:7" x14ac:dyDescent="0.25">
      <c r="A1504" s="101">
        <v>39826</v>
      </c>
      <c r="B1504" s="9">
        <v>12.09</v>
      </c>
      <c r="C1504" s="9">
        <v>12.79</v>
      </c>
      <c r="D1504" s="9">
        <v>11.78</v>
      </c>
      <c r="E1504" s="9">
        <v>12.1</v>
      </c>
      <c r="F1504" s="9">
        <v>25720400</v>
      </c>
      <c r="G1504" s="9">
        <v>12.1</v>
      </c>
    </row>
    <row r="1505" spans="1:7" x14ac:dyDescent="0.25">
      <c r="A1505" s="101">
        <v>39825</v>
      </c>
      <c r="B1505" s="9">
        <v>13.09</v>
      </c>
      <c r="C1505" s="9">
        <v>13.1</v>
      </c>
      <c r="D1505" s="9">
        <v>12.08</v>
      </c>
      <c r="E1505" s="9">
        <v>12.22</v>
      </c>
      <c r="F1505" s="9">
        <v>19976900</v>
      </c>
      <c r="G1505" s="9">
        <v>12.22</v>
      </c>
    </row>
    <row r="1506" spans="1:7" x14ac:dyDescent="0.25">
      <c r="A1506" s="101">
        <v>39822</v>
      </c>
      <c r="B1506" s="9">
        <v>13.42</v>
      </c>
      <c r="C1506" s="9">
        <v>13.56</v>
      </c>
      <c r="D1506" s="9">
        <v>12.9</v>
      </c>
      <c r="E1506" s="9">
        <v>13.13</v>
      </c>
      <c r="F1506" s="9">
        <v>19281000</v>
      </c>
      <c r="G1506" s="9">
        <v>13.13</v>
      </c>
    </row>
    <row r="1507" spans="1:7" x14ac:dyDescent="0.25">
      <c r="A1507" s="101">
        <v>39821</v>
      </c>
      <c r="B1507" s="9">
        <v>12.37</v>
      </c>
      <c r="C1507" s="9">
        <v>13.07</v>
      </c>
      <c r="D1507" s="9">
        <v>12.31</v>
      </c>
      <c r="E1507" s="9">
        <v>13.07</v>
      </c>
      <c r="F1507" s="9">
        <v>14355000</v>
      </c>
      <c r="G1507" s="9">
        <v>13.07</v>
      </c>
    </row>
    <row r="1508" spans="1:7" x14ac:dyDescent="0.25">
      <c r="A1508" s="101">
        <v>39820</v>
      </c>
      <c r="B1508" s="9">
        <v>12.71</v>
      </c>
      <c r="C1508" s="9">
        <v>13.16</v>
      </c>
      <c r="D1508" s="9">
        <v>12.45</v>
      </c>
      <c r="E1508" s="9">
        <v>12.71</v>
      </c>
      <c r="F1508" s="9">
        <v>24995900</v>
      </c>
      <c r="G1508" s="9">
        <v>12.71</v>
      </c>
    </row>
    <row r="1509" spans="1:7" x14ac:dyDescent="0.25">
      <c r="A1509" s="101">
        <v>39819</v>
      </c>
      <c r="B1509" s="9">
        <v>12.96</v>
      </c>
      <c r="C1509" s="9">
        <v>13.24</v>
      </c>
      <c r="D1509" s="9">
        <v>12.88</v>
      </c>
      <c r="E1509" s="9">
        <v>13</v>
      </c>
      <c r="F1509" s="9">
        <v>10056000</v>
      </c>
      <c r="G1509" s="9">
        <v>13</v>
      </c>
    </row>
    <row r="1510" spans="1:7" x14ac:dyDescent="0.25">
      <c r="A1510" s="101">
        <v>39818</v>
      </c>
      <c r="B1510" s="9">
        <v>12.72</v>
      </c>
      <c r="C1510" s="9">
        <v>13.01</v>
      </c>
      <c r="D1510" s="9">
        <v>12.39</v>
      </c>
      <c r="E1510" s="9">
        <v>12.86</v>
      </c>
      <c r="F1510" s="9">
        <v>11989900</v>
      </c>
      <c r="G1510" s="9">
        <v>12.86</v>
      </c>
    </row>
    <row r="1511" spans="1:7" x14ac:dyDescent="0.25">
      <c r="A1511" s="101">
        <v>39815</v>
      </c>
      <c r="B1511" s="9">
        <v>12.17</v>
      </c>
      <c r="C1511" s="9">
        <v>12.85</v>
      </c>
      <c r="D1511" s="9">
        <v>12.12</v>
      </c>
      <c r="E1511" s="9">
        <v>12.85</v>
      </c>
      <c r="F1511" s="9">
        <v>9514600</v>
      </c>
      <c r="G1511" s="9">
        <v>12.85</v>
      </c>
    </row>
    <row r="1512" spans="1:7" x14ac:dyDescent="0.25">
      <c r="A1512" s="101">
        <v>39813</v>
      </c>
      <c r="B1512" s="9">
        <v>11.95</v>
      </c>
      <c r="C1512" s="9">
        <v>12.3</v>
      </c>
      <c r="D1512" s="9">
        <v>11.92</v>
      </c>
      <c r="E1512" s="9">
        <v>12.2</v>
      </c>
      <c r="F1512" s="9">
        <v>9085500</v>
      </c>
      <c r="G1512" s="9">
        <v>12.2</v>
      </c>
    </row>
    <row r="1513" spans="1:7" x14ac:dyDescent="0.25">
      <c r="A1513" s="101">
        <v>39812</v>
      </c>
      <c r="B1513" s="9">
        <v>11.91</v>
      </c>
      <c r="C1513" s="9">
        <v>12</v>
      </c>
      <c r="D1513" s="9">
        <v>11.72</v>
      </c>
      <c r="E1513" s="9">
        <v>11.97</v>
      </c>
      <c r="F1513" s="9">
        <v>7480600</v>
      </c>
      <c r="G1513" s="9">
        <v>11.97</v>
      </c>
    </row>
    <row r="1514" spans="1:7" x14ac:dyDescent="0.25">
      <c r="A1514" s="101">
        <v>39811</v>
      </c>
      <c r="B1514" s="9">
        <v>12.46</v>
      </c>
      <c r="C1514" s="9">
        <v>12.46</v>
      </c>
      <c r="D1514" s="9">
        <v>11.45</v>
      </c>
      <c r="E1514" s="9">
        <v>11.88</v>
      </c>
      <c r="F1514" s="9">
        <v>9913500</v>
      </c>
      <c r="G1514" s="9">
        <v>11.88</v>
      </c>
    </row>
    <row r="1515" spans="1:7" x14ac:dyDescent="0.25">
      <c r="A1515" s="101">
        <v>39808</v>
      </c>
      <c r="B1515" s="9">
        <v>12.3</v>
      </c>
      <c r="C1515" s="9">
        <v>12.38</v>
      </c>
      <c r="D1515" s="9">
        <v>12.18</v>
      </c>
      <c r="E1515" s="9">
        <v>12.34</v>
      </c>
      <c r="F1515" s="9">
        <v>3873900</v>
      </c>
      <c r="G1515" s="9">
        <v>12.34</v>
      </c>
    </row>
    <row r="1516" spans="1:7" x14ac:dyDescent="0.25">
      <c r="A1516" s="101">
        <v>39806</v>
      </c>
      <c r="B1516" s="9">
        <v>12.41</v>
      </c>
      <c r="C1516" s="9">
        <v>12.48</v>
      </c>
      <c r="D1516" s="9">
        <v>12.29</v>
      </c>
      <c r="E1516" s="9">
        <v>12.32</v>
      </c>
      <c r="F1516" s="9">
        <v>2500100</v>
      </c>
      <c r="G1516" s="9">
        <v>12.32</v>
      </c>
    </row>
    <row r="1517" spans="1:7" x14ac:dyDescent="0.25">
      <c r="A1517" s="101">
        <v>39805</v>
      </c>
      <c r="B1517" s="9">
        <v>12.47</v>
      </c>
      <c r="C1517" s="9">
        <v>12.65</v>
      </c>
      <c r="D1517" s="9">
        <v>12.25</v>
      </c>
      <c r="E1517" s="9">
        <v>12.42</v>
      </c>
      <c r="F1517" s="9">
        <v>7474700</v>
      </c>
      <c r="G1517" s="9">
        <v>12.42</v>
      </c>
    </row>
    <row r="1518" spans="1:7" x14ac:dyDescent="0.25">
      <c r="A1518" s="101">
        <v>39804</v>
      </c>
      <c r="B1518" s="9">
        <v>13.03</v>
      </c>
      <c r="C1518" s="9">
        <v>13.08</v>
      </c>
      <c r="D1518" s="9">
        <v>12</v>
      </c>
      <c r="E1518" s="9">
        <v>12.35</v>
      </c>
      <c r="F1518" s="9">
        <v>12946400</v>
      </c>
      <c r="G1518" s="9">
        <v>12.35</v>
      </c>
    </row>
    <row r="1519" spans="1:7" x14ac:dyDescent="0.25">
      <c r="A1519" s="101">
        <v>39801</v>
      </c>
      <c r="B1519" s="9">
        <v>12.92</v>
      </c>
      <c r="C1519" s="9">
        <v>13.32</v>
      </c>
      <c r="D1519" s="9">
        <v>12.72</v>
      </c>
      <c r="E1519" s="9">
        <v>13.03</v>
      </c>
      <c r="F1519" s="9">
        <v>17551900</v>
      </c>
      <c r="G1519" s="9">
        <v>13.03</v>
      </c>
    </row>
    <row r="1520" spans="1:7" x14ac:dyDescent="0.25">
      <c r="A1520" s="101">
        <v>39800</v>
      </c>
      <c r="B1520" s="9">
        <v>13.13</v>
      </c>
      <c r="C1520" s="9">
        <v>13.27</v>
      </c>
      <c r="D1520" s="9">
        <v>12.7</v>
      </c>
      <c r="E1520" s="9">
        <v>12.72</v>
      </c>
      <c r="F1520" s="9">
        <v>14997900</v>
      </c>
      <c r="G1520" s="9">
        <v>12.72</v>
      </c>
    </row>
    <row r="1521" spans="1:7" x14ac:dyDescent="0.25">
      <c r="A1521" s="101">
        <v>39799</v>
      </c>
      <c r="B1521" s="9">
        <v>13</v>
      </c>
      <c r="C1521" s="9">
        <v>13.43</v>
      </c>
      <c r="D1521" s="9">
        <v>12.83</v>
      </c>
      <c r="E1521" s="9">
        <v>13.11</v>
      </c>
      <c r="F1521" s="9">
        <v>12783000</v>
      </c>
      <c r="G1521" s="9">
        <v>13.11</v>
      </c>
    </row>
    <row r="1522" spans="1:7" x14ac:dyDescent="0.25">
      <c r="A1522" s="101">
        <v>39798</v>
      </c>
      <c r="B1522" s="9">
        <v>12.88</v>
      </c>
      <c r="C1522" s="9">
        <v>13.48</v>
      </c>
      <c r="D1522" s="9">
        <v>12.88</v>
      </c>
      <c r="E1522" s="9">
        <v>13.36</v>
      </c>
      <c r="F1522" s="9">
        <v>18544100</v>
      </c>
      <c r="G1522" s="9">
        <v>13.36</v>
      </c>
    </row>
    <row r="1523" spans="1:7" x14ac:dyDescent="0.25">
      <c r="A1523" s="101">
        <v>39797</v>
      </c>
      <c r="B1523" s="9">
        <v>13.1</v>
      </c>
      <c r="C1523" s="9">
        <v>13.29</v>
      </c>
      <c r="D1523" s="9">
        <v>12.55</v>
      </c>
      <c r="E1523" s="9">
        <v>12.73</v>
      </c>
      <c r="F1523" s="9">
        <v>20131100</v>
      </c>
      <c r="G1523" s="9">
        <v>12.73</v>
      </c>
    </row>
    <row r="1524" spans="1:7" x14ac:dyDescent="0.25">
      <c r="A1524" s="101">
        <v>39794</v>
      </c>
      <c r="B1524" s="9">
        <v>12.31</v>
      </c>
      <c r="C1524" s="9">
        <v>13.23</v>
      </c>
      <c r="D1524" s="9">
        <v>12.15</v>
      </c>
      <c r="E1524" s="9">
        <v>13.15</v>
      </c>
      <c r="F1524" s="9">
        <v>24636700</v>
      </c>
      <c r="G1524" s="9">
        <v>13.15</v>
      </c>
    </row>
    <row r="1525" spans="1:7" x14ac:dyDescent="0.25">
      <c r="A1525" s="101">
        <v>39793</v>
      </c>
      <c r="B1525" s="9">
        <v>13.16</v>
      </c>
      <c r="C1525" s="9">
        <v>13.36</v>
      </c>
      <c r="D1525" s="9">
        <v>12.57</v>
      </c>
      <c r="E1525" s="9">
        <v>12.73</v>
      </c>
      <c r="F1525" s="9">
        <v>26528700</v>
      </c>
      <c r="G1525" s="9">
        <v>12.73</v>
      </c>
    </row>
    <row r="1526" spans="1:7" x14ac:dyDescent="0.25">
      <c r="A1526" s="101">
        <v>39792</v>
      </c>
      <c r="B1526" s="9">
        <v>12.67</v>
      </c>
      <c r="C1526" s="9">
        <v>13.57</v>
      </c>
      <c r="D1526" s="9">
        <v>12.35</v>
      </c>
      <c r="E1526" s="9">
        <v>13.4</v>
      </c>
      <c r="F1526" s="9">
        <v>46696000</v>
      </c>
      <c r="G1526" s="9">
        <v>13.4</v>
      </c>
    </row>
    <row r="1527" spans="1:7" x14ac:dyDescent="0.25">
      <c r="A1527" s="101">
        <v>39791</v>
      </c>
      <c r="B1527" s="9">
        <v>11.9</v>
      </c>
      <c r="C1527" s="9">
        <v>12.54</v>
      </c>
      <c r="D1527" s="9">
        <v>11.77</v>
      </c>
      <c r="E1527" s="9">
        <v>12.19</v>
      </c>
      <c r="F1527" s="9">
        <v>28943400</v>
      </c>
      <c r="G1527" s="9">
        <v>12.19</v>
      </c>
    </row>
    <row r="1528" spans="1:7" x14ac:dyDescent="0.25">
      <c r="A1528" s="101">
        <v>39790</v>
      </c>
      <c r="B1528" s="9">
        <v>12.17</v>
      </c>
      <c r="C1528" s="9">
        <v>12.49</v>
      </c>
      <c r="D1528" s="9">
        <v>11.79</v>
      </c>
      <c r="E1528" s="9">
        <v>12.2</v>
      </c>
      <c r="F1528" s="9">
        <v>33782200</v>
      </c>
      <c r="G1528" s="9">
        <v>12.2</v>
      </c>
    </row>
    <row r="1529" spans="1:7" x14ac:dyDescent="0.25">
      <c r="A1529" s="101">
        <v>39787</v>
      </c>
      <c r="B1529" s="9">
        <v>10.96</v>
      </c>
      <c r="C1529" s="9">
        <v>11.7</v>
      </c>
      <c r="D1529" s="9">
        <v>10.62</v>
      </c>
      <c r="E1529" s="9">
        <v>11.66</v>
      </c>
      <c r="F1529" s="9">
        <v>19973900</v>
      </c>
      <c r="G1529" s="9">
        <v>11.66</v>
      </c>
    </row>
    <row r="1530" spans="1:7" x14ac:dyDescent="0.25">
      <c r="A1530" s="101">
        <v>39786</v>
      </c>
      <c r="B1530" s="9">
        <v>11.38</v>
      </c>
      <c r="C1530" s="9">
        <v>11.48</v>
      </c>
      <c r="D1530" s="9">
        <v>10.7</v>
      </c>
      <c r="E1530" s="9">
        <v>11.05</v>
      </c>
      <c r="F1530" s="9">
        <v>18447800</v>
      </c>
      <c r="G1530" s="9">
        <v>11.05</v>
      </c>
    </row>
    <row r="1531" spans="1:7" x14ac:dyDescent="0.25">
      <c r="A1531" s="101">
        <v>39785</v>
      </c>
      <c r="B1531" s="9">
        <v>11.12</v>
      </c>
      <c r="C1531" s="9">
        <v>11.5</v>
      </c>
      <c r="D1531" s="9">
        <v>10.74</v>
      </c>
      <c r="E1531" s="9">
        <v>11.5</v>
      </c>
      <c r="F1531" s="9">
        <v>24094600</v>
      </c>
      <c r="G1531" s="9">
        <v>11.5</v>
      </c>
    </row>
    <row r="1532" spans="1:7" x14ac:dyDescent="0.25">
      <c r="A1532" s="101">
        <v>39784</v>
      </c>
      <c r="B1532" s="9">
        <v>10.81</v>
      </c>
      <c r="C1532" s="9">
        <v>12.5</v>
      </c>
      <c r="D1532" s="9">
        <v>10.5</v>
      </c>
      <c r="E1532" s="9">
        <v>11.5</v>
      </c>
      <c r="F1532" s="9">
        <v>46254900</v>
      </c>
      <c r="G1532" s="9">
        <v>11.5</v>
      </c>
    </row>
    <row r="1533" spans="1:7" x14ac:dyDescent="0.25">
      <c r="A1533" s="101">
        <v>39783</v>
      </c>
      <c r="B1533" s="9">
        <v>11.82</v>
      </c>
      <c r="C1533" s="9">
        <v>11.98</v>
      </c>
      <c r="D1533" s="9">
        <v>10.73</v>
      </c>
      <c r="E1533" s="9">
        <v>10.74</v>
      </c>
      <c r="F1533" s="9">
        <v>26242500</v>
      </c>
      <c r="G1533" s="9">
        <v>10.74</v>
      </c>
    </row>
    <row r="1534" spans="1:7" x14ac:dyDescent="0.25">
      <c r="A1534" s="101">
        <v>39780</v>
      </c>
      <c r="B1534" s="9">
        <v>10.76</v>
      </c>
      <c r="C1534" s="9">
        <v>11.59</v>
      </c>
      <c r="D1534" s="9">
        <v>10.65</v>
      </c>
      <c r="E1534" s="9">
        <v>11.51</v>
      </c>
      <c r="F1534" s="9">
        <v>12397600</v>
      </c>
      <c r="G1534" s="9">
        <v>11.51</v>
      </c>
    </row>
    <row r="1535" spans="1:7" x14ac:dyDescent="0.25">
      <c r="A1535" s="101">
        <v>39778</v>
      </c>
      <c r="B1535" s="9">
        <v>9.93</v>
      </c>
      <c r="C1535" s="9">
        <v>10.58</v>
      </c>
      <c r="D1535" s="9">
        <v>9.92</v>
      </c>
      <c r="E1535" s="9">
        <v>10.58</v>
      </c>
      <c r="F1535" s="9">
        <v>13640000</v>
      </c>
      <c r="G1535" s="9">
        <v>10.58</v>
      </c>
    </row>
    <row r="1536" spans="1:7" x14ac:dyDescent="0.25">
      <c r="A1536" s="101">
        <v>39777</v>
      </c>
      <c r="B1536" s="9">
        <v>10.119999999999999</v>
      </c>
      <c r="C1536" s="9">
        <v>10.199999999999999</v>
      </c>
      <c r="D1536" s="9">
        <v>9.83</v>
      </c>
      <c r="E1536" s="9">
        <v>10.07</v>
      </c>
      <c r="F1536" s="9">
        <v>16889200</v>
      </c>
      <c r="G1536" s="9">
        <v>10.07</v>
      </c>
    </row>
    <row r="1537" spans="1:7" x14ac:dyDescent="0.25">
      <c r="A1537" s="101">
        <v>39776</v>
      </c>
      <c r="B1537" s="9">
        <v>9.56</v>
      </c>
      <c r="C1537" s="9">
        <v>10.27</v>
      </c>
      <c r="D1537" s="9">
        <v>9.42</v>
      </c>
      <c r="E1537" s="9">
        <v>10.210000000000001</v>
      </c>
      <c r="F1537" s="9">
        <v>22452600</v>
      </c>
      <c r="G1537" s="9">
        <v>10.210000000000001</v>
      </c>
    </row>
    <row r="1538" spans="1:7" x14ac:dyDescent="0.25">
      <c r="A1538" s="101">
        <v>39773</v>
      </c>
      <c r="B1538" s="9">
        <v>9.2799999999999994</v>
      </c>
      <c r="C1538" s="9">
        <v>9.48</v>
      </c>
      <c r="D1538" s="9">
        <v>8.9499999999999993</v>
      </c>
      <c r="E1538" s="9">
        <v>9.39</v>
      </c>
      <c r="F1538" s="9">
        <v>29895300</v>
      </c>
      <c r="G1538" s="9">
        <v>9.39</v>
      </c>
    </row>
    <row r="1539" spans="1:7" x14ac:dyDescent="0.25">
      <c r="A1539" s="101">
        <v>39772</v>
      </c>
      <c r="B1539" s="9">
        <v>9.1</v>
      </c>
      <c r="C1539" s="9">
        <v>10.01</v>
      </c>
      <c r="D1539" s="9">
        <v>8.94</v>
      </c>
      <c r="E1539" s="9">
        <v>8.9499999999999993</v>
      </c>
      <c r="F1539" s="9">
        <v>37311800</v>
      </c>
      <c r="G1539" s="9">
        <v>8.9499999999999993</v>
      </c>
    </row>
    <row r="1540" spans="1:7" x14ac:dyDescent="0.25">
      <c r="A1540" s="101">
        <v>39771</v>
      </c>
      <c r="B1540" s="9">
        <v>11.54</v>
      </c>
      <c r="C1540" s="9">
        <v>11.58</v>
      </c>
      <c r="D1540" s="9">
        <v>9.07</v>
      </c>
      <c r="E1540" s="9">
        <v>9.14</v>
      </c>
      <c r="F1540" s="9">
        <v>57680800</v>
      </c>
      <c r="G1540" s="9">
        <v>9.14</v>
      </c>
    </row>
    <row r="1541" spans="1:7" x14ac:dyDescent="0.25">
      <c r="A1541" s="101">
        <v>39770</v>
      </c>
      <c r="B1541" s="9">
        <v>11.93</v>
      </c>
      <c r="C1541" s="9">
        <v>12.4</v>
      </c>
      <c r="D1541" s="9">
        <v>11</v>
      </c>
      <c r="E1541" s="9">
        <v>11.55</v>
      </c>
      <c r="F1541" s="9">
        <v>51671000</v>
      </c>
      <c r="G1541" s="9">
        <v>11.55</v>
      </c>
    </row>
    <row r="1542" spans="1:7" x14ac:dyDescent="0.25">
      <c r="A1542" s="101">
        <v>39769</v>
      </c>
      <c r="B1542" s="9">
        <v>10.5</v>
      </c>
      <c r="C1542" s="9">
        <v>10.94</v>
      </c>
      <c r="D1542" s="9">
        <v>10.32</v>
      </c>
      <c r="E1542" s="9">
        <v>10.63</v>
      </c>
      <c r="F1542" s="9">
        <v>14601400</v>
      </c>
      <c r="G1542" s="9">
        <v>10.63</v>
      </c>
    </row>
    <row r="1543" spans="1:7" x14ac:dyDescent="0.25">
      <c r="A1543" s="101">
        <v>39766</v>
      </c>
      <c r="B1543" s="9">
        <v>10.84</v>
      </c>
      <c r="C1543" s="9">
        <v>11.5</v>
      </c>
      <c r="D1543" s="9">
        <v>10.63</v>
      </c>
      <c r="E1543" s="9">
        <v>10.82</v>
      </c>
      <c r="F1543" s="9">
        <v>19072400</v>
      </c>
      <c r="G1543" s="9">
        <v>10.82</v>
      </c>
    </row>
    <row r="1544" spans="1:7" x14ac:dyDescent="0.25">
      <c r="A1544" s="101">
        <v>39765</v>
      </c>
      <c r="B1544" s="9">
        <v>10.32</v>
      </c>
      <c r="C1544" s="9">
        <v>11.17</v>
      </c>
      <c r="D1544" s="9">
        <v>9.76</v>
      </c>
      <c r="E1544" s="9">
        <v>11.15</v>
      </c>
      <c r="F1544" s="9">
        <v>25212700</v>
      </c>
      <c r="G1544" s="9">
        <v>11.15</v>
      </c>
    </row>
    <row r="1545" spans="1:7" x14ac:dyDescent="0.25">
      <c r="A1545" s="101">
        <v>39764</v>
      </c>
      <c r="B1545" s="9">
        <v>11.01</v>
      </c>
      <c r="C1545" s="9">
        <v>11.34</v>
      </c>
      <c r="D1545" s="9">
        <v>10.02</v>
      </c>
      <c r="E1545" s="9">
        <v>10.34</v>
      </c>
      <c r="F1545" s="9">
        <v>29046700</v>
      </c>
      <c r="G1545" s="9">
        <v>10.34</v>
      </c>
    </row>
    <row r="1546" spans="1:7" x14ac:dyDescent="0.25">
      <c r="A1546" s="101">
        <v>39763</v>
      </c>
      <c r="B1546" s="9">
        <v>11.56</v>
      </c>
      <c r="C1546" s="9">
        <v>11.67</v>
      </c>
      <c r="D1546" s="9">
        <v>11.06</v>
      </c>
      <c r="E1546" s="9">
        <v>11.35</v>
      </c>
      <c r="F1546" s="9">
        <v>33294600</v>
      </c>
      <c r="G1546" s="9">
        <v>11.35</v>
      </c>
    </row>
    <row r="1547" spans="1:7" x14ac:dyDescent="0.25">
      <c r="A1547" s="101">
        <v>39762</v>
      </c>
      <c r="B1547" s="9">
        <v>12.37</v>
      </c>
      <c r="C1547" s="9">
        <v>12.4</v>
      </c>
      <c r="D1547" s="9">
        <v>11.57</v>
      </c>
      <c r="E1547" s="9">
        <v>11.87</v>
      </c>
      <c r="F1547" s="9">
        <v>16708100</v>
      </c>
      <c r="G1547" s="9">
        <v>11.87</v>
      </c>
    </row>
    <row r="1548" spans="1:7" x14ac:dyDescent="0.25">
      <c r="A1548" s="101">
        <v>39759</v>
      </c>
      <c r="B1548" s="9">
        <v>12.45</v>
      </c>
      <c r="C1548" s="9">
        <v>12.5</v>
      </c>
      <c r="D1548" s="9">
        <v>11.65</v>
      </c>
      <c r="E1548" s="9">
        <v>12.2</v>
      </c>
      <c r="F1548" s="9">
        <v>47280400</v>
      </c>
      <c r="G1548" s="9">
        <v>12.2</v>
      </c>
    </row>
    <row r="1549" spans="1:7" x14ac:dyDescent="0.25">
      <c r="A1549" s="101">
        <v>39758</v>
      </c>
      <c r="B1549" s="9">
        <v>14.84</v>
      </c>
      <c r="C1549" s="9">
        <v>14.89</v>
      </c>
      <c r="D1549" s="9">
        <v>13.75</v>
      </c>
      <c r="E1549" s="9">
        <v>13.96</v>
      </c>
      <c r="F1549" s="9">
        <v>44431700</v>
      </c>
      <c r="G1549" s="9">
        <v>13.96</v>
      </c>
    </row>
    <row r="1550" spans="1:7" x14ac:dyDescent="0.25">
      <c r="A1550" s="101">
        <v>39757</v>
      </c>
      <c r="B1550" s="9">
        <v>13.21</v>
      </c>
      <c r="C1550" s="9">
        <v>14.84</v>
      </c>
      <c r="D1550" s="9">
        <v>13.15</v>
      </c>
      <c r="E1550" s="9">
        <v>13.92</v>
      </c>
      <c r="F1550" s="9">
        <v>71264100</v>
      </c>
      <c r="G1550" s="9">
        <v>13.92</v>
      </c>
    </row>
    <row r="1551" spans="1:7" x14ac:dyDescent="0.25">
      <c r="A1551" s="101">
        <v>39756</v>
      </c>
      <c r="B1551" s="9">
        <v>13.05</v>
      </c>
      <c r="C1551" s="9">
        <v>13.49</v>
      </c>
      <c r="D1551" s="9">
        <v>12.84</v>
      </c>
      <c r="E1551" s="9">
        <v>13.35</v>
      </c>
      <c r="F1551" s="9">
        <v>24980000</v>
      </c>
      <c r="G1551" s="9">
        <v>13.35</v>
      </c>
    </row>
    <row r="1552" spans="1:7" x14ac:dyDescent="0.25">
      <c r="A1552" s="101">
        <v>39755</v>
      </c>
      <c r="B1552" s="9">
        <v>12.74</v>
      </c>
      <c r="C1552" s="9">
        <v>12.89</v>
      </c>
      <c r="D1552" s="9">
        <v>12.55</v>
      </c>
      <c r="E1552" s="9">
        <v>12.75</v>
      </c>
      <c r="F1552" s="9">
        <v>10385600</v>
      </c>
      <c r="G1552" s="9">
        <v>12.75</v>
      </c>
    </row>
    <row r="1553" spans="1:7" x14ac:dyDescent="0.25">
      <c r="A1553" s="101">
        <v>39752</v>
      </c>
      <c r="B1553" s="9">
        <v>13.09</v>
      </c>
      <c r="C1553" s="9">
        <v>13.36</v>
      </c>
      <c r="D1553" s="9">
        <v>12.71</v>
      </c>
      <c r="E1553" s="9">
        <v>12.82</v>
      </c>
      <c r="F1553" s="9">
        <v>24017600</v>
      </c>
      <c r="G1553" s="9">
        <v>12.82</v>
      </c>
    </row>
    <row r="1554" spans="1:7" x14ac:dyDescent="0.25">
      <c r="A1554" s="101">
        <v>39751</v>
      </c>
      <c r="B1554" s="9">
        <v>12.53</v>
      </c>
      <c r="C1554" s="9">
        <v>13.18</v>
      </c>
      <c r="D1554" s="9">
        <v>12.25</v>
      </c>
      <c r="E1554" s="9">
        <v>12.93</v>
      </c>
      <c r="F1554" s="9">
        <v>26757100</v>
      </c>
      <c r="G1554" s="9">
        <v>12.93</v>
      </c>
    </row>
    <row r="1555" spans="1:7" x14ac:dyDescent="0.25">
      <c r="A1555" s="101">
        <v>39750</v>
      </c>
      <c r="B1555" s="9">
        <v>12.2</v>
      </c>
      <c r="C1555" s="9">
        <v>12.61</v>
      </c>
      <c r="D1555" s="9">
        <v>11.92</v>
      </c>
      <c r="E1555" s="9">
        <v>12.14</v>
      </c>
      <c r="F1555" s="9">
        <v>21443000</v>
      </c>
      <c r="G1555" s="9">
        <v>12.14</v>
      </c>
    </row>
    <row r="1556" spans="1:7" x14ac:dyDescent="0.25">
      <c r="A1556" s="101">
        <v>39749</v>
      </c>
      <c r="B1556" s="9">
        <v>11.89</v>
      </c>
      <c r="C1556" s="9">
        <v>12.4</v>
      </c>
      <c r="D1556" s="9">
        <v>11.25</v>
      </c>
      <c r="E1556" s="9">
        <v>12.36</v>
      </c>
      <c r="F1556" s="9">
        <v>22795700</v>
      </c>
      <c r="G1556" s="9">
        <v>12.36</v>
      </c>
    </row>
    <row r="1557" spans="1:7" x14ac:dyDescent="0.25">
      <c r="A1557" s="101">
        <v>39748</v>
      </c>
      <c r="B1557" s="9">
        <v>11.82</v>
      </c>
      <c r="C1557" s="9">
        <v>12.19</v>
      </c>
      <c r="D1557" s="9">
        <v>11.5</v>
      </c>
      <c r="E1557" s="9">
        <v>11.58</v>
      </c>
      <c r="F1557" s="9">
        <v>16372300</v>
      </c>
      <c r="G1557" s="9">
        <v>11.58</v>
      </c>
    </row>
    <row r="1558" spans="1:7" x14ac:dyDescent="0.25">
      <c r="A1558" s="101">
        <v>39745</v>
      </c>
      <c r="B1558" s="9">
        <v>11.31</v>
      </c>
      <c r="C1558" s="9">
        <v>12.33</v>
      </c>
      <c r="D1558" s="9">
        <v>11.31</v>
      </c>
      <c r="E1558" s="9">
        <v>12.1</v>
      </c>
      <c r="F1558" s="9">
        <v>29718100</v>
      </c>
      <c r="G1558" s="9">
        <v>12.1</v>
      </c>
    </row>
    <row r="1559" spans="1:7" x14ac:dyDescent="0.25">
      <c r="A1559" s="101">
        <v>39744</v>
      </c>
      <c r="B1559" s="9">
        <v>12.15</v>
      </c>
      <c r="C1559" s="9">
        <v>12.7</v>
      </c>
      <c r="D1559" s="9">
        <v>11.55</v>
      </c>
      <c r="E1559" s="9">
        <v>12.65</v>
      </c>
      <c r="F1559" s="9">
        <v>27751300</v>
      </c>
      <c r="G1559" s="9">
        <v>12.65</v>
      </c>
    </row>
    <row r="1560" spans="1:7" x14ac:dyDescent="0.25">
      <c r="A1560" s="101">
        <v>39743</v>
      </c>
      <c r="B1560" s="9">
        <v>12.36</v>
      </c>
      <c r="C1560" s="9">
        <v>12.84</v>
      </c>
      <c r="D1560" s="9">
        <v>12.35</v>
      </c>
      <c r="E1560" s="9">
        <v>12.39</v>
      </c>
      <c r="F1560" s="9">
        <v>35671000</v>
      </c>
      <c r="G1560" s="9">
        <v>12.39</v>
      </c>
    </row>
    <row r="1561" spans="1:7" x14ac:dyDescent="0.25">
      <c r="A1561" s="101">
        <v>39742</v>
      </c>
      <c r="B1561" s="9">
        <v>12.62</v>
      </c>
      <c r="C1561" s="9">
        <v>12.74</v>
      </c>
      <c r="D1561" s="9">
        <v>12.04</v>
      </c>
      <c r="E1561" s="9">
        <v>12.07</v>
      </c>
      <c r="F1561" s="9">
        <v>28385500</v>
      </c>
      <c r="G1561" s="9">
        <v>12.07</v>
      </c>
    </row>
    <row r="1562" spans="1:7" x14ac:dyDescent="0.25">
      <c r="A1562" s="101">
        <v>39741</v>
      </c>
      <c r="B1562" s="9">
        <v>13.03</v>
      </c>
      <c r="C1562" s="9">
        <v>13.03</v>
      </c>
      <c r="D1562" s="9">
        <v>12.33</v>
      </c>
      <c r="E1562" s="9">
        <v>12.86</v>
      </c>
      <c r="F1562" s="9">
        <v>25010600</v>
      </c>
      <c r="G1562" s="9">
        <v>12.86</v>
      </c>
    </row>
    <row r="1563" spans="1:7" x14ac:dyDescent="0.25">
      <c r="A1563" s="101">
        <v>39738</v>
      </c>
      <c r="B1563" s="9">
        <v>12.88</v>
      </c>
      <c r="C1563" s="9">
        <v>13.5</v>
      </c>
      <c r="D1563" s="9">
        <v>12.68</v>
      </c>
      <c r="E1563" s="9">
        <v>12.9</v>
      </c>
      <c r="F1563" s="9">
        <v>38974800</v>
      </c>
      <c r="G1563" s="9">
        <v>12.9</v>
      </c>
    </row>
    <row r="1564" spans="1:7" x14ac:dyDescent="0.25">
      <c r="A1564" s="101">
        <v>39737</v>
      </c>
      <c r="B1564" s="9">
        <v>11.9</v>
      </c>
      <c r="C1564" s="9">
        <v>13.73</v>
      </c>
      <c r="D1564" s="9">
        <v>11.37</v>
      </c>
      <c r="E1564" s="9">
        <v>12.99</v>
      </c>
      <c r="F1564" s="9">
        <v>107674200</v>
      </c>
      <c r="G1564" s="9">
        <v>12.99</v>
      </c>
    </row>
    <row r="1565" spans="1:7" x14ac:dyDescent="0.25">
      <c r="A1565" s="101">
        <v>39736</v>
      </c>
      <c r="B1565" s="9">
        <v>12.49</v>
      </c>
      <c r="C1565" s="9">
        <v>12.55</v>
      </c>
      <c r="D1565" s="9">
        <v>11.75</v>
      </c>
      <c r="E1565" s="9">
        <v>11.75</v>
      </c>
      <c r="F1565" s="9">
        <v>27529900</v>
      </c>
      <c r="G1565" s="9">
        <v>11.75</v>
      </c>
    </row>
    <row r="1566" spans="1:7" x14ac:dyDescent="0.25">
      <c r="A1566" s="101">
        <v>39735</v>
      </c>
      <c r="B1566" s="9">
        <v>13.78</v>
      </c>
      <c r="C1566" s="9">
        <v>13.93</v>
      </c>
      <c r="D1566" s="9">
        <v>12.37</v>
      </c>
      <c r="E1566" s="9">
        <v>12.65</v>
      </c>
      <c r="F1566" s="9">
        <v>26909700</v>
      </c>
      <c r="G1566" s="9">
        <v>12.65</v>
      </c>
    </row>
    <row r="1567" spans="1:7" x14ac:dyDescent="0.25">
      <c r="A1567" s="101">
        <v>39734</v>
      </c>
      <c r="B1567" s="9">
        <v>13.14</v>
      </c>
      <c r="C1567" s="9">
        <v>13.51</v>
      </c>
      <c r="D1567" s="9">
        <v>12.56</v>
      </c>
      <c r="E1567" s="9">
        <v>13.49</v>
      </c>
      <c r="F1567" s="9">
        <v>26049700</v>
      </c>
      <c r="G1567" s="9">
        <v>13.49</v>
      </c>
    </row>
    <row r="1568" spans="1:7" x14ac:dyDescent="0.25">
      <c r="A1568" s="101">
        <v>39731</v>
      </c>
      <c r="B1568" s="9">
        <v>12.22</v>
      </c>
      <c r="C1568" s="9">
        <v>12.92</v>
      </c>
      <c r="D1568" s="9">
        <v>11.96</v>
      </c>
      <c r="E1568" s="9">
        <v>12.29</v>
      </c>
      <c r="F1568" s="9">
        <v>38683200</v>
      </c>
      <c r="G1568" s="9">
        <v>12.29</v>
      </c>
    </row>
    <row r="1569" spans="1:7" x14ac:dyDescent="0.25">
      <c r="A1569" s="101">
        <v>39730</v>
      </c>
      <c r="B1569" s="9">
        <v>13.9</v>
      </c>
      <c r="C1569" s="9">
        <v>13.9</v>
      </c>
      <c r="D1569" s="9">
        <v>12.47</v>
      </c>
      <c r="E1569" s="9">
        <v>12.65</v>
      </c>
      <c r="F1569" s="9">
        <v>40808900</v>
      </c>
      <c r="G1569" s="9">
        <v>12.65</v>
      </c>
    </row>
    <row r="1570" spans="1:7" x14ac:dyDescent="0.25">
      <c r="A1570" s="101">
        <v>39729</v>
      </c>
      <c r="B1570" s="9">
        <v>13.8</v>
      </c>
      <c r="C1570" s="9">
        <v>14.58</v>
      </c>
      <c r="D1570" s="9">
        <v>13.2</v>
      </c>
      <c r="E1570" s="9">
        <v>13.76</v>
      </c>
      <c r="F1570" s="9">
        <v>31651100</v>
      </c>
      <c r="G1570" s="9">
        <v>13.76</v>
      </c>
    </row>
    <row r="1571" spans="1:7" x14ac:dyDescent="0.25">
      <c r="A1571" s="101">
        <v>39728</v>
      </c>
      <c r="B1571" s="9">
        <v>15.19</v>
      </c>
      <c r="C1571" s="9">
        <v>15.49</v>
      </c>
      <c r="D1571" s="9">
        <v>14.53</v>
      </c>
      <c r="E1571" s="9">
        <v>14.58</v>
      </c>
      <c r="F1571" s="9">
        <v>27696400</v>
      </c>
      <c r="G1571" s="9">
        <v>14.58</v>
      </c>
    </row>
    <row r="1572" spans="1:7" x14ac:dyDescent="0.25">
      <c r="A1572" s="101">
        <v>39727</v>
      </c>
      <c r="B1572" s="9">
        <v>15.27</v>
      </c>
      <c r="C1572" s="9">
        <v>16.07</v>
      </c>
      <c r="D1572" s="9">
        <v>14.55</v>
      </c>
      <c r="E1572" s="9">
        <v>15.31</v>
      </c>
      <c r="F1572" s="9">
        <v>42862100</v>
      </c>
      <c r="G1572" s="9">
        <v>15.31</v>
      </c>
    </row>
    <row r="1573" spans="1:7" x14ac:dyDescent="0.25">
      <c r="A1573" s="101">
        <v>39724</v>
      </c>
      <c r="B1573" s="9">
        <v>15.81</v>
      </c>
      <c r="C1573" s="9">
        <v>16.440000000000001</v>
      </c>
      <c r="D1573" s="9">
        <v>15.75</v>
      </c>
      <c r="E1573" s="9">
        <v>16</v>
      </c>
      <c r="F1573" s="9">
        <v>25824900</v>
      </c>
      <c r="G1573" s="9">
        <v>16</v>
      </c>
    </row>
    <row r="1574" spans="1:7" x14ac:dyDescent="0.25">
      <c r="A1574" s="101">
        <v>39723</v>
      </c>
      <c r="B1574" s="9">
        <v>16.77</v>
      </c>
      <c r="C1574" s="9">
        <v>16.850000000000001</v>
      </c>
      <c r="D1574" s="9">
        <v>15.54</v>
      </c>
      <c r="E1574" s="9">
        <v>15.58</v>
      </c>
      <c r="F1574" s="9">
        <v>23416200</v>
      </c>
      <c r="G1574" s="9">
        <v>15.58</v>
      </c>
    </row>
    <row r="1575" spans="1:7" x14ac:dyDescent="0.25">
      <c r="A1575" s="101">
        <v>39722</v>
      </c>
      <c r="B1575" s="9">
        <v>17.170000000000002</v>
      </c>
      <c r="C1575" s="9">
        <v>17.309999999999999</v>
      </c>
      <c r="D1575" s="9">
        <v>16.8</v>
      </c>
      <c r="E1575" s="9">
        <v>16.96</v>
      </c>
      <c r="F1575" s="9">
        <v>13725000</v>
      </c>
      <c r="G1575" s="9">
        <v>16.96</v>
      </c>
    </row>
    <row r="1576" spans="1:7" x14ac:dyDescent="0.25">
      <c r="A1576" s="101">
        <v>39721</v>
      </c>
      <c r="B1576" s="9">
        <v>17.149999999999999</v>
      </c>
      <c r="C1576" s="9">
        <v>17.62</v>
      </c>
      <c r="D1576" s="9">
        <v>17</v>
      </c>
      <c r="E1576" s="9">
        <v>17.3</v>
      </c>
      <c r="F1576" s="9">
        <v>23672300</v>
      </c>
      <c r="G1576" s="9">
        <v>17.3</v>
      </c>
    </row>
    <row r="1577" spans="1:7" x14ac:dyDescent="0.25">
      <c r="A1577" s="101">
        <v>39720</v>
      </c>
      <c r="B1577" s="9">
        <v>18.77</v>
      </c>
      <c r="C1577" s="9">
        <v>18.920000000000002</v>
      </c>
      <c r="D1577" s="9">
        <v>16.88</v>
      </c>
      <c r="E1577" s="9">
        <v>16.88</v>
      </c>
      <c r="F1577" s="9">
        <v>39570300</v>
      </c>
      <c r="G1577" s="9">
        <v>16.88</v>
      </c>
    </row>
    <row r="1578" spans="1:7" x14ac:dyDescent="0.25">
      <c r="A1578" s="101">
        <v>39717</v>
      </c>
      <c r="B1578" s="9">
        <v>18.75</v>
      </c>
      <c r="C1578" s="9">
        <v>19.25</v>
      </c>
      <c r="D1578" s="9">
        <v>18.649999999999999</v>
      </c>
      <c r="E1578" s="9">
        <v>18.920000000000002</v>
      </c>
      <c r="F1578" s="9">
        <v>14922800</v>
      </c>
      <c r="G1578" s="9">
        <v>18.920000000000002</v>
      </c>
    </row>
    <row r="1579" spans="1:7" x14ac:dyDescent="0.25">
      <c r="A1579" s="101">
        <v>39716</v>
      </c>
      <c r="B1579" s="9">
        <v>19.09</v>
      </c>
      <c r="C1579" s="9">
        <v>19.559999999999999</v>
      </c>
      <c r="D1579" s="9">
        <v>18.97</v>
      </c>
      <c r="E1579" s="9">
        <v>19.2</v>
      </c>
      <c r="F1579" s="9">
        <v>14512100</v>
      </c>
      <c r="G1579" s="9">
        <v>19.2</v>
      </c>
    </row>
    <row r="1580" spans="1:7" x14ac:dyDescent="0.25">
      <c r="A1580" s="101">
        <v>39715</v>
      </c>
      <c r="B1580" s="9">
        <v>18.899999999999999</v>
      </c>
      <c r="C1580" s="9">
        <v>19.190000000000001</v>
      </c>
      <c r="D1580" s="9">
        <v>18.82</v>
      </c>
      <c r="E1580" s="9">
        <v>19.149999999999999</v>
      </c>
      <c r="F1580" s="9">
        <v>12766200</v>
      </c>
      <c r="G1580" s="9">
        <v>19.149999999999999</v>
      </c>
    </row>
    <row r="1581" spans="1:7" x14ac:dyDescent="0.25">
      <c r="A1581" s="101">
        <v>39714</v>
      </c>
      <c r="B1581" s="9">
        <v>18.71</v>
      </c>
      <c r="C1581" s="9">
        <v>19.13</v>
      </c>
      <c r="D1581" s="9">
        <v>18.670000000000002</v>
      </c>
      <c r="E1581" s="9">
        <v>18.93</v>
      </c>
      <c r="F1581" s="9">
        <v>20230100</v>
      </c>
      <c r="G1581" s="9">
        <v>18.93</v>
      </c>
    </row>
    <row r="1582" spans="1:7" x14ac:dyDescent="0.25">
      <c r="A1582" s="101">
        <v>39713</v>
      </c>
      <c r="B1582" s="9">
        <v>19.600000000000001</v>
      </c>
      <c r="C1582" s="9">
        <v>19.600000000000001</v>
      </c>
      <c r="D1582" s="9">
        <v>18.64</v>
      </c>
      <c r="E1582" s="9">
        <v>18.68</v>
      </c>
      <c r="F1582" s="9">
        <v>16911900</v>
      </c>
      <c r="G1582" s="9">
        <v>18.68</v>
      </c>
    </row>
    <row r="1583" spans="1:7" x14ac:dyDescent="0.25">
      <c r="A1583" s="101">
        <v>39710</v>
      </c>
      <c r="B1583" s="9">
        <v>20.58</v>
      </c>
      <c r="C1583" s="9">
        <v>20.79</v>
      </c>
      <c r="D1583" s="9">
        <v>19.27</v>
      </c>
      <c r="E1583" s="9">
        <v>19.89</v>
      </c>
      <c r="F1583" s="9">
        <v>31649100</v>
      </c>
      <c r="G1583" s="9">
        <v>19.89</v>
      </c>
    </row>
    <row r="1584" spans="1:7" x14ac:dyDescent="0.25">
      <c r="A1584" s="101">
        <v>39709</v>
      </c>
      <c r="B1584" s="9">
        <v>18.79</v>
      </c>
      <c r="C1584" s="9">
        <v>20.82</v>
      </c>
      <c r="D1584" s="9">
        <v>18.489999999999998</v>
      </c>
      <c r="E1584" s="9">
        <v>20.82</v>
      </c>
      <c r="F1584" s="9">
        <v>37286300</v>
      </c>
      <c r="G1584" s="9">
        <v>20.82</v>
      </c>
    </row>
    <row r="1585" spans="1:7" x14ac:dyDescent="0.25">
      <c r="A1585" s="101">
        <v>39708</v>
      </c>
      <c r="B1585" s="9">
        <v>18.97</v>
      </c>
      <c r="C1585" s="9">
        <v>19.079999999999998</v>
      </c>
      <c r="D1585" s="9">
        <v>18.2</v>
      </c>
      <c r="E1585" s="9">
        <v>18.82</v>
      </c>
      <c r="F1585" s="9">
        <v>28819300</v>
      </c>
      <c r="G1585" s="9">
        <v>18.82</v>
      </c>
    </row>
    <row r="1586" spans="1:7" x14ac:dyDescent="0.25">
      <c r="A1586" s="101">
        <v>39707</v>
      </c>
      <c r="B1586" s="9">
        <v>18.25</v>
      </c>
      <c r="C1586" s="9">
        <v>19.350000000000001</v>
      </c>
      <c r="D1586" s="9">
        <v>18.239999999999998</v>
      </c>
      <c r="E1586" s="9">
        <v>19.260000000000002</v>
      </c>
      <c r="F1586" s="9">
        <v>33897000</v>
      </c>
      <c r="G1586" s="9">
        <v>19.260000000000002</v>
      </c>
    </row>
    <row r="1587" spans="1:7" x14ac:dyDescent="0.25">
      <c r="A1587" s="101">
        <v>39706</v>
      </c>
      <c r="B1587" s="9">
        <v>18.27</v>
      </c>
      <c r="C1587" s="9">
        <v>19.14</v>
      </c>
      <c r="D1587" s="9">
        <v>18.25</v>
      </c>
      <c r="E1587" s="9">
        <v>18.850000000000001</v>
      </c>
      <c r="F1587" s="9">
        <v>32567200</v>
      </c>
      <c r="G1587" s="9">
        <v>18.850000000000001</v>
      </c>
    </row>
    <row r="1588" spans="1:7" x14ac:dyDescent="0.25">
      <c r="A1588" s="101">
        <v>39703</v>
      </c>
      <c r="B1588" s="9">
        <v>18.43</v>
      </c>
      <c r="C1588" s="9">
        <v>19.170000000000002</v>
      </c>
      <c r="D1588" s="9">
        <v>18.34</v>
      </c>
      <c r="E1588" s="9">
        <v>19.079999999999998</v>
      </c>
      <c r="F1588" s="9">
        <v>21301100</v>
      </c>
      <c r="G1588" s="9">
        <v>19.079999999999998</v>
      </c>
    </row>
    <row r="1589" spans="1:7" x14ac:dyDescent="0.25">
      <c r="A1589" s="101">
        <v>39702</v>
      </c>
      <c r="B1589" s="9">
        <v>17.399999999999999</v>
      </c>
      <c r="C1589" s="9">
        <v>18.57</v>
      </c>
      <c r="D1589" s="9">
        <v>17.329999999999998</v>
      </c>
      <c r="E1589" s="9">
        <v>18.55</v>
      </c>
      <c r="F1589" s="9">
        <v>28408000</v>
      </c>
      <c r="G1589" s="9">
        <v>18.55</v>
      </c>
    </row>
    <row r="1590" spans="1:7" x14ac:dyDescent="0.25">
      <c r="A1590" s="101">
        <v>39701</v>
      </c>
      <c r="B1590" s="9">
        <v>17.63</v>
      </c>
      <c r="C1590" s="9">
        <v>17.79</v>
      </c>
      <c r="D1590" s="9">
        <v>17.25</v>
      </c>
      <c r="E1590" s="9">
        <v>17.7</v>
      </c>
      <c r="F1590" s="9">
        <v>19619600</v>
      </c>
      <c r="G1590" s="9">
        <v>17.7</v>
      </c>
    </row>
    <row r="1591" spans="1:7" x14ac:dyDescent="0.25">
      <c r="A1591" s="101">
        <v>39700</v>
      </c>
      <c r="B1591" s="9">
        <v>18.14</v>
      </c>
      <c r="C1591" s="9">
        <v>18.190000000000001</v>
      </c>
      <c r="D1591" s="9">
        <v>17.53</v>
      </c>
      <c r="E1591" s="9">
        <v>17.579999999999998</v>
      </c>
      <c r="F1591" s="9">
        <v>25271700</v>
      </c>
      <c r="G1591" s="9">
        <v>17.579999999999998</v>
      </c>
    </row>
    <row r="1592" spans="1:7" x14ac:dyDescent="0.25">
      <c r="A1592" s="101">
        <v>39699</v>
      </c>
      <c r="B1592" s="9">
        <v>18.329999999999998</v>
      </c>
      <c r="C1592" s="9">
        <v>18.37</v>
      </c>
      <c r="D1592" s="9">
        <v>17.87</v>
      </c>
      <c r="E1592" s="9">
        <v>18.260000000000002</v>
      </c>
      <c r="F1592" s="9">
        <v>16447400</v>
      </c>
      <c r="G1592" s="9">
        <v>18.260000000000002</v>
      </c>
    </row>
    <row r="1593" spans="1:7" x14ac:dyDescent="0.25">
      <c r="A1593" s="101">
        <v>39696</v>
      </c>
      <c r="B1593" s="9">
        <v>17.920000000000002</v>
      </c>
      <c r="C1593" s="9">
        <v>18.34</v>
      </c>
      <c r="D1593" s="9">
        <v>17.8</v>
      </c>
      <c r="E1593" s="9">
        <v>18.079999999999998</v>
      </c>
      <c r="F1593" s="9">
        <v>17089100</v>
      </c>
      <c r="G1593" s="9">
        <v>18.079999999999998</v>
      </c>
    </row>
    <row r="1594" spans="1:7" x14ac:dyDescent="0.25">
      <c r="A1594" s="101">
        <v>39695</v>
      </c>
      <c r="B1594" s="9">
        <v>18.71</v>
      </c>
      <c r="C1594" s="9">
        <v>18.809999999999999</v>
      </c>
      <c r="D1594" s="9">
        <v>17.75</v>
      </c>
      <c r="E1594" s="9">
        <v>17.75</v>
      </c>
      <c r="F1594" s="9">
        <v>23892500</v>
      </c>
      <c r="G1594" s="9">
        <v>17.75</v>
      </c>
    </row>
    <row r="1595" spans="1:7" x14ac:dyDescent="0.25">
      <c r="A1595" s="101">
        <v>39694</v>
      </c>
      <c r="B1595" s="9">
        <v>18.850000000000001</v>
      </c>
      <c r="C1595" s="9">
        <v>19</v>
      </c>
      <c r="D1595" s="9">
        <v>18.7</v>
      </c>
      <c r="E1595" s="9">
        <v>18.760000000000002</v>
      </c>
      <c r="F1595" s="9">
        <v>11557100</v>
      </c>
      <c r="G1595" s="9">
        <v>18.760000000000002</v>
      </c>
    </row>
    <row r="1596" spans="1:7" x14ac:dyDescent="0.25">
      <c r="A1596" s="101">
        <v>39693</v>
      </c>
      <c r="B1596" s="9">
        <v>19.63</v>
      </c>
      <c r="C1596" s="9">
        <v>19.77</v>
      </c>
      <c r="D1596" s="9">
        <v>18.739999999999998</v>
      </c>
      <c r="E1596" s="9">
        <v>18.75</v>
      </c>
      <c r="F1596" s="9">
        <v>16943700</v>
      </c>
      <c r="G1596" s="9">
        <v>18.75</v>
      </c>
    </row>
    <row r="1597" spans="1:7" x14ac:dyDescent="0.25">
      <c r="A1597" s="101">
        <v>39689</v>
      </c>
      <c r="B1597" s="9">
        <v>19.54</v>
      </c>
      <c r="C1597" s="9">
        <v>19.600000000000001</v>
      </c>
      <c r="D1597" s="9">
        <v>19.28</v>
      </c>
      <c r="E1597" s="9">
        <v>19.38</v>
      </c>
      <c r="F1597" s="9">
        <v>11204900</v>
      </c>
      <c r="G1597" s="9">
        <v>19.38</v>
      </c>
    </row>
    <row r="1598" spans="1:7" x14ac:dyDescent="0.25">
      <c r="A1598" s="101">
        <v>39688</v>
      </c>
      <c r="B1598" s="9">
        <v>19.48</v>
      </c>
      <c r="C1598" s="9">
        <v>19.760000000000002</v>
      </c>
      <c r="D1598" s="9">
        <v>19.38</v>
      </c>
      <c r="E1598" s="9">
        <v>19.649999999999999</v>
      </c>
      <c r="F1598" s="9">
        <v>11729500</v>
      </c>
      <c r="G1598" s="9">
        <v>19.649999999999999</v>
      </c>
    </row>
    <row r="1599" spans="1:7" x14ac:dyDescent="0.25">
      <c r="A1599" s="101">
        <v>39687</v>
      </c>
      <c r="B1599" s="9">
        <v>19.079999999999998</v>
      </c>
      <c r="C1599" s="9">
        <v>19.45</v>
      </c>
      <c r="D1599" s="9">
        <v>18.93</v>
      </c>
      <c r="E1599" s="9">
        <v>19.37</v>
      </c>
      <c r="F1599" s="9">
        <v>9300100</v>
      </c>
      <c r="G1599" s="9">
        <v>19.37</v>
      </c>
    </row>
    <row r="1600" spans="1:7" x14ac:dyDescent="0.25">
      <c r="A1600" s="101">
        <v>39686</v>
      </c>
      <c r="B1600" s="9">
        <v>19.12</v>
      </c>
      <c r="C1600" s="9">
        <v>19.2</v>
      </c>
      <c r="D1600" s="9">
        <v>19</v>
      </c>
      <c r="E1600" s="9">
        <v>19.09</v>
      </c>
      <c r="F1600" s="9">
        <v>8770500</v>
      </c>
      <c r="G1600" s="9">
        <v>19.09</v>
      </c>
    </row>
    <row r="1601" spans="1:7" x14ac:dyDescent="0.25">
      <c r="A1601" s="101">
        <v>39685</v>
      </c>
      <c r="B1601" s="9">
        <v>19.34</v>
      </c>
      <c r="C1601" s="9">
        <v>19.399999999999999</v>
      </c>
      <c r="D1601" s="9">
        <v>19.05</v>
      </c>
      <c r="E1601" s="9">
        <v>19.09</v>
      </c>
      <c r="F1601" s="9">
        <v>13779300</v>
      </c>
      <c r="G1601" s="9">
        <v>19.09</v>
      </c>
    </row>
    <row r="1602" spans="1:7" x14ac:dyDescent="0.25">
      <c r="A1602" s="101">
        <v>39682</v>
      </c>
      <c r="B1602" s="9">
        <v>19.11</v>
      </c>
      <c r="C1602" s="9">
        <v>19.68</v>
      </c>
      <c r="D1602" s="9">
        <v>19.100000000000001</v>
      </c>
      <c r="E1602" s="9">
        <v>19.53</v>
      </c>
      <c r="F1602" s="9">
        <v>11087500</v>
      </c>
      <c r="G1602" s="9">
        <v>19.53</v>
      </c>
    </row>
    <row r="1603" spans="1:7" x14ac:dyDescent="0.25">
      <c r="A1603" s="101">
        <v>39681</v>
      </c>
      <c r="B1603" s="9">
        <v>19.059999999999999</v>
      </c>
      <c r="C1603" s="9">
        <v>19.18</v>
      </c>
      <c r="D1603" s="9">
        <v>18.87</v>
      </c>
      <c r="E1603" s="9">
        <v>19.11</v>
      </c>
      <c r="F1603" s="9">
        <v>16995100</v>
      </c>
      <c r="G1603" s="9">
        <v>19.11</v>
      </c>
    </row>
    <row r="1604" spans="1:7" x14ac:dyDescent="0.25">
      <c r="A1604" s="101">
        <v>39680</v>
      </c>
      <c r="B1604" s="9">
        <v>19.57</v>
      </c>
      <c r="C1604" s="9">
        <v>19.649999999999999</v>
      </c>
      <c r="D1604" s="9">
        <v>19.100000000000001</v>
      </c>
      <c r="E1604" s="9">
        <v>19.170000000000002</v>
      </c>
      <c r="F1604" s="9">
        <v>16426500</v>
      </c>
      <c r="G1604" s="9">
        <v>19.170000000000002</v>
      </c>
    </row>
    <row r="1605" spans="1:7" x14ac:dyDescent="0.25">
      <c r="A1605" s="101">
        <v>39679</v>
      </c>
      <c r="B1605" s="9">
        <v>19.78</v>
      </c>
      <c r="C1605" s="9">
        <v>19.91</v>
      </c>
      <c r="D1605" s="9">
        <v>19.41</v>
      </c>
      <c r="E1605" s="9">
        <v>19.420000000000002</v>
      </c>
      <c r="F1605" s="9">
        <v>12851000</v>
      </c>
      <c r="G1605" s="9">
        <v>19.420000000000002</v>
      </c>
    </row>
    <row r="1606" spans="1:7" x14ac:dyDescent="0.25">
      <c r="A1606" s="101">
        <v>39678</v>
      </c>
      <c r="B1606" s="9">
        <v>20.47</v>
      </c>
      <c r="C1606" s="9">
        <v>20.52</v>
      </c>
      <c r="D1606" s="9">
        <v>19.66</v>
      </c>
      <c r="E1606" s="9">
        <v>19.73</v>
      </c>
      <c r="F1606" s="9">
        <v>14867400</v>
      </c>
      <c r="G1606" s="9">
        <v>19.73</v>
      </c>
    </row>
    <row r="1607" spans="1:7" x14ac:dyDescent="0.25">
      <c r="A1607" s="101">
        <v>39675</v>
      </c>
      <c r="B1607" s="9">
        <v>20.27</v>
      </c>
      <c r="C1607" s="9">
        <v>20.82</v>
      </c>
      <c r="D1607" s="9">
        <v>20.27</v>
      </c>
      <c r="E1607" s="9">
        <v>20.440000000000001</v>
      </c>
      <c r="F1607" s="9">
        <v>14945100</v>
      </c>
      <c r="G1607" s="9">
        <v>20.440000000000001</v>
      </c>
    </row>
    <row r="1608" spans="1:7" x14ac:dyDescent="0.25">
      <c r="A1608" s="101">
        <v>39674</v>
      </c>
      <c r="B1608" s="9">
        <v>20.2</v>
      </c>
      <c r="C1608" s="9">
        <v>20.57</v>
      </c>
      <c r="D1608" s="9">
        <v>20.14</v>
      </c>
      <c r="E1608" s="9">
        <v>20.28</v>
      </c>
      <c r="F1608" s="9">
        <v>11103300</v>
      </c>
      <c r="G1608" s="9">
        <v>20.28</v>
      </c>
    </row>
    <row r="1609" spans="1:7" x14ac:dyDescent="0.25">
      <c r="A1609" s="101">
        <v>39673</v>
      </c>
      <c r="B1609" s="9">
        <v>20.329999999999998</v>
      </c>
      <c r="C1609" s="9">
        <v>20.48</v>
      </c>
      <c r="D1609" s="9">
        <v>20.059999999999999</v>
      </c>
      <c r="E1609" s="9">
        <v>20.36</v>
      </c>
      <c r="F1609" s="9">
        <v>11954500</v>
      </c>
      <c r="G1609" s="9">
        <v>20.36</v>
      </c>
    </row>
    <row r="1610" spans="1:7" x14ac:dyDescent="0.25">
      <c r="A1610" s="101">
        <v>39672</v>
      </c>
      <c r="B1610" s="9">
        <v>20.21</v>
      </c>
      <c r="C1610" s="9">
        <v>20.6</v>
      </c>
      <c r="D1610" s="9">
        <v>20.04</v>
      </c>
      <c r="E1610" s="9">
        <v>20.43</v>
      </c>
      <c r="F1610" s="9">
        <v>13883700</v>
      </c>
      <c r="G1610" s="9">
        <v>20.43</v>
      </c>
    </row>
    <row r="1611" spans="1:7" x14ac:dyDescent="0.25">
      <c r="A1611" s="101">
        <v>39671</v>
      </c>
      <c r="B1611" s="9">
        <v>19.89</v>
      </c>
      <c r="C1611" s="9">
        <v>20.28</v>
      </c>
      <c r="D1611" s="9">
        <v>19.649999999999999</v>
      </c>
      <c r="E1611" s="9">
        <v>20.260000000000002</v>
      </c>
      <c r="F1611" s="9">
        <v>12903700</v>
      </c>
      <c r="G1611" s="9">
        <v>20.260000000000002</v>
      </c>
    </row>
    <row r="1612" spans="1:7" x14ac:dyDescent="0.25">
      <c r="A1612" s="101">
        <v>39668</v>
      </c>
      <c r="B1612" s="9">
        <v>20.190000000000001</v>
      </c>
      <c r="C1612" s="9">
        <v>20.190000000000001</v>
      </c>
      <c r="D1612" s="9">
        <v>19.87</v>
      </c>
      <c r="E1612" s="9">
        <v>19.899999999999999</v>
      </c>
      <c r="F1612" s="9">
        <v>13640000</v>
      </c>
      <c r="G1612" s="9">
        <v>19.899999999999999</v>
      </c>
    </row>
    <row r="1613" spans="1:7" x14ac:dyDescent="0.25">
      <c r="A1613" s="101">
        <v>39667</v>
      </c>
      <c r="B1613" s="9">
        <v>19.8</v>
      </c>
      <c r="C1613" s="9">
        <v>20.25</v>
      </c>
      <c r="D1613" s="9">
        <v>19.64</v>
      </c>
      <c r="E1613" s="9">
        <v>20.190000000000001</v>
      </c>
      <c r="F1613" s="9">
        <v>14017500</v>
      </c>
      <c r="G1613" s="9">
        <v>20.190000000000001</v>
      </c>
    </row>
    <row r="1614" spans="1:7" x14ac:dyDescent="0.25">
      <c r="A1614" s="101">
        <v>39666</v>
      </c>
      <c r="B1614" s="9">
        <v>19.77</v>
      </c>
      <c r="C1614" s="9">
        <v>20.18</v>
      </c>
      <c r="D1614" s="9">
        <v>19.53</v>
      </c>
      <c r="E1614" s="9">
        <v>20</v>
      </c>
      <c r="F1614" s="9">
        <v>14699000</v>
      </c>
      <c r="G1614" s="9">
        <v>20</v>
      </c>
    </row>
    <row r="1615" spans="1:7" x14ac:dyDescent="0.25">
      <c r="A1615" s="101">
        <v>39665</v>
      </c>
      <c r="B1615" s="9">
        <v>19.7</v>
      </c>
      <c r="C1615" s="9">
        <v>19.91</v>
      </c>
      <c r="D1615" s="9">
        <v>19.53</v>
      </c>
      <c r="E1615" s="9">
        <v>19.82</v>
      </c>
      <c r="F1615" s="9">
        <v>14415200</v>
      </c>
      <c r="G1615" s="9">
        <v>19.82</v>
      </c>
    </row>
    <row r="1616" spans="1:7" x14ac:dyDescent="0.25">
      <c r="A1616" s="101">
        <v>39664</v>
      </c>
      <c r="B1616" s="9">
        <v>19.77</v>
      </c>
      <c r="C1616" s="9">
        <v>19.77</v>
      </c>
      <c r="D1616" s="9">
        <v>19.21</v>
      </c>
      <c r="E1616" s="9">
        <v>19.38</v>
      </c>
      <c r="F1616" s="9">
        <v>14064400</v>
      </c>
      <c r="G1616" s="9">
        <v>19.38</v>
      </c>
    </row>
    <row r="1617" spans="1:7" x14ac:dyDescent="0.25">
      <c r="A1617" s="101">
        <v>39661</v>
      </c>
      <c r="B1617" s="9">
        <v>20.09</v>
      </c>
      <c r="C1617" s="9">
        <v>20.12</v>
      </c>
      <c r="D1617" s="9">
        <v>19.53</v>
      </c>
      <c r="E1617" s="9">
        <v>19.8</v>
      </c>
      <c r="F1617" s="9">
        <v>19777000</v>
      </c>
      <c r="G1617" s="9">
        <v>19.8</v>
      </c>
    </row>
    <row r="1618" spans="1:7" x14ac:dyDescent="0.25">
      <c r="A1618" s="101">
        <v>39660</v>
      </c>
      <c r="B1618" s="9">
        <v>19.89</v>
      </c>
      <c r="C1618" s="9">
        <v>20.149999999999999</v>
      </c>
      <c r="D1618" s="9">
        <v>19.850000000000001</v>
      </c>
      <c r="E1618" s="9">
        <v>19.89</v>
      </c>
      <c r="F1618" s="9">
        <v>16621100</v>
      </c>
      <c r="G1618" s="9">
        <v>19.89</v>
      </c>
    </row>
    <row r="1619" spans="1:7" x14ac:dyDescent="0.25">
      <c r="A1619" s="101">
        <v>39659</v>
      </c>
      <c r="B1619" s="9">
        <v>20.18</v>
      </c>
      <c r="C1619" s="9">
        <v>20.18</v>
      </c>
      <c r="D1619" s="9">
        <v>19.96</v>
      </c>
      <c r="E1619" s="9">
        <v>20.03</v>
      </c>
      <c r="F1619" s="9">
        <v>25016800</v>
      </c>
      <c r="G1619" s="9">
        <v>20.03</v>
      </c>
    </row>
    <row r="1620" spans="1:7" x14ac:dyDescent="0.25">
      <c r="A1620" s="101">
        <v>39658</v>
      </c>
      <c r="B1620" s="9">
        <v>20.010000000000002</v>
      </c>
      <c r="C1620" s="9">
        <v>20.34</v>
      </c>
      <c r="D1620" s="9">
        <v>19.68</v>
      </c>
      <c r="E1620" s="9">
        <v>20.149999999999999</v>
      </c>
      <c r="F1620" s="9">
        <v>17023800</v>
      </c>
      <c r="G1620" s="9">
        <v>20.149999999999999</v>
      </c>
    </row>
    <row r="1621" spans="1:7" x14ac:dyDescent="0.25">
      <c r="A1621" s="101">
        <v>39657</v>
      </c>
      <c r="B1621" s="9">
        <v>20.99</v>
      </c>
      <c r="C1621" s="9">
        <v>21.17</v>
      </c>
      <c r="D1621" s="9">
        <v>20.059999999999999</v>
      </c>
      <c r="E1621" s="9">
        <v>20.12</v>
      </c>
      <c r="F1621" s="9">
        <v>13733800</v>
      </c>
      <c r="G1621" s="9">
        <v>20.12</v>
      </c>
    </row>
    <row r="1622" spans="1:7" x14ac:dyDescent="0.25">
      <c r="A1622" s="101">
        <v>39654</v>
      </c>
      <c r="B1622" s="9">
        <v>20.55</v>
      </c>
      <c r="C1622" s="9">
        <v>21.19</v>
      </c>
      <c r="D1622" s="9">
        <v>20.28</v>
      </c>
      <c r="E1622" s="9">
        <v>21.13</v>
      </c>
      <c r="F1622" s="9">
        <v>20406200</v>
      </c>
      <c r="G1622" s="9">
        <v>21.13</v>
      </c>
    </row>
    <row r="1623" spans="1:7" x14ac:dyDescent="0.25">
      <c r="A1623" s="101">
        <v>39653</v>
      </c>
      <c r="B1623" s="9">
        <v>20.61</v>
      </c>
      <c r="C1623" s="9">
        <v>21.06</v>
      </c>
      <c r="D1623" s="9">
        <v>20.05</v>
      </c>
      <c r="E1623" s="9">
        <v>20.53</v>
      </c>
      <c r="F1623" s="9">
        <v>24422500</v>
      </c>
      <c r="G1623" s="9">
        <v>20.53</v>
      </c>
    </row>
    <row r="1624" spans="1:7" x14ac:dyDescent="0.25">
      <c r="A1624" s="101">
        <v>39652</v>
      </c>
      <c r="B1624" s="9">
        <v>21.91</v>
      </c>
      <c r="C1624" s="9">
        <v>22.48</v>
      </c>
      <c r="D1624" s="9">
        <v>20</v>
      </c>
      <c r="E1624" s="9">
        <v>20.39</v>
      </c>
      <c r="F1624" s="9">
        <v>48279700</v>
      </c>
      <c r="G1624" s="9">
        <v>20.39</v>
      </c>
    </row>
    <row r="1625" spans="1:7" x14ac:dyDescent="0.25">
      <c r="A1625" s="101">
        <v>39651</v>
      </c>
      <c r="B1625" s="9">
        <v>21.39</v>
      </c>
      <c r="C1625" s="9">
        <v>21.7</v>
      </c>
      <c r="D1625" s="9">
        <v>20.85</v>
      </c>
      <c r="E1625" s="9">
        <v>21.4</v>
      </c>
      <c r="F1625" s="9">
        <v>29786500</v>
      </c>
      <c r="G1625" s="9">
        <v>21.4</v>
      </c>
    </row>
    <row r="1626" spans="1:7" x14ac:dyDescent="0.25">
      <c r="A1626" s="101">
        <v>39650</v>
      </c>
      <c r="B1626" s="9">
        <v>21.66</v>
      </c>
      <c r="C1626" s="9">
        <v>22.19</v>
      </c>
      <c r="D1626" s="9">
        <v>21.65</v>
      </c>
      <c r="E1626" s="9">
        <v>21.67</v>
      </c>
      <c r="F1626" s="9">
        <v>24645600</v>
      </c>
      <c r="G1626" s="9">
        <v>21.67</v>
      </c>
    </row>
    <row r="1627" spans="1:7" x14ac:dyDescent="0.25">
      <c r="A1627" s="101">
        <v>39647</v>
      </c>
      <c r="B1627" s="9">
        <v>22.55</v>
      </c>
      <c r="C1627" s="9">
        <v>22.55</v>
      </c>
      <c r="D1627" s="9">
        <v>21.86</v>
      </c>
      <c r="E1627" s="9">
        <v>22.45</v>
      </c>
      <c r="F1627" s="9">
        <v>23375400</v>
      </c>
      <c r="G1627" s="9">
        <v>22.45</v>
      </c>
    </row>
    <row r="1628" spans="1:7" x14ac:dyDescent="0.25">
      <c r="A1628" s="101">
        <v>39646</v>
      </c>
      <c r="B1628" s="9">
        <v>23.49</v>
      </c>
      <c r="C1628" s="9">
        <v>23.49</v>
      </c>
      <c r="D1628" s="9">
        <v>22.41</v>
      </c>
      <c r="E1628" s="9">
        <v>22.44</v>
      </c>
      <c r="F1628" s="9">
        <v>31947900</v>
      </c>
      <c r="G1628" s="9">
        <v>22.44</v>
      </c>
    </row>
    <row r="1629" spans="1:7" x14ac:dyDescent="0.25">
      <c r="A1629" s="101">
        <v>39645</v>
      </c>
      <c r="B1629" s="9">
        <v>21.7</v>
      </c>
      <c r="C1629" s="9">
        <v>22.6</v>
      </c>
      <c r="D1629" s="9">
        <v>21.59</v>
      </c>
      <c r="E1629" s="9">
        <v>22.48</v>
      </c>
      <c r="F1629" s="9">
        <v>20738700</v>
      </c>
      <c r="G1629" s="9">
        <v>22.48</v>
      </c>
    </row>
    <row r="1630" spans="1:7" x14ac:dyDescent="0.25">
      <c r="A1630" s="101">
        <v>39644</v>
      </c>
      <c r="B1630" s="9">
        <v>21.79</v>
      </c>
      <c r="C1630" s="9">
        <v>22.08</v>
      </c>
      <c r="D1630" s="9">
        <v>21.18</v>
      </c>
      <c r="E1630" s="9">
        <v>21.54</v>
      </c>
      <c r="F1630" s="9">
        <v>25740900</v>
      </c>
      <c r="G1630" s="9">
        <v>21.54</v>
      </c>
    </row>
    <row r="1631" spans="1:7" x14ac:dyDescent="0.25">
      <c r="A1631" s="101">
        <v>39643</v>
      </c>
      <c r="B1631" s="9">
        <v>23.12</v>
      </c>
      <c r="C1631" s="9">
        <v>23.24</v>
      </c>
      <c r="D1631" s="9">
        <v>22.22</v>
      </c>
      <c r="E1631" s="9">
        <v>22.57</v>
      </c>
      <c r="F1631" s="9">
        <v>22785000</v>
      </c>
      <c r="G1631" s="9">
        <v>22.57</v>
      </c>
    </row>
    <row r="1632" spans="1:7" x14ac:dyDescent="0.25">
      <c r="A1632" s="101">
        <v>39640</v>
      </c>
      <c r="B1632" s="9">
        <v>23</v>
      </c>
      <c r="C1632" s="9">
        <v>23.89</v>
      </c>
      <c r="D1632" s="9">
        <v>22.64</v>
      </c>
      <c r="E1632" s="9">
        <v>23.57</v>
      </c>
      <c r="F1632" s="9">
        <v>23141900</v>
      </c>
      <c r="G1632" s="9">
        <v>23.57</v>
      </c>
    </row>
    <row r="1633" spans="1:7" x14ac:dyDescent="0.25">
      <c r="A1633" s="101">
        <v>39639</v>
      </c>
      <c r="B1633" s="9">
        <v>23.76</v>
      </c>
      <c r="C1633" s="9">
        <v>24.1</v>
      </c>
      <c r="D1633" s="9">
        <v>23.04</v>
      </c>
      <c r="E1633" s="9">
        <v>23.5</v>
      </c>
      <c r="F1633" s="9">
        <v>18501800</v>
      </c>
      <c r="G1633" s="9">
        <v>23.5</v>
      </c>
    </row>
    <row r="1634" spans="1:7" x14ac:dyDescent="0.25">
      <c r="A1634" s="101">
        <v>39638</v>
      </c>
      <c r="B1634" s="9">
        <v>24.74</v>
      </c>
      <c r="C1634" s="9">
        <v>24.8</v>
      </c>
      <c r="D1634" s="9">
        <v>23.82</v>
      </c>
      <c r="E1634" s="9">
        <v>23.82</v>
      </c>
      <c r="F1634" s="9">
        <v>21980400</v>
      </c>
      <c r="G1634" s="9">
        <v>23.82</v>
      </c>
    </row>
    <row r="1635" spans="1:7" x14ac:dyDescent="0.25">
      <c r="A1635" s="101">
        <v>39637</v>
      </c>
      <c r="B1635" s="9">
        <v>23.83</v>
      </c>
      <c r="C1635" s="9">
        <v>24.66</v>
      </c>
      <c r="D1635" s="9">
        <v>23.81</v>
      </c>
      <c r="E1635" s="9">
        <v>24.64</v>
      </c>
      <c r="F1635" s="9">
        <v>34234600</v>
      </c>
      <c r="G1635" s="9">
        <v>24.64</v>
      </c>
    </row>
    <row r="1636" spans="1:7" x14ac:dyDescent="0.25">
      <c r="A1636" s="101">
        <v>39636</v>
      </c>
      <c r="B1636" s="9">
        <v>23.4</v>
      </c>
      <c r="C1636" s="9">
        <v>24.25</v>
      </c>
      <c r="D1636" s="9">
        <v>22.92</v>
      </c>
      <c r="E1636" s="9">
        <v>23.91</v>
      </c>
      <c r="F1636" s="9">
        <v>84245900</v>
      </c>
      <c r="G1636" s="9">
        <v>23.91</v>
      </c>
    </row>
    <row r="1637" spans="1:7" x14ac:dyDescent="0.25">
      <c r="A1637" s="101">
        <v>39632</v>
      </c>
      <c r="B1637" s="9">
        <v>21.35</v>
      </c>
      <c r="C1637" s="9">
        <v>21.75</v>
      </c>
      <c r="D1637" s="9">
        <v>21.03</v>
      </c>
      <c r="E1637" s="9">
        <v>21.35</v>
      </c>
      <c r="F1637" s="9">
        <v>21923800</v>
      </c>
      <c r="G1637" s="9">
        <v>21.35</v>
      </c>
    </row>
    <row r="1638" spans="1:7" x14ac:dyDescent="0.25">
      <c r="A1638" s="101">
        <v>39631</v>
      </c>
      <c r="B1638" s="9">
        <v>21.89</v>
      </c>
      <c r="C1638" s="9">
        <v>21.9</v>
      </c>
      <c r="D1638" s="9">
        <v>20.67</v>
      </c>
      <c r="E1638" s="9">
        <v>20.88</v>
      </c>
      <c r="F1638" s="9">
        <v>58418100</v>
      </c>
      <c r="G1638" s="9">
        <v>20.88</v>
      </c>
    </row>
    <row r="1639" spans="1:7" x14ac:dyDescent="0.25">
      <c r="A1639" s="101">
        <v>39630</v>
      </c>
      <c r="B1639" s="9">
        <v>20.48</v>
      </c>
      <c r="C1639" s="9">
        <v>20.49</v>
      </c>
      <c r="D1639" s="9">
        <v>19.59</v>
      </c>
      <c r="E1639" s="9">
        <v>20.2</v>
      </c>
      <c r="F1639" s="9">
        <v>36634700</v>
      </c>
      <c r="G1639" s="9">
        <v>20.2</v>
      </c>
    </row>
    <row r="1640" spans="1:7" x14ac:dyDescent="0.25">
      <c r="A1640" s="101">
        <v>39629</v>
      </c>
      <c r="B1640" s="9">
        <v>21.12</v>
      </c>
      <c r="C1640" s="9">
        <v>21.2</v>
      </c>
      <c r="D1640" s="9">
        <v>20.6</v>
      </c>
      <c r="E1640" s="9">
        <v>20.66</v>
      </c>
      <c r="F1640" s="9">
        <v>17173500</v>
      </c>
      <c r="G1640" s="9">
        <v>20.66</v>
      </c>
    </row>
    <row r="1641" spans="1:7" x14ac:dyDescent="0.25">
      <c r="A1641" s="101">
        <v>39626</v>
      </c>
      <c r="B1641" s="9">
        <v>21.29</v>
      </c>
      <c r="C1641" s="9">
        <v>21.46</v>
      </c>
      <c r="D1641" s="9">
        <v>20.7</v>
      </c>
      <c r="E1641" s="9">
        <v>21.33</v>
      </c>
      <c r="F1641" s="9">
        <v>30236800</v>
      </c>
      <c r="G1641" s="9">
        <v>21.33</v>
      </c>
    </row>
    <row r="1642" spans="1:7" x14ac:dyDescent="0.25">
      <c r="A1642" s="101">
        <v>39625</v>
      </c>
      <c r="B1642" s="9">
        <v>21.59</v>
      </c>
      <c r="C1642" s="9">
        <v>21.89</v>
      </c>
      <c r="D1642" s="9">
        <v>21.28</v>
      </c>
      <c r="E1642" s="9">
        <v>21.37</v>
      </c>
      <c r="F1642" s="9">
        <v>23993900</v>
      </c>
      <c r="G1642" s="9">
        <v>21.37</v>
      </c>
    </row>
    <row r="1643" spans="1:7" x14ac:dyDescent="0.25">
      <c r="A1643" s="101">
        <v>39624</v>
      </c>
      <c r="B1643" s="9">
        <v>22</v>
      </c>
      <c r="C1643" s="9">
        <v>22.24</v>
      </c>
      <c r="D1643" s="9">
        <v>21.86</v>
      </c>
      <c r="E1643" s="9">
        <v>22.01</v>
      </c>
      <c r="F1643" s="9">
        <v>19530900</v>
      </c>
      <c r="G1643" s="9">
        <v>22.01</v>
      </c>
    </row>
    <row r="1644" spans="1:7" x14ac:dyDescent="0.25">
      <c r="A1644" s="101">
        <v>39623</v>
      </c>
      <c r="B1644" s="9">
        <v>21.17</v>
      </c>
      <c r="C1644" s="9">
        <v>23.71</v>
      </c>
      <c r="D1644" s="9">
        <v>20.6</v>
      </c>
      <c r="E1644" s="9">
        <v>22.04</v>
      </c>
      <c r="F1644" s="9">
        <v>85211700</v>
      </c>
      <c r="G1644" s="9">
        <v>22.04</v>
      </c>
    </row>
    <row r="1645" spans="1:7" x14ac:dyDescent="0.25">
      <c r="A1645" s="101">
        <v>39622</v>
      </c>
      <c r="B1645" s="9">
        <v>22.07</v>
      </c>
      <c r="C1645" s="9">
        <v>22.12</v>
      </c>
      <c r="D1645" s="9">
        <v>21.3</v>
      </c>
      <c r="E1645" s="9">
        <v>21.45</v>
      </c>
      <c r="F1645" s="9">
        <v>29819200</v>
      </c>
      <c r="G1645" s="9">
        <v>21.45</v>
      </c>
    </row>
    <row r="1646" spans="1:7" x14ac:dyDescent="0.25">
      <c r="A1646" s="101">
        <v>39619</v>
      </c>
      <c r="B1646" s="9">
        <v>22.49</v>
      </c>
      <c r="C1646" s="9">
        <v>22.53</v>
      </c>
      <c r="D1646" s="9">
        <v>21.9</v>
      </c>
      <c r="E1646" s="9">
        <v>21.99</v>
      </c>
      <c r="F1646" s="9">
        <v>34606900</v>
      </c>
      <c r="G1646" s="9">
        <v>21.99</v>
      </c>
    </row>
    <row r="1647" spans="1:7" x14ac:dyDescent="0.25">
      <c r="A1647" s="101">
        <v>39618</v>
      </c>
      <c r="B1647" s="9">
        <v>22.78</v>
      </c>
      <c r="C1647" s="9">
        <v>22.87</v>
      </c>
      <c r="D1647" s="9">
        <v>22.37</v>
      </c>
      <c r="E1647" s="9">
        <v>22.73</v>
      </c>
      <c r="F1647" s="9">
        <v>19001300</v>
      </c>
      <c r="G1647" s="9">
        <v>22.73</v>
      </c>
    </row>
    <row r="1648" spans="1:7" x14ac:dyDescent="0.25">
      <c r="A1648" s="101">
        <v>39617</v>
      </c>
      <c r="B1648" s="9">
        <v>23.22</v>
      </c>
      <c r="C1648" s="9">
        <v>23.22</v>
      </c>
      <c r="D1648" s="9">
        <v>22.63</v>
      </c>
      <c r="E1648" s="9">
        <v>22.91</v>
      </c>
      <c r="F1648" s="9">
        <v>14255900</v>
      </c>
      <c r="G1648" s="9">
        <v>22.91</v>
      </c>
    </row>
    <row r="1649" spans="1:7" x14ac:dyDescent="0.25">
      <c r="A1649" s="101">
        <v>39616</v>
      </c>
      <c r="B1649" s="9">
        <v>23.58</v>
      </c>
      <c r="C1649" s="9">
        <v>23.58</v>
      </c>
      <c r="D1649" s="9">
        <v>22.9</v>
      </c>
      <c r="E1649" s="9">
        <v>23.25</v>
      </c>
      <c r="F1649" s="9">
        <v>22808800</v>
      </c>
      <c r="G1649" s="9">
        <v>23.25</v>
      </c>
    </row>
    <row r="1650" spans="1:7" x14ac:dyDescent="0.25">
      <c r="A1650" s="101">
        <v>39615</v>
      </c>
      <c r="B1650" s="9">
        <v>22.95</v>
      </c>
      <c r="C1650" s="9">
        <v>23.58</v>
      </c>
      <c r="D1650" s="9">
        <v>22.71</v>
      </c>
      <c r="E1650" s="9">
        <v>23.54</v>
      </c>
      <c r="F1650" s="9">
        <v>44711900</v>
      </c>
      <c r="G1650" s="9">
        <v>23.54</v>
      </c>
    </row>
    <row r="1651" spans="1:7" x14ac:dyDescent="0.25">
      <c r="A1651" s="101">
        <v>39612</v>
      </c>
      <c r="B1651" s="9">
        <v>22.82</v>
      </c>
      <c r="C1651" s="9">
        <v>23.48</v>
      </c>
      <c r="D1651" s="9">
        <v>21.75</v>
      </c>
      <c r="E1651" s="9">
        <v>23.47</v>
      </c>
      <c r="F1651" s="9">
        <v>118467700</v>
      </c>
      <c r="G1651" s="9">
        <v>23.47</v>
      </c>
    </row>
    <row r="1652" spans="1:7" x14ac:dyDescent="0.25">
      <c r="A1652" s="101">
        <v>39611</v>
      </c>
      <c r="B1652" s="9">
        <v>26.33</v>
      </c>
      <c r="C1652" s="9">
        <v>26.33</v>
      </c>
      <c r="D1652" s="9">
        <v>22.5</v>
      </c>
      <c r="E1652" s="9">
        <v>23.52</v>
      </c>
      <c r="F1652" s="9">
        <v>122412100</v>
      </c>
      <c r="G1652" s="9">
        <v>23.52</v>
      </c>
    </row>
    <row r="1653" spans="1:7" x14ac:dyDescent="0.25">
      <c r="A1653" s="101">
        <v>39610</v>
      </c>
      <c r="B1653" s="9">
        <v>26.42</v>
      </c>
      <c r="C1653" s="9">
        <v>26.46</v>
      </c>
      <c r="D1653" s="9">
        <v>26</v>
      </c>
      <c r="E1653" s="9">
        <v>26.15</v>
      </c>
      <c r="F1653" s="9">
        <v>13315400</v>
      </c>
      <c r="G1653" s="9">
        <v>26.15</v>
      </c>
    </row>
    <row r="1654" spans="1:7" x14ac:dyDescent="0.25">
      <c r="A1654" s="101">
        <v>39609</v>
      </c>
      <c r="B1654" s="9">
        <v>26.32</v>
      </c>
      <c r="C1654" s="9">
        <v>26.58</v>
      </c>
      <c r="D1654" s="9">
        <v>26.25</v>
      </c>
      <c r="E1654" s="9">
        <v>26.4</v>
      </c>
      <c r="F1654" s="9">
        <v>11854000</v>
      </c>
      <c r="G1654" s="9">
        <v>26.4</v>
      </c>
    </row>
    <row r="1655" spans="1:7" x14ac:dyDescent="0.25">
      <c r="A1655" s="101">
        <v>39608</v>
      </c>
      <c r="B1655" s="9">
        <v>26.5</v>
      </c>
      <c r="C1655" s="9">
        <v>26.86</v>
      </c>
      <c r="D1655" s="9">
        <v>26.1</v>
      </c>
      <c r="E1655" s="9">
        <v>26.58</v>
      </c>
      <c r="F1655" s="9">
        <v>17278300</v>
      </c>
      <c r="G1655" s="9">
        <v>26.58</v>
      </c>
    </row>
    <row r="1656" spans="1:7" x14ac:dyDescent="0.25">
      <c r="A1656" s="101">
        <v>39605</v>
      </c>
      <c r="B1656" s="9">
        <v>26.5</v>
      </c>
      <c r="C1656" s="9">
        <v>27.08</v>
      </c>
      <c r="D1656" s="9">
        <v>26.03</v>
      </c>
      <c r="E1656" s="9">
        <v>26.44</v>
      </c>
      <c r="F1656" s="9">
        <v>37758400</v>
      </c>
      <c r="G1656" s="9">
        <v>26.44</v>
      </c>
    </row>
    <row r="1657" spans="1:7" x14ac:dyDescent="0.25">
      <c r="A1657" s="101">
        <v>39604</v>
      </c>
      <c r="B1657" s="9">
        <v>26.46</v>
      </c>
      <c r="C1657" s="9">
        <v>26.64</v>
      </c>
      <c r="D1657" s="9">
        <v>25.97</v>
      </c>
      <c r="E1657" s="9">
        <v>26.36</v>
      </c>
      <c r="F1657" s="9">
        <v>30167300</v>
      </c>
      <c r="G1657" s="9">
        <v>26.36</v>
      </c>
    </row>
    <row r="1658" spans="1:7" x14ac:dyDescent="0.25">
      <c r="A1658" s="101">
        <v>39603</v>
      </c>
      <c r="B1658" s="9">
        <v>26.25</v>
      </c>
      <c r="C1658" s="9">
        <v>27.05</v>
      </c>
      <c r="D1658" s="9">
        <v>26.16</v>
      </c>
      <c r="E1658" s="9">
        <v>26.85</v>
      </c>
      <c r="F1658" s="9">
        <v>29973600</v>
      </c>
      <c r="G1658" s="9">
        <v>26.85</v>
      </c>
    </row>
    <row r="1659" spans="1:7" x14ac:dyDescent="0.25">
      <c r="A1659" s="101">
        <v>39602</v>
      </c>
      <c r="B1659" s="9">
        <v>26.36</v>
      </c>
      <c r="C1659" s="9">
        <v>26.6</v>
      </c>
      <c r="D1659" s="9">
        <v>25.78</v>
      </c>
      <c r="E1659" s="9">
        <v>26.15</v>
      </c>
      <c r="F1659" s="9">
        <v>25586000</v>
      </c>
      <c r="G1659" s="9">
        <v>26.15</v>
      </c>
    </row>
    <row r="1660" spans="1:7" x14ac:dyDescent="0.25">
      <c r="A1660" s="101">
        <v>39601</v>
      </c>
      <c r="B1660" s="9">
        <v>26.8</v>
      </c>
      <c r="C1660" s="9">
        <v>26.81</v>
      </c>
      <c r="D1660" s="9">
        <v>26.03</v>
      </c>
      <c r="E1660" s="9">
        <v>26.4</v>
      </c>
      <c r="F1660" s="9">
        <v>26379400</v>
      </c>
      <c r="G1660" s="9">
        <v>26.4</v>
      </c>
    </row>
    <row r="1661" spans="1:7" x14ac:dyDescent="0.25">
      <c r="A1661" s="101">
        <v>39598</v>
      </c>
      <c r="B1661" s="9">
        <v>27.07</v>
      </c>
      <c r="C1661" s="9">
        <v>27.1</v>
      </c>
      <c r="D1661" s="9">
        <v>26.63</v>
      </c>
      <c r="E1661" s="9">
        <v>26.76</v>
      </c>
      <c r="F1661" s="9">
        <v>17771800</v>
      </c>
      <c r="G1661" s="9">
        <v>26.76</v>
      </c>
    </row>
    <row r="1662" spans="1:7" x14ac:dyDescent="0.25">
      <c r="A1662" s="101">
        <v>39597</v>
      </c>
      <c r="B1662" s="9">
        <v>27.34</v>
      </c>
      <c r="C1662" s="9">
        <v>27.36</v>
      </c>
      <c r="D1662" s="9">
        <v>27</v>
      </c>
      <c r="E1662" s="9">
        <v>27.07</v>
      </c>
      <c r="F1662" s="9">
        <v>17905300</v>
      </c>
      <c r="G1662" s="9">
        <v>27.07</v>
      </c>
    </row>
    <row r="1663" spans="1:7" x14ac:dyDescent="0.25">
      <c r="A1663" s="101">
        <v>39596</v>
      </c>
      <c r="B1663" s="9">
        <v>27.42</v>
      </c>
      <c r="C1663" s="9">
        <v>27.48</v>
      </c>
      <c r="D1663" s="9">
        <v>26.95</v>
      </c>
      <c r="E1663" s="9">
        <v>27.16</v>
      </c>
      <c r="F1663" s="9">
        <v>21785600</v>
      </c>
      <c r="G1663" s="9">
        <v>27.16</v>
      </c>
    </row>
    <row r="1664" spans="1:7" x14ac:dyDescent="0.25">
      <c r="A1664" s="101">
        <v>39595</v>
      </c>
      <c r="B1664" s="9">
        <v>27.5</v>
      </c>
      <c r="C1664" s="9">
        <v>27.63</v>
      </c>
      <c r="D1664" s="9">
        <v>26.98</v>
      </c>
      <c r="E1664" s="9">
        <v>27</v>
      </c>
      <c r="F1664" s="9">
        <v>20703900</v>
      </c>
      <c r="G1664" s="9">
        <v>27</v>
      </c>
    </row>
    <row r="1665" spans="1:7" x14ac:dyDescent="0.25">
      <c r="A1665" s="101">
        <v>39591</v>
      </c>
      <c r="B1665" s="9">
        <v>27.48</v>
      </c>
      <c r="C1665" s="9">
        <v>27.74</v>
      </c>
      <c r="D1665" s="9">
        <v>27.26</v>
      </c>
      <c r="E1665" s="9">
        <v>27.72</v>
      </c>
      <c r="F1665" s="9">
        <v>24035700</v>
      </c>
      <c r="G1665" s="9">
        <v>27.72</v>
      </c>
    </row>
    <row r="1666" spans="1:7" x14ac:dyDescent="0.25">
      <c r="A1666" s="101">
        <v>39590</v>
      </c>
      <c r="B1666" s="9">
        <v>27.3</v>
      </c>
      <c r="C1666" s="9">
        <v>27.61</v>
      </c>
      <c r="D1666" s="9">
        <v>26.95</v>
      </c>
      <c r="E1666" s="9">
        <v>27.53</v>
      </c>
      <c r="F1666" s="9">
        <v>24737400</v>
      </c>
      <c r="G1666" s="9">
        <v>27.53</v>
      </c>
    </row>
    <row r="1667" spans="1:7" x14ac:dyDescent="0.25">
      <c r="A1667" s="101">
        <v>39589</v>
      </c>
      <c r="B1667" s="9">
        <v>27.34</v>
      </c>
      <c r="C1667" s="9">
        <v>27.95</v>
      </c>
      <c r="D1667" s="9">
        <v>26.8</v>
      </c>
      <c r="E1667" s="9">
        <v>27.33</v>
      </c>
      <c r="F1667" s="9">
        <v>38317200</v>
      </c>
      <c r="G1667" s="9">
        <v>27.33</v>
      </c>
    </row>
    <row r="1668" spans="1:7" x14ac:dyDescent="0.25">
      <c r="A1668" s="101">
        <v>39588</v>
      </c>
      <c r="B1668" s="9">
        <v>27.68</v>
      </c>
      <c r="C1668" s="9">
        <v>28.2</v>
      </c>
      <c r="D1668" s="9">
        <v>27.32</v>
      </c>
      <c r="E1668" s="9">
        <v>27.48</v>
      </c>
      <c r="F1668" s="9">
        <v>29450900</v>
      </c>
      <c r="G1668" s="9">
        <v>27.48</v>
      </c>
    </row>
    <row r="1669" spans="1:7" x14ac:dyDescent="0.25">
      <c r="A1669" s="101">
        <v>39587</v>
      </c>
      <c r="B1669" s="9">
        <v>27.9</v>
      </c>
      <c r="C1669" s="9">
        <v>28.33</v>
      </c>
      <c r="D1669" s="9">
        <v>27.42</v>
      </c>
      <c r="E1669" s="9">
        <v>27.68</v>
      </c>
      <c r="F1669" s="9">
        <v>55348600</v>
      </c>
      <c r="G1669" s="9">
        <v>27.68</v>
      </c>
    </row>
    <row r="1670" spans="1:7" x14ac:dyDescent="0.25">
      <c r="A1670" s="101">
        <v>39584</v>
      </c>
      <c r="B1670" s="9">
        <v>27.73</v>
      </c>
      <c r="C1670" s="9">
        <v>27.95</v>
      </c>
      <c r="D1670" s="9">
        <v>27.41</v>
      </c>
      <c r="E1670" s="9">
        <v>27.66</v>
      </c>
      <c r="F1670" s="9">
        <v>61318300</v>
      </c>
      <c r="G1670" s="9">
        <v>27.66</v>
      </c>
    </row>
    <row r="1671" spans="1:7" x14ac:dyDescent="0.25">
      <c r="A1671" s="101">
        <v>39583</v>
      </c>
      <c r="B1671" s="9">
        <v>27.54</v>
      </c>
      <c r="C1671" s="9">
        <v>27.98</v>
      </c>
      <c r="D1671" s="9">
        <v>26.85</v>
      </c>
      <c r="E1671" s="9">
        <v>27.75</v>
      </c>
      <c r="F1671" s="9">
        <v>79748700</v>
      </c>
      <c r="G1671" s="9">
        <v>27.75</v>
      </c>
    </row>
    <row r="1672" spans="1:7" x14ac:dyDescent="0.25">
      <c r="A1672" s="101">
        <v>39582</v>
      </c>
      <c r="B1672" s="9">
        <v>26.95</v>
      </c>
      <c r="C1672" s="9">
        <v>27.36</v>
      </c>
      <c r="D1672" s="9">
        <v>26.2</v>
      </c>
      <c r="E1672" s="9">
        <v>27.14</v>
      </c>
      <c r="F1672" s="9">
        <v>64571100</v>
      </c>
      <c r="G1672" s="9">
        <v>27.14</v>
      </c>
    </row>
    <row r="1673" spans="1:7" x14ac:dyDescent="0.25">
      <c r="A1673" s="101">
        <v>39581</v>
      </c>
      <c r="B1673" s="9">
        <v>25.15</v>
      </c>
      <c r="C1673" s="9">
        <v>26.84</v>
      </c>
      <c r="D1673" s="9">
        <v>24.39</v>
      </c>
      <c r="E1673" s="9">
        <v>26.56</v>
      </c>
      <c r="F1673" s="9">
        <v>81351200</v>
      </c>
      <c r="G1673" s="9">
        <v>26.56</v>
      </c>
    </row>
    <row r="1674" spans="1:7" x14ac:dyDescent="0.25">
      <c r="A1674" s="101">
        <v>39580</v>
      </c>
      <c r="B1674" s="9">
        <v>25.8</v>
      </c>
      <c r="C1674" s="9">
        <v>25.88</v>
      </c>
      <c r="D1674" s="9">
        <v>25.02</v>
      </c>
      <c r="E1674" s="9">
        <v>25.26</v>
      </c>
      <c r="F1674" s="9">
        <v>41319400</v>
      </c>
      <c r="G1674" s="9">
        <v>25.26</v>
      </c>
    </row>
    <row r="1675" spans="1:7" x14ac:dyDescent="0.25">
      <c r="A1675" s="101">
        <v>39577</v>
      </c>
      <c r="B1675" s="9">
        <v>26.01</v>
      </c>
      <c r="C1675" s="9">
        <v>26.19</v>
      </c>
      <c r="D1675" s="9">
        <v>25.75</v>
      </c>
      <c r="E1675" s="9">
        <v>25.93</v>
      </c>
      <c r="F1675" s="9">
        <v>30686900</v>
      </c>
      <c r="G1675" s="9">
        <v>25.93</v>
      </c>
    </row>
    <row r="1676" spans="1:7" x14ac:dyDescent="0.25">
      <c r="A1676" s="101">
        <v>39576</v>
      </c>
      <c r="B1676" s="9">
        <v>25.66</v>
      </c>
      <c r="C1676" s="9">
        <v>26.44</v>
      </c>
      <c r="D1676" s="9">
        <v>25.51</v>
      </c>
      <c r="E1676" s="9">
        <v>26.22</v>
      </c>
      <c r="F1676" s="9">
        <v>61308600</v>
      </c>
      <c r="G1676" s="9">
        <v>26.22</v>
      </c>
    </row>
    <row r="1677" spans="1:7" x14ac:dyDescent="0.25">
      <c r="A1677" s="101">
        <v>39575</v>
      </c>
      <c r="B1677" s="9">
        <v>25.57</v>
      </c>
      <c r="C1677" s="9">
        <v>25.71</v>
      </c>
      <c r="D1677" s="9">
        <v>25.03</v>
      </c>
      <c r="E1677" s="9">
        <v>25.64</v>
      </c>
      <c r="F1677" s="9">
        <v>84698300</v>
      </c>
      <c r="G1677" s="9">
        <v>25.64</v>
      </c>
    </row>
    <row r="1678" spans="1:7" x14ac:dyDescent="0.25">
      <c r="A1678" s="101">
        <v>39574</v>
      </c>
      <c r="B1678" s="9">
        <v>25.54</v>
      </c>
      <c r="C1678" s="9">
        <v>26.25</v>
      </c>
      <c r="D1678" s="9">
        <v>24.2</v>
      </c>
      <c r="E1678" s="9">
        <v>25.72</v>
      </c>
      <c r="F1678" s="9">
        <v>180100000</v>
      </c>
      <c r="G1678" s="9">
        <v>25.72</v>
      </c>
    </row>
    <row r="1679" spans="1:7" x14ac:dyDescent="0.25">
      <c r="A1679" s="101">
        <v>39573</v>
      </c>
      <c r="B1679" s="9">
        <v>23.05</v>
      </c>
      <c r="C1679" s="9">
        <v>24.93</v>
      </c>
      <c r="D1679" s="9">
        <v>22.97</v>
      </c>
      <c r="E1679" s="9">
        <v>24.37</v>
      </c>
      <c r="F1679" s="9">
        <v>279318400</v>
      </c>
      <c r="G1679" s="9">
        <v>24.37</v>
      </c>
    </row>
    <row r="1680" spans="1:7" x14ac:dyDescent="0.25">
      <c r="A1680" s="101">
        <v>39570</v>
      </c>
      <c r="B1680" s="9">
        <v>27.65</v>
      </c>
      <c r="C1680" s="9">
        <v>29.73</v>
      </c>
      <c r="D1680" s="9">
        <v>27.21</v>
      </c>
      <c r="E1680" s="9">
        <v>28.67</v>
      </c>
      <c r="F1680" s="9">
        <v>80447300</v>
      </c>
      <c r="G1680" s="9">
        <v>28.67</v>
      </c>
    </row>
    <row r="1681" spans="1:7" x14ac:dyDescent="0.25">
      <c r="A1681" s="101">
        <v>39569</v>
      </c>
      <c r="B1681" s="9">
        <v>27.69</v>
      </c>
      <c r="C1681" s="9">
        <v>28.34</v>
      </c>
      <c r="D1681" s="9">
        <v>26.5</v>
      </c>
      <c r="E1681" s="9">
        <v>26.81</v>
      </c>
      <c r="F1681" s="9">
        <v>52071000</v>
      </c>
      <c r="G1681" s="9">
        <v>26.81</v>
      </c>
    </row>
    <row r="1682" spans="1:7" x14ac:dyDescent="0.25">
      <c r="A1682" s="101">
        <v>39568</v>
      </c>
      <c r="B1682" s="9">
        <v>27.17</v>
      </c>
      <c r="C1682" s="9">
        <v>27.78</v>
      </c>
      <c r="D1682" s="9">
        <v>26.76</v>
      </c>
      <c r="E1682" s="9">
        <v>27.41</v>
      </c>
      <c r="F1682" s="9">
        <v>31034100</v>
      </c>
      <c r="G1682" s="9">
        <v>27.41</v>
      </c>
    </row>
    <row r="1683" spans="1:7" x14ac:dyDescent="0.25">
      <c r="A1683" s="101">
        <v>39567</v>
      </c>
      <c r="B1683" s="9">
        <v>26.35</v>
      </c>
      <c r="C1683" s="9">
        <v>27.48</v>
      </c>
      <c r="D1683" s="9">
        <v>25.81</v>
      </c>
      <c r="E1683" s="9">
        <v>27.36</v>
      </c>
      <c r="F1683" s="9">
        <v>36678000</v>
      </c>
      <c r="G1683" s="9">
        <v>27.36</v>
      </c>
    </row>
    <row r="1684" spans="1:7" x14ac:dyDescent="0.25">
      <c r="A1684" s="101">
        <v>39566</v>
      </c>
      <c r="B1684" s="9">
        <v>27</v>
      </c>
      <c r="C1684" s="9">
        <v>27.09</v>
      </c>
      <c r="D1684" s="9">
        <v>26.25</v>
      </c>
      <c r="E1684" s="9">
        <v>26.43</v>
      </c>
      <c r="F1684" s="9">
        <v>20869300</v>
      </c>
      <c r="G1684" s="9">
        <v>26.43</v>
      </c>
    </row>
    <row r="1685" spans="1:7" x14ac:dyDescent="0.25">
      <c r="A1685" s="101">
        <v>39563</v>
      </c>
      <c r="B1685" s="9">
        <v>26.85</v>
      </c>
      <c r="C1685" s="9">
        <v>26.93</v>
      </c>
      <c r="D1685" s="9">
        <v>26.08</v>
      </c>
      <c r="E1685" s="9">
        <v>26.8</v>
      </c>
      <c r="F1685" s="9">
        <v>50523100</v>
      </c>
      <c r="G1685" s="9">
        <v>26.8</v>
      </c>
    </row>
    <row r="1686" spans="1:7" x14ac:dyDescent="0.25">
      <c r="A1686" s="101">
        <v>39562</v>
      </c>
      <c r="B1686" s="9">
        <v>28.01</v>
      </c>
      <c r="C1686" s="9">
        <v>28.08</v>
      </c>
      <c r="D1686" s="9">
        <v>27.24</v>
      </c>
      <c r="E1686" s="9">
        <v>27.3</v>
      </c>
      <c r="F1686" s="9">
        <v>25944000</v>
      </c>
      <c r="G1686" s="9">
        <v>27.3</v>
      </c>
    </row>
    <row r="1687" spans="1:7" x14ac:dyDescent="0.25">
      <c r="A1687" s="101">
        <v>39561</v>
      </c>
      <c r="B1687" s="9">
        <v>28.24</v>
      </c>
      <c r="C1687" s="9">
        <v>28.35</v>
      </c>
      <c r="D1687" s="9">
        <v>27.71</v>
      </c>
      <c r="E1687" s="9">
        <v>28.08</v>
      </c>
      <c r="F1687" s="9">
        <v>31134400</v>
      </c>
      <c r="G1687" s="9">
        <v>28.08</v>
      </c>
    </row>
    <row r="1688" spans="1:7" x14ac:dyDescent="0.25">
      <c r="A1688" s="101">
        <v>39560</v>
      </c>
      <c r="B1688" s="9">
        <v>28.73</v>
      </c>
      <c r="C1688" s="9">
        <v>28.88</v>
      </c>
      <c r="D1688" s="9">
        <v>28.44</v>
      </c>
      <c r="E1688" s="9">
        <v>28.54</v>
      </c>
      <c r="F1688" s="9">
        <v>28564000</v>
      </c>
      <c r="G1688" s="9">
        <v>28.54</v>
      </c>
    </row>
    <row r="1689" spans="1:7" x14ac:dyDescent="0.25">
      <c r="A1689" s="101">
        <v>39559</v>
      </c>
      <c r="B1689" s="9">
        <v>28.52</v>
      </c>
      <c r="C1689" s="9">
        <v>28.68</v>
      </c>
      <c r="D1689" s="9">
        <v>28.22</v>
      </c>
      <c r="E1689" s="9">
        <v>28.55</v>
      </c>
      <c r="F1689" s="9">
        <v>18368700</v>
      </c>
      <c r="G1689" s="9">
        <v>28.55</v>
      </c>
    </row>
    <row r="1690" spans="1:7" x14ac:dyDescent="0.25">
      <c r="A1690" s="101">
        <v>39556</v>
      </c>
      <c r="B1690" s="9">
        <v>28.44</v>
      </c>
      <c r="C1690" s="9">
        <v>28.67</v>
      </c>
      <c r="D1690" s="9">
        <v>28.17</v>
      </c>
      <c r="E1690" s="9">
        <v>28.43</v>
      </c>
      <c r="F1690" s="9">
        <v>25292200</v>
      </c>
      <c r="G1690" s="9">
        <v>28.43</v>
      </c>
    </row>
    <row r="1691" spans="1:7" x14ac:dyDescent="0.25">
      <c r="A1691" s="101">
        <v>39555</v>
      </c>
      <c r="B1691" s="9">
        <v>28.4</v>
      </c>
      <c r="C1691" s="9">
        <v>28.4</v>
      </c>
      <c r="D1691" s="9">
        <v>27.96</v>
      </c>
      <c r="E1691" s="9">
        <v>28.03</v>
      </c>
      <c r="F1691" s="9">
        <v>10848800</v>
      </c>
      <c r="G1691" s="9">
        <v>28.03</v>
      </c>
    </row>
    <row r="1692" spans="1:7" x14ac:dyDescent="0.25">
      <c r="A1692" s="101">
        <v>39554</v>
      </c>
      <c r="B1692" s="9">
        <v>28.11</v>
      </c>
      <c r="C1692" s="9">
        <v>28.4</v>
      </c>
      <c r="D1692" s="9">
        <v>28.11</v>
      </c>
      <c r="E1692" s="9">
        <v>28.31</v>
      </c>
      <c r="F1692" s="9">
        <v>9204900</v>
      </c>
      <c r="G1692" s="9">
        <v>28.31</v>
      </c>
    </row>
    <row r="1693" spans="1:7" x14ac:dyDescent="0.25">
      <c r="A1693" s="101">
        <v>39553</v>
      </c>
      <c r="B1693" s="9">
        <v>28.05</v>
      </c>
      <c r="C1693" s="9">
        <v>28.25</v>
      </c>
      <c r="D1693" s="9">
        <v>27.77</v>
      </c>
      <c r="E1693" s="9">
        <v>28.17</v>
      </c>
      <c r="F1693" s="9">
        <v>12096600</v>
      </c>
      <c r="G1693" s="9">
        <v>28.17</v>
      </c>
    </row>
    <row r="1694" spans="1:7" x14ac:dyDescent="0.25">
      <c r="A1694" s="101">
        <v>39552</v>
      </c>
      <c r="B1694" s="9">
        <v>28.18</v>
      </c>
      <c r="C1694" s="9">
        <v>28.34</v>
      </c>
      <c r="D1694" s="9">
        <v>27.79</v>
      </c>
      <c r="E1694" s="9">
        <v>27.8</v>
      </c>
      <c r="F1694" s="9">
        <v>14159500</v>
      </c>
      <c r="G1694" s="9">
        <v>27.8</v>
      </c>
    </row>
    <row r="1695" spans="1:7" x14ac:dyDescent="0.25">
      <c r="A1695" s="101">
        <v>39549</v>
      </c>
      <c r="B1695" s="9">
        <v>28.41</v>
      </c>
      <c r="C1695" s="9">
        <v>28.61</v>
      </c>
      <c r="D1695" s="9">
        <v>28.09</v>
      </c>
      <c r="E1695" s="9">
        <v>28.34</v>
      </c>
      <c r="F1695" s="9">
        <v>18433700</v>
      </c>
      <c r="G1695" s="9">
        <v>28.34</v>
      </c>
    </row>
    <row r="1696" spans="1:7" x14ac:dyDescent="0.25">
      <c r="A1696" s="101">
        <v>39548</v>
      </c>
      <c r="B1696" s="9">
        <v>28.39</v>
      </c>
      <c r="C1696" s="9">
        <v>28.69</v>
      </c>
      <c r="D1696" s="9">
        <v>28.28</v>
      </c>
      <c r="E1696" s="9">
        <v>28.59</v>
      </c>
      <c r="F1696" s="9">
        <v>32671200</v>
      </c>
      <c r="G1696" s="9">
        <v>28.59</v>
      </c>
    </row>
    <row r="1697" spans="1:7" x14ac:dyDescent="0.25">
      <c r="A1697" s="101">
        <v>39547</v>
      </c>
      <c r="B1697" s="9">
        <v>27.8</v>
      </c>
      <c r="C1697" s="9">
        <v>27.95</v>
      </c>
      <c r="D1697" s="9">
        <v>27.13</v>
      </c>
      <c r="E1697" s="9">
        <v>27.77</v>
      </c>
      <c r="F1697" s="9">
        <v>31768300</v>
      </c>
      <c r="G1697" s="9">
        <v>27.77</v>
      </c>
    </row>
    <row r="1698" spans="1:7" x14ac:dyDescent="0.25">
      <c r="A1698" s="101">
        <v>39546</v>
      </c>
      <c r="B1698" s="9">
        <v>27.72</v>
      </c>
      <c r="C1698" s="9">
        <v>27.82</v>
      </c>
      <c r="D1698" s="9">
        <v>27.49</v>
      </c>
      <c r="E1698" s="9">
        <v>27.7</v>
      </c>
      <c r="F1698" s="9">
        <v>17935600</v>
      </c>
      <c r="G1698" s="9">
        <v>27.7</v>
      </c>
    </row>
    <row r="1699" spans="1:7" x14ac:dyDescent="0.25">
      <c r="A1699" s="101">
        <v>39545</v>
      </c>
      <c r="B1699" s="9">
        <v>27.8</v>
      </c>
      <c r="C1699" s="9">
        <v>28.15</v>
      </c>
      <c r="D1699" s="9">
        <v>27.57</v>
      </c>
      <c r="E1699" s="9">
        <v>27.7</v>
      </c>
      <c r="F1699" s="9">
        <v>29455100</v>
      </c>
      <c r="G1699" s="9">
        <v>27.7</v>
      </c>
    </row>
    <row r="1700" spans="1:7" x14ac:dyDescent="0.25">
      <c r="A1700" s="101">
        <v>39542</v>
      </c>
      <c r="B1700" s="9">
        <v>28</v>
      </c>
      <c r="C1700" s="9">
        <v>28.45</v>
      </c>
      <c r="D1700" s="9">
        <v>27.59</v>
      </c>
      <c r="E1700" s="9">
        <v>28.36</v>
      </c>
      <c r="F1700" s="9">
        <v>28290700</v>
      </c>
      <c r="G1700" s="9">
        <v>28.36</v>
      </c>
    </row>
    <row r="1701" spans="1:7" x14ac:dyDescent="0.25">
      <c r="A1701" s="101">
        <v>39541</v>
      </c>
      <c r="B1701" s="9">
        <v>27.65</v>
      </c>
      <c r="C1701" s="9">
        <v>28.22</v>
      </c>
      <c r="D1701" s="9">
        <v>27.58</v>
      </c>
      <c r="E1701" s="9">
        <v>28.13</v>
      </c>
      <c r="F1701" s="9">
        <v>14535400</v>
      </c>
      <c r="G1701" s="9">
        <v>28.13</v>
      </c>
    </row>
    <row r="1702" spans="1:7" x14ac:dyDescent="0.25">
      <c r="A1702" s="101">
        <v>39540</v>
      </c>
      <c r="B1702" s="9">
        <v>28.57</v>
      </c>
      <c r="C1702" s="9">
        <v>28.6</v>
      </c>
      <c r="D1702" s="9">
        <v>27.49</v>
      </c>
      <c r="E1702" s="9">
        <v>27.82</v>
      </c>
      <c r="F1702" s="9">
        <v>30180400</v>
      </c>
      <c r="G1702" s="9">
        <v>27.82</v>
      </c>
    </row>
    <row r="1703" spans="1:7" x14ac:dyDescent="0.25">
      <c r="A1703" s="101">
        <v>39539</v>
      </c>
      <c r="B1703" s="9">
        <v>28.07</v>
      </c>
      <c r="C1703" s="9">
        <v>28.62</v>
      </c>
      <c r="D1703" s="9">
        <v>28.02</v>
      </c>
      <c r="E1703" s="9">
        <v>28.5</v>
      </c>
      <c r="F1703" s="9">
        <v>20483600</v>
      </c>
      <c r="G1703" s="9">
        <v>28.5</v>
      </c>
    </row>
    <row r="1704" spans="1:7" x14ac:dyDescent="0.25">
      <c r="A1704" s="101">
        <v>39538</v>
      </c>
      <c r="B1704" s="9">
        <v>28.56</v>
      </c>
      <c r="C1704" s="9">
        <v>29.12</v>
      </c>
      <c r="D1704" s="9">
        <v>28.27</v>
      </c>
      <c r="E1704" s="9">
        <v>28.93</v>
      </c>
      <c r="F1704" s="9">
        <v>17224600</v>
      </c>
      <c r="G1704" s="9">
        <v>28.93</v>
      </c>
    </row>
    <row r="1705" spans="1:7" x14ac:dyDescent="0.25">
      <c r="A1705" s="101">
        <v>39535</v>
      </c>
      <c r="B1705" s="9">
        <v>28.32</v>
      </c>
      <c r="C1705" s="9">
        <v>29.09</v>
      </c>
      <c r="D1705" s="9">
        <v>28.15</v>
      </c>
      <c r="E1705" s="9">
        <v>28.99</v>
      </c>
      <c r="F1705" s="9">
        <v>34274200</v>
      </c>
      <c r="G1705" s="9">
        <v>28.99</v>
      </c>
    </row>
    <row r="1706" spans="1:7" x14ac:dyDescent="0.25">
      <c r="A1706" s="101">
        <v>39534</v>
      </c>
      <c r="B1706" s="9">
        <v>28.49</v>
      </c>
      <c r="C1706" s="9">
        <v>28.5</v>
      </c>
      <c r="D1706" s="9">
        <v>27.9</v>
      </c>
      <c r="E1706" s="9">
        <v>28.09</v>
      </c>
      <c r="F1706" s="9">
        <v>15558400</v>
      </c>
      <c r="G1706" s="9">
        <v>28.09</v>
      </c>
    </row>
    <row r="1707" spans="1:7" x14ac:dyDescent="0.25">
      <c r="A1707" s="101">
        <v>39533</v>
      </c>
      <c r="B1707" s="9">
        <v>28.63</v>
      </c>
      <c r="C1707" s="9">
        <v>28.78</v>
      </c>
      <c r="D1707" s="9">
        <v>28.19</v>
      </c>
      <c r="E1707" s="9">
        <v>28.49</v>
      </c>
      <c r="F1707" s="9">
        <v>15271500</v>
      </c>
      <c r="G1707" s="9">
        <v>28.49</v>
      </c>
    </row>
    <row r="1708" spans="1:7" x14ac:dyDescent="0.25">
      <c r="A1708" s="101">
        <v>39532</v>
      </c>
      <c r="B1708" s="9">
        <v>28.14</v>
      </c>
      <c r="C1708" s="9">
        <v>28.75</v>
      </c>
      <c r="D1708" s="9">
        <v>27.7</v>
      </c>
      <c r="E1708" s="9">
        <v>28.73</v>
      </c>
      <c r="F1708" s="9">
        <v>33759600</v>
      </c>
      <c r="G1708" s="9">
        <v>28.73</v>
      </c>
    </row>
    <row r="1709" spans="1:7" x14ac:dyDescent="0.25">
      <c r="A1709" s="101">
        <v>39531</v>
      </c>
      <c r="B1709" s="9">
        <v>27.56</v>
      </c>
      <c r="C1709" s="9">
        <v>28.07</v>
      </c>
      <c r="D1709" s="9">
        <v>27.45</v>
      </c>
      <c r="E1709" s="9">
        <v>27.52</v>
      </c>
      <c r="F1709" s="9">
        <v>17360800</v>
      </c>
      <c r="G1709" s="9">
        <v>27.52</v>
      </c>
    </row>
    <row r="1710" spans="1:7" x14ac:dyDescent="0.25">
      <c r="A1710" s="101">
        <v>39527</v>
      </c>
      <c r="B1710" s="9">
        <v>27.36</v>
      </c>
      <c r="C1710" s="9">
        <v>27.91</v>
      </c>
      <c r="D1710" s="9">
        <v>26.98</v>
      </c>
      <c r="E1710" s="9">
        <v>27.66</v>
      </c>
      <c r="F1710" s="9">
        <v>29864500</v>
      </c>
      <c r="G1710" s="9">
        <v>27.66</v>
      </c>
    </row>
    <row r="1711" spans="1:7" x14ac:dyDescent="0.25">
      <c r="A1711" s="101">
        <v>39526</v>
      </c>
      <c r="B1711" s="9">
        <v>27.56</v>
      </c>
      <c r="C1711" s="9">
        <v>27.79</v>
      </c>
      <c r="D1711" s="9">
        <v>26.91</v>
      </c>
      <c r="E1711" s="9">
        <v>27.07</v>
      </c>
      <c r="F1711" s="9">
        <v>23317500</v>
      </c>
      <c r="G1711" s="9">
        <v>27.07</v>
      </c>
    </row>
    <row r="1712" spans="1:7" x14ac:dyDescent="0.25">
      <c r="A1712" s="101">
        <v>39525</v>
      </c>
      <c r="B1712" s="9">
        <v>26.94</v>
      </c>
      <c r="C1712" s="9">
        <v>27.72</v>
      </c>
      <c r="D1712" s="9">
        <v>26.25</v>
      </c>
      <c r="E1712" s="9">
        <v>27.66</v>
      </c>
      <c r="F1712" s="9">
        <v>38074400</v>
      </c>
      <c r="G1712" s="9">
        <v>27.66</v>
      </c>
    </row>
    <row r="1713" spans="1:7" x14ac:dyDescent="0.25">
      <c r="A1713" s="101">
        <v>39524</v>
      </c>
      <c r="B1713" s="9">
        <v>26.5</v>
      </c>
      <c r="C1713" s="9">
        <v>26.64</v>
      </c>
      <c r="D1713" s="9">
        <v>25.72</v>
      </c>
      <c r="E1713" s="9">
        <v>25.85</v>
      </c>
      <c r="F1713" s="9">
        <v>33771900</v>
      </c>
      <c r="G1713" s="9">
        <v>25.85</v>
      </c>
    </row>
    <row r="1714" spans="1:7" x14ac:dyDescent="0.25">
      <c r="A1714" s="101">
        <v>39521</v>
      </c>
      <c r="B1714" s="9">
        <v>27.85</v>
      </c>
      <c r="C1714" s="9">
        <v>27.96</v>
      </c>
      <c r="D1714" s="9">
        <v>26.5</v>
      </c>
      <c r="E1714" s="9">
        <v>26.71</v>
      </c>
      <c r="F1714" s="9">
        <v>44386000</v>
      </c>
      <c r="G1714" s="9">
        <v>26.71</v>
      </c>
    </row>
    <row r="1715" spans="1:7" x14ac:dyDescent="0.25">
      <c r="A1715" s="101">
        <v>39520</v>
      </c>
      <c r="B1715" s="9">
        <v>28.07</v>
      </c>
      <c r="C1715" s="9">
        <v>28.27</v>
      </c>
      <c r="D1715" s="9">
        <v>27.38</v>
      </c>
      <c r="E1715" s="9">
        <v>27.5</v>
      </c>
      <c r="F1715" s="9">
        <v>75429000</v>
      </c>
      <c r="G1715" s="9">
        <v>27.5</v>
      </c>
    </row>
    <row r="1716" spans="1:7" x14ac:dyDescent="0.25">
      <c r="A1716" s="101">
        <v>39519</v>
      </c>
      <c r="B1716" s="9">
        <v>28.89</v>
      </c>
      <c r="C1716" s="9">
        <v>29.02</v>
      </c>
      <c r="D1716" s="9">
        <v>28.39</v>
      </c>
      <c r="E1716" s="9">
        <v>28.45</v>
      </c>
      <c r="F1716" s="9">
        <v>18338300</v>
      </c>
      <c r="G1716" s="9">
        <v>28.45</v>
      </c>
    </row>
    <row r="1717" spans="1:7" x14ac:dyDescent="0.25">
      <c r="A1717" s="101">
        <v>39518</v>
      </c>
      <c r="B1717" s="9">
        <v>28.91</v>
      </c>
      <c r="C1717" s="9">
        <v>29.16</v>
      </c>
      <c r="D1717" s="9">
        <v>28.43</v>
      </c>
      <c r="E1717" s="9">
        <v>29</v>
      </c>
      <c r="F1717" s="9">
        <v>22077400</v>
      </c>
      <c r="G1717" s="9">
        <v>29</v>
      </c>
    </row>
    <row r="1718" spans="1:7" x14ac:dyDescent="0.25">
      <c r="A1718" s="101">
        <v>39517</v>
      </c>
      <c r="B1718" s="9">
        <v>28.87</v>
      </c>
      <c r="C1718" s="9">
        <v>28.98</v>
      </c>
      <c r="D1718" s="9">
        <v>28.51</v>
      </c>
      <c r="E1718" s="9">
        <v>28.51</v>
      </c>
      <c r="F1718" s="9">
        <v>29698500</v>
      </c>
      <c r="G1718" s="9">
        <v>28.51</v>
      </c>
    </row>
    <row r="1719" spans="1:7" x14ac:dyDescent="0.25">
      <c r="A1719" s="101">
        <v>39514</v>
      </c>
      <c r="B1719" s="9">
        <v>28.58</v>
      </c>
      <c r="C1719" s="9">
        <v>29.18</v>
      </c>
      <c r="D1719" s="9">
        <v>28.5</v>
      </c>
      <c r="E1719" s="9">
        <v>29.03</v>
      </c>
      <c r="F1719" s="9">
        <v>28266000</v>
      </c>
      <c r="G1719" s="9">
        <v>29.03</v>
      </c>
    </row>
    <row r="1720" spans="1:7" x14ac:dyDescent="0.25">
      <c r="A1720" s="101">
        <v>39513</v>
      </c>
      <c r="B1720" s="9">
        <v>28.64</v>
      </c>
      <c r="C1720" s="9">
        <v>28.98</v>
      </c>
      <c r="D1720" s="9">
        <v>28.44</v>
      </c>
      <c r="E1720" s="9">
        <v>28.7</v>
      </c>
      <c r="F1720" s="9">
        <v>34591000</v>
      </c>
      <c r="G1720" s="9">
        <v>28.7</v>
      </c>
    </row>
    <row r="1721" spans="1:7" x14ac:dyDescent="0.25">
      <c r="A1721" s="101">
        <v>39512</v>
      </c>
      <c r="B1721" s="9">
        <v>28</v>
      </c>
      <c r="C1721" s="9">
        <v>28.78</v>
      </c>
      <c r="D1721" s="9">
        <v>28</v>
      </c>
      <c r="E1721" s="9">
        <v>28.67</v>
      </c>
      <c r="F1721" s="9">
        <v>30280100</v>
      </c>
      <c r="G1721" s="9">
        <v>28.67</v>
      </c>
    </row>
    <row r="1722" spans="1:7" x14ac:dyDescent="0.25">
      <c r="A1722" s="101">
        <v>39511</v>
      </c>
      <c r="B1722" s="9">
        <v>27.8</v>
      </c>
      <c r="C1722" s="9">
        <v>28.07</v>
      </c>
      <c r="D1722" s="9">
        <v>27.43</v>
      </c>
      <c r="E1722" s="9">
        <v>28.06</v>
      </c>
      <c r="F1722" s="9">
        <v>28305000</v>
      </c>
      <c r="G1722" s="9">
        <v>28.06</v>
      </c>
    </row>
    <row r="1723" spans="1:7" x14ac:dyDescent="0.25">
      <c r="A1723" s="101">
        <v>39510</v>
      </c>
      <c r="B1723" s="9">
        <v>27.73</v>
      </c>
      <c r="C1723" s="9">
        <v>28.08</v>
      </c>
      <c r="D1723" s="9">
        <v>27.66</v>
      </c>
      <c r="E1723" s="9">
        <v>27.77</v>
      </c>
      <c r="F1723" s="9">
        <v>22765100</v>
      </c>
      <c r="G1723" s="9">
        <v>27.77</v>
      </c>
    </row>
    <row r="1724" spans="1:7" x14ac:dyDescent="0.25">
      <c r="A1724" s="101">
        <v>39507</v>
      </c>
      <c r="B1724" s="9">
        <v>27.94</v>
      </c>
      <c r="C1724" s="9">
        <v>28.41</v>
      </c>
      <c r="D1724" s="9">
        <v>27.5</v>
      </c>
      <c r="E1724" s="9">
        <v>27.78</v>
      </c>
      <c r="F1724" s="9">
        <v>23860500</v>
      </c>
      <c r="G1724" s="9">
        <v>27.78</v>
      </c>
    </row>
    <row r="1725" spans="1:7" x14ac:dyDescent="0.25">
      <c r="A1725" s="101">
        <v>39506</v>
      </c>
      <c r="B1725" s="9">
        <v>27.98</v>
      </c>
      <c r="C1725" s="9">
        <v>28.82</v>
      </c>
      <c r="D1725" s="9">
        <v>27.96</v>
      </c>
      <c r="E1725" s="9">
        <v>28.15</v>
      </c>
      <c r="F1725" s="9">
        <v>30113200</v>
      </c>
      <c r="G1725" s="9">
        <v>28.15</v>
      </c>
    </row>
    <row r="1726" spans="1:7" x14ac:dyDescent="0.25">
      <c r="A1726" s="101">
        <v>39505</v>
      </c>
      <c r="B1726" s="9">
        <v>28.33</v>
      </c>
      <c r="C1726" s="9">
        <v>28.49</v>
      </c>
      <c r="D1726" s="9">
        <v>27.75</v>
      </c>
      <c r="E1726" s="9">
        <v>28.37</v>
      </c>
      <c r="F1726" s="9">
        <v>27664100</v>
      </c>
      <c r="G1726" s="9">
        <v>28.37</v>
      </c>
    </row>
    <row r="1727" spans="1:7" x14ac:dyDescent="0.25">
      <c r="A1727" s="101">
        <v>39504</v>
      </c>
      <c r="B1727" s="9">
        <v>27.93</v>
      </c>
      <c r="C1727" s="9">
        <v>28.55</v>
      </c>
      <c r="D1727" s="9">
        <v>27.81</v>
      </c>
      <c r="E1727" s="9">
        <v>28.22</v>
      </c>
      <c r="F1727" s="9">
        <v>26013000</v>
      </c>
      <c r="G1727" s="9">
        <v>28.22</v>
      </c>
    </row>
    <row r="1728" spans="1:7" x14ac:dyDescent="0.25">
      <c r="A1728" s="101">
        <v>39503</v>
      </c>
      <c r="B1728" s="9">
        <v>28.42</v>
      </c>
      <c r="C1728" s="9">
        <v>28.57</v>
      </c>
      <c r="D1728" s="9">
        <v>27.75</v>
      </c>
      <c r="E1728" s="9">
        <v>28.13</v>
      </c>
      <c r="F1728" s="9">
        <v>32470600</v>
      </c>
      <c r="G1728" s="9">
        <v>28.13</v>
      </c>
    </row>
    <row r="1729" spans="1:7" x14ac:dyDescent="0.25">
      <c r="A1729" s="101">
        <v>39500</v>
      </c>
      <c r="B1729" s="9">
        <v>28.36</v>
      </c>
      <c r="C1729" s="9">
        <v>28.64</v>
      </c>
      <c r="D1729" s="9">
        <v>27.98</v>
      </c>
      <c r="E1729" s="9">
        <v>28.42</v>
      </c>
      <c r="F1729" s="9">
        <v>26157800</v>
      </c>
      <c r="G1729" s="9">
        <v>28.42</v>
      </c>
    </row>
    <row r="1730" spans="1:7" x14ac:dyDescent="0.25">
      <c r="A1730" s="101">
        <v>39499</v>
      </c>
      <c r="B1730" s="9">
        <v>28.76</v>
      </c>
      <c r="C1730" s="9">
        <v>29.17</v>
      </c>
      <c r="D1730" s="9">
        <v>28.25</v>
      </c>
      <c r="E1730" s="9">
        <v>28.42</v>
      </c>
      <c r="F1730" s="9">
        <v>34681900</v>
      </c>
      <c r="G1730" s="9">
        <v>28.42</v>
      </c>
    </row>
    <row r="1731" spans="1:7" x14ac:dyDescent="0.25">
      <c r="A1731" s="101">
        <v>39498</v>
      </c>
      <c r="B1731" s="9">
        <v>28.71</v>
      </c>
      <c r="C1731" s="9">
        <v>29.04</v>
      </c>
      <c r="D1731" s="9">
        <v>28.39</v>
      </c>
      <c r="E1731" s="9">
        <v>28.83</v>
      </c>
      <c r="F1731" s="9">
        <v>29338800</v>
      </c>
      <c r="G1731" s="9">
        <v>28.83</v>
      </c>
    </row>
    <row r="1732" spans="1:7" x14ac:dyDescent="0.25">
      <c r="A1732" s="101">
        <v>39497</v>
      </c>
      <c r="B1732" s="9">
        <v>29.34</v>
      </c>
      <c r="C1732" s="9">
        <v>29.42</v>
      </c>
      <c r="D1732" s="9">
        <v>28.75</v>
      </c>
      <c r="E1732" s="9">
        <v>29.01</v>
      </c>
      <c r="F1732" s="9">
        <v>38679600</v>
      </c>
      <c r="G1732" s="9">
        <v>29.01</v>
      </c>
    </row>
    <row r="1733" spans="1:7" x14ac:dyDescent="0.25">
      <c r="A1733" s="101">
        <v>39493</v>
      </c>
      <c r="B1733" s="9">
        <v>29.95</v>
      </c>
      <c r="C1733" s="9">
        <v>30.15</v>
      </c>
      <c r="D1733" s="9">
        <v>29.43</v>
      </c>
      <c r="E1733" s="9">
        <v>29.66</v>
      </c>
      <c r="F1733" s="9">
        <v>40125200</v>
      </c>
      <c r="G1733" s="9">
        <v>29.66</v>
      </c>
    </row>
    <row r="1734" spans="1:7" x14ac:dyDescent="0.25">
      <c r="A1734" s="101">
        <v>39492</v>
      </c>
      <c r="B1734" s="9">
        <v>29.98</v>
      </c>
      <c r="C1734" s="9">
        <v>30.25</v>
      </c>
      <c r="D1734" s="9">
        <v>29.75</v>
      </c>
      <c r="E1734" s="9">
        <v>29.98</v>
      </c>
      <c r="F1734" s="9">
        <v>38045600</v>
      </c>
      <c r="G1734" s="9">
        <v>29.98</v>
      </c>
    </row>
    <row r="1735" spans="1:7" x14ac:dyDescent="0.25">
      <c r="A1735" s="101">
        <v>39491</v>
      </c>
      <c r="B1735" s="9">
        <v>29.78</v>
      </c>
      <c r="C1735" s="9">
        <v>30.07</v>
      </c>
      <c r="D1735" s="9">
        <v>29.6</v>
      </c>
      <c r="E1735" s="9">
        <v>29.88</v>
      </c>
      <c r="F1735" s="9">
        <v>57047700</v>
      </c>
      <c r="G1735" s="9">
        <v>29.88</v>
      </c>
    </row>
    <row r="1736" spans="1:7" x14ac:dyDescent="0.25">
      <c r="A1736" s="101">
        <v>39490</v>
      </c>
      <c r="B1736" s="9">
        <v>29.81</v>
      </c>
      <c r="C1736" s="9">
        <v>29.84</v>
      </c>
      <c r="D1736" s="9">
        <v>29.4</v>
      </c>
      <c r="E1736" s="9">
        <v>29.57</v>
      </c>
      <c r="F1736" s="9">
        <v>42445600</v>
      </c>
      <c r="G1736" s="9">
        <v>29.57</v>
      </c>
    </row>
    <row r="1737" spans="1:7" x14ac:dyDescent="0.25">
      <c r="A1737" s="101">
        <v>39489</v>
      </c>
      <c r="B1737" s="9">
        <v>29.89</v>
      </c>
      <c r="C1737" s="9">
        <v>30.05</v>
      </c>
      <c r="D1737" s="9">
        <v>29.32</v>
      </c>
      <c r="E1737" s="9">
        <v>29.87</v>
      </c>
      <c r="F1737" s="9">
        <v>67253700</v>
      </c>
      <c r="G1737" s="9">
        <v>29.87</v>
      </c>
    </row>
    <row r="1738" spans="1:7" x14ac:dyDescent="0.25">
      <c r="A1738" s="101">
        <v>39486</v>
      </c>
      <c r="B1738" s="9">
        <v>28.98</v>
      </c>
      <c r="C1738" s="9">
        <v>29.22</v>
      </c>
      <c r="D1738" s="9">
        <v>28.71</v>
      </c>
      <c r="E1738" s="9">
        <v>29.2</v>
      </c>
      <c r="F1738" s="9">
        <v>55618900</v>
      </c>
      <c r="G1738" s="9">
        <v>29.2</v>
      </c>
    </row>
    <row r="1739" spans="1:7" x14ac:dyDescent="0.25">
      <c r="A1739" s="101">
        <v>39485</v>
      </c>
      <c r="B1739" s="9">
        <v>28.63</v>
      </c>
      <c r="C1739" s="9">
        <v>29.19</v>
      </c>
      <c r="D1739" s="9">
        <v>28.6</v>
      </c>
      <c r="E1739" s="9">
        <v>29.04</v>
      </c>
      <c r="F1739" s="9">
        <v>44248800</v>
      </c>
      <c r="G1739" s="9">
        <v>29.04</v>
      </c>
    </row>
    <row r="1740" spans="1:7" x14ac:dyDescent="0.25">
      <c r="A1740" s="101">
        <v>39484</v>
      </c>
      <c r="B1740" s="9">
        <v>29.11</v>
      </c>
      <c r="C1740" s="9">
        <v>29.33</v>
      </c>
      <c r="D1740" s="9">
        <v>28.53</v>
      </c>
      <c r="E1740" s="9">
        <v>28.57</v>
      </c>
      <c r="F1740" s="9">
        <v>55648800</v>
      </c>
      <c r="G1740" s="9">
        <v>28.57</v>
      </c>
    </row>
    <row r="1741" spans="1:7" x14ac:dyDescent="0.25">
      <c r="A1741" s="101">
        <v>39483</v>
      </c>
      <c r="B1741" s="9">
        <v>28.78</v>
      </c>
      <c r="C1741" s="9">
        <v>29.57</v>
      </c>
      <c r="D1741" s="9">
        <v>28.75</v>
      </c>
      <c r="E1741" s="9">
        <v>28.98</v>
      </c>
      <c r="F1741" s="9">
        <v>68583700</v>
      </c>
      <c r="G1741" s="9">
        <v>28.98</v>
      </c>
    </row>
    <row r="1742" spans="1:7" x14ac:dyDescent="0.25">
      <c r="A1742" s="101">
        <v>39482</v>
      </c>
      <c r="B1742" s="9">
        <v>28.33</v>
      </c>
      <c r="C1742" s="9">
        <v>29.5</v>
      </c>
      <c r="D1742" s="9">
        <v>28.33</v>
      </c>
      <c r="E1742" s="9">
        <v>29.33</v>
      </c>
      <c r="F1742" s="9">
        <v>144814000</v>
      </c>
      <c r="G1742" s="9">
        <v>29.33</v>
      </c>
    </row>
    <row r="1743" spans="1:7" x14ac:dyDescent="0.25">
      <c r="A1743" s="101">
        <v>39479</v>
      </c>
      <c r="B1743" s="9">
        <v>28.68</v>
      </c>
      <c r="C1743" s="9">
        <v>29.83</v>
      </c>
      <c r="D1743" s="9">
        <v>27.34</v>
      </c>
      <c r="E1743" s="9">
        <v>28.38</v>
      </c>
      <c r="F1743" s="9">
        <v>438248800</v>
      </c>
      <c r="G1743" s="9">
        <v>28.38</v>
      </c>
    </row>
    <row r="1744" spans="1:7" x14ac:dyDescent="0.25">
      <c r="A1744" s="101">
        <v>39478</v>
      </c>
      <c r="B1744" s="9">
        <v>18.87</v>
      </c>
      <c r="C1744" s="9">
        <v>19.350000000000001</v>
      </c>
      <c r="D1744" s="9">
        <v>18.72</v>
      </c>
      <c r="E1744" s="9">
        <v>19.18</v>
      </c>
      <c r="F1744" s="9">
        <v>41449800</v>
      </c>
      <c r="G1744" s="9">
        <v>19.18</v>
      </c>
    </row>
    <row r="1745" spans="1:7" x14ac:dyDescent="0.25">
      <c r="A1745" s="101">
        <v>39477</v>
      </c>
      <c r="B1745" s="9">
        <v>18.62</v>
      </c>
      <c r="C1745" s="9">
        <v>20.81</v>
      </c>
      <c r="D1745" s="9">
        <v>18.579999999999998</v>
      </c>
      <c r="E1745" s="9">
        <v>19.05</v>
      </c>
      <c r="F1745" s="9">
        <v>115993300</v>
      </c>
      <c r="G1745" s="9">
        <v>19.05</v>
      </c>
    </row>
    <row r="1746" spans="1:7" x14ac:dyDescent="0.25">
      <c r="A1746" s="101">
        <v>39476</v>
      </c>
      <c r="B1746" s="9">
        <v>20.87</v>
      </c>
      <c r="C1746" s="9">
        <v>20.9</v>
      </c>
      <c r="D1746" s="9">
        <v>20.05</v>
      </c>
      <c r="E1746" s="9">
        <v>20.81</v>
      </c>
      <c r="F1746" s="9">
        <v>79230000</v>
      </c>
      <c r="G1746" s="9">
        <v>20.81</v>
      </c>
    </row>
    <row r="1747" spans="1:7" x14ac:dyDescent="0.25">
      <c r="A1747" s="101">
        <v>39475</v>
      </c>
      <c r="B1747" s="9">
        <v>21.56</v>
      </c>
      <c r="C1747" s="9">
        <v>21.9</v>
      </c>
      <c r="D1747" s="9">
        <v>20.420000000000002</v>
      </c>
      <c r="E1747" s="9">
        <v>20.78</v>
      </c>
      <c r="F1747" s="9">
        <v>32473100</v>
      </c>
      <c r="G1747" s="9">
        <v>20.78</v>
      </c>
    </row>
    <row r="1748" spans="1:7" x14ac:dyDescent="0.25">
      <c r="A1748" s="101">
        <v>39472</v>
      </c>
      <c r="B1748" s="9">
        <v>22.24</v>
      </c>
      <c r="C1748" s="9">
        <v>22.37</v>
      </c>
      <c r="D1748" s="9">
        <v>21.32</v>
      </c>
      <c r="E1748" s="9">
        <v>21.94</v>
      </c>
      <c r="F1748" s="9">
        <v>28386800</v>
      </c>
      <c r="G1748" s="9">
        <v>21.94</v>
      </c>
    </row>
    <row r="1749" spans="1:7" x14ac:dyDescent="0.25">
      <c r="A1749" s="101">
        <v>39471</v>
      </c>
      <c r="B1749" s="9">
        <v>20.440000000000001</v>
      </c>
      <c r="C1749" s="9">
        <v>21.75</v>
      </c>
      <c r="D1749" s="9">
        <v>20.420000000000002</v>
      </c>
      <c r="E1749" s="9">
        <v>21.69</v>
      </c>
      <c r="F1749" s="9">
        <v>39823300</v>
      </c>
      <c r="G1749" s="9">
        <v>21.69</v>
      </c>
    </row>
    <row r="1750" spans="1:7" x14ac:dyDescent="0.25">
      <c r="A1750" s="101">
        <v>39470</v>
      </c>
      <c r="B1750" s="9">
        <v>19.25</v>
      </c>
      <c r="C1750" s="9">
        <v>20.34</v>
      </c>
      <c r="D1750" s="9">
        <v>18.72</v>
      </c>
      <c r="E1750" s="9">
        <v>20.010000000000002</v>
      </c>
      <c r="F1750" s="9">
        <v>42064200</v>
      </c>
      <c r="G1750" s="9">
        <v>20.010000000000002</v>
      </c>
    </row>
    <row r="1751" spans="1:7" x14ac:dyDescent="0.25">
      <c r="A1751" s="101">
        <v>39469</v>
      </c>
      <c r="B1751" s="9">
        <v>19.29</v>
      </c>
      <c r="C1751" s="9">
        <v>21.03</v>
      </c>
      <c r="D1751" s="9">
        <v>19.260000000000002</v>
      </c>
      <c r="E1751" s="9">
        <v>19.86</v>
      </c>
      <c r="F1751" s="9">
        <v>38126200</v>
      </c>
      <c r="G1751" s="9">
        <v>19.86</v>
      </c>
    </row>
    <row r="1752" spans="1:7" x14ac:dyDescent="0.25">
      <c r="A1752" s="101">
        <v>39465</v>
      </c>
      <c r="B1752" s="9">
        <v>21.27</v>
      </c>
      <c r="C1752" s="9">
        <v>21.61</v>
      </c>
      <c r="D1752" s="9">
        <v>20.07</v>
      </c>
      <c r="E1752" s="9">
        <v>20.78</v>
      </c>
      <c r="F1752" s="9">
        <v>41239300</v>
      </c>
      <c r="G1752" s="9">
        <v>20.78</v>
      </c>
    </row>
    <row r="1753" spans="1:7" x14ac:dyDescent="0.25">
      <c r="A1753" s="101">
        <v>39464</v>
      </c>
      <c r="B1753" s="9">
        <v>22</v>
      </c>
      <c r="C1753" s="9">
        <v>22.17</v>
      </c>
      <c r="D1753" s="9">
        <v>21.14</v>
      </c>
      <c r="E1753" s="9">
        <v>21.22</v>
      </c>
      <c r="F1753" s="9">
        <v>28812600</v>
      </c>
      <c r="G1753" s="9">
        <v>21.22</v>
      </c>
    </row>
    <row r="1754" spans="1:7" x14ac:dyDescent="0.25">
      <c r="A1754" s="101">
        <v>39463</v>
      </c>
      <c r="B1754" s="9">
        <v>22.2</v>
      </c>
      <c r="C1754" s="9">
        <v>22.75</v>
      </c>
      <c r="D1754" s="9">
        <v>21.73</v>
      </c>
      <c r="E1754" s="9">
        <v>21.95</v>
      </c>
      <c r="F1754" s="9">
        <v>38155300</v>
      </c>
      <c r="G1754" s="9">
        <v>21.95</v>
      </c>
    </row>
    <row r="1755" spans="1:7" x14ac:dyDescent="0.25">
      <c r="A1755" s="101">
        <v>39462</v>
      </c>
      <c r="B1755" s="9">
        <v>23</v>
      </c>
      <c r="C1755" s="9">
        <v>23.49</v>
      </c>
      <c r="D1755" s="9">
        <v>22.57</v>
      </c>
      <c r="E1755" s="9">
        <v>22.91</v>
      </c>
      <c r="F1755" s="9">
        <v>31911000</v>
      </c>
      <c r="G1755" s="9">
        <v>22.91</v>
      </c>
    </row>
    <row r="1756" spans="1:7" x14ac:dyDescent="0.25">
      <c r="A1756" s="101">
        <v>39461</v>
      </c>
      <c r="B1756" s="9">
        <v>23.51</v>
      </c>
      <c r="C1756" s="9">
        <v>23.76</v>
      </c>
      <c r="D1756" s="9">
        <v>23.18</v>
      </c>
      <c r="E1756" s="9">
        <v>23.7</v>
      </c>
      <c r="F1756" s="9">
        <v>18552900</v>
      </c>
      <c r="G1756" s="9">
        <v>23.7</v>
      </c>
    </row>
    <row r="1757" spans="1:7" x14ac:dyDescent="0.25">
      <c r="A1757" s="101">
        <v>39458</v>
      </c>
      <c r="B1757" s="9">
        <v>23.81</v>
      </c>
      <c r="C1757" s="9">
        <v>24.13</v>
      </c>
      <c r="D1757" s="9">
        <v>22.98</v>
      </c>
      <c r="E1757" s="9">
        <v>23.36</v>
      </c>
      <c r="F1757" s="9">
        <v>27297400</v>
      </c>
      <c r="G1757" s="9">
        <v>23.36</v>
      </c>
    </row>
    <row r="1758" spans="1:7" x14ac:dyDescent="0.25">
      <c r="A1758" s="101">
        <v>39457</v>
      </c>
      <c r="B1758" s="9">
        <v>23.19</v>
      </c>
      <c r="C1758" s="9">
        <v>24.57</v>
      </c>
      <c r="D1758" s="9">
        <v>22.83</v>
      </c>
      <c r="E1758" s="9">
        <v>24.09</v>
      </c>
      <c r="F1758" s="9">
        <v>52342100</v>
      </c>
      <c r="G1758" s="9">
        <v>24.09</v>
      </c>
    </row>
    <row r="1759" spans="1:7" x14ac:dyDescent="0.25">
      <c r="A1759" s="101">
        <v>39456</v>
      </c>
      <c r="B1759" s="9">
        <v>22.47</v>
      </c>
      <c r="C1759" s="9">
        <v>22.8</v>
      </c>
      <c r="D1759" s="9">
        <v>21.37</v>
      </c>
      <c r="E1759" s="9">
        <v>22.56</v>
      </c>
      <c r="F1759" s="9">
        <v>46662700</v>
      </c>
      <c r="G1759" s="9">
        <v>22.56</v>
      </c>
    </row>
    <row r="1760" spans="1:7" x14ac:dyDescent="0.25">
      <c r="A1760" s="101">
        <v>39455</v>
      </c>
      <c r="B1760" s="9">
        <v>23.28</v>
      </c>
      <c r="C1760" s="9">
        <v>23.65</v>
      </c>
      <c r="D1760" s="9">
        <v>22.5</v>
      </c>
      <c r="E1760" s="9">
        <v>22.61</v>
      </c>
      <c r="F1760" s="9">
        <v>22974000</v>
      </c>
      <c r="G1760" s="9">
        <v>22.61</v>
      </c>
    </row>
    <row r="1761" spans="1:7" x14ac:dyDescent="0.25">
      <c r="A1761" s="101">
        <v>39454</v>
      </c>
      <c r="B1761" s="9">
        <v>23.12</v>
      </c>
      <c r="C1761" s="9">
        <v>23.56</v>
      </c>
      <c r="D1761" s="9">
        <v>22.73</v>
      </c>
      <c r="E1761" s="9">
        <v>23.18</v>
      </c>
      <c r="F1761" s="9">
        <v>24769400</v>
      </c>
      <c r="G1761" s="9">
        <v>23.18</v>
      </c>
    </row>
    <row r="1762" spans="1:7" x14ac:dyDescent="0.25">
      <c r="A1762" s="101">
        <v>39451</v>
      </c>
      <c r="B1762" s="9">
        <v>23.81</v>
      </c>
      <c r="C1762" s="9">
        <v>23.81</v>
      </c>
      <c r="D1762" s="9">
        <v>23.1</v>
      </c>
      <c r="E1762" s="9">
        <v>23.16</v>
      </c>
      <c r="F1762" s="9">
        <v>20745800</v>
      </c>
      <c r="G1762" s="9">
        <v>23.16</v>
      </c>
    </row>
    <row r="1763" spans="1:7" x14ac:dyDescent="0.25">
      <c r="A1763" s="101">
        <v>39450</v>
      </c>
      <c r="B1763" s="9">
        <v>23.86</v>
      </c>
      <c r="C1763" s="9">
        <v>24.19</v>
      </c>
      <c r="D1763" s="9">
        <v>23.7</v>
      </c>
      <c r="E1763" s="9">
        <v>23.84</v>
      </c>
      <c r="F1763" s="9">
        <v>20179700</v>
      </c>
      <c r="G1763" s="9">
        <v>23.84</v>
      </c>
    </row>
    <row r="1764" spans="1:7" x14ac:dyDescent="0.25">
      <c r="A1764" s="101">
        <v>39449</v>
      </c>
      <c r="B1764" s="9">
        <v>23.8</v>
      </c>
      <c r="C1764" s="9">
        <v>24.15</v>
      </c>
      <c r="D1764" s="9">
        <v>23.6</v>
      </c>
      <c r="E1764" s="9">
        <v>23.72</v>
      </c>
      <c r="F1764" s="9">
        <v>25671700</v>
      </c>
      <c r="G1764" s="9">
        <v>23.72</v>
      </c>
    </row>
    <row r="1765" spans="1:7" x14ac:dyDescent="0.25">
      <c r="A1765" s="101">
        <v>39447</v>
      </c>
      <c r="B1765" s="9">
        <v>23.22</v>
      </c>
      <c r="C1765" s="9">
        <v>23.43</v>
      </c>
      <c r="D1765" s="9">
        <v>23.11</v>
      </c>
      <c r="E1765" s="9">
        <v>23.26</v>
      </c>
      <c r="F1765" s="9">
        <v>14782600</v>
      </c>
      <c r="G1765" s="9">
        <v>23.26</v>
      </c>
    </row>
    <row r="1766" spans="1:7" x14ac:dyDescent="0.25">
      <c r="A1766" s="101">
        <v>39444</v>
      </c>
      <c r="B1766" s="9">
        <v>23.66</v>
      </c>
      <c r="C1766" s="9">
        <v>23.71</v>
      </c>
      <c r="D1766" s="9">
        <v>23.21</v>
      </c>
      <c r="E1766" s="9">
        <v>23.45</v>
      </c>
      <c r="F1766" s="9">
        <v>13773000</v>
      </c>
      <c r="G1766" s="9">
        <v>23.45</v>
      </c>
    </row>
    <row r="1767" spans="1:7" x14ac:dyDescent="0.25">
      <c r="A1767" s="101">
        <v>39443</v>
      </c>
      <c r="B1767" s="9">
        <v>23.6</v>
      </c>
      <c r="C1767" s="9">
        <v>24.15</v>
      </c>
      <c r="D1767" s="9">
        <v>23.57</v>
      </c>
      <c r="E1767" s="9">
        <v>23.71</v>
      </c>
      <c r="F1767" s="9">
        <v>16041500</v>
      </c>
      <c r="G1767" s="9">
        <v>23.71</v>
      </c>
    </row>
    <row r="1768" spans="1:7" x14ac:dyDescent="0.25">
      <c r="A1768" s="101">
        <v>39442</v>
      </c>
      <c r="B1768" s="9">
        <v>23.85</v>
      </c>
      <c r="C1768" s="9">
        <v>24.25</v>
      </c>
      <c r="D1768" s="9">
        <v>23.85</v>
      </c>
      <c r="E1768" s="9">
        <v>23.96</v>
      </c>
      <c r="F1768" s="9">
        <v>9821600</v>
      </c>
      <c r="G1768" s="9">
        <v>23.96</v>
      </c>
    </row>
    <row r="1769" spans="1:7" x14ac:dyDescent="0.25">
      <c r="A1769" s="101">
        <v>39440</v>
      </c>
      <c r="B1769" s="9">
        <v>24.01</v>
      </c>
      <c r="C1769" s="9">
        <v>24.19</v>
      </c>
      <c r="D1769" s="9">
        <v>23.94</v>
      </c>
      <c r="E1769" s="9">
        <v>24.05</v>
      </c>
      <c r="F1769" s="9">
        <v>24861800</v>
      </c>
      <c r="G1769" s="9">
        <v>24.05</v>
      </c>
    </row>
    <row r="1770" spans="1:7" x14ac:dyDescent="0.25">
      <c r="A1770" s="101">
        <v>39437</v>
      </c>
      <c r="B1770" s="9">
        <v>23.88</v>
      </c>
      <c r="C1770" s="9">
        <v>24.1</v>
      </c>
      <c r="D1770" s="9">
        <v>23.74</v>
      </c>
      <c r="E1770" s="9">
        <v>24.01</v>
      </c>
      <c r="F1770" s="9">
        <v>24094600</v>
      </c>
      <c r="G1770" s="9">
        <v>24.01</v>
      </c>
    </row>
    <row r="1771" spans="1:7" x14ac:dyDescent="0.25">
      <c r="A1771" s="101">
        <v>39436</v>
      </c>
      <c r="B1771" s="9">
        <v>23.5</v>
      </c>
      <c r="C1771" s="9">
        <v>23.8</v>
      </c>
      <c r="D1771" s="9">
        <v>23.24</v>
      </c>
      <c r="E1771" s="9">
        <v>23.64</v>
      </c>
      <c r="F1771" s="9">
        <v>21030700</v>
      </c>
      <c r="G1771" s="9">
        <v>23.64</v>
      </c>
    </row>
    <row r="1772" spans="1:7" x14ac:dyDescent="0.25">
      <c r="A1772" s="101">
        <v>39435</v>
      </c>
      <c r="B1772" s="9">
        <v>22.92</v>
      </c>
      <c r="C1772" s="9">
        <v>23.69</v>
      </c>
      <c r="D1772" s="9">
        <v>22.92</v>
      </c>
      <c r="E1772" s="9">
        <v>23.31</v>
      </c>
      <c r="F1772" s="9">
        <v>26547300</v>
      </c>
      <c r="G1772" s="9">
        <v>23.31</v>
      </c>
    </row>
    <row r="1773" spans="1:7" x14ac:dyDescent="0.25">
      <c r="A1773" s="101">
        <v>39434</v>
      </c>
      <c r="B1773" s="9">
        <v>23.22</v>
      </c>
      <c r="C1773" s="9">
        <v>23.35</v>
      </c>
      <c r="D1773" s="9">
        <v>22.8</v>
      </c>
      <c r="E1773" s="9">
        <v>23.02</v>
      </c>
      <c r="F1773" s="9">
        <v>27735600</v>
      </c>
      <c r="G1773" s="9">
        <v>23.02</v>
      </c>
    </row>
    <row r="1774" spans="1:7" x14ac:dyDescent="0.25">
      <c r="A1774" s="101">
        <v>39433</v>
      </c>
      <c r="B1774" s="9">
        <v>23.8</v>
      </c>
      <c r="C1774" s="9">
        <v>24.03</v>
      </c>
      <c r="D1774" s="9">
        <v>22.94</v>
      </c>
      <c r="E1774" s="9">
        <v>23.04</v>
      </c>
      <c r="F1774" s="9">
        <v>37877100</v>
      </c>
      <c r="G1774" s="9">
        <v>23.04</v>
      </c>
    </row>
    <row r="1775" spans="1:7" x14ac:dyDescent="0.25">
      <c r="A1775" s="101">
        <v>39430</v>
      </c>
      <c r="B1775" s="9">
        <v>24.13</v>
      </c>
      <c r="C1775" s="9">
        <v>24.47</v>
      </c>
      <c r="D1775" s="9">
        <v>24</v>
      </c>
      <c r="E1775" s="9">
        <v>24.06</v>
      </c>
      <c r="F1775" s="9">
        <v>15125500</v>
      </c>
      <c r="G1775" s="9">
        <v>24.06</v>
      </c>
    </row>
    <row r="1776" spans="1:7" x14ac:dyDescent="0.25">
      <c r="A1776" s="101">
        <v>39429</v>
      </c>
      <c r="B1776" s="9">
        <v>24.39</v>
      </c>
      <c r="C1776" s="9">
        <v>24.75</v>
      </c>
      <c r="D1776" s="9">
        <v>24.19</v>
      </c>
      <c r="E1776" s="9">
        <v>24.38</v>
      </c>
      <c r="F1776" s="9">
        <v>23787400</v>
      </c>
      <c r="G1776" s="9">
        <v>24.38</v>
      </c>
    </row>
    <row r="1777" spans="1:7" x14ac:dyDescent="0.25">
      <c r="A1777" s="101">
        <v>39428</v>
      </c>
      <c r="B1777" s="9">
        <v>24.82</v>
      </c>
      <c r="C1777" s="9">
        <v>25</v>
      </c>
      <c r="D1777" s="9">
        <v>24.11</v>
      </c>
      <c r="E1777" s="9">
        <v>24.54</v>
      </c>
      <c r="F1777" s="9">
        <v>20241200</v>
      </c>
      <c r="G1777" s="9">
        <v>24.54</v>
      </c>
    </row>
    <row r="1778" spans="1:7" x14ac:dyDescent="0.25">
      <c r="A1778" s="101">
        <v>39427</v>
      </c>
      <c r="B1778" s="9">
        <v>25.15</v>
      </c>
      <c r="C1778" s="9">
        <v>25.65</v>
      </c>
      <c r="D1778" s="9">
        <v>24.36</v>
      </c>
      <c r="E1778" s="9">
        <v>24.47</v>
      </c>
      <c r="F1778" s="9">
        <v>28579100</v>
      </c>
      <c r="G1778" s="9">
        <v>24.47</v>
      </c>
    </row>
    <row r="1779" spans="1:7" x14ac:dyDescent="0.25">
      <c r="A1779" s="101">
        <v>39426</v>
      </c>
      <c r="B1779" s="9">
        <v>25.51</v>
      </c>
      <c r="C1779" s="9">
        <v>25.57</v>
      </c>
      <c r="D1779" s="9">
        <v>24.92</v>
      </c>
      <c r="E1779" s="9">
        <v>25.2</v>
      </c>
      <c r="F1779" s="9">
        <v>26074900</v>
      </c>
      <c r="G1779" s="9">
        <v>25.2</v>
      </c>
    </row>
    <row r="1780" spans="1:7" x14ac:dyDescent="0.25">
      <c r="A1780" s="101">
        <v>39423</v>
      </c>
      <c r="B1780" s="9">
        <v>25.86</v>
      </c>
      <c r="C1780" s="9">
        <v>26.11</v>
      </c>
      <c r="D1780" s="9">
        <v>25.5</v>
      </c>
      <c r="E1780" s="9">
        <v>25.63</v>
      </c>
      <c r="F1780" s="9">
        <v>11443200</v>
      </c>
      <c r="G1780" s="9">
        <v>25.63</v>
      </c>
    </row>
    <row r="1781" spans="1:7" x14ac:dyDescent="0.25">
      <c r="A1781" s="101">
        <v>39422</v>
      </c>
      <c r="B1781" s="9">
        <v>25.88</v>
      </c>
      <c r="C1781" s="9">
        <v>26.02</v>
      </c>
      <c r="D1781" s="9">
        <v>25.39</v>
      </c>
      <c r="E1781" s="9">
        <v>25.96</v>
      </c>
      <c r="F1781" s="9">
        <v>19236500</v>
      </c>
      <c r="G1781" s="9">
        <v>25.96</v>
      </c>
    </row>
    <row r="1782" spans="1:7" x14ac:dyDescent="0.25">
      <c r="A1782" s="101">
        <v>39421</v>
      </c>
      <c r="B1782" s="9">
        <v>26.63</v>
      </c>
      <c r="C1782" s="9">
        <v>26.73</v>
      </c>
      <c r="D1782" s="9">
        <v>25.73</v>
      </c>
      <c r="E1782" s="9">
        <v>25.98</v>
      </c>
      <c r="F1782" s="9">
        <v>21170900</v>
      </c>
      <c r="G1782" s="9">
        <v>25.98</v>
      </c>
    </row>
    <row r="1783" spans="1:7" x14ac:dyDescent="0.25">
      <c r="A1783" s="101">
        <v>39420</v>
      </c>
      <c r="B1783" s="9">
        <v>26.14</v>
      </c>
      <c r="C1783" s="9">
        <v>26.73</v>
      </c>
      <c r="D1783" s="9">
        <v>26.11</v>
      </c>
      <c r="E1783" s="9">
        <v>26.42</v>
      </c>
      <c r="F1783" s="9">
        <v>14668800</v>
      </c>
      <c r="G1783" s="9">
        <v>26.42</v>
      </c>
    </row>
    <row r="1784" spans="1:7" x14ac:dyDescent="0.25">
      <c r="A1784" s="101">
        <v>39419</v>
      </c>
      <c r="B1784" s="9">
        <v>26.64</v>
      </c>
      <c r="C1784" s="9">
        <v>27.2</v>
      </c>
      <c r="D1784" s="9">
        <v>26.56</v>
      </c>
      <c r="E1784" s="9">
        <v>26.61</v>
      </c>
      <c r="F1784" s="9">
        <v>15250100</v>
      </c>
      <c r="G1784" s="9">
        <v>26.61</v>
      </c>
    </row>
    <row r="1785" spans="1:7" x14ac:dyDescent="0.25">
      <c r="A1785" s="101">
        <v>39416</v>
      </c>
      <c r="B1785" s="9">
        <v>26.96</v>
      </c>
      <c r="C1785" s="9">
        <v>27.33</v>
      </c>
      <c r="D1785" s="9">
        <v>26.51</v>
      </c>
      <c r="E1785" s="9">
        <v>26.81</v>
      </c>
      <c r="F1785" s="9">
        <v>23994000</v>
      </c>
      <c r="G1785" s="9">
        <v>26.81</v>
      </c>
    </row>
    <row r="1786" spans="1:7" x14ac:dyDescent="0.25">
      <c r="A1786" s="101">
        <v>39415</v>
      </c>
      <c r="B1786" s="9">
        <v>26.01</v>
      </c>
      <c r="C1786" s="9">
        <v>26.71</v>
      </c>
      <c r="D1786" s="9">
        <v>25.91</v>
      </c>
      <c r="E1786" s="9">
        <v>26.63</v>
      </c>
      <c r="F1786" s="9">
        <v>17929700</v>
      </c>
      <c r="G1786" s="9">
        <v>26.63</v>
      </c>
    </row>
    <row r="1787" spans="1:7" x14ac:dyDescent="0.25">
      <c r="A1787" s="101">
        <v>39414</v>
      </c>
      <c r="B1787" s="9">
        <v>26.03</v>
      </c>
      <c r="C1787" s="9">
        <v>26.7</v>
      </c>
      <c r="D1787" s="9">
        <v>25.93</v>
      </c>
      <c r="E1787" s="9">
        <v>26.2</v>
      </c>
      <c r="F1787" s="9">
        <v>23239300</v>
      </c>
      <c r="G1787" s="9">
        <v>26.2</v>
      </c>
    </row>
    <row r="1788" spans="1:7" x14ac:dyDescent="0.25">
      <c r="A1788" s="101">
        <v>39413</v>
      </c>
      <c r="B1788" s="9">
        <v>25.18</v>
      </c>
      <c r="C1788" s="9">
        <v>26</v>
      </c>
      <c r="D1788" s="9">
        <v>25.17</v>
      </c>
      <c r="E1788" s="9">
        <v>25.59</v>
      </c>
      <c r="F1788" s="9">
        <v>19484500</v>
      </c>
      <c r="G1788" s="9">
        <v>25.59</v>
      </c>
    </row>
    <row r="1789" spans="1:7" x14ac:dyDescent="0.25">
      <c r="A1789" s="101">
        <v>39412</v>
      </c>
      <c r="B1789" s="9">
        <v>26.08</v>
      </c>
      <c r="C1789" s="9">
        <v>26.25</v>
      </c>
      <c r="D1789" s="9">
        <v>25.2</v>
      </c>
      <c r="E1789" s="9">
        <v>25.22</v>
      </c>
      <c r="F1789" s="9">
        <v>24174600</v>
      </c>
      <c r="G1789" s="9">
        <v>25.22</v>
      </c>
    </row>
    <row r="1790" spans="1:7" x14ac:dyDescent="0.25">
      <c r="A1790" s="101">
        <v>39409</v>
      </c>
      <c r="B1790" s="9">
        <v>25.98</v>
      </c>
      <c r="C1790" s="9">
        <v>26.4</v>
      </c>
      <c r="D1790" s="9">
        <v>25.76</v>
      </c>
      <c r="E1790" s="9">
        <v>26.13</v>
      </c>
      <c r="F1790" s="9">
        <v>9249400</v>
      </c>
      <c r="G1790" s="9">
        <v>26.13</v>
      </c>
    </row>
    <row r="1791" spans="1:7" x14ac:dyDescent="0.25">
      <c r="A1791" s="101">
        <v>39407</v>
      </c>
      <c r="B1791" s="9">
        <v>26.11</v>
      </c>
      <c r="C1791" s="9">
        <v>26.58</v>
      </c>
      <c r="D1791" s="9">
        <v>25.52</v>
      </c>
      <c r="E1791" s="9">
        <v>25.71</v>
      </c>
      <c r="F1791" s="9">
        <v>23320100</v>
      </c>
      <c r="G1791" s="9">
        <v>25.71</v>
      </c>
    </row>
    <row r="1792" spans="1:7" x14ac:dyDescent="0.25">
      <c r="A1792" s="101">
        <v>39406</v>
      </c>
      <c r="B1792" s="9">
        <v>26.93</v>
      </c>
      <c r="C1792" s="9">
        <v>27.25</v>
      </c>
      <c r="D1792" s="9">
        <v>25.98</v>
      </c>
      <c r="E1792" s="9">
        <v>26.72</v>
      </c>
      <c r="F1792" s="9">
        <v>25672500</v>
      </c>
      <c r="G1792" s="9">
        <v>26.72</v>
      </c>
    </row>
    <row r="1793" spans="1:7" x14ac:dyDescent="0.25">
      <c r="A1793" s="101">
        <v>39405</v>
      </c>
      <c r="B1793" s="9">
        <v>27.11</v>
      </c>
      <c r="C1793" s="9">
        <v>27.35</v>
      </c>
      <c r="D1793" s="9">
        <v>26.35</v>
      </c>
      <c r="E1793" s="9">
        <v>26.76</v>
      </c>
      <c r="F1793" s="9">
        <v>33066200</v>
      </c>
      <c r="G1793" s="9">
        <v>26.76</v>
      </c>
    </row>
    <row r="1794" spans="1:7" x14ac:dyDescent="0.25">
      <c r="A1794" s="101">
        <v>39402</v>
      </c>
      <c r="B1794" s="9">
        <v>25.66</v>
      </c>
      <c r="C1794" s="9">
        <v>27.13</v>
      </c>
      <c r="D1794" s="9">
        <v>25.1</v>
      </c>
      <c r="E1794" s="9">
        <v>26.82</v>
      </c>
      <c r="F1794" s="9">
        <v>53044400</v>
      </c>
      <c r="G1794" s="9">
        <v>26.82</v>
      </c>
    </row>
    <row r="1795" spans="1:7" x14ac:dyDescent="0.25">
      <c r="A1795" s="101">
        <v>39401</v>
      </c>
      <c r="B1795" s="9">
        <v>24.94</v>
      </c>
      <c r="C1795" s="9">
        <v>25.75</v>
      </c>
      <c r="D1795" s="9">
        <v>24.9</v>
      </c>
      <c r="E1795" s="9">
        <v>25.42</v>
      </c>
      <c r="F1795" s="9">
        <v>27920800</v>
      </c>
      <c r="G1795" s="9">
        <v>25.42</v>
      </c>
    </row>
    <row r="1796" spans="1:7" x14ac:dyDescent="0.25">
      <c r="A1796" s="101">
        <v>39400</v>
      </c>
      <c r="B1796" s="9">
        <v>26.42</v>
      </c>
      <c r="C1796" s="9">
        <v>26.44</v>
      </c>
      <c r="D1796" s="9">
        <v>25</v>
      </c>
      <c r="E1796" s="9">
        <v>25.07</v>
      </c>
      <c r="F1796" s="9">
        <v>38183700</v>
      </c>
      <c r="G1796" s="9">
        <v>25.07</v>
      </c>
    </row>
    <row r="1797" spans="1:7" x14ac:dyDescent="0.25">
      <c r="A1797" s="101">
        <v>39399</v>
      </c>
      <c r="B1797" s="9">
        <v>25.53</v>
      </c>
      <c r="C1797" s="9">
        <v>26.24</v>
      </c>
      <c r="D1797" s="9">
        <v>25.3</v>
      </c>
      <c r="E1797" s="9">
        <v>26.1</v>
      </c>
      <c r="F1797" s="9">
        <v>34123300</v>
      </c>
      <c r="G1797" s="9">
        <v>26.1</v>
      </c>
    </row>
    <row r="1798" spans="1:7" x14ac:dyDescent="0.25">
      <c r="A1798" s="101">
        <v>39398</v>
      </c>
      <c r="B1798" s="9">
        <v>25.8</v>
      </c>
      <c r="C1798" s="9">
        <v>26.2</v>
      </c>
      <c r="D1798" s="9">
        <v>24.69</v>
      </c>
      <c r="E1798" s="9">
        <v>24.78</v>
      </c>
      <c r="F1798" s="9">
        <v>31264200</v>
      </c>
      <c r="G1798" s="9">
        <v>24.78</v>
      </c>
    </row>
    <row r="1799" spans="1:7" x14ac:dyDescent="0.25">
      <c r="A1799" s="101">
        <v>39395</v>
      </c>
      <c r="B1799" s="9">
        <v>26.13</v>
      </c>
      <c r="C1799" s="9">
        <v>26.38</v>
      </c>
      <c r="D1799" s="9">
        <v>25.4</v>
      </c>
      <c r="E1799" s="9">
        <v>25.79</v>
      </c>
      <c r="F1799" s="9">
        <v>45199700</v>
      </c>
      <c r="G1799" s="9">
        <v>25.79</v>
      </c>
    </row>
    <row r="1800" spans="1:7" x14ac:dyDescent="0.25">
      <c r="A1800" s="101">
        <v>39394</v>
      </c>
      <c r="B1800" s="9">
        <v>28.11</v>
      </c>
      <c r="C1800" s="9">
        <v>28.24</v>
      </c>
      <c r="D1800" s="9">
        <v>25.82</v>
      </c>
      <c r="E1800" s="9">
        <v>26.7</v>
      </c>
      <c r="F1800" s="9">
        <v>58160600</v>
      </c>
      <c r="G1800" s="9">
        <v>26.7</v>
      </c>
    </row>
    <row r="1801" spans="1:7" x14ac:dyDescent="0.25">
      <c r="A1801" s="101">
        <v>39393</v>
      </c>
      <c r="B1801" s="9">
        <v>29.27</v>
      </c>
      <c r="C1801" s="9">
        <v>29.3</v>
      </c>
      <c r="D1801" s="9">
        <v>27.56</v>
      </c>
      <c r="E1801" s="9">
        <v>27.63</v>
      </c>
      <c r="F1801" s="9">
        <v>57069800</v>
      </c>
      <c r="G1801" s="9">
        <v>27.63</v>
      </c>
    </row>
    <row r="1802" spans="1:7" x14ac:dyDescent="0.25">
      <c r="A1802" s="101">
        <v>39392</v>
      </c>
      <c r="B1802" s="9">
        <v>31.76</v>
      </c>
      <c r="C1802" s="9">
        <v>31.79</v>
      </c>
      <c r="D1802" s="9">
        <v>29</v>
      </c>
      <c r="E1802" s="9">
        <v>29.93</v>
      </c>
      <c r="F1802" s="9">
        <v>63664400</v>
      </c>
      <c r="G1802" s="9">
        <v>29.93</v>
      </c>
    </row>
    <row r="1803" spans="1:7" x14ac:dyDescent="0.25">
      <c r="A1803" s="101">
        <v>39391</v>
      </c>
      <c r="B1803" s="9">
        <v>30.71</v>
      </c>
      <c r="C1803" s="9">
        <v>32.369999999999997</v>
      </c>
      <c r="D1803" s="9">
        <v>30.35</v>
      </c>
      <c r="E1803" s="9">
        <v>31.36</v>
      </c>
      <c r="F1803" s="9">
        <v>43520300</v>
      </c>
      <c r="G1803" s="9">
        <v>31.36</v>
      </c>
    </row>
    <row r="1804" spans="1:7" x14ac:dyDescent="0.25">
      <c r="A1804" s="101">
        <v>39388</v>
      </c>
      <c r="B1804" s="9">
        <v>30.54</v>
      </c>
      <c r="C1804" s="9">
        <v>31.21</v>
      </c>
      <c r="D1804" s="9">
        <v>29.64</v>
      </c>
      <c r="E1804" s="9">
        <v>31.11</v>
      </c>
      <c r="F1804" s="9">
        <v>34090300</v>
      </c>
      <c r="G1804" s="9">
        <v>31.11</v>
      </c>
    </row>
    <row r="1805" spans="1:7" x14ac:dyDescent="0.25">
      <c r="A1805" s="101">
        <v>39387</v>
      </c>
      <c r="B1805" s="9">
        <v>30.86</v>
      </c>
      <c r="C1805" s="9">
        <v>31.1</v>
      </c>
      <c r="D1805" s="9">
        <v>30.04</v>
      </c>
      <c r="E1805" s="9">
        <v>30.22</v>
      </c>
      <c r="F1805" s="9">
        <v>26913300</v>
      </c>
      <c r="G1805" s="9">
        <v>30.22</v>
      </c>
    </row>
    <row r="1806" spans="1:7" x14ac:dyDescent="0.25">
      <c r="A1806" s="101">
        <v>39386</v>
      </c>
      <c r="B1806" s="9">
        <v>31.5</v>
      </c>
      <c r="C1806" s="9">
        <v>31.75</v>
      </c>
      <c r="D1806" s="9">
        <v>30.5</v>
      </c>
      <c r="E1806" s="9">
        <v>31.1</v>
      </c>
      <c r="F1806" s="9">
        <v>34762000</v>
      </c>
      <c r="G1806" s="9">
        <v>31.1</v>
      </c>
    </row>
    <row r="1807" spans="1:7" x14ac:dyDescent="0.25">
      <c r="A1807" s="101">
        <v>39385</v>
      </c>
      <c r="B1807" s="9">
        <v>31.55</v>
      </c>
      <c r="C1807" s="9">
        <v>31.64</v>
      </c>
      <c r="D1807" s="9">
        <v>30.12</v>
      </c>
      <c r="E1807" s="9">
        <v>30.83</v>
      </c>
      <c r="F1807" s="9">
        <v>52417300</v>
      </c>
      <c r="G1807" s="9">
        <v>30.83</v>
      </c>
    </row>
    <row r="1808" spans="1:7" x14ac:dyDescent="0.25">
      <c r="A1808" s="101">
        <v>39384</v>
      </c>
      <c r="B1808" s="9">
        <v>34.07</v>
      </c>
      <c r="C1808" s="9">
        <v>34.08</v>
      </c>
      <c r="D1808" s="9">
        <v>31.18</v>
      </c>
      <c r="E1808" s="9">
        <v>31.79</v>
      </c>
      <c r="F1808" s="9">
        <v>83685800</v>
      </c>
      <c r="G1808" s="9">
        <v>31.79</v>
      </c>
    </row>
    <row r="1809" spans="1:7" x14ac:dyDescent="0.25">
      <c r="A1809" s="101">
        <v>39381</v>
      </c>
      <c r="B1809" s="9">
        <v>32.43</v>
      </c>
      <c r="C1809" s="9">
        <v>33.99</v>
      </c>
      <c r="D1809" s="9">
        <v>31.61</v>
      </c>
      <c r="E1809" s="9">
        <v>33.630000000000003</v>
      </c>
      <c r="F1809" s="9">
        <v>66018100</v>
      </c>
      <c r="G1809" s="9">
        <v>33.630000000000003</v>
      </c>
    </row>
    <row r="1810" spans="1:7" x14ac:dyDescent="0.25">
      <c r="A1810" s="101">
        <v>39380</v>
      </c>
      <c r="B1810" s="9">
        <v>30.75</v>
      </c>
      <c r="C1810" s="9">
        <v>31.62</v>
      </c>
      <c r="D1810" s="9">
        <v>30.5</v>
      </c>
      <c r="E1810" s="9">
        <v>31.34</v>
      </c>
      <c r="F1810" s="9">
        <v>38706600</v>
      </c>
      <c r="G1810" s="9">
        <v>31.34</v>
      </c>
    </row>
    <row r="1811" spans="1:7" x14ac:dyDescent="0.25">
      <c r="A1811" s="101">
        <v>39379</v>
      </c>
      <c r="B1811" s="9">
        <v>30.68</v>
      </c>
      <c r="C1811" s="9">
        <v>30.98</v>
      </c>
      <c r="D1811" s="9">
        <v>30</v>
      </c>
      <c r="E1811" s="9">
        <v>30.68</v>
      </c>
      <c r="F1811" s="9">
        <v>33603100</v>
      </c>
      <c r="G1811" s="9">
        <v>30.68</v>
      </c>
    </row>
    <row r="1812" spans="1:7" x14ac:dyDescent="0.25">
      <c r="A1812" s="101">
        <v>39378</v>
      </c>
      <c r="B1812" s="9">
        <v>30.12</v>
      </c>
      <c r="C1812" s="9">
        <v>30.88</v>
      </c>
      <c r="D1812" s="9">
        <v>30.03</v>
      </c>
      <c r="E1812" s="9">
        <v>30.64</v>
      </c>
      <c r="F1812" s="9">
        <v>45406200</v>
      </c>
      <c r="G1812" s="9">
        <v>30.64</v>
      </c>
    </row>
    <row r="1813" spans="1:7" x14ac:dyDescent="0.25">
      <c r="A1813" s="101">
        <v>39377</v>
      </c>
      <c r="B1813" s="9">
        <v>28.93</v>
      </c>
      <c r="C1813" s="9">
        <v>30</v>
      </c>
      <c r="D1813" s="9">
        <v>28.8</v>
      </c>
      <c r="E1813" s="9">
        <v>29.85</v>
      </c>
      <c r="F1813" s="9">
        <v>27750100</v>
      </c>
      <c r="G1813" s="9">
        <v>29.85</v>
      </c>
    </row>
    <row r="1814" spans="1:7" x14ac:dyDescent="0.25">
      <c r="A1814" s="101">
        <v>39374</v>
      </c>
      <c r="B1814" s="9">
        <v>29.36</v>
      </c>
      <c r="C1814" s="9">
        <v>29.96</v>
      </c>
      <c r="D1814" s="9">
        <v>28.85</v>
      </c>
      <c r="E1814" s="9">
        <v>29.03</v>
      </c>
      <c r="F1814" s="9">
        <v>41933000</v>
      </c>
      <c r="G1814" s="9">
        <v>29.03</v>
      </c>
    </row>
    <row r="1815" spans="1:7" x14ac:dyDescent="0.25">
      <c r="A1815" s="101">
        <v>39373</v>
      </c>
      <c r="B1815" s="9">
        <v>28.59</v>
      </c>
      <c r="C1815" s="9">
        <v>29.6</v>
      </c>
      <c r="D1815" s="9">
        <v>28.47</v>
      </c>
      <c r="E1815" s="9">
        <v>29.35</v>
      </c>
      <c r="F1815" s="9">
        <v>28152200</v>
      </c>
      <c r="G1815" s="9">
        <v>29.35</v>
      </c>
    </row>
    <row r="1816" spans="1:7" x14ac:dyDescent="0.25">
      <c r="A1816" s="101">
        <v>39372</v>
      </c>
      <c r="B1816" s="9">
        <v>29.1</v>
      </c>
      <c r="C1816" s="9">
        <v>29.2</v>
      </c>
      <c r="D1816" s="9">
        <v>28</v>
      </c>
      <c r="E1816" s="9">
        <v>28.82</v>
      </c>
      <c r="F1816" s="9">
        <v>75067700</v>
      </c>
      <c r="G1816" s="9">
        <v>28.82</v>
      </c>
    </row>
    <row r="1817" spans="1:7" x14ac:dyDescent="0.25">
      <c r="A1817" s="101">
        <v>39371</v>
      </c>
      <c r="B1817" s="9">
        <v>27.37</v>
      </c>
      <c r="C1817" s="9">
        <v>27.48</v>
      </c>
      <c r="D1817" s="9">
        <v>26.55</v>
      </c>
      <c r="E1817" s="9">
        <v>26.69</v>
      </c>
      <c r="F1817" s="9">
        <v>56275300</v>
      </c>
      <c r="G1817" s="9">
        <v>26.69</v>
      </c>
    </row>
    <row r="1818" spans="1:7" x14ac:dyDescent="0.25">
      <c r="A1818" s="101">
        <v>39370</v>
      </c>
      <c r="B1818" s="9">
        <v>28.32</v>
      </c>
      <c r="C1818" s="9">
        <v>28.4</v>
      </c>
      <c r="D1818" s="9">
        <v>27.46</v>
      </c>
      <c r="E1818" s="9">
        <v>27.86</v>
      </c>
      <c r="F1818" s="9">
        <v>22994100</v>
      </c>
      <c r="G1818" s="9">
        <v>27.86</v>
      </c>
    </row>
    <row r="1819" spans="1:7" x14ac:dyDescent="0.25">
      <c r="A1819" s="101">
        <v>39367</v>
      </c>
      <c r="B1819" s="9">
        <v>27.76</v>
      </c>
      <c r="C1819" s="9">
        <v>28.51</v>
      </c>
      <c r="D1819" s="9">
        <v>27.65</v>
      </c>
      <c r="E1819" s="9">
        <v>28.48</v>
      </c>
      <c r="F1819" s="9">
        <v>22130500</v>
      </c>
      <c r="G1819" s="9">
        <v>28.48</v>
      </c>
    </row>
    <row r="1820" spans="1:7" x14ac:dyDescent="0.25">
      <c r="A1820" s="101">
        <v>39366</v>
      </c>
      <c r="B1820" s="9">
        <v>28.44</v>
      </c>
      <c r="C1820" s="9">
        <v>28.68</v>
      </c>
      <c r="D1820" s="9">
        <v>27.5</v>
      </c>
      <c r="E1820" s="9">
        <v>27.65</v>
      </c>
      <c r="F1820" s="9">
        <v>25298300</v>
      </c>
      <c r="G1820" s="9">
        <v>27.65</v>
      </c>
    </row>
    <row r="1821" spans="1:7" x14ac:dyDescent="0.25">
      <c r="A1821" s="101">
        <v>39365</v>
      </c>
      <c r="B1821" s="9">
        <v>28.43</v>
      </c>
      <c r="C1821" s="9">
        <v>28.7</v>
      </c>
      <c r="D1821" s="9">
        <v>27.9</v>
      </c>
      <c r="E1821" s="9">
        <v>28.36</v>
      </c>
      <c r="F1821" s="9">
        <v>14847100</v>
      </c>
      <c r="G1821" s="9">
        <v>28.36</v>
      </c>
    </row>
    <row r="1822" spans="1:7" x14ac:dyDescent="0.25">
      <c r="A1822" s="101">
        <v>39364</v>
      </c>
      <c r="B1822" s="9">
        <v>28.35</v>
      </c>
      <c r="C1822" s="9">
        <v>28.76</v>
      </c>
      <c r="D1822" s="9">
        <v>27.94</v>
      </c>
      <c r="E1822" s="9">
        <v>28.37</v>
      </c>
      <c r="F1822" s="9">
        <v>19539500</v>
      </c>
      <c r="G1822" s="9">
        <v>28.37</v>
      </c>
    </row>
    <row r="1823" spans="1:7" x14ac:dyDescent="0.25">
      <c r="A1823" s="101">
        <v>39363</v>
      </c>
      <c r="B1823" s="9">
        <v>28.01</v>
      </c>
      <c r="C1823" s="9">
        <v>28.17</v>
      </c>
      <c r="D1823" s="9">
        <v>27.75</v>
      </c>
      <c r="E1823" s="9">
        <v>28.05</v>
      </c>
      <c r="F1823" s="9">
        <v>15060700</v>
      </c>
      <c r="G1823" s="9">
        <v>28.05</v>
      </c>
    </row>
    <row r="1824" spans="1:7" x14ac:dyDescent="0.25">
      <c r="A1824" s="101">
        <v>39360</v>
      </c>
      <c r="B1824" s="9">
        <v>27.78</v>
      </c>
      <c r="C1824" s="9">
        <v>28.16</v>
      </c>
      <c r="D1824" s="9">
        <v>27.75</v>
      </c>
      <c r="E1824" s="9">
        <v>27.88</v>
      </c>
      <c r="F1824" s="9">
        <v>28389600</v>
      </c>
      <c r="G1824" s="9">
        <v>27.88</v>
      </c>
    </row>
    <row r="1825" spans="1:7" x14ac:dyDescent="0.25">
      <c r="A1825" s="101">
        <v>39359</v>
      </c>
      <c r="B1825" s="9">
        <v>27.19</v>
      </c>
      <c r="C1825" s="9">
        <v>27.29</v>
      </c>
      <c r="D1825" s="9">
        <v>26.9</v>
      </c>
      <c r="E1825" s="9">
        <v>27.15</v>
      </c>
      <c r="F1825" s="9">
        <v>19203600</v>
      </c>
      <c r="G1825" s="9">
        <v>27.15</v>
      </c>
    </row>
    <row r="1826" spans="1:7" x14ac:dyDescent="0.25">
      <c r="A1826" s="101">
        <v>39358</v>
      </c>
      <c r="B1826" s="9">
        <v>27.16</v>
      </c>
      <c r="C1826" s="9">
        <v>27.38</v>
      </c>
      <c r="D1826" s="9">
        <v>26.82</v>
      </c>
      <c r="E1826" s="9">
        <v>27.17</v>
      </c>
      <c r="F1826" s="9">
        <v>18052500</v>
      </c>
      <c r="G1826" s="9">
        <v>27.17</v>
      </c>
    </row>
    <row r="1827" spans="1:7" x14ac:dyDescent="0.25">
      <c r="A1827" s="101">
        <v>39357</v>
      </c>
      <c r="B1827" s="9">
        <v>27.2</v>
      </c>
      <c r="C1827" s="9">
        <v>27.24</v>
      </c>
      <c r="D1827" s="9">
        <v>26.62</v>
      </c>
      <c r="E1827" s="9">
        <v>26.95</v>
      </c>
      <c r="F1827" s="9">
        <v>15133400</v>
      </c>
      <c r="G1827" s="9">
        <v>26.95</v>
      </c>
    </row>
    <row r="1828" spans="1:7" x14ac:dyDescent="0.25">
      <c r="A1828" s="101">
        <v>39356</v>
      </c>
      <c r="B1828" s="9">
        <v>26.76</v>
      </c>
      <c r="C1828" s="9">
        <v>27.1</v>
      </c>
      <c r="D1828" s="9">
        <v>26.73</v>
      </c>
      <c r="E1828" s="9">
        <v>27.04</v>
      </c>
      <c r="F1828" s="9">
        <v>16938700</v>
      </c>
      <c r="G1828" s="9">
        <v>27.04</v>
      </c>
    </row>
    <row r="1829" spans="1:7" x14ac:dyDescent="0.25">
      <c r="A1829" s="101">
        <v>39353</v>
      </c>
      <c r="B1829" s="9">
        <v>26.49</v>
      </c>
      <c r="C1829" s="9">
        <v>26.89</v>
      </c>
      <c r="D1829" s="9">
        <v>26.2</v>
      </c>
      <c r="E1829" s="9">
        <v>26.84</v>
      </c>
      <c r="F1829" s="9">
        <v>22155600</v>
      </c>
      <c r="G1829" s="9">
        <v>26.84</v>
      </c>
    </row>
    <row r="1830" spans="1:7" x14ac:dyDescent="0.25">
      <c r="A1830" s="101">
        <v>39352</v>
      </c>
      <c r="B1830" s="9">
        <v>26.95</v>
      </c>
      <c r="C1830" s="9">
        <v>26.95</v>
      </c>
      <c r="D1830" s="9">
        <v>26.17</v>
      </c>
      <c r="E1830" s="9">
        <v>26.27</v>
      </c>
      <c r="F1830" s="9">
        <v>21365200</v>
      </c>
      <c r="G1830" s="9">
        <v>26.27</v>
      </c>
    </row>
    <row r="1831" spans="1:7" x14ac:dyDescent="0.25">
      <c r="A1831" s="101">
        <v>39351</v>
      </c>
      <c r="B1831" s="9">
        <v>26.7</v>
      </c>
      <c r="C1831" s="9">
        <v>27.07</v>
      </c>
      <c r="D1831" s="9">
        <v>26.5</v>
      </c>
      <c r="E1831" s="9">
        <v>26.7</v>
      </c>
      <c r="F1831" s="9">
        <v>18692400</v>
      </c>
      <c r="G1831" s="9">
        <v>26.7</v>
      </c>
    </row>
    <row r="1832" spans="1:7" x14ac:dyDescent="0.25">
      <c r="A1832" s="101">
        <v>39350</v>
      </c>
      <c r="B1832" s="9">
        <v>25.7</v>
      </c>
      <c r="C1832" s="9">
        <v>26.65</v>
      </c>
      <c r="D1832" s="9">
        <v>25.63</v>
      </c>
      <c r="E1832" s="9">
        <v>26.51</v>
      </c>
      <c r="F1832" s="9">
        <v>33721300</v>
      </c>
      <c r="G1832" s="9">
        <v>26.51</v>
      </c>
    </row>
    <row r="1833" spans="1:7" x14ac:dyDescent="0.25">
      <c r="A1833" s="101">
        <v>39349</v>
      </c>
      <c r="B1833" s="9">
        <v>26.13</v>
      </c>
      <c r="C1833" s="9">
        <v>26.4</v>
      </c>
      <c r="D1833" s="9">
        <v>25.51</v>
      </c>
      <c r="E1833" s="9">
        <v>25.73</v>
      </c>
      <c r="F1833" s="9">
        <v>27597800</v>
      </c>
      <c r="G1833" s="9">
        <v>25.73</v>
      </c>
    </row>
    <row r="1834" spans="1:7" x14ac:dyDescent="0.25">
      <c r="A1834" s="101">
        <v>39346</v>
      </c>
      <c r="B1834" s="9">
        <v>25.54</v>
      </c>
      <c r="C1834" s="9">
        <v>26.21</v>
      </c>
      <c r="D1834" s="9">
        <v>25.29</v>
      </c>
      <c r="E1834" s="9">
        <v>26.05</v>
      </c>
      <c r="F1834" s="9">
        <v>53074900</v>
      </c>
      <c r="G1834" s="9">
        <v>26.05</v>
      </c>
    </row>
    <row r="1835" spans="1:7" x14ac:dyDescent="0.25">
      <c r="A1835" s="101">
        <v>39345</v>
      </c>
      <c r="B1835" s="9">
        <v>25.28</v>
      </c>
      <c r="C1835" s="9">
        <v>25.61</v>
      </c>
      <c r="D1835" s="9">
        <v>25.16</v>
      </c>
      <c r="E1835" s="9">
        <v>25.29</v>
      </c>
      <c r="F1835" s="9">
        <v>17312000</v>
      </c>
      <c r="G1835" s="9">
        <v>25.29</v>
      </c>
    </row>
    <row r="1836" spans="1:7" x14ac:dyDescent="0.25">
      <c r="A1836" s="101">
        <v>39344</v>
      </c>
      <c r="B1836" s="9">
        <v>25.09</v>
      </c>
      <c r="C1836" s="9">
        <v>25.37</v>
      </c>
      <c r="D1836" s="9">
        <v>24.81</v>
      </c>
      <c r="E1836" s="9">
        <v>25.29</v>
      </c>
      <c r="F1836" s="9">
        <v>25867900</v>
      </c>
      <c r="G1836" s="9">
        <v>25.29</v>
      </c>
    </row>
    <row r="1837" spans="1:7" x14ac:dyDescent="0.25">
      <c r="A1837" s="101">
        <v>39343</v>
      </c>
      <c r="B1837" s="9">
        <v>25.06</v>
      </c>
      <c r="C1837" s="9">
        <v>25.21</v>
      </c>
      <c r="D1837" s="9">
        <v>24.53</v>
      </c>
      <c r="E1837" s="9">
        <v>25.06</v>
      </c>
      <c r="F1837" s="9">
        <v>28121000</v>
      </c>
      <c r="G1837" s="9">
        <v>25.06</v>
      </c>
    </row>
    <row r="1838" spans="1:7" x14ac:dyDescent="0.25">
      <c r="A1838" s="101">
        <v>39342</v>
      </c>
      <c r="B1838" s="9">
        <v>24.5</v>
      </c>
      <c r="C1838" s="9">
        <v>25.1</v>
      </c>
      <c r="D1838" s="9">
        <v>24.38</v>
      </c>
      <c r="E1838" s="9">
        <v>24.95</v>
      </c>
      <c r="F1838" s="9">
        <v>20594000</v>
      </c>
      <c r="G1838" s="9">
        <v>24.95</v>
      </c>
    </row>
    <row r="1839" spans="1:7" x14ac:dyDescent="0.25">
      <c r="A1839" s="101">
        <v>39339</v>
      </c>
      <c r="B1839" s="9">
        <v>23.69</v>
      </c>
      <c r="C1839" s="9">
        <v>25</v>
      </c>
      <c r="D1839" s="9">
        <v>23.65</v>
      </c>
      <c r="E1839" s="9">
        <v>24.73</v>
      </c>
      <c r="F1839" s="9">
        <v>28868600</v>
      </c>
      <c r="G1839" s="9">
        <v>24.73</v>
      </c>
    </row>
    <row r="1840" spans="1:7" x14ac:dyDescent="0.25">
      <c r="A1840" s="101">
        <v>39338</v>
      </c>
      <c r="B1840" s="9">
        <v>23.6</v>
      </c>
      <c r="C1840" s="9">
        <v>23.96</v>
      </c>
      <c r="D1840" s="9">
        <v>23.6</v>
      </c>
      <c r="E1840" s="9">
        <v>23.72</v>
      </c>
      <c r="F1840" s="9">
        <v>10309000</v>
      </c>
      <c r="G1840" s="9">
        <v>23.72</v>
      </c>
    </row>
    <row r="1841" spans="1:7" x14ac:dyDescent="0.25">
      <c r="A1841" s="101">
        <v>39337</v>
      </c>
      <c r="B1841" s="9">
        <v>23.64</v>
      </c>
      <c r="C1841" s="9">
        <v>23.94</v>
      </c>
      <c r="D1841" s="9">
        <v>23.53</v>
      </c>
      <c r="E1841" s="9">
        <v>23.56</v>
      </c>
      <c r="F1841" s="9">
        <v>16553700</v>
      </c>
      <c r="G1841" s="9">
        <v>23.56</v>
      </c>
    </row>
    <row r="1842" spans="1:7" x14ac:dyDescent="0.25">
      <c r="A1842" s="101">
        <v>39336</v>
      </c>
      <c r="B1842" s="9">
        <v>23.31</v>
      </c>
      <c r="C1842" s="9">
        <v>23.84</v>
      </c>
      <c r="D1842" s="9">
        <v>23.31</v>
      </c>
      <c r="E1842" s="9">
        <v>23.71</v>
      </c>
      <c r="F1842" s="9">
        <v>17207500</v>
      </c>
      <c r="G1842" s="9">
        <v>23.71</v>
      </c>
    </row>
    <row r="1843" spans="1:7" x14ac:dyDescent="0.25">
      <c r="A1843" s="101">
        <v>39335</v>
      </c>
      <c r="B1843" s="9">
        <v>23.85</v>
      </c>
      <c r="C1843" s="9">
        <v>23.85</v>
      </c>
      <c r="D1843" s="9">
        <v>23.1</v>
      </c>
      <c r="E1843" s="9">
        <v>23.3</v>
      </c>
      <c r="F1843" s="9">
        <v>15246000</v>
      </c>
      <c r="G1843" s="9">
        <v>23.3</v>
      </c>
    </row>
    <row r="1844" spans="1:7" x14ac:dyDescent="0.25">
      <c r="A1844" s="101">
        <v>39332</v>
      </c>
      <c r="B1844" s="9">
        <v>23.76</v>
      </c>
      <c r="C1844" s="9">
        <v>24.05</v>
      </c>
      <c r="D1844" s="9">
        <v>23.6</v>
      </c>
      <c r="E1844" s="9">
        <v>23.76</v>
      </c>
      <c r="F1844" s="9">
        <v>12591900</v>
      </c>
      <c r="G1844" s="9">
        <v>23.76</v>
      </c>
    </row>
    <row r="1845" spans="1:7" x14ac:dyDescent="0.25">
      <c r="A1845" s="101">
        <v>39331</v>
      </c>
      <c r="B1845" s="9">
        <v>24.22</v>
      </c>
      <c r="C1845" s="9">
        <v>24.32</v>
      </c>
      <c r="D1845" s="9">
        <v>23.62</v>
      </c>
      <c r="E1845" s="9">
        <v>24.15</v>
      </c>
      <c r="F1845" s="9">
        <v>13922100</v>
      </c>
      <c r="G1845" s="9">
        <v>24.15</v>
      </c>
    </row>
    <row r="1846" spans="1:7" x14ac:dyDescent="0.25">
      <c r="A1846" s="101">
        <v>39330</v>
      </c>
      <c r="B1846" s="9">
        <v>24.1</v>
      </c>
      <c r="C1846" s="9">
        <v>24.4</v>
      </c>
      <c r="D1846" s="9">
        <v>23.91</v>
      </c>
      <c r="E1846" s="9">
        <v>24.1</v>
      </c>
      <c r="F1846" s="9">
        <v>23071000</v>
      </c>
      <c r="G1846" s="9">
        <v>24.1</v>
      </c>
    </row>
    <row r="1847" spans="1:7" x14ac:dyDescent="0.25">
      <c r="A1847" s="101">
        <v>39329</v>
      </c>
      <c r="B1847" s="9">
        <v>23.3</v>
      </c>
      <c r="C1847" s="9">
        <v>24.5</v>
      </c>
      <c r="D1847" s="9">
        <v>23.2</v>
      </c>
      <c r="E1847" s="9">
        <v>23.97</v>
      </c>
      <c r="F1847" s="9">
        <v>43598600</v>
      </c>
      <c r="G1847" s="9">
        <v>23.97</v>
      </c>
    </row>
    <row r="1848" spans="1:7" x14ac:dyDescent="0.25">
      <c r="A1848" s="101">
        <v>39325</v>
      </c>
      <c r="B1848" s="9">
        <v>22.81</v>
      </c>
      <c r="C1848" s="9">
        <v>22.83</v>
      </c>
      <c r="D1848" s="9">
        <v>22.51</v>
      </c>
      <c r="E1848" s="9">
        <v>22.73</v>
      </c>
      <c r="F1848" s="9">
        <v>13052500</v>
      </c>
      <c r="G1848" s="9">
        <v>22.73</v>
      </c>
    </row>
    <row r="1849" spans="1:7" x14ac:dyDescent="0.25">
      <c r="A1849" s="101">
        <v>39324</v>
      </c>
      <c r="B1849" s="9">
        <v>22.49</v>
      </c>
      <c r="C1849" s="9">
        <v>22.91</v>
      </c>
      <c r="D1849" s="9">
        <v>22.38</v>
      </c>
      <c r="E1849" s="9">
        <v>22.61</v>
      </c>
      <c r="F1849" s="9">
        <v>18172500</v>
      </c>
      <c r="G1849" s="9">
        <v>22.61</v>
      </c>
    </row>
    <row r="1850" spans="1:7" x14ac:dyDescent="0.25">
      <c r="A1850" s="101">
        <v>39323</v>
      </c>
      <c r="B1850" s="9">
        <v>22.6</v>
      </c>
      <c r="C1850" s="9">
        <v>22.69</v>
      </c>
      <c r="D1850" s="9">
        <v>22.27</v>
      </c>
      <c r="E1850" s="9">
        <v>22.55</v>
      </c>
      <c r="F1850" s="9">
        <v>24599900</v>
      </c>
      <c r="G1850" s="9">
        <v>22.55</v>
      </c>
    </row>
    <row r="1851" spans="1:7" x14ac:dyDescent="0.25">
      <c r="A1851" s="101">
        <v>39322</v>
      </c>
      <c r="B1851" s="9">
        <v>22.95</v>
      </c>
      <c r="C1851" s="9">
        <v>23.1</v>
      </c>
      <c r="D1851" s="9">
        <v>22.5</v>
      </c>
      <c r="E1851" s="9">
        <v>22.52</v>
      </c>
      <c r="F1851" s="9">
        <v>18030600</v>
      </c>
      <c r="G1851" s="9">
        <v>22.52</v>
      </c>
    </row>
    <row r="1852" spans="1:7" x14ac:dyDescent="0.25">
      <c r="A1852" s="101">
        <v>39321</v>
      </c>
      <c r="B1852" s="9">
        <v>23.59</v>
      </c>
      <c r="C1852" s="9">
        <v>23.76</v>
      </c>
      <c r="D1852" s="9">
        <v>23.01</v>
      </c>
      <c r="E1852" s="9">
        <v>23.03</v>
      </c>
      <c r="F1852" s="9">
        <v>16523800</v>
      </c>
      <c r="G1852" s="9">
        <v>23.03</v>
      </c>
    </row>
    <row r="1853" spans="1:7" x14ac:dyDescent="0.25">
      <c r="A1853" s="101">
        <v>39318</v>
      </c>
      <c r="B1853" s="9">
        <v>23.03</v>
      </c>
      <c r="C1853" s="9">
        <v>23.73</v>
      </c>
      <c r="D1853" s="9">
        <v>23.03</v>
      </c>
      <c r="E1853" s="9">
        <v>23.59</v>
      </c>
      <c r="F1853" s="9">
        <v>11191100</v>
      </c>
      <c r="G1853" s="9">
        <v>23.59</v>
      </c>
    </row>
    <row r="1854" spans="1:7" x14ac:dyDescent="0.25">
      <c r="A1854" s="101">
        <v>39317</v>
      </c>
      <c r="B1854" s="9">
        <v>23.35</v>
      </c>
      <c r="C1854" s="9">
        <v>23.36</v>
      </c>
      <c r="D1854" s="9">
        <v>22.95</v>
      </c>
      <c r="E1854" s="9">
        <v>23.13</v>
      </c>
      <c r="F1854" s="9">
        <v>15603000</v>
      </c>
      <c r="G1854" s="9">
        <v>23.13</v>
      </c>
    </row>
    <row r="1855" spans="1:7" x14ac:dyDescent="0.25">
      <c r="A1855" s="101">
        <v>39316</v>
      </c>
      <c r="B1855" s="9">
        <v>23.22</v>
      </c>
      <c r="C1855" s="9">
        <v>23.52</v>
      </c>
      <c r="D1855" s="9">
        <v>23.18</v>
      </c>
      <c r="E1855" s="9">
        <v>23.23</v>
      </c>
      <c r="F1855" s="9">
        <v>18763700</v>
      </c>
      <c r="G1855" s="9">
        <v>23.23</v>
      </c>
    </row>
    <row r="1856" spans="1:7" x14ac:dyDescent="0.25">
      <c r="A1856" s="101">
        <v>39315</v>
      </c>
      <c r="B1856" s="9">
        <v>23.25</v>
      </c>
      <c r="C1856" s="9">
        <v>23.48</v>
      </c>
      <c r="D1856" s="9">
        <v>22.91</v>
      </c>
      <c r="E1856" s="9">
        <v>23.04</v>
      </c>
      <c r="F1856" s="9">
        <v>25962900</v>
      </c>
      <c r="G1856" s="9">
        <v>23.04</v>
      </c>
    </row>
    <row r="1857" spans="1:7" x14ac:dyDescent="0.25">
      <c r="A1857" s="101">
        <v>39314</v>
      </c>
      <c r="B1857" s="9">
        <v>23.64</v>
      </c>
      <c r="C1857" s="9">
        <v>23.74</v>
      </c>
      <c r="D1857" s="9">
        <v>23.18</v>
      </c>
      <c r="E1857" s="9">
        <v>23.34</v>
      </c>
      <c r="F1857" s="9">
        <v>13338900</v>
      </c>
      <c r="G1857" s="9">
        <v>23.34</v>
      </c>
    </row>
    <row r="1858" spans="1:7" x14ac:dyDescent="0.25">
      <c r="A1858" s="101">
        <v>39311</v>
      </c>
      <c r="B1858" s="9">
        <v>23.26</v>
      </c>
      <c r="C1858" s="9">
        <v>23.63</v>
      </c>
      <c r="D1858" s="9">
        <v>22.76</v>
      </c>
      <c r="E1858" s="9">
        <v>23.54</v>
      </c>
      <c r="F1858" s="9">
        <v>19528200</v>
      </c>
      <c r="G1858" s="9">
        <v>23.54</v>
      </c>
    </row>
    <row r="1859" spans="1:7" x14ac:dyDescent="0.25">
      <c r="A1859" s="101">
        <v>39310</v>
      </c>
      <c r="B1859" s="9">
        <v>23</v>
      </c>
      <c r="C1859" s="9">
        <v>23.15</v>
      </c>
      <c r="D1859" s="9">
        <v>22.5</v>
      </c>
      <c r="E1859" s="9">
        <v>22.76</v>
      </c>
      <c r="F1859" s="9">
        <v>29652200</v>
      </c>
      <c r="G1859" s="9">
        <v>22.76</v>
      </c>
    </row>
    <row r="1860" spans="1:7" x14ac:dyDescent="0.25">
      <c r="A1860" s="101">
        <v>39309</v>
      </c>
      <c r="B1860" s="9">
        <v>23.56</v>
      </c>
      <c r="C1860" s="9">
        <v>24</v>
      </c>
      <c r="D1860" s="9">
        <v>23.25</v>
      </c>
      <c r="E1860" s="9">
        <v>23.32</v>
      </c>
      <c r="F1860" s="9">
        <v>18767700</v>
      </c>
      <c r="G1860" s="9">
        <v>23.32</v>
      </c>
    </row>
    <row r="1861" spans="1:7" x14ac:dyDescent="0.25">
      <c r="A1861" s="101">
        <v>39308</v>
      </c>
      <c r="B1861" s="9">
        <v>24.69</v>
      </c>
      <c r="C1861" s="9">
        <v>24.7</v>
      </c>
      <c r="D1861" s="9">
        <v>23.69</v>
      </c>
      <c r="E1861" s="9">
        <v>23.72</v>
      </c>
      <c r="F1861" s="9">
        <v>18707100</v>
      </c>
      <c r="G1861" s="9">
        <v>23.72</v>
      </c>
    </row>
    <row r="1862" spans="1:7" x14ac:dyDescent="0.25">
      <c r="A1862" s="101">
        <v>39307</v>
      </c>
      <c r="B1862" s="9">
        <v>24.21</v>
      </c>
      <c r="C1862" s="9">
        <v>24.74</v>
      </c>
      <c r="D1862" s="9">
        <v>24.01</v>
      </c>
      <c r="E1862" s="9">
        <v>24.57</v>
      </c>
      <c r="F1862" s="9">
        <v>21317600</v>
      </c>
      <c r="G1862" s="9">
        <v>24.57</v>
      </c>
    </row>
    <row r="1863" spans="1:7" x14ac:dyDescent="0.25">
      <c r="A1863" s="101">
        <v>39304</v>
      </c>
      <c r="B1863" s="9">
        <v>23.93</v>
      </c>
      <c r="C1863" s="9">
        <v>24.22</v>
      </c>
      <c r="D1863" s="9">
        <v>23.52</v>
      </c>
      <c r="E1863" s="9">
        <v>23.94</v>
      </c>
      <c r="F1863" s="9">
        <v>22939800</v>
      </c>
      <c r="G1863" s="9">
        <v>23.94</v>
      </c>
    </row>
    <row r="1864" spans="1:7" x14ac:dyDescent="0.25">
      <c r="A1864" s="101">
        <v>39303</v>
      </c>
      <c r="B1864" s="9">
        <v>23.67</v>
      </c>
      <c r="C1864" s="9">
        <v>24.45</v>
      </c>
      <c r="D1864" s="9">
        <v>23.51</v>
      </c>
      <c r="E1864" s="9">
        <v>23.8</v>
      </c>
      <c r="F1864" s="9">
        <v>24052500</v>
      </c>
      <c r="G1864" s="9">
        <v>23.8</v>
      </c>
    </row>
    <row r="1865" spans="1:7" x14ac:dyDescent="0.25">
      <c r="A1865" s="101">
        <v>39302</v>
      </c>
      <c r="B1865" s="9">
        <v>23.46</v>
      </c>
      <c r="C1865" s="9">
        <v>23.87</v>
      </c>
      <c r="D1865" s="9">
        <v>23.43</v>
      </c>
      <c r="E1865" s="9">
        <v>23.87</v>
      </c>
      <c r="F1865" s="9">
        <v>17198000</v>
      </c>
      <c r="G1865" s="9">
        <v>23.87</v>
      </c>
    </row>
    <row r="1866" spans="1:7" x14ac:dyDescent="0.25">
      <c r="A1866" s="101">
        <v>39301</v>
      </c>
      <c r="B1866" s="9">
        <v>22.75</v>
      </c>
      <c r="C1866" s="9">
        <v>23.7</v>
      </c>
      <c r="D1866" s="9">
        <v>22.69</v>
      </c>
      <c r="E1866" s="9">
        <v>23.44</v>
      </c>
      <c r="F1866" s="9">
        <v>20075300</v>
      </c>
      <c r="G1866" s="9">
        <v>23.44</v>
      </c>
    </row>
    <row r="1867" spans="1:7" x14ac:dyDescent="0.25">
      <c r="A1867" s="101">
        <v>39300</v>
      </c>
      <c r="B1867" s="9">
        <v>23.03</v>
      </c>
      <c r="C1867" s="9">
        <v>23.15</v>
      </c>
      <c r="D1867" s="9">
        <v>22.44</v>
      </c>
      <c r="E1867" s="9">
        <v>22.97</v>
      </c>
      <c r="F1867" s="9">
        <v>28948000</v>
      </c>
      <c r="G1867" s="9">
        <v>22.97</v>
      </c>
    </row>
    <row r="1868" spans="1:7" x14ac:dyDescent="0.25">
      <c r="A1868" s="101">
        <v>39297</v>
      </c>
      <c r="B1868" s="9">
        <v>23.2</v>
      </c>
      <c r="C1868" s="9">
        <v>23.39</v>
      </c>
      <c r="D1868" s="9">
        <v>22.87</v>
      </c>
      <c r="E1868" s="9">
        <v>22.92</v>
      </c>
      <c r="F1868" s="9">
        <v>19702100</v>
      </c>
      <c r="G1868" s="9">
        <v>22.92</v>
      </c>
    </row>
    <row r="1869" spans="1:7" x14ac:dyDescent="0.25">
      <c r="A1869" s="101">
        <v>39296</v>
      </c>
      <c r="B1869" s="9">
        <v>22.65</v>
      </c>
      <c r="C1869" s="9">
        <v>23.7</v>
      </c>
      <c r="D1869" s="9">
        <v>22.65</v>
      </c>
      <c r="E1869" s="9">
        <v>23.36</v>
      </c>
      <c r="F1869" s="9">
        <v>21098900</v>
      </c>
      <c r="G1869" s="9">
        <v>23.36</v>
      </c>
    </row>
    <row r="1870" spans="1:7" x14ac:dyDescent="0.25">
      <c r="A1870" s="101">
        <v>39295</v>
      </c>
      <c r="B1870" s="9">
        <v>23.17</v>
      </c>
      <c r="C1870" s="9">
        <v>23.4</v>
      </c>
      <c r="D1870" s="9">
        <v>22.85</v>
      </c>
      <c r="E1870" s="9">
        <v>23.25</v>
      </c>
      <c r="F1870" s="9">
        <v>22030400</v>
      </c>
      <c r="G1870" s="9">
        <v>23.25</v>
      </c>
    </row>
    <row r="1871" spans="1:7" x14ac:dyDescent="0.25">
      <c r="A1871" s="101">
        <v>39294</v>
      </c>
      <c r="B1871" s="9">
        <v>23.88</v>
      </c>
      <c r="C1871" s="9">
        <v>23.93</v>
      </c>
      <c r="D1871" s="9">
        <v>23.24</v>
      </c>
      <c r="E1871" s="9">
        <v>23.25</v>
      </c>
      <c r="F1871" s="9">
        <v>21575800</v>
      </c>
      <c r="G1871" s="9">
        <v>23.25</v>
      </c>
    </row>
    <row r="1872" spans="1:7" x14ac:dyDescent="0.25">
      <c r="A1872" s="101">
        <v>39293</v>
      </c>
      <c r="B1872" s="9">
        <v>23.55</v>
      </c>
      <c r="C1872" s="9">
        <v>23.88</v>
      </c>
      <c r="D1872" s="9">
        <v>23.38</v>
      </c>
      <c r="E1872" s="9">
        <v>23.62</v>
      </c>
      <c r="F1872" s="9">
        <v>20976600</v>
      </c>
      <c r="G1872" s="9">
        <v>23.62</v>
      </c>
    </row>
    <row r="1873" spans="1:7" x14ac:dyDescent="0.25">
      <c r="A1873" s="101">
        <v>39290</v>
      </c>
      <c r="B1873" s="9">
        <v>23.98</v>
      </c>
      <c r="C1873" s="9">
        <v>24.49</v>
      </c>
      <c r="D1873" s="9">
        <v>23.47</v>
      </c>
      <c r="E1873" s="9">
        <v>23.49</v>
      </c>
      <c r="F1873" s="9">
        <v>35783800</v>
      </c>
      <c r="G1873" s="9">
        <v>23.49</v>
      </c>
    </row>
    <row r="1874" spans="1:7" x14ac:dyDescent="0.25">
      <c r="A1874" s="101">
        <v>39289</v>
      </c>
      <c r="B1874" s="9">
        <v>24.4</v>
      </c>
      <c r="C1874" s="9">
        <v>24.49</v>
      </c>
      <c r="D1874" s="9">
        <v>23.62</v>
      </c>
      <c r="E1874" s="9">
        <v>24.03</v>
      </c>
      <c r="F1874" s="9">
        <v>33373300</v>
      </c>
      <c r="G1874" s="9">
        <v>24.03</v>
      </c>
    </row>
    <row r="1875" spans="1:7" x14ac:dyDescent="0.25">
      <c r="A1875" s="101">
        <v>39288</v>
      </c>
      <c r="B1875" s="9">
        <v>25.01</v>
      </c>
      <c r="C1875" s="9">
        <v>25.32</v>
      </c>
      <c r="D1875" s="9">
        <v>24.59</v>
      </c>
      <c r="E1875" s="9">
        <v>24.68</v>
      </c>
      <c r="F1875" s="9">
        <v>21882400</v>
      </c>
      <c r="G1875" s="9">
        <v>24.68</v>
      </c>
    </row>
    <row r="1876" spans="1:7" x14ac:dyDescent="0.25">
      <c r="A1876" s="101">
        <v>39287</v>
      </c>
      <c r="B1876" s="9">
        <v>24.8</v>
      </c>
      <c r="C1876" s="9">
        <v>25.34</v>
      </c>
      <c r="D1876" s="9">
        <v>24.73</v>
      </c>
      <c r="E1876" s="9">
        <v>24.84</v>
      </c>
      <c r="F1876" s="9">
        <v>28981000</v>
      </c>
      <c r="G1876" s="9">
        <v>24.84</v>
      </c>
    </row>
    <row r="1877" spans="1:7" x14ac:dyDescent="0.25">
      <c r="A1877" s="101">
        <v>39286</v>
      </c>
      <c r="B1877" s="9">
        <v>25.43</v>
      </c>
      <c r="C1877" s="9">
        <v>25.46</v>
      </c>
      <c r="D1877" s="9">
        <v>24.98</v>
      </c>
      <c r="E1877" s="9">
        <v>24.99</v>
      </c>
      <c r="F1877" s="9">
        <v>26631500</v>
      </c>
      <c r="G1877" s="9">
        <v>24.99</v>
      </c>
    </row>
    <row r="1878" spans="1:7" x14ac:dyDescent="0.25">
      <c r="A1878" s="101">
        <v>39283</v>
      </c>
      <c r="B1878" s="9">
        <v>25.7</v>
      </c>
      <c r="C1878" s="9">
        <v>25.89</v>
      </c>
      <c r="D1878" s="9">
        <v>25.2</v>
      </c>
      <c r="E1878" s="9">
        <v>25.35</v>
      </c>
      <c r="F1878" s="9">
        <v>38056100</v>
      </c>
      <c r="G1878" s="9">
        <v>25.35</v>
      </c>
    </row>
    <row r="1879" spans="1:7" x14ac:dyDescent="0.25">
      <c r="A1879" s="101">
        <v>39282</v>
      </c>
      <c r="B1879" s="9">
        <v>26.32</v>
      </c>
      <c r="C1879" s="9">
        <v>26.34</v>
      </c>
      <c r="D1879" s="9">
        <v>25.92</v>
      </c>
      <c r="E1879" s="9">
        <v>26.03</v>
      </c>
      <c r="F1879" s="9">
        <v>29537900</v>
      </c>
      <c r="G1879" s="9">
        <v>26.03</v>
      </c>
    </row>
    <row r="1880" spans="1:7" x14ac:dyDescent="0.25">
      <c r="A1880" s="101">
        <v>39281</v>
      </c>
      <c r="B1880" s="9">
        <v>26.07</v>
      </c>
      <c r="C1880" s="9">
        <v>26.72</v>
      </c>
      <c r="D1880" s="9">
        <v>26.02</v>
      </c>
      <c r="E1880" s="9">
        <v>26.2</v>
      </c>
      <c r="F1880" s="9">
        <v>65125900</v>
      </c>
      <c r="G1880" s="9">
        <v>26.2</v>
      </c>
    </row>
    <row r="1881" spans="1:7" x14ac:dyDescent="0.25">
      <c r="A1881" s="101">
        <v>39280</v>
      </c>
      <c r="B1881" s="9">
        <v>26.74</v>
      </c>
      <c r="C1881" s="9">
        <v>27.8</v>
      </c>
      <c r="D1881" s="9">
        <v>26.7</v>
      </c>
      <c r="E1881" s="9">
        <v>27.53</v>
      </c>
      <c r="F1881" s="9">
        <v>53656100</v>
      </c>
      <c r="G1881" s="9">
        <v>27.53</v>
      </c>
    </row>
    <row r="1882" spans="1:7" x14ac:dyDescent="0.25">
      <c r="A1882" s="101">
        <v>39279</v>
      </c>
      <c r="B1882" s="9">
        <v>26.48</v>
      </c>
      <c r="C1882" s="9">
        <v>26.74</v>
      </c>
      <c r="D1882" s="9">
        <v>26.13</v>
      </c>
      <c r="E1882" s="9">
        <v>26.7</v>
      </c>
      <c r="F1882" s="9">
        <v>30804500</v>
      </c>
      <c r="G1882" s="9">
        <v>26.7</v>
      </c>
    </row>
    <row r="1883" spans="1:7" x14ac:dyDescent="0.25">
      <c r="A1883" s="101">
        <v>39276</v>
      </c>
      <c r="B1883" s="9">
        <v>26.87</v>
      </c>
      <c r="C1883" s="9">
        <v>26.97</v>
      </c>
      <c r="D1883" s="9">
        <v>26.5</v>
      </c>
      <c r="E1883" s="9">
        <v>26.58</v>
      </c>
      <c r="F1883" s="9">
        <v>18522700</v>
      </c>
      <c r="G1883" s="9">
        <v>26.58</v>
      </c>
    </row>
    <row r="1884" spans="1:7" x14ac:dyDescent="0.25">
      <c r="A1884" s="101">
        <v>39275</v>
      </c>
      <c r="B1884" s="9">
        <v>26.7</v>
      </c>
      <c r="C1884" s="9">
        <v>26.97</v>
      </c>
      <c r="D1884" s="9">
        <v>26.34</v>
      </c>
      <c r="E1884" s="9">
        <v>26.96</v>
      </c>
      <c r="F1884" s="9">
        <v>20082300</v>
      </c>
      <c r="G1884" s="9">
        <v>26.96</v>
      </c>
    </row>
    <row r="1885" spans="1:7" x14ac:dyDescent="0.25">
      <c r="A1885" s="101">
        <v>39274</v>
      </c>
      <c r="B1885" s="9">
        <v>27.03</v>
      </c>
      <c r="C1885" s="9">
        <v>27.05</v>
      </c>
      <c r="D1885" s="9">
        <v>26.55</v>
      </c>
      <c r="E1885" s="9">
        <v>26.69</v>
      </c>
      <c r="F1885" s="9">
        <v>21970700</v>
      </c>
      <c r="G1885" s="9">
        <v>26.69</v>
      </c>
    </row>
    <row r="1886" spans="1:7" x14ac:dyDescent="0.25">
      <c r="A1886" s="101">
        <v>39273</v>
      </c>
      <c r="B1886" s="9">
        <v>27.09</v>
      </c>
      <c r="C1886" s="9">
        <v>27.57</v>
      </c>
      <c r="D1886" s="9">
        <v>26.96</v>
      </c>
      <c r="E1886" s="9">
        <v>26.97</v>
      </c>
      <c r="F1886" s="9">
        <v>24635500</v>
      </c>
      <c r="G1886" s="9">
        <v>26.97</v>
      </c>
    </row>
    <row r="1887" spans="1:7" x14ac:dyDescent="0.25">
      <c r="A1887" s="101">
        <v>39272</v>
      </c>
      <c r="B1887" s="9">
        <v>26.92</v>
      </c>
      <c r="C1887" s="9">
        <v>27.33</v>
      </c>
      <c r="D1887" s="9">
        <v>26.82</v>
      </c>
      <c r="E1887" s="9">
        <v>27.2</v>
      </c>
      <c r="F1887" s="9">
        <v>17515800</v>
      </c>
      <c r="G1887" s="9">
        <v>27.2</v>
      </c>
    </row>
    <row r="1888" spans="1:7" x14ac:dyDescent="0.25">
      <c r="A1888" s="101">
        <v>39269</v>
      </c>
      <c r="B1888" s="9">
        <v>27.01</v>
      </c>
      <c r="C1888" s="9">
        <v>27.14</v>
      </c>
      <c r="D1888" s="9">
        <v>26.93</v>
      </c>
      <c r="E1888" s="9">
        <v>27.1</v>
      </c>
      <c r="F1888" s="9">
        <v>12284500</v>
      </c>
      <c r="G1888" s="9">
        <v>27.1</v>
      </c>
    </row>
    <row r="1889" spans="1:7" x14ac:dyDescent="0.25">
      <c r="A1889" s="101">
        <v>39268</v>
      </c>
      <c r="B1889" s="9">
        <v>26.92</v>
      </c>
      <c r="C1889" s="9">
        <v>27.14</v>
      </c>
      <c r="D1889" s="9">
        <v>26.9</v>
      </c>
      <c r="E1889" s="9">
        <v>26.99</v>
      </c>
      <c r="F1889" s="9">
        <v>16071900</v>
      </c>
      <c r="G1889" s="9">
        <v>26.99</v>
      </c>
    </row>
    <row r="1890" spans="1:7" x14ac:dyDescent="0.25">
      <c r="A1890" s="101">
        <v>39266</v>
      </c>
      <c r="B1890" s="9">
        <v>26.95</v>
      </c>
      <c r="C1890" s="9">
        <v>27.25</v>
      </c>
      <c r="D1890" s="9">
        <v>26.9</v>
      </c>
      <c r="E1890" s="9">
        <v>27</v>
      </c>
      <c r="F1890" s="9">
        <v>11643400</v>
      </c>
      <c r="G1890" s="9">
        <v>27</v>
      </c>
    </row>
    <row r="1891" spans="1:7" x14ac:dyDescent="0.25">
      <c r="A1891" s="101">
        <v>39265</v>
      </c>
      <c r="B1891" s="9">
        <v>27.19</v>
      </c>
      <c r="C1891" s="9">
        <v>27.27</v>
      </c>
      <c r="D1891" s="9">
        <v>26.76</v>
      </c>
      <c r="E1891" s="9">
        <v>26.86</v>
      </c>
      <c r="F1891" s="9">
        <v>21011000</v>
      </c>
      <c r="G1891" s="9">
        <v>26.86</v>
      </c>
    </row>
    <row r="1892" spans="1:7" x14ac:dyDescent="0.25">
      <c r="A1892" s="101">
        <v>39262</v>
      </c>
      <c r="B1892" s="9">
        <v>27.21</v>
      </c>
      <c r="C1892" s="9">
        <v>27.38</v>
      </c>
      <c r="D1892" s="9">
        <v>26.93</v>
      </c>
      <c r="E1892" s="9">
        <v>27.13</v>
      </c>
      <c r="F1892" s="9">
        <v>13842500</v>
      </c>
      <c r="G1892" s="9">
        <v>27.13</v>
      </c>
    </row>
    <row r="1893" spans="1:7" x14ac:dyDescent="0.25">
      <c r="A1893" s="101">
        <v>39261</v>
      </c>
      <c r="B1893" s="9">
        <v>27.44</v>
      </c>
      <c r="C1893" s="9">
        <v>27.49</v>
      </c>
      <c r="D1893" s="9">
        <v>27.12</v>
      </c>
      <c r="E1893" s="9">
        <v>27.25</v>
      </c>
      <c r="F1893" s="9">
        <v>17124500</v>
      </c>
      <c r="G1893" s="9">
        <v>27.25</v>
      </c>
    </row>
    <row r="1894" spans="1:7" x14ac:dyDescent="0.25">
      <c r="A1894" s="101">
        <v>39260</v>
      </c>
      <c r="B1894" s="9">
        <v>27.51</v>
      </c>
      <c r="C1894" s="9">
        <v>27.66</v>
      </c>
      <c r="D1894" s="9">
        <v>27.4</v>
      </c>
      <c r="E1894" s="9">
        <v>27.58</v>
      </c>
      <c r="F1894" s="9">
        <v>13997000</v>
      </c>
      <c r="G1894" s="9">
        <v>27.58</v>
      </c>
    </row>
    <row r="1895" spans="1:7" x14ac:dyDescent="0.25">
      <c r="A1895" s="101">
        <v>39259</v>
      </c>
      <c r="B1895" s="9">
        <v>27.73</v>
      </c>
      <c r="C1895" s="9">
        <v>28.18</v>
      </c>
      <c r="D1895" s="9">
        <v>27.36</v>
      </c>
      <c r="E1895" s="9">
        <v>27.71</v>
      </c>
      <c r="F1895" s="9">
        <v>25324000</v>
      </c>
      <c r="G1895" s="9">
        <v>27.71</v>
      </c>
    </row>
    <row r="1896" spans="1:7" x14ac:dyDescent="0.25">
      <c r="A1896" s="101">
        <v>39258</v>
      </c>
      <c r="B1896" s="9">
        <v>27.6</v>
      </c>
      <c r="C1896" s="9">
        <v>27.77</v>
      </c>
      <c r="D1896" s="9">
        <v>27.34</v>
      </c>
      <c r="E1896" s="9">
        <v>27.64</v>
      </c>
      <c r="F1896" s="9">
        <v>21232200</v>
      </c>
      <c r="G1896" s="9">
        <v>27.64</v>
      </c>
    </row>
    <row r="1897" spans="1:7" x14ac:dyDescent="0.25">
      <c r="A1897" s="101">
        <v>39255</v>
      </c>
      <c r="B1897" s="9">
        <v>27.68</v>
      </c>
      <c r="C1897" s="9">
        <v>27.79</v>
      </c>
      <c r="D1897" s="9">
        <v>27.31</v>
      </c>
      <c r="E1897" s="9">
        <v>27.38</v>
      </c>
      <c r="F1897" s="9">
        <v>33796900</v>
      </c>
      <c r="G1897" s="9">
        <v>27.38</v>
      </c>
    </row>
    <row r="1898" spans="1:7" x14ac:dyDescent="0.25">
      <c r="A1898" s="101">
        <v>39254</v>
      </c>
      <c r="B1898" s="9">
        <v>27.69</v>
      </c>
      <c r="C1898" s="9">
        <v>27.94</v>
      </c>
      <c r="D1898" s="9">
        <v>27.55</v>
      </c>
      <c r="E1898" s="9">
        <v>27.67</v>
      </c>
      <c r="F1898" s="9">
        <v>17885800</v>
      </c>
      <c r="G1898" s="9">
        <v>27.67</v>
      </c>
    </row>
    <row r="1899" spans="1:7" x14ac:dyDescent="0.25">
      <c r="A1899" s="101">
        <v>39253</v>
      </c>
      <c r="B1899" s="9">
        <v>27.89</v>
      </c>
      <c r="C1899" s="9">
        <v>28.17</v>
      </c>
      <c r="D1899" s="9">
        <v>27.66</v>
      </c>
      <c r="E1899" s="9">
        <v>27.66</v>
      </c>
      <c r="F1899" s="9">
        <v>33496400</v>
      </c>
      <c r="G1899" s="9">
        <v>27.66</v>
      </c>
    </row>
    <row r="1900" spans="1:7" x14ac:dyDescent="0.25">
      <c r="A1900" s="101">
        <v>39252</v>
      </c>
      <c r="B1900" s="9">
        <v>29.4</v>
      </c>
      <c r="C1900" s="9">
        <v>29.4</v>
      </c>
      <c r="D1900" s="9">
        <v>27.54</v>
      </c>
      <c r="E1900" s="9">
        <v>27.63</v>
      </c>
      <c r="F1900" s="9">
        <v>65967500</v>
      </c>
      <c r="G1900" s="9">
        <v>27.63</v>
      </c>
    </row>
    <row r="1901" spans="1:7" x14ac:dyDescent="0.25">
      <c r="A1901" s="101">
        <v>39251</v>
      </c>
      <c r="B1901" s="9">
        <v>27.72</v>
      </c>
      <c r="C1901" s="9">
        <v>28.34</v>
      </c>
      <c r="D1901" s="9">
        <v>27.5</v>
      </c>
      <c r="E1901" s="9">
        <v>28.12</v>
      </c>
      <c r="F1901" s="9">
        <v>70919400</v>
      </c>
      <c r="G1901" s="9">
        <v>28.12</v>
      </c>
    </row>
    <row r="1902" spans="1:7" x14ac:dyDescent="0.25">
      <c r="A1902" s="101">
        <v>39248</v>
      </c>
      <c r="B1902" s="9">
        <v>27.49</v>
      </c>
      <c r="C1902" s="9">
        <v>27.52</v>
      </c>
      <c r="D1902" s="9">
        <v>27.19</v>
      </c>
      <c r="E1902" s="9">
        <v>27.31</v>
      </c>
      <c r="F1902" s="9">
        <v>23816900</v>
      </c>
      <c r="G1902" s="9">
        <v>27.31</v>
      </c>
    </row>
    <row r="1903" spans="1:7" x14ac:dyDescent="0.25">
      <c r="A1903" s="101">
        <v>39247</v>
      </c>
      <c r="B1903" s="9">
        <v>27.38</v>
      </c>
      <c r="C1903" s="9">
        <v>27.64</v>
      </c>
      <c r="D1903" s="9">
        <v>27.15</v>
      </c>
      <c r="E1903" s="9">
        <v>27.3</v>
      </c>
      <c r="F1903" s="9">
        <v>18919400</v>
      </c>
      <c r="G1903" s="9">
        <v>27.3</v>
      </c>
    </row>
    <row r="1904" spans="1:7" x14ac:dyDescent="0.25">
      <c r="A1904" s="101">
        <v>39246</v>
      </c>
      <c r="B1904" s="9">
        <v>27.12</v>
      </c>
      <c r="C1904" s="9">
        <v>27.41</v>
      </c>
      <c r="D1904" s="9">
        <v>26.61</v>
      </c>
      <c r="E1904" s="9">
        <v>27.38</v>
      </c>
      <c r="F1904" s="9">
        <v>31210700</v>
      </c>
      <c r="G1904" s="9">
        <v>27.38</v>
      </c>
    </row>
    <row r="1905" spans="1:7" x14ac:dyDescent="0.25">
      <c r="A1905" s="101">
        <v>39245</v>
      </c>
      <c r="B1905" s="9">
        <v>27.3</v>
      </c>
      <c r="C1905" s="9">
        <v>27.66</v>
      </c>
      <c r="D1905" s="9">
        <v>26.98</v>
      </c>
      <c r="E1905" s="9">
        <v>27.05</v>
      </c>
      <c r="F1905" s="9">
        <v>22203600</v>
      </c>
      <c r="G1905" s="9">
        <v>27.05</v>
      </c>
    </row>
    <row r="1906" spans="1:7" x14ac:dyDescent="0.25">
      <c r="A1906" s="101">
        <v>39244</v>
      </c>
      <c r="B1906" s="9">
        <v>27.27</v>
      </c>
      <c r="C1906" s="9">
        <v>27.52</v>
      </c>
      <c r="D1906" s="9">
        <v>27.15</v>
      </c>
      <c r="E1906" s="9">
        <v>27.35</v>
      </c>
      <c r="F1906" s="9">
        <v>14856500</v>
      </c>
      <c r="G1906" s="9">
        <v>27.35</v>
      </c>
    </row>
    <row r="1907" spans="1:7" x14ac:dyDescent="0.25">
      <c r="A1907" s="101">
        <v>39241</v>
      </c>
      <c r="B1907" s="9">
        <v>27.02</v>
      </c>
      <c r="C1907" s="9">
        <v>27.45</v>
      </c>
      <c r="D1907" s="9">
        <v>26.96</v>
      </c>
      <c r="E1907" s="9">
        <v>27.39</v>
      </c>
      <c r="F1907" s="9">
        <v>18618500</v>
      </c>
      <c r="G1907" s="9">
        <v>27.39</v>
      </c>
    </row>
    <row r="1908" spans="1:7" x14ac:dyDescent="0.25">
      <c r="A1908" s="101">
        <v>39240</v>
      </c>
      <c r="B1908" s="9">
        <v>27.34</v>
      </c>
      <c r="C1908" s="9">
        <v>27.73</v>
      </c>
      <c r="D1908" s="9">
        <v>26.98</v>
      </c>
      <c r="E1908" s="9">
        <v>26.98</v>
      </c>
      <c r="F1908" s="9">
        <v>34232300</v>
      </c>
      <c r="G1908" s="9">
        <v>26.98</v>
      </c>
    </row>
    <row r="1909" spans="1:7" x14ac:dyDescent="0.25">
      <c r="A1909" s="101">
        <v>39239</v>
      </c>
      <c r="B1909" s="9">
        <v>28.05</v>
      </c>
      <c r="C1909" s="9">
        <v>28.11</v>
      </c>
      <c r="D1909" s="9">
        <v>27.3</v>
      </c>
      <c r="E1909" s="9">
        <v>27.44</v>
      </c>
      <c r="F1909" s="9">
        <v>33508200</v>
      </c>
      <c r="G1909" s="9">
        <v>27.44</v>
      </c>
    </row>
    <row r="1910" spans="1:7" x14ac:dyDescent="0.25">
      <c r="A1910" s="101">
        <v>39238</v>
      </c>
      <c r="B1910" s="9">
        <v>28.4</v>
      </c>
      <c r="C1910" s="9">
        <v>28.59</v>
      </c>
      <c r="D1910" s="9">
        <v>28.1</v>
      </c>
      <c r="E1910" s="9">
        <v>28.23</v>
      </c>
      <c r="F1910" s="9">
        <v>20494800</v>
      </c>
      <c r="G1910" s="9">
        <v>28.23</v>
      </c>
    </row>
    <row r="1911" spans="1:7" x14ac:dyDescent="0.25">
      <c r="A1911" s="101">
        <v>39237</v>
      </c>
      <c r="B1911" s="9">
        <v>28.6</v>
      </c>
      <c r="C1911" s="9">
        <v>28.78</v>
      </c>
      <c r="D1911" s="9">
        <v>28.4</v>
      </c>
      <c r="E1911" s="9">
        <v>28.59</v>
      </c>
      <c r="F1911" s="9">
        <v>13428800</v>
      </c>
      <c r="G1911" s="9">
        <v>28.59</v>
      </c>
    </row>
    <row r="1912" spans="1:7" x14ac:dyDescent="0.25">
      <c r="A1912" s="101">
        <v>39234</v>
      </c>
      <c r="B1912" s="9">
        <v>28.9</v>
      </c>
      <c r="C1912" s="9">
        <v>29.13</v>
      </c>
      <c r="D1912" s="9">
        <v>28.61</v>
      </c>
      <c r="E1912" s="9">
        <v>28.78</v>
      </c>
      <c r="F1912" s="9">
        <v>12398800</v>
      </c>
      <c r="G1912" s="9">
        <v>28.78</v>
      </c>
    </row>
    <row r="1913" spans="1:7" x14ac:dyDescent="0.25">
      <c r="A1913" s="101">
        <v>39233</v>
      </c>
      <c r="B1913" s="9">
        <v>28.76</v>
      </c>
      <c r="C1913" s="9">
        <v>28.85</v>
      </c>
      <c r="D1913" s="9">
        <v>28.49</v>
      </c>
      <c r="E1913" s="9">
        <v>28.7</v>
      </c>
      <c r="F1913" s="9">
        <v>15859100</v>
      </c>
      <c r="G1913" s="9">
        <v>28.7</v>
      </c>
    </row>
    <row r="1914" spans="1:7" x14ac:dyDescent="0.25">
      <c r="A1914" s="101">
        <v>39232</v>
      </c>
      <c r="B1914" s="9">
        <v>28.19</v>
      </c>
      <c r="C1914" s="9">
        <v>28.38</v>
      </c>
      <c r="D1914" s="9">
        <v>28</v>
      </c>
      <c r="E1914" s="9">
        <v>28.38</v>
      </c>
      <c r="F1914" s="9">
        <v>16046800</v>
      </c>
      <c r="G1914" s="9">
        <v>28.38</v>
      </c>
    </row>
    <row r="1915" spans="1:7" x14ac:dyDescent="0.25">
      <c r="A1915" s="101">
        <v>39231</v>
      </c>
      <c r="B1915" s="9">
        <v>28.36</v>
      </c>
      <c r="C1915" s="9">
        <v>28.73</v>
      </c>
      <c r="D1915" s="9">
        <v>28.2</v>
      </c>
      <c r="E1915" s="9">
        <v>28.4</v>
      </c>
      <c r="F1915" s="9">
        <v>13981500</v>
      </c>
      <c r="G1915" s="9">
        <v>28.4</v>
      </c>
    </row>
    <row r="1916" spans="1:7" x14ac:dyDescent="0.25">
      <c r="A1916" s="101">
        <v>39227</v>
      </c>
      <c r="B1916" s="9">
        <v>28.44</v>
      </c>
      <c r="C1916" s="9">
        <v>28.73</v>
      </c>
      <c r="D1916" s="9">
        <v>28.34</v>
      </c>
      <c r="E1916" s="9">
        <v>28.58</v>
      </c>
      <c r="F1916" s="9">
        <v>10334600</v>
      </c>
      <c r="G1916" s="9">
        <v>28.58</v>
      </c>
    </row>
    <row r="1917" spans="1:7" x14ac:dyDescent="0.25">
      <c r="A1917" s="101">
        <v>39226</v>
      </c>
      <c r="B1917" s="9">
        <v>28.65</v>
      </c>
      <c r="C1917" s="9">
        <v>28.88</v>
      </c>
      <c r="D1917" s="9">
        <v>28.25</v>
      </c>
      <c r="E1917" s="9">
        <v>28.41</v>
      </c>
      <c r="F1917" s="9">
        <v>19122900</v>
      </c>
      <c r="G1917" s="9">
        <v>28.41</v>
      </c>
    </row>
    <row r="1918" spans="1:7" x14ac:dyDescent="0.25">
      <c r="A1918" s="101">
        <v>39225</v>
      </c>
      <c r="B1918" s="9">
        <v>29.1</v>
      </c>
      <c r="C1918" s="9">
        <v>29.37</v>
      </c>
      <c r="D1918" s="9">
        <v>28.53</v>
      </c>
      <c r="E1918" s="9">
        <v>28.61</v>
      </c>
      <c r="F1918" s="9">
        <v>27964400</v>
      </c>
      <c r="G1918" s="9">
        <v>28.61</v>
      </c>
    </row>
    <row r="1919" spans="1:7" x14ac:dyDescent="0.25">
      <c r="A1919" s="101">
        <v>39224</v>
      </c>
      <c r="B1919" s="9">
        <v>29.33</v>
      </c>
      <c r="C1919" s="9">
        <v>29.35</v>
      </c>
      <c r="D1919" s="9">
        <v>28.78</v>
      </c>
      <c r="E1919" s="9">
        <v>28.92</v>
      </c>
      <c r="F1919" s="9">
        <v>19131300</v>
      </c>
      <c r="G1919" s="9">
        <v>28.92</v>
      </c>
    </row>
    <row r="1920" spans="1:7" x14ac:dyDescent="0.25">
      <c r="A1920" s="101">
        <v>39223</v>
      </c>
      <c r="B1920" s="9">
        <v>29.62</v>
      </c>
      <c r="C1920" s="9">
        <v>29.86</v>
      </c>
      <c r="D1920" s="9">
        <v>29.32</v>
      </c>
      <c r="E1920" s="9">
        <v>29.35</v>
      </c>
      <c r="F1920" s="9">
        <v>18955900</v>
      </c>
      <c r="G1920" s="9">
        <v>29.35</v>
      </c>
    </row>
    <row r="1921" spans="1:7" x14ac:dyDescent="0.25">
      <c r="A1921" s="101">
        <v>39220</v>
      </c>
      <c r="B1921" s="9">
        <v>28.9</v>
      </c>
      <c r="C1921" s="9">
        <v>29.8</v>
      </c>
      <c r="D1921" s="9">
        <v>28.78</v>
      </c>
      <c r="E1921" s="9">
        <v>29.75</v>
      </c>
      <c r="F1921" s="9">
        <v>35487200</v>
      </c>
      <c r="G1921" s="9">
        <v>29.75</v>
      </c>
    </row>
    <row r="1922" spans="1:7" x14ac:dyDescent="0.25">
      <c r="A1922" s="101">
        <v>39219</v>
      </c>
      <c r="B1922" s="9">
        <v>28.99</v>
      </c>
      <c r="C1922" s="9">
        <v>29.13</v>
      </c>
      <c r="D1922" s="9">
        <v>28.49</v>
      </c>
      <c r="E1922" s="9">
        <v>28.57</v>
      </c>
      <c r="F1922" s="9">
        <v>23535000</v>
      </c>
      <c r="G1922" s="9">
        <v>28.57</v>
      </c>
    </row>
    <row r="1923" spans="1:7" x14ac:dyDescent="0.25">
      <c r="A1923" s="101">
        <v>39218</v>
      </c>
      <c r="B1923" s="9">
        <v>28.89</v>
      </c>
      <c r="C1923" s="9">
        <v>29.37</v>
      </c>
      <c r="D1923" s="9">
        <v>28.25</v>
      </c>
      <c r="E1923" s="9">
        <v>29.21</v>
      </c>
      <c r="F1923" s="9">
        <v>32944800</v>
      </c>
      <c r="G1923" s="9">
        <v>29.21</v>
      </c>
    </row>
    <row r="1924" spans="1:7" x14ac:dyDescent="0.25">
      <c r="A1924" s="101">
        <v>39217</v>
      </c>
      <c r="B1924" s="9">
        <v>29.16</v>
      </c>
      <c r="C1924" s="9">
        <v>29.42</v>
      </c>
      <c r="D1924" s="9">
        <v>28.75</v>
      </c>
      <c r="E1924" s="9">
        <v>28.81</v>
      </c>
      <c r="F1924" s="9">
        <v>22226800</v>
      </c>
      <c r="G1924" s="9">
        <v>28.81</v>
      </c>
    </row>
    <row r="1925" spans="1:7" x14ac:dyDescent="0.25">
      <c r="A1925" s="101">
        <v>39216</v>
      </c>
      <c r="B1925" s="9">
        <v>29.79</v>
      </c>
      <c r="C1925" s="9">
        <v>30</v>
      </c>
      <c r="D1925" s="9">
        <v>29.08</v>
      </c>
      <c r="E1925" s="9">
        <v>29.31</v>
      </c>
      <c r="F1925" s="9">
        <v>20895900</v>
      </c>
      <c r="G1925" s="9">
        <v>29.31</v>
      </c>
    </row>
    <row r="1926" spans="1:7" x14ac:dyDescent="0.25">
      <c r="A1926" s="101">
        <v>39213</v>
      </c>
      <c r="B1926" s="9">
        <v>29.62</v>
      </c>
      <c r="C1926" s="9">
        <v>30.08</v>
      </c>
      <c r="D1926" s="9">
        <v>29.53</v>
      </c>
      <c r="E1926" s="9">
        <v>30.05</v>
      </c>
      <c r="F1926" s="9">
        <v>13838800</v>
      </c>
      <c r="G1926" s="9">
        <v>30.05</v>
      </c>
    </row>
    <row r="1927" spans="1:7" x14ac:dyDescent="0.25">
      <c r="A1927" s="101">
        <v>39212</v>
      </c>
      <c r="B1927" s="9">
        <v>30.52</v>
      </c>
      <c r="C1927" s="9">
        <v>30.69</v>
      </c>
      <c r="D1927" s="9">
        <v>29.61</v>
      </c>
      <c r="E1927" s="9">
        <v>29.7</v>
      </c>
      <c r="F1927" s="9">
        <v>26570200</v>
      </c>
      <c r="G1927" s="9">
        <v>29.7</v>
      </c>
    </row>
    <row r="1928" spans="1:7" x14ac:dyDescent="0.25">
      <c r="A1928" s="101">
        <v>39211</v>
      </c>
      <c r="B1928" s="9">
        <v>30.17</v>
      </c>
      <c r="C1928" s="9">
        <v>30.44</v>
      </c>
      <c r="D1928" s="9">
        <v>29.95</v>
      </c>
      <c r="E1928" s="9">
        <v>30.22</v>
      </c>
      <c r="F1928" s="9">
        <v>23533100</v>
      </c>
      <c r="G1928" s="9">
        <v>30.22</v>
      </c>
    </row>
    <row r="1929" spans="1:7" x14ac:dyDescent="0.25">
      <c r="A1929" s="101">
        <v>39210</v>
      </c>
      <c r="B1929" s="9">
        <v>30.24</v>
      </c>
      <c r="C1929" s="9">
        <v>31.1</v>
      </c>
      <c r="D1929" s="9">
        <v>30.21</v>
      </c>
      <c r="E1929" s="9">
        <v>30.41</v>
      </c>
      <c r="F1929" s="9">
        <v>28018200</v>
      </c>
      <c r="G1929" s="9">
        <v>30.41</v>
      </c>
    </row>
    <row r="1930" spans="1:7" x14ac:dyDescent="0.25">
      <c r="A1930" s="101">
        <v>39209</v>
      </c>
      <c r="B1930" s="9">
        <v>30.13</v>
      </c>
      <c r="C1930" s="9">
        <v>30.98</v>
      </c>
      <c r="D1930" s="9">
        <v>29.86</v>
      </c>
      <c r="E1930" s="9">
        <v>30.38</v>
      </c>
      <c r="F1930" s="9">
        <v>41243900</v>
      </c>
      <c r="G1930" s="9">
        <v>30.38</v>
      </c>
    </row>
    <row r="1931" spans="1:7" x14ac:dyDescent="0.25">
      <c r="A1931" s="101">
        <v>39206</v>
      </c>
      <c r="B1931" s="9">
        <v>33.270000000000003</v>
      </c>
      <c r="C1931" s="9">
        <v>33.61</v>
      </c>
      <c r="D1931" s="9">
        <v>29.58</v>
      </c>
      <c r="E1931" s="9">
        <v>30.98</v>
      </c>
      <c r="F1931" s="9">
        <v>245611400</v>
      </c>
      <c r="G1931" s="9">
        <v>30.98</v>
      </c>
    </row>
    <row r="1932" spans="1:7" x14ac:dyDescent="0.25">
      <c r="A1932" s="101">
        <v>39205</v>
      </c>
      <c r="B1932" s="9">
        <v>28.25</v>
      </c>
      <c r="C1932" s="9">
        <v>28.5</v>
      </c>
      <c r="D1932" s="9">
        <v>28.01</v>
      </c>
      <c r="E1932" s="9">
        <v>28.18</v>
      </c>
      <c r="F1932" s="9">
        <v>20119500</v>
      </c>
      <c r="G1932" s="9">
        <v>28.18</v>
      </c>
    </row>
    <row r="1933" spans="1:7" x14ac:dyDescent="0.25">
      <c r="A1933" s="101">
        <v>39204</v>
      </c>
      <c r="B1933" s="9">
        <v>27.72</v>
      </c>
      <c r="C1933" s="9">
        <v>28.26</v>
      </c>
      <c r="D1933" s="9">
        <v>27.72</v>
      </c>
      <c r="E1933" s="9">
        <v>28.12</v>
      </c>
      <c r="F1933" s="9">
        <v>16911800</v>
      </c>
      <c r="G1933" s="9">
        <v>28.12</v>
      </c>
    </row>
    <row r="1934" spans="1:7" x14ac:dyDescent="0.25">
      <c r="A1934" s="101">
        <v>39203</v>
      </c>
      <c r="B1934" s="9">
        <v>28.25</v>
      </c>
      <c r="C1934" s="9">
        <v>28.35</v>
      </c>
      <c r="D1934" s="9">
        <v>27.53</v>
      </c>
      <c r="E1934" s="9">
        <v>27.73</v>
      </c>
      <c r="F1934" s="9">
        <v>18310900</v>
      </c>
      <c r="G1934" s="9">
        <v>27.73</v>
      </c>
    </row>
    <row r="1935" spans="1:7" x14ac:dyDescent="0.25">
      <c r="A1935" s="101">
        <v>39202</v>
      </c>
      <c r="B1935" s="9">
        <v>28.32</v>
      </c>
      <c r="C1935" s="9">
        <v>28.5</v>
      </c>
      <c r="D1935" s="9">
        <v>28</v>
      </c>
      <c r="E1935" s="9">
        <v>28.04</v>
      </c>
      <c r="F1935" s="9">
        <v>17596300</v>
      </c>
      <c r="G1935" s="9">
        <v>28.04</v>
      </c>
    </row>
    <row r="1936" spans="1:7" x14ac:dyDescent="0.25">
      <c r="A1936" s="101">
        <v>39199</v>
      </c>
      <c r="B1936" s="9">
        <v>28.35</v>
      </c>
      <c r="C1936" s="9">
        <v>28.86</v>
      </c>
      <c r="D1936" s="9">
        <v>28.17</v>
      </c>
      <c r="E1936" s="9">
        <v>28.34</v>
      </c>
      <c r="F1936" s="9">
        <v>21097000</v>
      </c>
      <c r="G1936" s="9">
        <v>28.34</v>
      </c>
    </row>
    <row r="1937" spans="1:7" x14ac:dyDescent="0.25">
      <c r="A1937" s="101">
        <v>39198</v>
      </c>
      <c r="B1937" s="9">
        <v>27.98</v>
      </c>
      <c r="C1937" s="9">
        <v>28.65</v>
      </c>
      <c r="D1937" s="9">
        <v>27.73</v>
      </c>
      <c r="E1937" s="9">
        <v>28.49</v>
      </c>
      <c r="F1937" s="9">
        <v>32331000</v>
      </c>
      <c r="G1937" s="9">
        <v>28.49</v>
      </c>
    </row>
    <row r="1938" spans="1:7" x14ac:dyDescent="0.25">
      <c r="A1938" s="101">
        <v>39197</v>
      </c>
      <c r="B1938" s="9">
        <v>28.22</v>
      </c>
      <c r="C1938" s="9">
        <v>28.27</v>
      </c>
      <c r="D1938" s="9">
        <v>27.68</v>
      </c>
      <c r="E1938" s="9">
        <v>28.06</v>
      </c>
      <c r="F1938" s="9">
        <v>35568600</v>
      </c>
      <c r="G1938" s="9">
        <v>28.06</v>
      </c>
    </row>
    <row r="1939" spans="1:7" x14ac:dyDescent="0.25">
      <c r="A1939" s="101">
        <v>39196</v>
      </c>
      <c r="B1939" s="9">
        <v>28.03</v>
      </c>
      <c r="C1939" s="9">
        <v>28.26</v>
      </c>
      <c r="D1939" s="9">
        <v>27.69</v>
      </c>
      <c r="E1939" s="9">
        <v>28.02</v>
      </c>
      <c r="F1939" s="9">
        <v>25964000</v>
      </c>
      <c r="G1939" s="9">
        <v>28.02</v>
      </c>
    </row>
    <row r="1940" spans="1:7" x14ac:dyDescent="0.25">
      <c r="A1940" s="101">
        <v>39195</v>
      </c>
      <c r="B1940" s="9">
        <v>27.53</v>
      </c>
      <c r="C1940" s="9">
        <v>28.14</v>
      </c>
      <c r="D1940" s="9">
        <v>27.37</v>
      </c>
      <c r="E1940" s="9">
        <v>27.88</v>
      </c>
      <c r="F1940" s="9">
        <v>27262400</v>
      </c>
      <c r="G1940" s="9">
        <v>27.88</v>
      </c>
    </row>
    <row r="1941" spans="1:7" x14ac:dyDescent="0.25">
      <c r="A1941" s="101">
        <v>39192</v>
      </c>
      <c r="B1941" s="9">
        <v>27.86</v>
      </c>
      <c r="C1941" s="9">
        <v>27.86</v>
      </c>
      <c r="D1941" s="9">
        <v>27.37</v>
      </c>
      <c r="E1941" s="9">
        <v>27.46</v>
      </c>
      <c r="F1941" s="9">
        <v>39123300</v>
      </c>
      <c r="G1941" s="9">
        <v>27.46</v>
      </c>
    </row>
    <row r="1942" spans="1:7" x14ac:dyDescent="0.25">
      <c r="A1942" s="101">
        <v>39191</v>
      </c>
      <c r="B1942" s="9">
        <v>28.1</v>
      </c>
      <c r="C1942" s="9">
        <v>28.23</v>
      </c>
      <c r="D1942" s="9">
        <v>27.46</v>
      </c>
      <c r="E1942" s="9">
        <v>27.51</v>
      </c>
      <c r="F1942" s="9">
        <v>45664700</v>
      </c>
      <c r="G1942" s="9">
        <v>27.51</v>
      </c>
    </row>
    <row r="1943" spans="1:7" x14ac:dyDescent="0.25">
      <c r="A1943" s="101">
        <v>39190</v>
      </c>
      <c r="B1943" s="9">
        <v>28.42</v>
      </c>
      <c r="C1943" s="9">
        <v>28.9</v>
      </c>
      <c r="D1943" s="9">
        <v>27.89</v>
      </c>
      <c r="E1943" s="9">
        <v>28.31</v>
      </c>
      <c r="F1943" s="9">
        <v>127875300</v>
      </c>
      <c r="G1943" s="9">
        <v>28.31</v>
      </c>
    </row>
    <row r="1944" spans="1:7" x14ac:dyDescent="0.25">
      <c r="A1944" s="101">
        <v>39189</v>
      </c>
      <c r="B1944" s="9">
        <v>31.98</v>
      </c>
      <c r="C1944" s="9">
        <v>32.14</v>
      </c>
      <c r="D1944" s="9">
        <v>31.71</v>
      </c>
      <c r="E1944" s="9">
        <v>32.090000000000003</v>
      </c>
      <c r="F1944" s="9">
        <v>43223800</v>
      </c>
      <c r="G1944" s="9">
        <v>32.090000000000003</v>
      </c>
    </row>
    <row r="1945" spans="1:7" x14ac:dyDescent="0.25">
      <c r="A1945" s="101">
        <v>39188</v>
      </c>
      <c r="B1945" s="9">
        <v>31.68</v>
      </c>
      <c r="C1945" s="9">
        <v>31.79</v>
      </c>
      <c r="D1945" s="9">
        <v>31.24</v>
      </c>
      <c r="E1945" s="9">
        <v>31.61</v>
      </c>
      <c r="F1945" s="9">
        <v>14359100</v>
      </c>
      <c r="G1945" s="9">
        <v>31.61</v>
      </c>
    </row>
    <row r="1946" spans="1:7" x14ac:dyDescent="0.25">
      <c r="A1946" s="101">
        <v>39185</v>
      </c>
      <c r="B1946" s="9">
        <v>31.15</v>
      </c>
      <c r="C1946" s="9">
        <v>31.5</v>
      </c>
      <c r="D1946" s="9">
        <v>30.96</v>
      </c>
      <c r="E1946" s="9">
        <v>31.41</v>
      </c>
      <c r="F1946" s="9">
        <v>12006300</v>
      </c>
      <c r="G1946" s="9">
        <v>31.41</v>
      </c>
    </row>
    <row r="1947" spans="1:7" x14ac:dyDescent="0.25">
      <c r="A1947" s="101">
        <v>39184</v>
      </c>
      <c r="B1947" s="9">
        <v>31.26</v>
      </c>
      <c r="C1947" s="9">
        <v>31.42</v>
      </c>
      <c r="D1947" s="9">
        <v>31.1</v>
      </c>
      <c r="E1947" s="9">
        <v>31.21</v>
      </c>
      <c r="F1947" s="9">
        <v>13904800</v>
      </c>
      <c r="G1947" s="9">
        <v>31.21</v>
      </c>
    </row>
    <row r="1948" spans="1:7" x14ac:dyDescent="0.25">
      <c r="A1948" s="101">
        <v>39183</v>
      </c>
      <c r="B1948" s="9">
        <v>31.65</v>
      </c>
      <c r="C1948" s="9">
        <v>31.73</v>
      </c>
      <c r="D1948" s="9">
        <v>30.9</v>
      </c>
      <c r="E1948" s="9">
        <v>31.17</v>
      </c>
      <c r="F1948" s="9">
        <v>16141100</v>
      </c>
      <c r="G1948" s="9">
        <v>31.17</v>
      </c>
    </row>
    <row r="1949" spans="1:7" x14ac:dyDescent="0.25">
      <c r="A1949" s="101">
        <v>39182</v>
      </c>
      <c r="B1949" s="9">
        <v>31.64</v>
      </c>
      <c r="C1949" s="9">
        <v>32.020000000000003</v>
      </c>
      <c r="D1949" s="9">
        <v>31.6</v>
      </c>
      <c r="E1949" s="9">
        <v>31.69</v>
      </c>
      <c r="F1949" s="9">
        <v>12797600</v>
      </c>
      <c r="G1949" s="9">
        <v>31.69</v>
      </c>
    </row>
    <row r="1950" spans="1:7" x14ac:dyDescent="0.25">
      <c r="A1950" s="101">
        <v>39181</v>
      </c>
      <c r="B1950" s="9">
        <v>32.01</v>
      </c>
      <c r="C1950" s="9">
        <v>32.24</v>
      </c>
      <c r="D1950" s="9">
        <v>31.6</v>
      </c>
      <c r="E1950" s="9">
        <v>31.64</v>
      </c>
      <c r="F1950" s="9">
        <v>12408000</v>
      </c>
      <c r="G1950" s="9">
        <v>31.64</v>
      </c>
    </row>
    <row r="1951" spans="1:7" x14ac:dyDescent="0.25">
      <c r="A1951" s="101">
        <v>39177</v>
      </c>
      <c r="B1951" s="9">
        <v>32</v>
      </c>
      <c r="C1951" s="9">
        <v>32.090000000000003</v>
      </c>
      <c r="D1951" s="9">
        <v>31.72</v>
      </c>
      <c r="E1951" s="9">
        <v>31.96</v>
      </c>
      <c r="F1951" s="9">
        <v>13878100</v>
      </c>
      <c r="G1951" s="9">
        <v>31.96</v>
      </c>
    </row>
    <row r="1952" spans="1:7" x14ac:dyDescent="0.25">
      <c r="A1952" s="101">
        <v>39176</v>
      </c>
      <c r="B1952" s="9">
        <v>31.61</v>
      </c>
      <c r="C1952" s="9">
        <v>31.87</v>
      </c>
      <c r="D1952" s="9">
        <v>31.48</v>
      </c>
      <c r="E1952" s="9">
        <v>31.62</v>
      </c>
      <c r="F1952" s="9">
        <v>7836200</v>
      </c>
      <c r="G1952" s="9">
        <v>31.62</v>
      </c>
    </row>
    <row r="1953" spans="1:7" x14ac:dyDescent="0.25">
      <c r="A1953" s="101">
        <v>39175</v>
      </c>
      <c r="B1953" s="9">
        <v>31.41</v>
      </c>
      <c r="C1953" s="9">
        <v>32</v>
      </c>
      <c r="D1953" s="9">
        <v>31.41</v>
      </c>
      <c r="E1953" s="9">
        <v>31.72</v>
      </c>
      <c r="F1953" s="9">
        <v>12324600</v>
      </c>
      <c r="G1953" s="9">
        <v>31.72</v>
      </c>
    </row>
    <row r="1954" spans="1:7" x14ac:dyDescent="0.25">
      <c r="A1954" s="101">
        <v>39174</v>
      </c>
      <c r="B1954" s="9">
        <v>31.22</v>
      </c>
      <c r="C1954" s="9">
        <v>31.4</v>
      </c>
      <c r="D1954" s="9">
        <v>30.93</v>
      </c>
      <c r="E1954" s="9">
        <v>31.28</v>
      </c>
      <c r="F1954" s="9">
        <v>8668800</v>
      </c>
      <c r="G1954" s="9">
        <v>31.28</v>
      </c>
    </row>
    <row r="1955" spans="1:7" x14ac:dyDescent="0.25">
      <c r="A1955" s="101">
        <v>39171</v>
      </c>
      <c r="B1955" s="9">
        <v>31.21</v>
      </c>
      <c r="C1955" s="9">
        <v>31.6</v>
      </c>
      <c r="D1955" s="9">
        <v>31.02</v>
      </c>
      <c r="E1955" s="9">
        <v>31.29</v>
      </c>
      <c r="F1955" s="9">
        <v>9425000</v>
      </c>
      <c r="G1955" s="9">
        <v>31.29</v>
      </c>
    </row>
    <row r="1956" spans="1:7" x14ac:dyDescent="0.25">
      <c r="A1956" s="101">
        <v>39170</v>
      </c>
      <c r="B1956" s="9">
        <v>31.71</v>
      </c>
      <c r="C1956" s="9">
        <v>31.73</v>
      </c>
      <c r="D1956" s="9">
        <v>30.83</v>
      </c>
      <c r="E1956" s="9">
        <v>31.34</v>
      </c>
      <c r="F1956" s="9">
        <v>13815000</v>
      </c>
      <c r="G1956" s="9">
        <v>31.34</v>
      </c>
    </row>
    <row r="1957" spans="1:7" x14ac:dyDescent="0.25">
      <c r="A1957" s="101">
        <v>39169</v>
      </c>
      <c r="B1957" s="9">
        <v>31.45</v>
      </c>
      <c r="C1957" s="9">
        <v>31.7</v>
      </c>
      <c r="D1957" s="9">
        <v>31.25</v>
      </c>
      <c r="E1957" s="9">
        <v>31.41</v>
      </c>
      <c r="F1957" s="9">
        <v>13162500</v>
      </c>
      <c r="G1957" s="9">
        <v>31.41</v>
      </c>
    </row>
    <row r="1958" spans="1:7" x14ac:dyDescent="0.25">
      <c r="A1958" s="101">
        <v>39168</v>
      </c>
      <c r="B1958" s="9">
        <v>31.56</v>
      </c>
      <c r="C1958" s="9">
        <v>31.66</v>
      </c>
      <c r="D1958" s="9">
        <v>31.24</v>
      </c>
      <c r="E1958" s="9">
        <v>31.55</v>
      </c>
      <c r="F1958" s="9">
        <v>9403100</v>
      </c>
      <c r="G1958" s="9">
        <v>31.55</v>
      </c>
    </row>
    <row r="1959" spans="1:7" x14ac:dyDescent="0.25">
      <c r="A1959" s="101">
        <v>39167</v>
      </c>
      <c r="B1959" s="9">
        <v>31.25</v>
      </c>
      <c r="C1959" s="9">
        <v>31.74</v>
      </c>
      <c r="D1959" s="9">
        <v>31.24</v>
      </c>
      <c r="E1959" s="9">
        <v>31.66</v>
      </c>
      <c r="F1959" s="9">
        <v>12907000</v>
      </c>
      <c r="G1959" s="9">
        <v>31.66</v>
      </c>
    </row>
    <row r="1960" spans="1:7" x14ac:dyDescent="0.25">
      <c r="A1960" s="101">
        <v>39164</v>
      </c>
      <c r="B1960" s="9">
        <v>31.33</v>
      </c>
      <c r="C1960" s="9">
        <v>31.7</v>
      </c>
      <c r="D1960" s="9">
        <v>31.16</v>
      </c>
      <c r="E1960" s="9">
        <v>31.36</v>
      </c>
      <c r="F1960" s="9">
        <v>12727900</v>
      </c>
      <c r="G1960" s="9">
        <v>31.36</v>
      </c>
    </row>
    <row r="1961" spans="1:7" x14ac:dyDescent="0.25">
      <c r="A1961" s="101">
        <v>39163</v>
      </c>
      <c r="B1961" s="9">
        <v>31.36</v>
      </c>
      <c r="C1961" s="9">
        <v>31.44</v>
      </c>
      <c r="D1961" s="9">
        <v>30.85</v>
      </c>
      <c r="E1961" s="9">
        <v>31.26</v>
      </c>
      <c r="F1961" s="9">
        <v>12989800</v>
      </c>
      <c r="G1961" s="9">
        <v>31.26</v>
      </c>
    </row>
    <row r="1962" spans="1:7" x14ac:dyDescent="0.25">
      <c r="A1962" s="101">
        <v>39162</v>
      </c>
      <c r="B1962" s="9">
        <v>30.33</v>
      </c>
      <c r="C1962" s="9">
        <v>31.39</v>
      </c>
      <c r="D1962" s="9">
        <v>30.21</v>
      </c>
      <c r="E1962" s="9">
        <v>31.29</v>
      </c>
      <c r="F1962" s="9">
        <v>26667300</v>
      </c>
      <c r="G1962" s="9">
        <v>31.29</v>
      </c>
    </row>
    <row r="1963" spans="1:7" x14ac:dyDescent="0.25">
      <c r="A1963" s="101">
        <v>39161</v>
      </c>
      <c r="B1963" s="9">
        <v>30</v>
      </c>
      <c r="C1963" s="9">
        <v>30.35</v>
      </c>
      <c r="D1963" s="9">
        <v>29.94</v>
      </c>
      <c r="E1963" s="9">
        <v>30.33</v>
      </c>
      <c r="F1963" s="9">
        <v>12203800</v>
      </c>
      <c r="G1963" s="9">
        <v>30.33</v>
      </c>
    </row>
    <row r="1964" spans="1:7" x14ac:dyDescent="0.25">
      <c r="A1964" s="101">
        <v>39160</v>
      </c>
      <c r="B1964" s="9">
        <v>30</v>
      </c>
      <c r="C1964" s="9">
        <v>30.19</v>
      </c>
      <c r="D1964" s="9">
        <v>29.92</v>
      </c>
      <c r="E1964" s="9">
        <v>30.03</v>
      </c>
      <c r="F1964" s="9">
        <v>9983800</v>
      </c>
      <c r="G1964" s="9">
        <v>30.03</v>
      </c>
    </row>
    <row r="1965" spans="1:7" x14ac:dyDescent="0.25">
      <c r="A1965" s="101">
        <v>39157</v>
      </c>
      <c r="B1965" s="9">
        <v>30.02</v>
      </c>
      <c r="C1965" s="9">
        <v>30.11</v>
      </c>
      <c r="D1965" s="9">
        <v>29.72</v>
      </c>
      <c r="E1965" s="9">
        <v>29.88</v>
      </c>
      <c r="F1965" s="9">
        <v>19799300</v>
      </c>
      <c r="G1965" s="9">
        <v>29.88</v>
      </c>
    </row>
    <row r="1966" spans="1:7" x14ac:dyDescent="0.25">
      <c r="A1966" s="101">
        <v>39156</v>
      </c>
      <c r="B1966" s="9">
        <v>29.81</v>
      </c>
      <c r="C1966" s="9">
        <v>30.07</v>
      </c>
      <c r="D1966" s="9">
        <v>29.78</v>
      </c>
      <c r="E1966" s="9">
        <v>30.06</v>
      </c>
      <c r="F1966" s="9">
        <v>15440900</v>
      </c>
      <c r="G1966" s="9">
        <v>30.06</v>
      </c>
    </row>
    <row r="1967" spans="1:7" x14ac:dyDescent="0.25">
      <c r="A1967" s="101">
        <v>39155</v>
      </c>
      <c r="B1967" s="9">
        <v>29.63</v>
      </c>
      <c r="C1967" s="9">
        <v>30.04</v>
      </c>
      <c r="D1967" s="9">
        <v>29.26</v>
      </c>
      <c r="E1967" s="9">
        <v>29.86</v>
      </c>
      <c r="F1967" s="9">
        <v>23604900</v>
      </c>
      <c r="G1967" s="9">
        <v>29.86</v>
      </c>
    </row>
    <row r="1968" spans="1:7" x14ac:dyDescent="0.25">
      <c r="A1968" s="101">
        <v>39154</v>
      </c>
      <c r="B1968" s="9">
        <v>29.77</v>
      </c>
      <c r="C1968" s="9">
        <v>30.24</v>
      </c>
      <c r="D1968" s="9">
        <v>29.42</v>
      </c>
      <c r="E1968" s="9">
        <v>29.56</v>
      </c>
      <c r="F1968" s="9">
        <v>18263800</v>
      </c>
      <c r="G1968" s="9">
        <v>29.56</v>
      </c>
    </row>
    <row r="1969" spans="1:7" x14ac:dyDescent="0.25">
      <c r="A1969" s="101">
        <v>39153</v>
      </c>
      <c r="B1969" s="9">
        <v>29.3</v>
      </c>
      <c r="C1969" s="9">
        <v>30.11</v>
      </c>
      <c r="D1969" s="9">
        <v>29.29</v>
      </c>
      <c r="E1969" s="9">
        <v>29.99</v>
      </c>
      <c r="F1969" s="9">
        <v>35991600</v>
      </c>
      <c r="G1969" s="9">
        <v>29.99</v>
      </c>
    </row>
    <row r="1970" spans="1:7" x14ac:dyDescent="0.25">
      <c r="A1970" s="101">
        <v>39150</v>
      </c>
      <c r="B1970" s="9">
        <v>29.85</v>
      </c>
      <c r="C1970" s="9">
        <v>30.15</v>
      </c>
      <c r="D1970" s="9">
        <v>28.79</v>
      </c>
      <c r="E1970" s="9">
        <v>29.12</v>
      </c>
      <c r="F1970" s="9">
        <v>72749900</v>
      </c>
      <c r="G1970" s="9">
        <v>29.12</v>
      </c>
    </row>
    <row r="1971" spans="1:7" x14ac:dyDescent="0.25">
      <c r="A1971" s="101">
        <v>39149</v>
      </c>
      <c r="B1971" s="9">
        <v>30.82</v>
      </c>
      <c r="C1971" s="9">
        <v>31.04</v>
      </c>
      <c r="D1971" s="9">
        <v>30.58</v>
      </c>
      <c r="E1971" s="9">
        <v>30.71</v>
      </c>
      <c r="F1971" s="9">
        <v>13715100</v>
      </c>
      <c r="G1971" s="9">
        <v>30.71</v>
      </c>
    </row>
    <row r="1972" spans="1:7" x14ac:dyDescent="0.25">
      <c r="A1972" s="101">
        <v>39148</v>
      </c>
      <c r="B1972" s="9">
        <v>30.95</v>
      </c>
      <c r="C1972" s="9">
        <v>31.03</v>
      </c>
      <c r="D1972" s="9">
        <v>30.33</v>
      </c>
      <c r="E1972" s="9">
        <v>30.39</v>
      </c>
      <c r="F1972" s="9">
        <v>16014300</v>
      </c>
      <c r="G1972" s="9">
        <v>30.39</v>
      </c>
    </row>
    <row r="1973" spans="1:7" x14ac:dyDescent="0.25">
      <c r="A1973" s="101">
        <v>39147</v>
      </c>
      <c r="B1973" s="9">
        <v>30.89</v>
      </c>
      <c r="C1973" s="9">
        <v>31.06</v>
      </c>
      <c r="D1973" s="9">
        <v>30.52</v>
      </c>
      <c r="E1973" s="9">
        <v>30.8</v>
      </c>
      <c r="F1973" s="9">
        <v>33472600</v>
      </c>
      <c r="G1973" s="9">
        <v>30.8</v>
      </c>
    </row>
    <row r="1974" spans="1:7" x14ac:dyDescent="0.25">
      <c r="A1974" s="101">
        <v>39146</v>
      </c>
      <c r="B1974" s="9">
        <v>30.18</v>
      </c>
      <c r="C1974" s="9">
        <v>31.9</v>
      </c>
      <c r="D1974" s="9">
        <v>30.14</v>
      </c>
      <c r="E1974" s="9">
        <v>30.31</v>
      </c>
      <c r="F1974" s="9">
        <v>21469000</v>
      </c>
      <c r="G1974" s="9">
        <v>30.31</v>
      </c>
    </row>
    <row r="1975" spans="1:7" x14ac:dyDescent="0.25">
      <c r="A1975" s="101">
        <v>39143</v>
      </c>
      <c r="B1975" s="9">
        <v>30.54</v>
      </c>
      <c r="C1975" s="9">
        <v>30.89</v>
      </c>
      <c r="D1975" s="9">
        <v>30.28</v>
      </c>
      <c r="E1975" s="9">
        <v>30.42</v>
      </c>
      <c r="F1975" s="9">
        <v>18136600</v>
      </c>
      <c r="G1975" s="9">
        <v>30.42</v>
      </c>
    </row>
    <row r="1976" spans="1:7" x14ac:dyDescent="0.25">
      <c r="A1976" s="101">
        <v>39142</v>
      </c>
      <c r="B1976" s="9">
        <v>30.13</v>
      </c>
      <c r="C1976" s="9">
        <v>31.23</v>
      </c>
      <c r="D1976" s="9">
        <v>30</v>
      </c>
      <c r="E1976" s="9">
        <v>30.86</v>
      </c>
      <c r="F1976" s="9">
        <v>24012900</v>
      </c>
      <c r="G1976" s="9">
        <v>30.86</v>
      </c>
    </row>
    <row r="1977" spans="1:7" x14ac:dyDescent="0.25">
      <c r="A1977" s="101">
        <v>39141</v>
      </c>
      <c r="B1977" s="9">
        <v>30.86</v>
      </c>
      <c r="C1977" s="9">
        <v>31.47</v>
      </c>
      <c r="D1977" s="9">
        <v>30.09</v>
      </c>
      <c r="E1977" s="9">
        <v>30.86</v>
      </c>
      <c r="F1977" s="9">
        <v>30487800</v>
      </c>
      <c r="G1977" s="9">
        <v>30.86</v>
      </c>
    </row>
    <row r="1978" spans="1:7" x14ac:dyDescent="0.25">
      <c r="A1978" s="101">
        <v>39140</v>
      </c>
      <c r="B1978" s="9">
        <v>31.38</v>
      </c>
      <c r="C1978" s="9">
        <v>31.64</v>
      </c>
      <c r="D1978" s="9">
        <v>30.24</v>
      </c>
      <c r="E1978" s="9">
        <v>30.95</v>
      </c>
      <c r="F1978" s="9">
        <v>31505200</v>
      </c>
      <c r="G1978" s="9">
        <v>30.95</v>
      </c>
    </row>
    <row r="1979" spans="1:7" x14ac:dyDescent="0.25">
      <c r="A1979" s="101">
        <v>39139</v>
      </c>
      <c r="B1979" s="9">
        <v>32.799999999999997</v>
      </c>
      <c r="C1979" s="9">
        <v>32.840000000000003</v>
      </c>
      <c r="D1979" s="9">
        <v>30.85</v>
      </c>
      <c r="E1979" s="9">
        <v>32.11</v>
      </c>
      <c r="F1979" s="9">
        <v>28295200</v>
      </c>
      <c r="G1979" s="9">
        <v>32.11</v>
      </c>
    </row>
    <row r="1980" spans="1:7" x14ac:dyDescent="0.25">
      <c r="A1980" s="101">
        <v>39136</v>
      </c>
      <c r="B1980" s="9">
        <v>31.6</v>
      </c>
      <c r="C1980" s="9">
        <v>32.18</v>
      </c>
      <c r="D1980" s="9">
        <v>31.41</v>
      </c>
      <c r="E1980" s="9">
        <v>32.1</v>
      </c>
      <c r="F1980" s="9">
        <v>21533500</v>
      </c>
      <c r="G1980" s="9">
        <v>32.1</v>
      </c>
    </row>
    <row r="1981" spans="1:7" x14ac:dyDescent="0.25">
      <c r="A1981" s="101">
        <v>39135</v>
      </c>
      <c r="B1981" s="9">
        <v>31.6</v>
      </c>
      <c r="C1981" s="9">
        <v>32.08</v>
      </c>
      <c r="D1981" s="9">
        <v>31.32</v>
      </c>
      <c r="E1981" s="9">
        <v>31.6</v>
      </c>
      <c r="F1981" s="9">
        <v>15485100</v>
      </c>
      <c r="G1981" s="9">
        <v>31.6</v>
      </c>
    </row>
    <row r="1982" spans="1:7" x14ac:dyDescent="0.25">
      <c r="A1982" s="101">
        <v>39134</v>
      </c>
      <c r="B1982" s="9">
        <v>31.74</v>
      </c>
      <c r="C1982" s="9">
        <v>31.77</v>
      </c>
      <c r="D1982" s="9">
        <v>31.22</v>
      </c>
      <c r="E1982" s="9">
        <v>31.65</v>
      </c>
      <c r="F1982" s="9">
        <v>27999200</v>
      </c>
      <c r="G1982" s="9">
        <v>31.65</v>
      </c>
    </row>
    <row r="1983" spans="1:7" x14ac:dyDescent="0.25">
      <c r="A1983" s="101">
        <v>39133</v>
      </c>
      <c r="B1983" s="9">
        <v>31.8</v>
      </c>
      <c r="C1983" s="9">
        <v>32.21</v>
      </c>
      <c r="D1983" s="9">
        <v>31.39</v>
      </c>
      <c r="E1983" s="9">
        <v>32.01</v>
      </c>
      <c r="F1983" s="9">
        <v>20026500</v>
      </c>
      <c r="G1983" s="9">
        <v>32.01</v>
      </c>
    </row>
    <row r="1984" spans="1:7" x14ac:dyDescent="0.25">
      <c r="A1984" s="101">
        <v>39129</v>
      </c>
      <c r="B1984" s="9">
        <v>31</v>
      </c>
      <c r="C1984" s="9">
        <v>32</v>
      </c>
      <c r="D1984" s="9">
        <v>31</v>
      </c>
      <c r="E1984" s="9">
        <v>31.91</v>
      </c>
      <c r="F1984" s="9">
        <v>36774800</v>
      </c>
      <c r="G1984" s="9">
        <v>31.91</v>
      </c>
    </row>
    <row r="1985" spans="1:7" x14ac:dyDescent="0.25">
      <c r="A1985" s="101">
        <v>39128</v>
      </c>
      <c r="B1985" s="9">
        <v>30.82</v>
      </c>
      <c r="C1985" s="9">
        <v>31.65</v>
      </c>
      <c r="D1985" s="9">
        <v>30.69</v>
      </c>
      <c r="E1985" s="9">
        <v>31.25</v>
      </c>
      <c r="F1985" s="9">
        <v>28160300</v>
      </c>
      <c r="G1985" s="9">
        <v>31.25</v>
      </c>
    </row>
    <row r="1986" spans="1:7" x14ac:dyDescent="0.25">
      <c r="A1986" s="101">
        <v>39127</v>
      </c>
      <c r="B1986" s="9">
        <v>29.69</v>
      </c>
      <c r="C1986" s="9">
        <v>30.86</v>
      </c>
      <c r="D1986" s="9">
        <v>29.64</v>
      </c>
      <c r="E1986" s="9">
        <v>30.66</v>
      </c>
      <c r="F1986" s="9">
        <v>30821100</v>
      </c>
      <c r="G1986" s="9">
        <v>30.66</v>
      </c>
    </row>
    <row r="1987" spans="1:7" x14ac:dyDescent="0.25">
      <c r="A1987" s="101">
        <v>39126</v>
      </c>
      <c r="B1987" s="9">
        <v>29.37</v>
      </c>
      <c r="C1987" s="9">
        <v>29.68</v>
      </c>
      <c r="D1987" s="9">
        <v>29.26</v>
      </c>
      <c r="E1987" s="9">
        <v>29.56</v>
      </c>
      <c r="F1987" s="9">
        <v>12802300</v>
      </c>
      <c r="G1987" s="9">
        <v>29.56</v>
      </c>
    </row>
    <row r="1988" spans="1:7" x14ac:dyDescent="0.25">
      <c r="A1988" s="101">
        <v>39125</v>
      </c>
      <c r="B1988" s="9">
        <v>29.29</v>
      </c>
      <c r="C1988" s="9">
        <v>29.77</v>
      </c>
      <c r="D1988" s="9">
        <v>29.05</v>
      </c>
      <c r="E1988" s="9">
        <v>29.17</v>
      </c>
      <c r="F1988" s="9">
        <v>18316200</v>
      </c>
      <c r="G1988" s="9">
        <v>29.17</v>
      </c>
    </row>
    <row r="1989" spans="1:7" x14ac:dyDescent="0.25">
      <c r="A1989" s="101">
        <v>39122</v>
      </c>
      <c r="B1989" s="9">
        <v>30.07</v>
      </c>
      <c r="C1989" s="9">
        <v>30.16</v>
      </c>
      <c r="D1989" s="9">
        <v>29.51</v>
      </c>
      <c r="E1989" s="9">
        <v>29.74</v>
      </c>
      <c r="F1989" s="9">
        <v>18172200</v>
      </c>
      <c r="G1989" s="9">
        <v>29.74</v>
      </c>
    </row>
    <row r="1990" spans="1:7" x14ac:dyDescent="0.25">
      <c r="A1990" s="101">
        <v>39121</v>
      </c>
      <c r="B1990" s="9">
        <v>29.75</v>
      </c>
      <c r="C1990" s="9">
        <v>30.24</v>
      </c>
      <c r="D1990" s="9">
        <v>29.73</v>
      </c>
      <c r="E1990" s="9">
        <v>30.08</v>
      </c>
      <c r="F1990" s="9">
        <v>15561700</v>
      </c>
      <c r="G1990" s="9">
        <v>30.08</v>
      </c>
    </row>
    <row r="1991" spans="1:7" x14ac:dyDescent="0.25">
      <c r="A1991" s="101">
        <v>39120</v>
      </c>
      <c r="B1991" s="9">
        <v>29.35</v>
      </c>
      <c r="C1991" s="9">
        <v>30.15</v>
      </c>
      <c r="D1991" s="9">
        <v>29.12</v>
      </c>
      <c r="E1991" s="9">
        <v>29.89</v>
      </c>
      <c r="F1991" s="9">
        <v>29162600</v>
      </c>
      <c r="G1991" s="9">
        <v>29.89</v>
      </c>
    </row>
    <row r="1992" spans="1:7" x14ac:dyDescent="0.25">
      <c r="A1992" s="101">
        <v>39119</v>
      </c>
      <c r="B1992" s="9">
        <v>28.61</v>
      </c>
      <c r="C1992" s="9">
        <v>29.56</v>
      </c>
      <c r="D1992" s="9">
        <v>28.6</v>
      </c>
      <c r="E1992" s="9">
        <v>29.35</v>
      </c>
      <c r="F1992" s="9">
        <v>24506800</v>
      </c>
      <c r="G1992" s="9">
        <v>29.35</v>
      </c>
    </row>
    <row r="1993" spans="1:7" x14ac:dyDescent="0.25">
      <c r="A1993" s="101">
        <v>39118</v>
      </c>
      <c r="B1993" s="9">
        <v>28.67</v>
      </c>
      <c r="C1993" s="9">
        <v>28.8</v>
      </c>
      <c r="D1993" s="9">
        <v>28.36</v>
      </c>
      <c r="E1993" s="9">
        <v>28.56</v>
      </c>
      <c r="F1993" s="9">
        <v>11163300</v>
      </c>
      <c r="G1993" s="9">
        <v>28.56</v>
      </c>
    </row>
    <row r="1994" spans="1:7" x14ac:dyDescent="0.25">
      <c r="A1994" s="101">
        <v>39115</v>
      </c>
      <c r="B1994" s="9">
        <v>28.57</v>
      </c>
      <c r="C1994" s="9">
        <v>28.92</v>
      </c>
      <c r="D1994" s="9">
        <v>28.45</v>
      </c>
      <c r="E1994" s="9">
        <v>28.77</v>
      </c>
      <c r="F1994" s="9">
        <v>16483100</v>
      </c>
      <c r="G1994" s="9">
        <v>28.77</v>
      </c>
    </row>
    <row r="1995" spans="1:7" x14ac:dyDescent="0.25">
      <c r="A1995" s="101">
        <v>39114</v>
      </c>
      <c r="B1995" s="9">
        <v>28.68</v>
      </c>
      <c r="C1995" s="9">
        <v>28.71</v>
      </c>
      <c r="D1995" s="9">
        <v>28.15</v>
      </c>
      <c r="E1995" s="9">
        <v>28.35</v>
      </c>
      <c r="F1995" s="9">
        <v>17905200</v>
      </c>
      <c r="G1995" s="9">
        <v>28.35</v>
      </c>
    </row>
    <row r="1996" spans="1:7" x14ac:dyDescent="0.25">
      <c r="A1996" s="101">
        <v>39113</v>
      </c>
      <c r="B1996" s="9">
        <v>28.04</v>
      </c>
      <c r="C1996" s="9">
        <v>28.48</v>
      </c>
      <c r="D1996" s="9">
        <v>27.82</v>
      </c>
      <c r="E1996" s="9">
        <v>28.31</v>
      </c>
      <c r="F1996" s="9">
        <v>14100300</v>
      </c>
      <c r="G1996" s="9">
        <v>28.31</v>
      </c>
    </row>
    <row r="1997" spans="1:7" x14ac:dyDescent="0.25">
      <c r="A1997" s="101">
        <v>39112</v>
      </c>
      <c r="B1997" s="9">
        <v>27.87</v>
      </c>
      <c r="C1997" s="9">
        <v>28.39</v>
      </c>
      <c r="D1997" s="9">
        <v>27.61</v>
      </c>
      <c r="E1997" s="9">
        <v>28.04</v>
      </c>
      <c r="F1997" s="9">
        <v>13576600</v>
      </c>
      <c r="G1997" s="9">
        <v>28.04</v>
      </c>
    </row>
    <row r="1998" spans="1:7" x14ac:dyDescent="0.25">
      <c r="A1998" s="101">
        <v>39111</v>
      </c>
      <c r="B1998" s="9">
        <v>28.05</v>
      </c>
      <c r="C1998" s="9">
        <v>28.21</v>
      </c>
      <c r="D1998" s="9">
        <v>27.73</v>
      </c>
      <c r="E1998" s="9">
        <v>27.87</v>
      </c>
      <c r="F1998" s="9">
        <v>16859000</v>
      </c>
      <c r="G1998" s="9">
        <v>27.87</v>
      </c>
    </row>
    <row r="1999" spans="1:7" x14ac:dyDescent="0.25">
      <c r="A1999" s="101">
        <v>39108</v>
      </c>
      <c r="B1999" s="9">
        <v>28.33</v>
      </c>
      <c r="C1999" s="9">
        <v>28.52</v>
      </c>
      <c r="D1999" s="9">
        <v>27.96</v>
      </c>
      <c r="E1999" s="9">
        <v>28.04</v>
      </c>
      <c r="F1999" s="9">
        <v>21334800</v>
      </c>
      <c r="G1999" s="9">
        <v>28.04</v>
      </c>
    </row>
    <row r="2000" spans="1:7" x14ac:dyDescent="0.25">
      <c r="A2000" s="101">
        <v>39107</v>
      </c>
      <c r="B2000" s="9">
        <v>28.68</v>
      </c>
      <c r="C2000" s="9">
        <v>29.05</v>
      </c>
      <c r="D2000" s="9">
        <v>28.13</v>
      </c>
      <c r="E2000" s="9">
        <v>28.21</v>
      </c>
      <c r="F2000" s="9">
        <v>28356200</v>
      </c>
      <c r="G2000" s="9">
        <v>28.21</v>
      </c>
    </row>
    <row r="2001" spans="1:7" x14ac:dyDescent="0.25">
      <c r="A2001" s="101">
        <v>39106</v>
      </c>
      <c r="B2001" s="9">
        <v>28.34</v>
      </c>
      <c r="C2001" s="9">
        <v>29.2</v>
      </c>
      <c r="D2001" s="9">
        <v>28.22</v>
      </c>
      <c r="E2001" s="9">
        <v>28.94</v>
      </c>
      <c r="F2001" s="9">
        <v>81017500</v>
      </c>
      <c r="G2001" s="9">
        <v>28.94</v>
      </c>
    </row>
    <row r="2002" spans="1:7" x14ac:dyDescent="0.25">
      <c r="A2002" s="101">
        <v>39105</v>
      </c>
      <c r="B2002" s="9">
        <v>27.42</v>
      </c>
      <c r="C2002" s="9">
        <v>27.54</v>
      </c>
      <c r="D2002" s="9">
        <v>26.88</v>
      </c>
      <c r="E2002" s="9">
        <v>26.96</v>
      </c>
      <c r="F2002" s="9">
        <v>43728100</v>
      </c>
      <c r="G2002" s="9">
        <v>26.96</v>
      </c>
    </row>
    <row r="2003" spans="1:7" x14ac:dyDescent="0.25">
      <c r="A2003" s="101">
        <v>39104</v>
      </c>
      <c r="B2003" s="9">
        <v>27.85</v>
      </c>
      <c r="C2003" s="9">
        <v>27.9</v>
      </c>
      <c r="D2003" s="9">
        <v>27.18</v>
      </c>
      <c r="E2003" s="9">
        <v>27.42</v>
      </c>
      <c r="F2003" s="9">
        <v>23199800</v>
      </c>
      <c r="G2003" s="9">
        <v>27.42</v>
      </c>
    </row>
    <row r="2004" spans="1:7" x14ac:dyDescent="0.25">
      <c r="A2004" s="101">
        <v>39101</v>
      </c>
      <c r="B2004" s="9">
        <v>27.93</v>
      </c>
      <c r="C2004" s="9">
        <v>28.34</v>
      </c>
      <c r="D2004" s="9">
        <v>27.55</v>
      </c>
      <c r="E2004" s="9">
        <v>27.64</v>
      </c>
      <c r="F2004" s="9">
        <v>24757700</v>
      </c>
      <c r="G2004" s="9">
        <v>27.64</v>
      </c>
    </row>
    <row r="2005" spans="1:7" x14ac:dyDescent="0.25">
      <c r="A2005" s="101">
        <v>39100</v>
      </c>
      <c r="B2005" s="9">
        <v>28.92</v>
      </c>
      <c r="C2005" s="9">
        <v>28.99</v>
      </c>
      <c r="D2005" s="9">
        <v>27.82</v>
      </c>
      <c r="E2005" s="9">
        <v>28.12</v>
      </c>
      <c r="F2005" s="9">
        <v>23869400</v>
      </c>
      <c r="G2005" s="9">
        <v>28.12</v>
      </c>
    </row>
    <row r="2006" spans="1:7" x14ac:dyDescent="0.25">
      <c r="A2006" s="101">
        <v>39099</v>
      </c>
      <c r="B2006" s="9">
        <v>29.4</v>
      </c>
      <c r="C2006" s="9">
        <v>29.4</v>
      </c>
      <c r="D2006" s="9">
        <v>28.81</v>
      </c>
      <c r="E2006" s="9">
        <v>29.05</v>
      </c>
      <c r="F2006" s="9">
        <v>17796100</v>
      </c>
      <c r="G2006" s="9">
        <v>29.05</v>
      </c>
    </row>
    <row r="2007" spans="1:7" x14ac:dyDescent="0.25">
      <c r="A2007" s="101">
        <v>39098</v>
      </c>
      <c r="B2007" s="9">
        <v>29.88</v>
      </c>
      <c r="C2007" s="9">
        <v>29.88</v>
      </c>
      <c r="D2007" s="9">
        <v>28.79</v>
      </c>
      <c r="E2007" s="9">
        <v>29.29</v>
      </c>
      <c r="F2007" s="9">
        <v>24448400</v>
      </c>
      <c r="G2007" s="9">
        <v>29.29</v>
      </c>
    </row>
    <row r="2008" spans="1:7" x14ac:dyDescent="0.25">
      <c r="A2008" s="101">
        <v>39094</v>
      </c>
      <c r="B2008" s="9">
        <v>28.98</v>
      </c>
      <c r="C2008" s="9">
        <v>29.5</v>
      </c>
      <c r="D2008" s="9">
        <v>28.49</v>
      </c>
      <c r="E2008" s="9">
        <v>29.45</v>
      </c>
      <c r="F2008" s="9">
        <v>20971100</v>
      </c>
      <c r="G2008" s="9">
        <v>29.45</v>
      </c>
    </row>
    <row r="2009" spans="1:7" x14ac:dyDescent="0.25">
      <c r="A2009" s="101">
        <v>39093</v>
      </c>
      <c r="B2009" s="9">
        <v>28.76</v>
      </c>
      <c r="C2009" s="9">
        <v>29.37</v>
      </c>
      <c r="D2009" s="9">
        <v>28.7</v>
      </c>
      <c r="E2009" s="9">
        <v>29.2</v>
      </c>
      <c r="F2009" s="9">
        <v>28457500</v>
      </c>
      <c r="G2009" s="9">
        <v>29.2</v>
      </c>
    </row>
    <row r="2010" spans="1:7" x14ac:dyDescent="0.25">
      <c r="A2010" s="101">
        <v>39092</v>
      </c>
      <c r="B2010" s="9">
        <v>27.48</v>
      </c>
      <c r="C2010" s="9">
        <v>28.92</v>
      </c>
      <c r="D2010" s="9">
        <v>27.44</v>
      </c>
      <c r="E2010" s="9">
        <v>28.7</v>
      </c>
      <c r="F2010" s="9">
        <v>40240000</v>
      </c>
      <c r="G2010" s="9">
        <v>28.7</v>
      </c>
    </row>
    <row r="2011" spans="1:7" x14ac:dyDescent="0.25">
      <c r="A2011" s="101">
        <v>39091</v>
      </c>
      <c r="B2011" s="9">
        <v>28</v>
      </c>
      <c r="C2011" s="9">
        <v>28.05</v>
      </c>
      <c r="D2011" s="9">
        <v>27.41</v>
      </c>
      <c r="E2011" s="9">
        <v>27.58</v>
      </c>
      <c r="F2011" s="9">
        <v>25621500</v>
      </c>
      <c r="G2011" s="9">
        <v>27.58</v>
      </c>
    </row>
    <row r="2012" spans="1:7" x14ac:dyDescent="0.25">
      <c r="A2012" s="101">
        <v>39090</v>
      </c>
      <c r="B2012" s="9">
        <v>27.7</v>
      </c>
      <c r="C2012" s="9">
        <v>28.04</v>
      </c>
      <c r="D2012" s="9">
        <v>27.43</v>
      </c>
      <c r="E2012" s="9">
        <v>27.92</v>
      </c>
      <c r="F2012" s="9">
        <v>25713700</v>
      </c>
      <c r="G2012" s="9">
        <v>27.92</v>
      </c>
    </row>
    <row r="2013" spans="1:7" x14ac:dyDescent="0.25">
      <c r="A2013" s="101">
        <v>39087</v>
      </c>
      <c r="B2013" s="9">
        <v>26.7</v>
      </c>
      <c r="C2013" s="9">
        <v>27.87</v>
      </c>
      <c r="D2013" s="9">
        <v>26.66</v>
      </c>
      <c r="E2013" s="9">
        <v>27.74</v>
      </c>
      <c r="F2013" s="9">
        <v>64264600</v>
      </c>
      <c r="G2013" s="9">
        <v>27.74</v>
      </c>
    </row>
    <row r="2014" spans="1:7" x14ac:dyDescent="0.25">
      <c r="A2014" s="101">
        <v>39086</v>
      </c>
      <c r="B2014" s="9">
        <v>25.64</v>
      </c>
      <c r="C2014" s="9">
        <v>26.92</v>
      </c>
      <c r="D2014" s="9">
        <v>25.52</v>
      </c>
      <c r="E2014" s="9">
        <v>26.85</v>
      </c>
      <c r="F2014" s="9">
        <v>32512200</v>
      </c>
      <c r="G2014" s="9">
        <v>26.85</v>
      </c>
    </row>
    <row r="2015" spans="1:7" x14ac:dyDescent="0.25">
      <c r="A2015" s="101">
        <v>39085</v>
      </c>
      <c r="B2015" s="9">
        <v>25.85</v>
      </c>
      <c r="C2015" s="9">
        <v>26.26</v>
      </c>
      <c r="D2015" s="9">
        <v>25.26</v>
      </c>
      <c r="E2015" s="9">
        <v>25.61</v>
      </c>
      <c r="F2015" s="9">
        <v>26352700</v>
      </c>
      <c r="G2015" s="9">
        <v>25.61</v>
      </c>
    </row>
    <row r="2016" spans="1:7" x14ac:dyDescent="0.25">
      <c r="A2016" s="101">
        <v>39080</v>
      </c>
      <c r="B2016" s="9">
        <v>25.42</v>
      </c>
      <c r="C2016" s="9">
        <v>25.82</v>
      </c>
      <c r="D2016" s="9">
        <v>25.33</v>
      </c>
      <c r="E2016" s="9">
        <v>25.54</v>
      </c>
      <c r="F2016" s="9">
        <v>16297800</v>
      </c>
      <c r="G2016" s="9">
        <v>25.54</v>
      </c>
    </row>
    <row r="2017" spans="1:7" x14ac:dyDescent="0.25">
      <c r="A2017" s="101">
        <v>39079</v>
      </c>
      <c r="B2017" s="9">
        <v>25.62</v>
      </c>
      <c r="C2017" s="9">
        <v>25.72</v>
      </c>
      <c r="D2017" s="9">
        <v>25.3</v>
      </c>
      <c r="E2017" s="9">
        <v>25.36</v>
      </c>
      <c r="F2017" s="9">
        <v>11908400</v>
      </c>
      <c r="G2017" s="9">
        <v>25.36</v>
      </c>
    </row>
    <row r="2018" spans="1:7" x14ac:dyDescent="0.25">
      <c r="A2018" s="101">
        <v>39078</v>
      </c>
      <c r="B2018" s="9">
        <v>25.47</v>
      </c>
      <c r="C2018" s="9">
        <v>25.88</v>
      </c>
      <c r="D2018" s="9">
        <v>25.45</v>
      </c>
      <c r="E2018" s="9">
        <v>25.75</v>
      </c>
      <c r="F2018" s="9">
        <v>12421800</v>
      </c>
      <c r="G2018" s="9">
        <v>25.75</v>
      </c>
    </row>
    <row r="2019" spans="1:7" x14ac:dyDescent="0.25">
      <c r="A2019" s="101">
        <v>39077</v>
      </c>
      <c r="B2019" s="9">
        <v>25.49</v>
      </c>
      <c r="C2019" s="9">
        <v>25.61</v>
      </c>
      <c r="D2019" s="9">
        <v>25.34</v>
      </c>
      <c r="E2019" s="9">
        <v>25.45</v>
      </c>
      <c r="F2019" s="9">
        <v>8400500</v>
      </c>
      <c r="G2019" s="9">
        <v>25.45</v>
      </c>
    </row>
    <row r="2020" spans="1:7" x14ac:dyDescent="0.25">
      <c r="A2020" s="101">
        <v>39073</v>
      </c>
      <c r="B2020" s="9">
        <v>25.67</v>
      </c>
      <c r="C2020" s="9">
        <v>25.88</v>
      </c>
      <c r="D2020" s="9">
        <v>25.45</v>
      </c>
      <c r="E2020" s="9">
        <v>25.55</v>
      </c>
      <c r="F2020" s="9">
        <v>14666100</v>
      </c>
      <c r="G2020" s="9">
        <v>25.55</v>
      </c>
    </row>
    <row r="2021" spans="1:7" x14ac:dyDescent="0.25">
      <c r="A2021" s="101">
        <v>39072</v>
      </c>
      <c r="B2021" s="9">
        <v>25.71</v>
      </c>
      <c r="C2021" s="9">
        <v>25.75</v>
      </c>
      <c r="D2021" s="9">
        <v>25.13</v>
      </c>
      <c r="E2021" s="9">
        <v>25.48</v>
      </c>
      <c r="F2021" s="9">
        <v>27050600</v>
      </c>
      <c r="G2021" s="9">
        <v>25.48</v>
      </c>
    </row>
    <row r="2022" spans="1:7" x14ac:dyDescent="0.25">
      <c r="A2022" s="101">
        <v>39071</v>
      </c>
      <c r="B2022" s="9">
        <v>26.24</v>
      </c>
      <c r="C2022" s="9">
        <v>26.31</v>
      </c>
      <c r="D2022" s="9">
        <v>25.54</v>
      </c>
      <c r="E2022" s="9">
        <v>25.59</v>
      </c>
      <c r="F2022" s="9">
        <v>24905600</v>
      </c>
      <c r="G2022" s="9">
        <v>25.59</v>
      </c>
    </row>
    <row r="2023" spans="1:7" x14ac:dyDescent="0.25">
      <c r="A2023" s="101">
        <v>39070</v>
      </c>
      <c r="B2023" s="9">
        <v>26.05</v>
      </c>
      <c r="C2023" s="9">
        <v>26.5</v>
      </c>
      <c r="D2023" s="9">
        <v>25.91</v>
      </c>
      <c r="E2023" s="9">
        <v>26.41</v>
      </c>
      <c r="F2023" s="9">
        <v>18973800</v>
      </c>
      <c r="G2023" s="9">
        <v>26.41</v>
      </c>
    </row>
    <row r="2024" spans="1:7" x14ac:dyDescent="0.25">
      <c r="A2024" s="101">
        <v>39069</v>
      </c>
      <c r="B2024" s="9">
        <v>26.89</v>
      </c>
      <c r="C2024" s="9">
        <v>26.97</v>
      </c>
      <c r="D2024" s="9">
        <v>26.07</v>
      </c>
      <c r="E2024" s="9">
        <v>26.3</v>
      </c>
      <c r="F2024" s="9">
        <v>19431200</v>
      </c>
      <c r="G2024" s="9">
        <v>26.3</v>
      </c>
    </row>
    <row r="2025" spans="1:7" x14ac:dyDescent="0.25">
      <c r="A2025" s="101">
        <v>39066</v>
      </c>
      <c r="B2025" s="9">
        <v>27</v>
      </c>
      <c r="C2025" s="9">
        <v>27.22</v>
      </c>
      <c r="D2025" s="9">
        <v>26.76</v>
      </c>
      <c r="E2025" s="9">
        <v>26.9</v>
      </c>
      <c r="F2025" s="9">
        <v>27227300</v>
      </c>
      <c r="G2025" s="9">
        <v>26.9</v>
      </c>
    </row>
    <row r="2026" spans="1:7" x14ac:dyDescent="0.25">
      <c r="A2026" s="101">
        <v>39065</v>
      </c>
      <c r="B2026" s="9">
        <v>26.63</v>
      </c>
      <c r="C2026" s="9">
        <v>26.97</v>
      </c>
      <c r="D2026" s="9">
        <v>26.5</v>
      </c>
      <c r="E2026" s="9">
        <v>26.87</v>
      </c>
      <c r="F2026" s="9">
        <v>14400300</v>
      </c>
      <c r="G2026" s="9">
        <v>26.87</v>
      </c>
    </row>
    <row r="2027" spans="1:7" x14ac:dyDescent="0.25">
      <c r="A2027" s="101">
        <v>39064</v>
      </c>
      <c r="B2027" s="9">
        <v>27.05</v>
      </c>
      <c r="C2027" s="9">
        <v>27.23</v>
      </c>
      <c r="D2027" s="9">
        <v>26.51</v>
      </c>
      <c r="E2027" s="9">
        <v>26.6</v>
      </c>
      <c r="F2027" s="9">
        <v>20428600</v>
      </c>
      <c r="G2027" s="9">
        <v>26.6</v>
      </c>
    </row>
    <row r="2028" spans="1:7" x14ac:dyDescent="0.25">
      <c r="A2028" s="101">
        <v>39063</v>
      </c>
      <c r="B2028" s="9">
        <v>26.63</v>
      </c>
      <c r="C2028" s="9">
        <v>27.38</v>
      </c>
      <c r="D2028" s="9">
        <v>26.6</v>
      </c>
      <c r="E2028" s="9">
        <v>26.75</v>
      </c>
      <c r="F2028" s="9">
        <v>31971600</v>
      </c>
      <c r="G2028" s="9">
        <v>26.75</v>
      </c>
    </row>
    <row r="2029" spans="1:7" x14ac:dyDescent="0.25">
      <c r="A2029" s="101">
        <v>39062</v>
      </c>
      <c r="B2029" s="9">
        <v>26.37</v>
      </c>
      <c r="C2029" s="9">
        <v>26.7</v>
      </c>
      <c r="D2029" s="9">
        <v>26.12</v>
      </c>
      <c r="E2029" s="9">
        <v>26.49</v>
      </c>
      <c r="F2029" s="9">
        <v>12916900</v>
      </c>
      <c r="G2029" s="9">
        <v>26.49</v>
      </c>
    </row>
    <row r="2030" spans="1:7" x14ac:dyDescent="0.25">
      <c r="A2030" s="101">
        <v>39059</v>
      </c>
      <c r="B2030" s="9">
        <v>26.65</v>
      </c>
      <c r="C2030" s="9">
        <v>26.78</v>
      </c>
      <c r="D2030" s="9">
        <v>26.27</v>
      </c>
      <c r="E2030" s="9">
        <v>26.34</v>
      </c>
      <c r="F2030" s="9">
        <v>19262200</v>
      </c>
      <c r="G2030" s="9">
        <v>26.34</v>
      </c>
    </row>
    <row r="2031" spans="1:7" x14ac:dyDescent="0.25">
      <c r="A2031" s="101">
        <v>39058</v>
      </c>
      <c r="B2031" s="9">
        <v>26.95</v>
      </c>
      <c r="C2031" s="9">
        <v>27.16</v>
      </c>
      <c r="D2031" s="9">
        <v>26.6</v>
      </c>
      <c r="E2031" s="9">
        <v>26.63</v>
      </c>
      <c r="F2031" s="9">
        <v>22407000</v>
      </c>
      <c r="G2031" s="9">
        <v>26.63</v>
      </c>
    </row>
    <row r="2032" spans="1:7" x14ac:dyDescent="0.25">
      <c r="A2032" s="101">
        <v>39057</v>
      </c>
      <c r="B2032" s="9">
        <v>27.25</v>
      </c>
      <c r="C2032" s="9">
        <v>27.45</v>
      </c>
      <c r="D2032" s="9">
        <v>26.6</v>
      </c>
      <c r="E2032" s="9">
        <v>26.86</v>
      </c>
      <c r="F2032" s="9">
        <v>35202800</v>
      </c>
      <c r="G2032" s="9">
        <v>26.86</v>
      </c>
    </row>
    <row r="2033" spans="1:7" x14ac:dyDescent="0.25">
      <c r="A2033" s="101">
        <v>39056</v>
      </c>
      <c r="B2033" s="9">
        <v>26.87</v>
      </c>
      <c r="C2033" s="9">
        <v>27.61</v>
      </c>
      <c r="D2033" s="9">
        <v>26.86</v>
      </c>
      <c r="E2033" s="9">
        <v>27.43</v>
      </c>
      <c r="F2033" s="9">
        <v>27118200</v>
      </c>
      <c r="G2033" s="9">
        <v>27.43</v>
      </c>
    </row>
    <row r="2034" spans="1:7" x14ac:dyDescent="0.25">
      <c r="A2034" s="101">
        <v>39055</v>
      </c>
      <c r="B2034" s="9">
        <v>26.49</v>
      </c>
      <c r="C2034" s="9">
        <v>27.3</v>
      </c>
      <c r="D2034" s="9">
        <v>26.49</v>
      </c>
      <c r="E2034" s="9">
        <v>26.89</v>
      </c>
      <c r="F2034" s="9">
        <v>28012700</v>
      </c>
      <c r="G2034" s="9">
        <v>26.89</v>
      </c>
    </row>
    <row r="2035" spans="1:7" x14ac:dyDescent="0.25">
      <c r="A2035" s="101">
        <v>39052</v>
      </c>
      <c r="B2035" s="9">
        <v>27</v>
      </c>
      <c r="C2035" s="9">
        <v>27.25</v>
      </c>
      <c r="D2035" s="9">
        <v>26</v>
      </c>
      <c r="E2035" s="9">
        <v>26.49</v>
      </c>
      <c r="F2035" s="9">
        <v>20055800</v>
      </c>
      <c r="G2035" s="9">
        <v>26.49</v>
      </c>
    </row>
    <row r="2036" spans="1:7" x14ac:dyDescent="0.25">
      <c r="A2036" s="101">
        <v>39051</v>
      </c>
      <c r="B2036" s="9">
        <v>27</v>
      </c>
      <c r="C2036" s="9">
        <v>27.15</v>
      </c>
      <c r="D2036" s="9">
        <v>26.73</v>
      </c>
      <c r="E2036" s="9">
        <v>27.01</v>
      </c>
      <c r="F2036" s="9">
        <v>14916300</v>
      </c>
      <c r="G2036" s="9">
        <v>27.01</v>
      </c>
    </row>
    <row r="2037" spans="1:7" x14ac:dyDescent="0.25">
      <c r="A2037" s="101">
        <v>39050</v>
      </c>
      <c r="B2037" s="9">
        <v>27.4</v>
      </c>
      <c r="C2037" s="9">
        <v>27.4</v>
      </c>
      <c r="D2037" s="9">
        <v>26.71</v>
      </c>
      <c r="E2037" s="9">
        <v>27.04</v>
      </c>
      <c r="F2037" s="9">
        <v>19375100</v>
      </c>
      <c r="G2037" s="9">
        <v>27.04</v>
      </c>
    </row>
    <row r="2038" spans="1:7" x14ac:dyDescent="0.25">
      <c r="A2038" s="101">
        <v>39049</v>
      </c>
      <c r="B2038" s="9">
        <v>27.03</v>
      </c>
      <c r="C2038" s="9">
        <v>27.24</v>
      </c>
      <c r="D2038" s="9">
        <v>26.85</v>
      </c>
      <c r="E2038" s="9">
        <v>27</v>
      </c>
      <c r="F2038" s="9">
        <v>14940800</v>
      </c>
      <c r="G2038" s="9">
        <v>27</v>
      </c>
    </row>
    <row r="2039" spans="1:7" x14ac:dyDescent="0.25">
      <c r="A2039" s="101">
        <v>39048</v>
      </c>
      <c r="B2039" s="9">
        <v>27.5</v>
      </c>
      <c r="C2039" s="9">
        <v>28.5</v>
      </c>
      <c r="D2039" s="9">
        <v>27.17</v>
      </c>
      <c r="E2039" s="9">
        <v>27.27</v>
      </c>
      <c r="F2039" s="9">
        <v>19922300</v>
      </c>
      <c r="G2039" s="9">
        <v>27.27</v>
      </c>
    </row>
    <row r="2040" spans="1:7" x14ac:dyDescent="0.25">
      <c r="A2040" s="101">
        <v>39045</v>
      </c>
      <c r="B2040" s="9">
        <v>28.22</v>
      </c>
      <c r="C2040" s="9">
        <v>28.49</v>
      </c>
      <c r="D2040" s="9">
        <v>27.7</v>
      </c>
      <c r="E2040" s="9">
        <v>28.03</v>
      </c>
      <c r="F2040" s="9">
        <v>9384400</v>
      </c>
      <c r="G2040" s="9">
        <v>28.03</v>
      </c>
    </row>
    <row r="2041" spans="1:7" x14ac:dyDescent="0.25">
      <c r="A2041" s="101">
        <v>39043</v>
      </c>
      <c r="B2041" s="9">
        <v>27.51</v>
      </c>
      <c r="C2041" s="9">
        <v>28.56</v>
      </c>
      <c r="D2041" s="9">
        <v>27.29</v>
      </c>
      <c r="E2041" s="9">
        <v>28.49</v>
      </c>
      <c r="F2041" s="9">
        <v>32055800</v>
      </c>
      <c r="G2041" s="9">
        <v>28.49</v>
      </c>
    </row>
    <row r="2042" spans="1:7" x14ac:dyDescent="0.25">
      <c r="A2042" s="101">
        <v>39042</v>
      </c>
      <c r="B2042" s="9">
        <v>26.5</v>
      </c>
      <c r="C2042" s="9">
        <v>27.34</v>
      </c>
      <c r="D2042" s="9">
        <v>26.5</v>
      </c>
      <c r="E2042" s="9">
        <v>27.14</v>
      </c>
      <c r="F2042" s="9">
        <v>21138300</v>
      </c>
      <c r="G2042" s="9">
        <v>27.14</v>
      </c>
    </row>
    <row r="2043" spans="1:7" x14ac:dyDescent="0.25">
      <c r="A2043" s="101">
        <v>39041</v>
      </c>
      <c r="B2043" s="9">
        <v>26.96</v>
      </c>
      <c r="C2043" s="9">
        <v>27.04</v>
      </c>
      <c r="D2043" s="9">
        <v>26.63</v>
      </c>
      <c r="E2043" s="9">
        <v>26.72</v>
      </c>
      <c r="F2043" s="9">
        <v>20272000</v>
      </c>
      <c r="G2043" s="9">
        <v>26.72</v>
      </c>
    </row>
    <row r="2044" spans="1:7" x14ac:dyDescent="0.25">
      <c r="A2044" s="101">
        <v>39038</v>
      </c>
      <c r="B2044" s="9">
        <v>26.68</v>
      </c>
      <c r="C2044" s="9">
        <v>27.05</v>
      </c>
      <c r="D2044" s="9">
        <v>26.63</v>
      </c>
      <c r="E2044" s="9">
        <v>26.91</v>
      </c>
      <c r="F2044" s="9">
        <v>17955200</v>
      </c>
      <c r="G2044" s="9">
        <v>26.91</v>
      </c>
    </row>
    <row r="2045" spans="1:7" x14ac:dyDescent="0.25">
      <c r="A2045" s="101">
        <v>39037</v>
      </c>
      <c r="B2045" s="9">
        <v>27.31</v>
      </c>
      <c r="C2045" s="9">
        <v>27.33</v>
      </c>
      <c r="D2045" s="9">
        <v>26.2</v>
      </c>
      <c r="E2045" s="9">
        <v>26.64</v>
      </c>
      <c r="F2045" s="9">
        <v>38508500</v>
      </c>
      <c r="G2045" s="9">
        <v>26.64</v>
      </c>
    </row>
    <row r="2046" spans="1:7" x14ac:dyDescent="0.25">
      <c r="A2046" s="101">
        <v>39036</v>
      </c>
      <c r="B2046" s="9">
        <v>27.18</v>
      </c>
      <c r="C2046" s="9">
        <v>27.5</v>
      </c>
      <c r="D2046" s="9">
        <v>27.03</v>
      </c>
      <c r="E2046" s="9">
        <v>27.15</v>
      </c>
      <c r="F2046" s="9">
        <v>22112700</v>
      </c>
      <c r="G2046" s="9">
        <v>27.15</v>
      </c>
    </row>
    <row r="2047" spans="1:7" x14ac:dyDescent="0.25">
      <c r="A2047" s="101">
        <v>39035</v>
      </c>
      <c r="B2047" s="9">
        <v>27.4</v>
      </c>
      <c r="C2047" s="9">
        <v>27.5</v>
      </c>
      <c r="D2047" s="9">
        <v>27.11</v>
      </c>
      <c r="E2047" s="9">
        <v>27.24</v>
      </c>
      <c r="F2047" s="9">
        <v>20145700</v>
      </c>
      <c r="G2047" s="9">
        <v>27.24</v>
      </c>
    </row>
    <row r="2048" spans="1:7" x14ac:dyDescent="0.25">
      <c r="A2048" s="101">
        <v>39034</v>
      </c>
      <c r="B2048" s="9">
        <v>27.17</v>
      </c>
      <c r="C2048" s="9">
        <v>27.62</v>
      </c>
      <c r="D2048" s="9">
        <v>27.15</v>
      </c>
      <c r="E2048" s="9">
        <v>27.4</v>
      </c>
      <c r="F2048" s="9">
        <v>16876500</v>
      </c>
      <c r="G2048" s="9">
        <v>27.4</v>
      </c>
    </row>
    <row r="2049" spans="1:7" x14ac:dyDescent="0.25">
      <c r="A2049" s="101">
        <v>39031</v>
      </c>
      <c r="B2049" s="9">
        <v>27.4</v>
      </c>
      <c r="C2049" s="9">
        <v>27.5</v>
      </c>
      <c r="D2049" s="9">
        <v>27.03</v>
      </c>
      <c r="E2049" s="9">
        <v>27.39</v>
      </c>
      <c r="F2049" s="9">
        <v>21366600</v>
      </c>
      <c r="G2049" s="9">
        <v>27.39</v>
      </c>
    </row>
    <row r="2050" spans="1:7" x14ac:dyDescent="0.25">
      <c r="A2050" s="101">
        <v>39030</v>
      </c>
      <c r="B2050" s="9">
        <v>27.18</v>
      </c>
      <c r="C2050" s="9">
        <v>27.65</v>
      </c>
      <c r="D2050" s="9">
        <v>26.96</v>
      </c>
      <c r="E2050" s="9">
        <v>27.45</v>
      </c>
      <c r="F2050" s="9">
        <v>27428600</v>
      </c>
      <c r="G2050" s="9">
        <v>27.45</v>
      </c>
    </row>
    <row r="2051" spans="1:7" x14ac:dyDescent="0.25">
      <c r="A2051" s="101">
        <v>39029</v>
      </c>
      <c r="B2051" s="9">
        <v>26.36</v>
      </c>
      <c r="C2051" s="9">
        <v>27.25</v>
      </c>
      <c r="D2051" s="9">
        <v>26.31</v>
      </c>
      <c r="E2051" s="9">
        <v>26.9</v>
      </c>
      <c r="F2051" s="9">
        <v>23384800</v>
      </c>
      <c r="G2051" s="9">
        <v>26.9</v>
      </c>
    </row>
    <row r="2052" spans="1:7" x14ac:dyDescent="0.25">
      <c r="A2052" s="101">
        <v>39028</v>
      </c>
      <c r="B2052" s="9">
        <v>26.69</v>
      </c>
      <c r="C2052" s="9">
        <v>27.15</v>
      </c>
      <c r="D2052" s="9">
        <v>26.58</v>
      </c>
      <c r="E2052" s="9">
        <v>26.61</v>
      </c>
      <c r="F2052" s="9">
        <v>28442700</v>
      </c>
      <c r="G2052" s="9">
        <v>26.61</v>
      </c>
    </row>
    <row r="2053" spans="1:7" x14ac:dyDescent="0.25">
      <c r="A2053" s="101">
        <v>39027</v>
      </c>
      <c r="B2053" s="9">
        <v>26.34</v>
      </c>
      <c r="C2053" s="9">
        <v>26.7</v>
      </c>
      <c r="D2053" s="9">
        <v>26.1</v>
      </c>
      <c r="E2053" s="9">
        <v>26.59</v>
      </c>
      <c r="F2053" s="9">
        <v>22563600</v>
      </c>
      <c r="G2053" s="9">
        <v>26.59</v>
      </c>
    </row>
    <row r="2054" spans="1:7" x14ac:dyDescent="0.25">
      <c r="A2054" s="101">
        <v>39024</v>
      </c>
      <c r="B2054" s="9">
        <v>26.63</v>
      </c>
      <c r="C2054" s="9">
        <v>26.7</v>
      </c>
      <c r="D2054" s="9">
        <v>26.04</v>
      </c>
      <c r="E2054" s="9">
        <v>26.18</v>
      </c>
      <c r="F2054" s="9">
        <v>15313800</v>
      </c>
      <c r="G2054" s="9">
        <v>26.18</v>
      </c>
    </row>
    <row r="2055" spans="1:7" x14ac:dyDescent="0.25">
      <c r="A2055" s="101">
        <v>39023</v>
      </c>
      <c r="B2055" s="9">
        <v>25.94</v>
      </c>
      <c r="C2055" s="9">
        <v>26.6</v>
      </c>
      <c r="D2055" s="9">
        <v>25.77</v>
      </c>
      <c r="E2055" s="9">
        <v>26.53</v>
      </c>
      <c r="F2055" s="9">
        <v>34824500</v>
      </c>
      <c r="G2055" s="9">
        <v>26.53</v>
      </c>
    </row>
    <row r="2056" spans="1:7" x14ac:dyDescent="0.25">
      <c r="A2056" s="101">
        <v>39022</v>
      </c>
      <c r="B2056" s="9">
        <v>26.5</v>
      </c>
      <c r="C2056" s="9">
        <v>26.62</v>
      </c>
      <c r="D2056" s="9">
        <v>25.82</v>
      </c>
      <c r="E2056" s="9">
        <v>25.99</v>
      </c>
      <c r="F2056" s="9">
        <v>26300200</v>
      </c>
      <c r="G2056" s="9">
        <v>25.99</v>
      </c>
    </row>
    <row r="2057" spans="1:7" x14ac:dyDescent="0.25">
      <c r="A2057" s="101">
        <v>39021</v>
      </c>
      <c r="B2057" s="9">
        <v>26.44</v>
      </c>
      <c r="C2057" s="9">
        <v>26.7</v>
      </c>
      <c r="D2057" s="9">
        <v>26.1</v>
      </c>
      <c r="E2057" s="9">
        <v>26.34</v>
      </c>
      <c r="F2057" s="9">
        <v>33492800</v>
      </c>
      <c r="G2057" s="9">
        <v>26.34</v>
      </c>
    </row>
    <row r="2058" spans="1:7" x14ac:dyDescent="0.25">
      <c r="A2058" s="101">
        <v>39020</v>
      </c>
      <c r="B2058" s="9">
        <v>25.87</v>
      </c>
      <c r="C2058" s="9">
        <v>26.4</v>
      </c>
      <c r="D2058" s="9">
        <v>25.66</v>
      </c>
      <c r="E2058" s="9">
        <v>25.95</v>
      </c>
      <c r="F2058" s="9">
        <v>35295800</v>
      </c>
      <c r="G2058" s="9">
        <v>25.95</v>
      </c>
    </row>
    <row r="2059" spans="1:7" x14ac:dyDescent="0.25">
      <c r="A2059" s="101">
        <v>39017</v>
      </c>
      <c r="B2059" s="9">
        <v>25.23</v>
      </c>
      <c r="C2059" s="9">
        <v>25.6</v>
      </c>
      <c r="D2059" s="9">
        <v>24.9</v>
      </c>
      <c r="E2059" s="9">
        <v>25.34</v>
      </c>
      <c r="F2059" s="9">
        <v>29647200</v>
      </c>
      <c r="G2059" s="9">
        <v>25.34</v>
      </c>
    </row>
    <row r="2060" spans="1:7" x14ac:dyDescent="0.25">
      <c r="A2060" s="101">
        <v>39016</v>
      </c>
      <c r="B2060" s="9">
        <v>24.7</v>
      </c>
      <c r="C2060" s="9">
        <v>25.33</v>
      </c>
      <c r="D2060" s="9">
        <v>24.36</v>
      </c>
      <c r="E2060" s="9">
        <v>25.28</v>
      </c>
      <c r="F2060" s="9">
        <v>38435800</v>
      </c>
      <c r="G2060" s="9">
        <v>25.28</v>
      </c>
    </row>
    <row r="2061" spans="1:7" x14ac:dyDescent="0.25">
      <c r="A2061" s="101">
        <v>39015</v>
      </c>
      <c r="B2061" s="9">
        <v>23.73</v>
      </c>
      <c r="C2061" s="9">
        <v>24.64</v>
      </c>
      <c r="D2061" s="9">
        <v>23.69</v>
      </c>
      <c r="E2061" s="9">
        <v>24.49</v>
      </c>
      <c r="F2061" s="9">
        <v>40110600</v>
      </c>
      <c r="G2061" s="9">
        <v>24.49</v>
      </c>
    </row>
    <row r="2062" spans="1:7" x14ac:dyDescent="0.25">
      <c r="A2062" s="101">
        <v>39014</v>
      </c>
      <c r="B2062" s="9">
        <v>23.35</v>
      </c>
      <c r="C2062" s="9">
        <v>23.64</v>
      </c>
      <c r="D2062" s="9">
        <v>23.15</v>
      </c>
      <c r="E2062" s="9">
        <v>23.53</v>
      </c>
      <c r="F2062" s="9">
        <v>31704000</v>
      </c>
      <c r="G2062" s="9">
        <v>23.53</v>
      </c>
    </row>
    <row r="2063" spans="1:7" x14ac:dyDescent="0.25">
      <c r="A2063" s="101">
        <v>39013</v>
      </c>
      <c r="B2063" s="9">
        <v>23.14</v>
      </c>
      <c r="C2063" s="9">
        <v>23.5</v>
      </c>
      <c r="D2063" s="9">
        <v>23.1</v>
      </c>
      <c r="E2063" s="9">
        <v>23.37</v>
      </c>
      <c r="F2063" s="9">
        <v>26301200</v>
      </c>
      <c r="G2063" s="9">
        <v>23.37</v>
      </c>
    </row>
    <row r="2064" spans="1:7" x14ac:dyDescent="0.25">
      <c r="A2064" s="101">
        <v>39010</v>
      </c>
      <c r="B2064" s="9">
        <v>23.22</v>
      </c>
      <c r="C2064" s="9">
        <v>23.27</v>
      </c>
      <c r="D2064" s="9">
        <v>22.65</v>
      </c>
      <c r="E2064" s="9">
        <v>23.21</v>
      </c>
      <c r="F2064" s="9">
        <v>49795600</v>
      </c>
      <c r="G2064" s="9">
        <v>23.21</v>
      </c>
    </row>
    <row r="2065" spans="1:7" x14ac:dyDescent="0.25">
      <c r="A2065" s="101">
        <v>39009</v>
      </c>
      <c r="B2065" s="9">
        <v>23.02</v>
      </c>
      <c r="C2065" s="9">
        <v>23.59</v>
      </c>
      <c r="D2065" s="9">
        <v>23</v>
      </c>
      <c r="E2065" s="9">
        <v>23.14</v>
      </c>
      <c r="F2065" s="9">
        <v>42280400</v>
      </c>
      <c r="G2065" s="9">
        <v>23.14</v>
      </c>
    </row>
    <row r="2066" spans="1:7" x14ac:dyDescent="0.25">
      <c r="A2066" s="101">
        <v>39008</v>
      </c>
      <c r="B2066" s="9">
        <v>24.57</v>
      </c>
      <c r="C2066" s="9">
        <v>24.75</v>
      </c>
      <c r="D2066" s="9">
        <v>22.88</v>
      </c>
      <c r="E2066" s="9">
        <v>22.99</v>
      </c>
      <c r="F2066" s="9">
        <v>111660900</v>
      </c>
      <c r="G2066" s="9">
        <v>22.99</v>
      </c>
    </row>
    <row r="2067" spans="1:7" x14ac:dyDescent="0.25">
      <c r="A2067" s="101">
        <v>39007</v>
      </c>
      <c r="B2067" s="9">
        <v>23.74</v>
      </c>
      <c r="C2067" s="9">
        <v>24.35</v>
      </c>
      <c r="D2067" s="9">
        <v>23.68</v>
      </c>
      <c r="E2067" s="9">
        <v>24.15</v>
      </c>
      <c r="F2067" s="9">
        <v>67417200</v>
      </c>
      <c r="G2067" s="9">
        <v>24.15</v>
      </c>
    </row>
    <row r="2068" spans="1:7" x14ac:dyDescent="0.25">
      <c r="A2068" s="101">
        <v>39006</v>
      </c>
      <c r="B2068" s="9">
        <v>24.34</v>
      </c>
      <c r="C2068" s="9">
        <v>24.52</v>
      </c>
      <c r="D2068" s="9">
        <v>23.75</v>
      </c>
      <c r="E2068" s="9">
        <v>24.18</v>
      </c>
      <c r="F2068" s="9">
        <v>36496400</v>
      </c>
      <c r="G2068" s="9">
        <v>24.18</v>
      </c>
    </row>
    <row r="2069" spans="1:7" x14ac:dyDescent="0.25">
      <c r="A2069" s="101">
        <v>39003</v>
      </c>
      <c r="B2069" s="9">
        <v>23.9</v>
      </c>
      <c r="C2069" s="9">
        <v>24.5</v>
      </c>
      <c r="D2069" s="9">
        <v>23.57</v>
      </c>
      <c r="E2069" s="9">
        <v>24.42</v>
      </c>
      <c r="F2069" s="9">
        <v>51338900</v>
      </c>
      <c r="G2069" s="9">
        <v>24.42</v>
      </c>
    </row>
    <row r="2070" spans="1:7" x14ac:dyDescent="0.25">
      <c r="A2070" s="101">
        <v>39002</v>
      </c>
      <c r="B2070" s="9">
        <v>24.32</v>
      </c>
      <c r="C2070" s="9">
        <v>24.38</v>
      </c>
      <c r="D2070" s="9">
        <v>24.1</v>
      </c>
      <c r="E2070" s="9">
        <v>24.12</v>
      </c>
      <c r="F2070" s="9">
        <v>25824500</v>
      </c>
      <c r="G2070" s="9">
        <v>24.12</v>
      </c>
    </row>
    <row r="2071" spans="1:7" x14ac:dyDescent="0.25">
      <c r="A2071" s="101">
        <v>39001</v>
      </c>
      <c r="B2071" s="9">
        <v>24.29</v>
      </c>
      <c r="C2071" s="9">
        <v>24.64</v>
      </c>
      <c r="D2071" s="9">
        <v>23.8</v>
      </c>
      <c r="E2071" s="9">
        <v>24.24</v>
      </c>
      <c r="F2071" s="9">
        <v>39356300</v>
      </c>
      <c r="G2071" s="9">
        <v>24.24</v>
      </c>
    </row>
    <row r="2072" spans="1:7" x14ac:dyDescent="0.25">
      <c r="A2072" s="101">
        <v>39000</v>
      </c>
      <c r="B2072" s="9">
        <v>24.94</v>
      </c>
      <c r="C2072" s="9">
        <v>25.03</v>
      </c>
      <c r="D2072" s="9">
        <v>24.32</v>
      </c>
      <c r="E2072" s="9">
        <v>24.47</v>
      </c>
      <c r="F2072" s="9">
        <v>30371900</v>
      </c>
      <c r="G2072" s="9">
        <v>24.47</v>
      </c>
    </row>
    <row r="2073" spans="1:7" x14ac:dyDescent="0.25">
      <c r="A2073" s="101">
        <v>38999</v>
      </c>
      <c r="B2073" s="9">
        <v>25.45</v>
      </c>
      <c r="C2073" s="9">
        <v>25.72</v>
      </c>
      <c r="D2073" s="9">
        <v>25</v>
      </c>
      <c r="E2073" s="9">
        <v>25.03</v>
      </c>
      <c r="F2073" s="9">
        <v>15729500</v>
      </c>
      <c r="G2073" s="9">
        <v>25.03</v>
      </c>
    </row>
    <row r="2074" spans="1:7" x14ac:dyDescent="0.25">
      <c r="A2074" s="101">
        <v>38996</v>
      </c>
      <c r="B2074" s="9">
        <v>25.09</v>
      </c>
      <c r="C2074" s="9">
        <v>25.5</v>
      </c>
      <c r="D2074" s="9">
        <v>25.01</v>
      </c>
      <c r="E2074" s="9">
        <v>25.47</v>
      </c>
      <c r="F2074" s="9">
        <v>20847000</v>
      </c>
      <c r="G2074" s="9">
        <v>25.47</v>
      </c>
    </row>
    <row r="2075" spans="1:7" x14ac:dyDescent="0.25">
      <c r="A2075" s="101">
        <v>38995</v>
      </c>
      <c r="B2075" s="9">
        <v>25.16</v>
      </c>
      <c r="C2075" s="9">
        <v>25.25</v>
      </c>
      <c r="D2075" s="9">
        <v>24.88</v>
      </c>
      <c r="E2075" s="9">
        <v>25.18</v>
      </c>
      <c r="F2075" s="9">
        <v>17634000</v>
      </c>
      <c r="G2075" s="9">
        <v>25.18</v>
      </c>
    </row>
    <row r="2076" spans="1:7" x14ac:dyDescent="0.25">
      <c r="A2076" s="101">
        <v>38994</v>
      </c>
      <c r="B2076" s="9">
        <v>24.89</v>
      </c>
      <c r="C2076" s="9">
        <v>25.26</v>
      </c>
      <c r="D2076" s="9">
        <v>24.74</v>
      </c>
      <c r="E2076" s="9">
        <v>25.21</v>
      </c>
      <c r="F2076" s="9">
        <v>21717900</v>
      </c>
      <c r="G2076" s="9">
        <v>25.21</v>
      </c>
    </row>
    <row r="2077" spans="1:7" x14ac:dyDescent="0.25">
      <c r="A2077" s="101">
        <v>38993</v>
      </c>
      <c r="B2077" s="9">
        <v>24.81</v>
      </c>
      <c r="C2077" s="9">
        <v>25</v>
      </c>
      <c r="D2077" s="9">
        <v>24.7</v>
      </c>
      <c r="E2077" s="9">
        <v>24.84</v>
      </c>
      <c r="F2077" s="9">
        <v>21148300</v>
      </c>
      <c r="G2077" s="9">
        <v>24.84</v>
      </c>
    </row>
    <row r="2078" spans="1:7" x14ac:dyDescent="0.25">
      <c r="A2078" s="101">
        <v>38992</v>
      </c>
      <c r="B2078" s="9">
        <v>25.45</v>
      </c>
      <c r="C2078" s="9">
        <v>25.46</v>
      </c>
      <c r="D2078" s="9">
        <v>24.75</v>
      </c>
      <c r="E2078" s="9">
        <v>24.88</v>
      </c>
      <c r="F2078" s="9">
        <v>19641300</v>
      </c>
      <c r="G2078" s="9">
        <v>24.88</v>
      </c>
    </row>
    <row r="2079" spans="1:7" x14ac:dyDescent="0.25">
      <c r="A2079" s="101">
        <v>38989</v>
      </c>
      <c r="B2079" s="9">
        <v>25.5</v>
      </c>
      <c r="C2079" s="9">
        <v>25.59</v>
      </c>
      <c r="D2079" s="9">
        <v>25.24</v>
      </c>
      <c r="E2079" s="9">
        <v>25.28</v>
      </c>
      <c r="F2079" s="9">
        <v>18982600</v>
      </c>
      <c r="G2079" s="9">
        <v>25.28</v>
      </c>
    </row>
    <row r="2080" spans="1:7" x14ac:dyDescent="0.25">
      <c r="A2080" s="101">
        <v>38988</v>
      </c>
      <c r="B2080" s="9">
        <v>24.87</v>
      </c>
      <c r="C2080" s="9">
        <v>25.5</v>
      </c>
      <c r="D2080" s="9">
        <v>24.84</v>
      </c>
      <c r="E2080" s="9">
        <v>25.33</v>
      </c>
      <c r="F2080" s="9">
        <v>35331200</v>
      </c>
      <c r="G2080" s="9">
        <v>25.33</v>
      </c>
    </row>
    <row r="2081" spans="1:7" x14ac:dyDescent="0.25">
      <c r="A2081" s="101">
        <v>38987</v>
      </c>
      <c r="B2081" s="9">
        <v>25</v>
      </c>
      <c r="C2081" s="9">
        <v>25.01</v>
      </c>
      <c r="D2081" s="9">
        <v>24.6</v>
      </c>
      <c r="E2081" s="9">
        <v>24.65</v>
      </c>
      <c r="F2081" s="9">
        <v>29835900</v>
      </c>
      <c r="G2081" s="9">
        <v>24.65</v>
      </c>
    </row>
    <row r="2082" spans="1:7" x14ac:dyDescent="0.25">
      <c r="A2082" s="101">
        <v>38986</v>
      </c>
      <c r="B2082" s="9">
        <v>25.44</v>
      </c>
      <c r="C2082" s="9">
        <v>25.48</v>
      </c>
      <c r="D2082" s="9">
        <v>24.81</v>
      </c>
      <c r="E2082" s="9">
        <v>25.05</v>
      </c>
      <c r="F2082" s="9">
        <v>34950100</v>
      </c>
      <c r="G2082" s="9">
        <v>25.05</v>
      </c>
    </row>
    <row r="2083" spans="1:7" x14ac:dyDescent="0.25">
      <c r="A2083" s="101">
        <v>38985</v>
      </c>
      <c r="B2083" s="9">
        <v>25.64</v>
      </c>
      <c r="C2083" s="9">
        <v>25.87</v>
      </c>
      <c r="D2083" s="9">
        <v>25.2</v>
      </c>
      <c r="E2083" s="9">
        <v>25.29</v>
      </c>
      <c r="F2083" s="9">
        <v>19992400</v>
      </c>
      <c r="G2083" s="9">
        <v>25.29</v>
      </c>
    </row>
    <row r="2084" spans="1:7" x14ac:dyDescent="0.25">
      <c r="A2084" s="101">
        <v>38982</v>
      </c>
      <c r="B2084" s="9">
        <v>25.34</v>
      </c>
      <c r="C2084" s="9">
        <v>25.69</v>
      </c>
      <c r="D2084" s="9">
        <v>25.18</v>
      </c>
      <c r="E2084" s="9">
        <v>25.52</v>
      </c>
      <c r="F2084" s="9">
        <v>20667400</v>
      </c>
      <c r="G2084" s="9">
        <v>25.52</v>
      </c>
    </row>
    <row r="2085" spans="1:7" x14ac:dyDescent="0.25">
      <c r="A2085" s="101">
        <v>38981</v>
      </c>
      <c r="B2085" s="9">
        <v>25.53</v>
      </c>
      <c r="C2085" s="9">
        <v>25.95</v>
      </c>
      <c r="D2085" s="9">
        <v>25.21</v>
      </c>
      <c r="E2085" s="9">
        <v>25.34</v>
      </c>
      <c r="F2085" s="9">
        <v>28584500</v>
      </c>
      <c r="G2085" s="9">
        <v>25.34</v>
      </c>
    </row>
    <row r="2086" spans="1:7" x14ac:dyDescent="0.25">
      <c r="A2086" s="101">
        <v>38980</v>
      </c>
      <c r="B2086" s="9">
        <v>26.04</v>
      </c>
      <c r="C2086" s="9">
        <v>26.09</v>
      </c>
      <c r="D2086" s="9">
        <v>25.38</v>
      </c>
      <c r="E2086" s="9">
        <v>25.64</v>
      </c>
      <c r="F2086" s="9">
        <v>55636600</v>
      </c>
      <c r="G2086" s="9">
        <v>25.64</v>
      </c>
    </row>
    <row r="2087" spans="1:7" x14ac:dyDescent="0.25">
      <c r="A2087" s="101">
        <v>38979</v>
      </c>
      <c r="B2087" s="9">
        <v>29.09</v>
      </c>
      <c r="C2087" s="9">
        <v>29.13</v>
      </c>
      <c r="D2087" s="9">
        <v>25.1</v>
      </c>
      <c r="E2087" s="9">
        <v>25.75</v>
      </c>
      <c r="F2087" s="9">
        <v>127718600</v>
      </c>
      <c r="G2087" s="9">
        <v>25.75</v>
      </c>
    </row>
    <row r="2088" spans="1:7" x14ac:dyDescent="0.25">
      <c r="A2088" s="101">
        <v>38978</v>
      </c>
      <c r="B2088" s="9">
        <v>29.37</v>
      </c>
      <c r="C2088" s="9">
        <v>29.39</v>
      </c>
      <c r="D2088" s="9">
        <v>28.58</v>
      </c>
      <c r="E2088" s="9">
        <v>29</v>
      </c>
      <c r="F2088" s="9">
        <v>15685000</v>
      </c>
      <c r="G2088" s="9">
        <v>29</v>
      </c>
    </row>
    <row r="2089" spans="1:7" x14ac:dyDescent="0.25">
      <c r="A2089" s="101">
        <v>38975</v>
      </c>
      <c r="B2089" s="9">
        <v>29.3</v>
      </c>
      <c r="C2089" s="9">
        <v>29.57</v>
      </c>
      <c r="D2089" s="9">
        <v>29.22</v>
      </c>
      <c r="E2089" s="9">
        <v>29.32</v>
      </c>
      <c r="F2089" s="9">
        <v>19550300</v>
      </c>
      <c r="G2089" s="9">
        <v>29.32</v>
      </c>
    </row>
    <row r="2090" spans="1:7" x14ac:dyDescent="0.25">
      <c r="A2090" s="101">
        <v>38974</v>
      </c>
      <c r="B2090" s="9">
        <v>29.1</v>
      </c>
      <c r="C2090" s="9">
        <v>29.24</v>
      </c>
      <c r="D2090" s="9">
        <v>28.89</v>
      </c>
      <c r="E2090" s="9">
        <v>29.03</v>
      </c>
      <c r="F2090" s="9">
        <v>9565500</v>
      </c>
      <c r="G2090" s="9">
        <v>29.03</v>
      </c>
    </row>
    <row r="2091" spans="1:7" x14ac:dyDescent="0.25">
      <c r="A2091" s="101">
        <v>38973</v>
      </c>
      <c r="B2091" s="9">
        <v>29.06</v>
      </c>
      <c r="C2091" s="9">
        <v>29.37</v>
      </c>
      <c r="D2091" s="9">
        <v>28.8</v>
      </c>
      <c r="E2091" s="9">
        <v>29.17</v>
      </c>
      <c r="F2091" s="9">
        <v>15248400</v>
      </c>
      <c r="G2091" s="9">
        <v>29.17</v>
      </c>
    </row>
    <row r="2092" spans="1:7" x14ac:dyDescent="0.25">
      <c r="A2092" s="101">
        <v>38972</v>
      </c>
      <c r="B2092" s="9">
        <v>28.55</v>
      </c>
      <c r="C2092" s="9">
        <v>29.22</v>
      </c>
      <c r="D2092" s="9">
        <v>28.46</v>
      </c>
      <c r="E2092" s="9">
        <v>29.09</v>
      </c>
      <c r="F2092" s="9">
        <v>10005000</v>
      </c>
      <c r="G2092" s="9">
        <v>29.09</v>
      </c>
    </row>
    <row r="2093" spans="1:7" x14ac:dyDescent="0.25">
      <c r="A2093" s="101">
        <v>38971</v>
      </c>
      <c r="B2093" s="9">
        <v>28.05</v>
      </c>
      <c r="C2093" s="9">
        <v>28.73</v>
      </c>
      <c r="D2093" s="9">
        <v>27.67</v>
      </c>
      <c r="E2093" s="9">
        <v>28.61</v>
      </c>
      <c r="F2093" s="9">
        <v>12936000</v>
      </c>
      <c r="G2093" s="9">
        <v>28.61</v>
      </c>
    </row>
    <row r="2094" spans="1:7" x14ac:dyDescent="0.25">
      <c r="A2094" s="101">
        <v>38968</v>
      </c>
      <c r="B2094" s="9">
        <v>28.04</v>
      </c>
      <c r="C2094" s="9">
        <v>28.32</v>
      </c>
      <c r="D2094" s="9">
        <v>27.97</v>
      </c>
      <c r="E2094" s="9">
        <v>28.14</v>
      </c>
      <c r="F2094" s="9">
        <v>9781800</v>
      </c>
      <c r="G2094" s="9">
        <v>28.14</v>
      </c>
    </row>
    <row r="2095" spans="1:7" x14ac:dyDescent="0.25">
      <c r="A2095" s="101">
        <v>38967</v>
      </c>
      <c r="B2095" s="9">
        <v>28.4</v>
      </c>
      <c r="C2095" s="9">
        <v>28.51</v>
      </c>
      <c r="D2095" s="9">
        <v>27.82</v>
      </c>
      <c r="E2095" s="9">
        <v>27.86</v>
      </c>
      <c r="F2095" s="9">
        <v>18434400</v>
      </c>
      <c r="G2095" s="9">
        <v>27.86</v>
      </c>
    </row>
    <row r="2096" spans="1:7" x14ac:dyDescent="0.25">
      <c r="A2096" s="101">
        <v>38966</v>
      </c>
      <c r="B2096" s="9">
        <v>28.94</v>
      </c>
      <c r="C2096" s="9">
        <v>29.01</v>
      </c>
      <c r="D2096" s="9">
        <v>28.49</v>
      </c>
      <c r="E2096" s="9">
        <v>28.5</v>
      </c>
      <c r="F2096" s="9">
        <v>12800600</v>
      </c>
      <c r="G2096" s="9">
        <v>28.5</v>
      </c>
    </row>
    <row r="2097" spans="1:7" x14ac:dyDescent="0.25">
      <c r="A2097" s="101">
        <v>38965</v>
      </c>
      <c r="B2097" s="9">
        <v>29.45</v>
      </c>
      <c r="C2097" s="9">
        <v>29.48</v>
      </c>
      <c r="D2097" s="9">
        <v>28.95</v>
      </c>
      <c r="E2097" s="9">
        <v>29.07</v>
      </c>
      <c r="F2097" s="9">
        <v>11425600</v>
      </c>
      <c r="G2097" s="9">
        <v>29.07</v>
      </c>
    </row>
    <row r="2098" spans="1:7" x14ac:dyDescent="0.25">
      <c r="A2098" s="101">
        <v>38961</v>
      </c>
      <c r="B2098" s="9">
        <v>28.91</v>
      </c>
      <c r="C2098" s="9">
        <v>29.53</v>
      </c>
      <c r="D2098" s="9">
        <v>28.91</v>
      </c>
      <c r="E2098" s="9">
        <v>29.49</v>
      </c>
      <c r="F2098" s="9">
        <v>11573600</v>
      </c>
      <c r="G2098" s="9">
        <v>29.49</v>
      </c>
    </row>
    <row r="2099" spans="1:7" x14ac:dyDescent="0.25">
      <c r="A2099" s="101">
        <v>38960</v>
      </c>
      <c r="B2099" s="9">
        <v>28.99</v>
      </c>
      <c r="C2099" s="9">
        <v>29.02</v>
      </c>
      <c r="D2099" s="9">
        <v>28.59</v>
      </c>
      <c r="E2099" s="9">
        <v>28.83</v>
      </c>
      <c r="F2099" s="9">
        <v>8879300</v>
      </c>
      <c r="G2099" s="9">
        <v>28.83</v>
      </c>
    </row>
    <row r="2100" spans="1:7" x14ac:dyDescent="0.25">
      <c r="A2100" s="101">
        <v>38959</v>
      </c>
      <c r="B2100" s="9">
        <v>29</v>
      </c>
      <c r="C2100" s="9">
        <v>29.14</v>
      </c>
      <c r="D2100" s="9">
        <v>28.71</v>
      </c>
      <c r="E2100" s="9">
        <v>29.02</v>
      </c>
      <c r="F2100" s="9">
        <v>13119300</v>
      </c>
      <c r="G2100" s="9">
        <v>29.02</v>
      </c>
    </row>
    <row r="2101" spans="1:7" x14ac:dyDescent="0.25">
      <c r="A2101" s="101">
        <v>38958</v>
      </c>
      <c r="B2101" s="9">
        <v>28.86</v>
      </c>
      <c r="C2101" s="9">
        <v>29.01</v>
      </c>
      <c r="D2101" s="9">
        <v>28.51</v>
      </c>
      <c r="E2101" s="9">
        <v>28.96</v>
      </c>
      <c r="F2101" s="9">
        <v>9888800</v>
      </c>
      <c r="G2101" s="9">
        <v>28.96</v>
      </c>
    </row>
    <row r="2102" spans="1:7" x14ac:dyDescent="0.25">
      <c r="A2102" s="101">
        <v>38957</v>
      </c>
      <c r="B2102" s="9">
        <v>28.75</v>
      </c>
      <c r="C2102" s="9">
        <v>29.25</v>
      </c>
      <c r="D2102" s="9">
        <v>28.7</v>
      </c>
      <c r="E2102" s="9">
        <v>28.91</v>
      </c>
      <c r="F2102" s="9">
        <v>10404700</v>
      </c>
      <c r="G2102" s="9">
        <v>28.91</v>
      </c>
    </row>
    <row r="2103" spans="1:7" x14ac:dyDescent="0.25">
      <c r="A2103" s="101">
        <v>38954</v>
      </c>
      <c r="B2103" s="9">
        <v>28.95</v>
      </c>
      <c r="C2103" s="9">
        <v>29.28</v>
      </c>
      <c r="D2103" s="9">
        <v>28.74</v>
      </c>
      <c r="E2103" s="9">
        <v>28.77</v>
      </c>
      <c r="F2103" s="9">
        <v>6203800</v>
      </c>
      <c r="G2103" s="9">
        <v>28.77</v>
      </c>
    </row>
    <row r="2104" spans="1:7" x14ac:dyDescent="0.25">
      <c r="A2104" s="101">
        <v>38953</v>
      </c>
      <c r="B2104" s="9">
        <v>28.75</v>
      </c>
      <c r="C2104" s="9">
        <v>29.13</v>
      </c>
      <c r="D2104" s="9">
        <v>28.7</v>
      </c>
      <c r="E2104" s="9">
        <v>28.99</v>
      </c>
      <c r="F2104" s="9">
        <v>8983600</v>
      </c>
      <c r="G2104" s="9">
        <v>28.99</v>
      </c>
    </row>
    <row r="2105" spans="1:7" x14ac:dyDescent="0.25">
      <c r="A2105" s="101">
        <v>38952</v>
      </c>
      <c r="B2105" s="9">
        <v>29.34</v>
      </c>
      <c r="C2105" s="9">
        <v>29.47</v>
      </c>
      <c r="D2105" s="9">
        <v>28.68</v>
      </c>
      <c r="E2105" s="9">
        <v>28.7</v>
      </c>
      <c r="F2105" s="9">
        <v>8837400</v>
      </c>
      <c r="G2105" s="9">
        <v>28.7</v>
      </c>
    </row>
    <row r="2106" spans="1:7" x14ac:dyDescent="0.25">
      <c r="A2106" s="101">
        <v>38951</v>
      </c>
      <c r="B2106" s="9">
        <v>28.84</v>
      </c>
      <c r="C2106" s="9">
        <v>29.65</v>
      </c>
      <c r="D2106" s="9">
        <v>28.8</v>
      </c>
      <c r="E2106" s="9">
        <v>29.26</v>
      </c>
      <c r="F2106" s="9">
        <v>10891800</v>
      </c>
      <c r="G2106" s="9">
        <v>29.26</v>
      </c>
    </row>
    <row r="2107" spans="1:7" x14ac:dyDescent="0.25">
      <c r="A2107" s="101">
        <v>38950</v>
      </c>
      <c r="B2107" s="9">
        <v>29.22</v>
      </c>
      <c r="C2107" s="9">
        <v>29.52</v>
      </c>
      <c r="D2107" s="9">
        <v>28.83</v>
      </c>
      <c r="E2107" s="9">
        <v>28.9</v>
      </c>
      <c r="F2107" s="9">
        <v>11575200</v>
      </c>
      <c r="G2107" s="9">
        <v>28.9</v>
      </c>
    </row>
    <row r="2108" spans="1:7" x14ac:dyDescent="0.25">
      <c r="A2108" s="101">
        <v>38947</v>
      </c>
      <c r="B2108" s="9">
        <v>28.9</v>
      </c>
      <c r="C2108" s="9">
        <v>29.97</v>
      </c>
      <c r="D2108" s="9">
        <v>28.77</v>
      </c>
      <c r="E2108" s="9">
        <v>29.78</v>
      </c>
      <c r="F2108" s="9">
        <v>19611300</v>
      </c>
      <c r="G2108" s="9">
        <v>29.78</v>
      </c>
    </row>
    <row r="2109" spans="1:7" x14ac:dyDescent="0.25">
      <c r="A2109" s="101">
        <v>38946</v>
      </c>
      <c r="B2109" s="9">
        <v>28.38</v>
      </c>
      <c r="C2109" s="9">
        <v>29.32</v>
      </c>
      <c r="D2109" s="9">
        <v>28.34</v>
      </c>
      <c r="E2109" s="9">
        <v>28.91</v>
      </c>
      <c r="F2109" s="9">
        <v>17251600</v>
      </c>
      <c r="G2109" s="9">
        <v>28.91</v>
      </c>
    </row>
    <row r="2110" spans="1:7" x14ac:dyDescent="0.25">
      <c r="A2110" s="101">
        <v>38945</v>
      </c>
      <c r="B2110" s="9">
        <v>28.35</v>
      </c>
      <c r="C2110" s="9">
        <v>28.46</v>
      </c>
      <c r="D2110" s="9">
        <v>27.97</v>
      </c>
      <c r="E2110" s="9">
        <v>28.39</v>
      </c>
      <c r="F2110" s="9">
        <v>12589400</v>
      </c>
      <c r="G2110" s="9">
        <v>28.39</v>
      </c>
    </row>
    <row r="2111" spans="1:7" x14ac:dyDescent="0.25">
      <c r="A2111" s="101">
        <v>38944</v>
      </c>
      <c r="B2111" s="9">
        <v>27.58</v>
      </c>
      <c r="C2111" s="9">
        <v>28.2</v>
      </c>
      <c r="D2111" s="9">
        <v>27.48</v>
      </c>
      <c r="E2111" s="9">
        <v>28.17</v>
      </c>
      <c r="F2111" s="9">
        <v>15298500</v>
      </c>
      <c r="G2111" s="9">
        <v>28.17</v>
      </c>
    </row>
    <row r="2112" spans="1:7" x14ac:dyDescent="0.25">
      <c r="A2112" s="101">
        <v>38943</v>
      </c>
      <c r="B2112" s="9">
        <v>27.71</v>
      </c>
      <c r="C2112" s="9">
        <v>27.8</v>
      </c>
      <c r="D2112" s="9">
        <v>27</v>
      </c>
      <c r="E2112" s="9">
        <v>27.26</v>
      </c>
      <c r="F2112" s="9">
        <v>10640100</v>
      </c>
      <c r="G2112" s="9">
        <v>27.26</v>
      </c>
    </row>
    <row r="2113" spans="1:7" x14ac:dyDescent="0.25">
      <c r="A2113" s="101">
        <v>38940</v>
      </c>
      <c r="B2113" s="9">
        <v>27.52</v>
      </c>
      <c r="C2113" s="9">
        <v>27.72</v>
      </c>
      <c r="D2113" s="9">
        <v>27.4</v>
      </c>
      <c r="E2113" s="9">
        <v>27.5</v>
      </c>
      <c r="F2113" s="9">
        <v>9252200</v>
      </c>
      <c r="G2113" s="9">
        <v>27.5</v>
      </c>
    </row>
    <row r="2114" spans="1:7" x14ac:dyDescent="0.25">
      <c r="A2114" s="101">
        <v>38939</v>
      </c>
      <c r="B2114" s="9">
        <v>26.95</v>
      </c>
      <c r="C2114" s="9">
        <v>27.8</v>
      </c>
      <c r="D2114" s="9">
        <v>26.85</v>
      </c>
      <c r="E2114" s="9">
        <v>27.49</v>
      </c>
      <c r="F2114" s="9">
        <v>12597900</v>
      </c>
      <c r="G2114" s="9">
        <v>27.49</v>
      </c>
    </row>
    <row r="2115" spans="1:7" x14ac:dyDescent="0.25">
      <c r="A2115" s="101">
        <v>38938</v>
      </c>
      <c r="B2115" s="9">
        <v>27.75</v>
      </c>
      <c r="C2115" s="9">
        <v>27.85</v>
      </c>
      <c r="D2115" s="9">
        <v>27</v>
      </c>
      <c r="E2115" s="9">
        <v>27.22</v>
      </c>
      <c r="F2115" s="9">
        <v>14736100</v>
      </c>
      <c r="G2115" s="9">
        <v>27.22</v>
      </c>
    </row>
    <row r="2116" spans="1:7" x14ac:dyDescent="0.25">
      <c r="A2116" s="101">
        <v>38937</v>
      </c>
      <c r="B2116" s="9">
        <v>26.95</v>
      </c>
      <c r="C2116" s="9">
        <v>27.7</v>
      </c>
      <c r="D2116" s="9">
        <v>26.63</v>
      </c>
      <c r="E2116" s="9">
        <v>27.44</v>
      </c>
      <c r="F2116" s="9">
        <v>19332800</v>
      </c>
      <c r="G2116" s="9">
        <v>27.44</v>
      </c>
    </row>
    <row r="2117" spans="1:7" x14ac:dyDescent="0.25">
      <c r="A2117" s="101">
        <v>38936</v>
      </c>
      <c r="B2117" s="9">
        <v>26.92</v>
      </c>
      <c r="C2117" s="9">
        <v>27.11</v>
      </c>
      <c r="D2117" s="9">
        <v>26.58</v>
      </c>
      <c r="E2117" s="9">
        <v>27.08</v>
      </c>
      <c r="F2117" s="9">
        <v>12847200</v>
      </c>
      <c r="G2117" s="9">
        <v>27.08</v>
      </c>
    </row>
    <row r="2118" spans="1:7" x14ac:dyDescent="0.25">
      <c r="A2118" s="101">
        <v>38933</v>
      </c>
      <c r="B2118" s="9">
        <v>27.2</v>
      </c>
      <c r="C2118" s="9">
        <v>27.58</v>
      </c>
      <c r="D2118" s="9">
        <v>26.83</v>
      </c>
      <c r="E2118" s="9">
        <v>26.99</v>
      </c>
      <c r="F2118" s="9">
        <v>11607900</v>
      </c>
      <c r="G2118" s="9">
        <v>26.99</v>
      </c>
    </row>
    <row r="2119" spans="1:7" x14ac:dyDescent="0.25">
      <c r="A2119" s="101">
        <v>38932</v>
      </c>
      <c r="B2119" s="9">
        <v>26.5</v>
      </c>
      <c r="C2119" s="9">
        <v>27.05</v>
      </c>
      <c r="D2119" s="9">
        <v>26.4</v>
      </c>
      <c r="E2119" s="9">
        <v>26.9</v>
      </c>
      <c r="F2119" s="9">
        <v>15468500</v>
      </c>
      <c r="G2119" s="9">
        <v>26.9</v>
      </c>
    </row>
    <row r="2120" spans="1:7" x14ac:dyDescent="0.25">
      <c r="A2120" s="101">
        <v>38931</v>
      </c>
      <c r="B2120" s="9">
        <v>27.01</v>
      </c>
      <c r="C2120" s="9">
        <v>27.1</v>
      </c>
      <c r="D2120" s="9">
        <v>26.45</v>
      </c>
      <c r="E2120" s="9">
        <v>26.63</v>
      </c>
      <c r="F2120" s="9">
        <v>18116200</v>
      </c>
      <c r="G2120" s="9">
        <v>26.63</v>
      </c>
    </row>
    <row r="2121" spans="1:7" x14ac:dyDescent="0.25">
      <c r="A2121" s="101">
        <v>38930</v>
      </c>
      <c r="B2121" s="9">
        <v>27.06</v>
      </c>
      <c r="C2121" s="9">
        <v>27.12</v>
      </c>
      <c r="D2121" s="9">
        <v>26.74</v>
      </c>
      <c r="E2121" s="9">
        <v>26.94</v>
      </c>
      <c r="F2121" s="9">
        <v>18613100</v>
      </c>
      <c r="G2121" s="9">
        <v>26.94</v>
      </c>
    </row>
    <row r="2122" spans="1:7" x14ac:dyDescent="0.25">
      <c r="A2122" s="101">
        <v>38929</v>
      </c>
      <c r="B2122" s="9">
        <v>27.46</v>
      </c>
      <c r="C2122" s="9">
        <v>27.55</v>
      </c>
      <c r="D2122" s="9">
        <v>26.99</v>
      </c>
      <c r="E2122" s="9">
        <v>27.14</v>
      </c>
      <c r="F2122" s="9">
        <v>16492600</v>
      </c>
      <c r="G2122" s="9">
        <v>27.14</v>
      </c>
    </row>
    <row r="2123" spans="1:7" x14ac:dyDescent="0.25">
      <c r="A2123" s="101">
        <v>38926</v>
      </c>
      <c r="B2123" s="9">
        <v>26.9</v>
      </c>
      <c r="C2123" s="9">
        <v>27.5</v>
      </c>
      <c r="D2123" s="9">
        <v>26.33</v>
      </c>
      <c r="E2123" s="9">
        <v>27.47</v>
      </c>
      <c r="F2123" s="9">
        <v>21584800</v>
      </c>
      <c r="G2123" s="9">
        <v>27.47</v>
      </c>
    </row>
    <row r="2124" spans="1:7" x14ac:dyDescent="0.25">
      <c r="A2124" s="101">
        <v>38925</v>
      </c>
      <c r="B2124" s="9">
        <v>27.35</v>
      </c>
      <c r="C2124" s="9">
        <v>27.5</v>
      </c>
      <c r="D2124" s="9">
        <v>26.64</v>
      </c>
      <c r="E2124" s="9">
        <v>26.7</v>
      </c>
      <c r="F2124" s="9">
        <v>25153000</v>
      </c>
      <c r="G2124" s="9">
        <v>26.7</v>
      </c>
    </row>
    <row r="2125" spans="1:7" x14ac:dyDescent="0.25">
      <c r="A2125" s="101">
        <v>38924</v>
      </c>
      <c r="B2125" s="9">
        <v>26.78</v>
      </c>
      <c r="C2125" s="9">
        <v>27.51</v>
      </c>
      <c r="D2125" s="9">
        <v>26.57</v>
      </c>
      <c r="E2125" s="9">
        <v>27.08</v>
      </c>
      <c r="F2125" s="9">
        <v>20073800</v>
      </c>
      <c r="G2125" s="9">
        <v>27.08</v>
      </c>
    </row>
    <row r="2126" spans="1:7" x14ac:dyDescent="0.25">
      <c r="A2126" s="101">
        <v>38923</v>
      </c>
      <c r="B2126" s="9">
        <v>26.75</v>
      </c>
      <c r="C2126" s="9">
        <v>27.19</v>
      </c>
      <c r="D2126" s="9">
        <v>26.57</v>
      </c>
      <c r="E2126" s="9">
        <v>26.95</v>
      </c>
      <c r="F2126" s="9">
        <v>21388800</v>
      </c>
      <c r="G2126" s="9">
        <v>26.95</v>
      </c>
    </row>
    <row r="2127" spans="1:7" x14ac:dyDescent="0.25">
      <c r="A2127" s="101">
        <v>38922</v>
      </c>
      <c r="B2127" s="9">
        <v>26.24</v>
      </c>
      <c r="C2127" s="9">
        <v>27.23</v>
      </c>
      <c r="D2127" s="9">
        <v>25.89</v>
      </c>
      <c r="E2127" s="9">
        <v>26.94</v>
      </c>
      <c r="F2127" s="9">
        <v>42631300</v>
      </c>
      <c r="G2127" s="9">
        <v>26.94</v>
      </c>
    </row>
    <row r="2128" spans="1:7" x14ac:dyDescent="0.25">
      <c r="A2128" s="101">
        <v>38919</v>
      </c>
      <c r="B2128" s="9">
        <v>24.99</v>
      </c>
      <c r="C2128" s="9">
        <v>26.06</v>
      </c>
      <c r="D2128" s="9">
        <v>24.91</v>
      </c>
      <c r="E2128" s="9">
        <v>25.89</v>
      </c>
      <c r="F2128" s="9">
        <v>36187100</v>
      </c>
      <c r="G2128" s="9">
        <v>25.89</v>
      </c>
    </row>
    <row r="2129" spans="1:7" x14ac:dyDescent="0.25">
      <c r="A2129" s="101">
        <v>38918</v>
      </c>
      <c r="B2129" s="9">
        <v>25.55</v>
      </c>
      <c r="C2129" s="9">
        <v>26.21</v>
      </c>
      <c r="D2129" s="9">
        <v>24.91</v>
      </c>
      <c r="E2129" s="9">
        <v>25.27</v>
      </c>
      <c r="F2129" s="9">
        <v>54659700</v>
      </c>
      <c r="G2129" s="9">
        <v>25.27</v>
      </c>
    </row>
    <row r="2130" spans="1:7" x14ac:dyDescent="0.25">
      <c r="A2130" s="101">
        <v>38917</v>
      </c>
      <c r="B2130" s="9">
        <v>26.41</v>
      </c>
      <c r="C2130" s="9">
        <v>26.7</v>
      </c>
      <c r="D2130" s="9">
        <v>25.04</v>
      </c>
      <c r="E2130" s="9">
        <v>25.2</v>
      </c>
      <c r="F2130" s="9">
        <v>204339000</v>
      </c>
      <c r="G2130" s="9">
        <v>25.2</v>
      </c>
    </row>
    <row r="2131" spans="1:7" x14ac:dyDescent="0.25">
      <c r="A2131" s="101">
        <v>38916</v>
      </c>
      <c r="B2131" s="9">
        <v>32.08</v>
      </c>
      <c r="C2131" s="9">
        <v>32.26</v>
      </c>
      <c r="D2131" s="9">
        <v>31.25</v>
      </c>
      <c r="E2131" s="9">
        <v>32.24</v>
      </c>
      <c r="F2131" s="9">
        <v>39767700</v>
      </c>
      <c r="G2131" s="9">
        <v>32.24</v>
      </c>
    </row>
    <row r="2132" spans="1:7" x14ac:dyDescent="0.25">
      <c r="A2132" s="101">
        <v>38915</v>
      </c>
      <c r="B2132" s="9">
        <v>31.98</v>
      </c>
      <c r="C2132" s="9">
        <v>32.4</v>
      </c>
      <c r="D2132" s="9">
        <v>31.69</v>
      </c>
      <c r="E2132" s="9">
        <v>31.84</v>
      </c>
      <c r="F2132" s="9">
        <v>16369600</v>
      </c>
      <c r="G2132" s="9">
        <v>31.84</v>
      </c>
    </row>
    <row r="2133" spans="1:7" x14ac:dyDescent="0.25">
      <c r="A2133" s="101">
        <v>38912</v>
      </c>
      <c r="B2133" s="9">
        <v>32.340000000000003</v>
      </c>
      <c r="C2133" s="9">
        <v>32.479999999999997</v>
      </c>
      <c r="D2133" s="9">
        <v>31.85</v>
      </c>
      <c r="E2133" s="9">
        <v>32.08</v>
      </c>
      <c r="F2133" s="9">
        <v>12484700</v>
      </c>
      <c r="G2133" s="9">
        <v>32.08</v>
      </c>
    </row>
    <row r="2134" spans="1:7" x14ac:dyDescent="0.25">
      <c r="A2134" s="101">
        <v>38911</v>
      </c>
      <c r="B2134" s="9">
        <v>32.85</v>
      </c>
      <c r="C2134" s="9">
        <v>33.159999999999997</v>
      </c>
      <c r="D2134" s="9">
        <v>32.07</v>
      </c>
      <c r="E2134" s="9">
        <v>32.229999999999997</v>
      </c>
      <c r="F2134" s="9">
        <v>19463500</v>
      </c>
      <c r="G2134" s="9">
        <v>32.229999999999997</v>
      </c>
    </row>
    <row r="2135" spans="1:7" x14ac:dyDescent="0.25">
      <c r="A2135" s="101">
        <v>38910</v>
      </c>
      <c r="B2135" s="9">
        <v>33.03</v>
      </c>
      <c r="C2135" s="9">
        <v>33.74</v>
      </c>
      <c r="D2135" s="9">
        <v>32.99</v>
      </c>
      <c r="E2135" s="9">
        <v>33.380000000000003</v>
      </c>
      <c r="F2135" s="9">
        <v>18708400</v>
      </c>
      <c r="G2135" s="9">
        <v>33.380000000000003</v>
      </c>
    </row>
    <row r="2136" spans="1:7" x14ac:dyDescent="0.25">
      <c r="A2136" s="101">
        <v>38909</v>
      </c>
      <c r="B2136" s="9">
        <v>32.79</v>
      </c>
      <c r="C2136" s="9">
        <v>33.35</v>
      </c>
      <c r="D2136" s="9">
        <v>32.32</v>
      </c>
      <c r="E2136" s="9">
        <v>33.17</v>
      </c>
      <c r="F2136" s="9">
        <v>11285900</v>
      </c>
      <c r="G2136" s="9">
        <v>33.17</v>
      </c>
    </row>
    <row r="2137" spans="1:7" x14ac:dyDescent="0.25">
      <c r="A2137" s="101">
        <v>38908</v>
      </c>
      <c r="B2137" s="9">
        <v>32.909999999999997</v>
      </c>
      <c r="C2137" s="9">
        <v>33.14</v>
      </c>
      <c r="D2137" s="9">
        <v>32.729999999999997</v>
      </c>
      <c r="E2137" s="9">
        <v>32.85</v>
      </c>
      <c r="F2137" s="9">
        <v>15317600</v>
      </c>
      <c r="G2137" s="9">
        <v>32.85</v>
      </c>
    </row>
    <row r="2138" spans="1:7" x14ac:dyDescent="0.25">
      <c r="A2138" s="101">
        <v>38905</v>
      </c>
      <c r="B2138" s="9">
        <v>32.94</v>
      </c>
      <c r="C2138" s="9">
        <v>33.049999999999997</v>
      </c>
      <c r="D2138" s="9">
        <v>32.369999999999997</v>
      </c>
      <c r="E2138" s="9">
        <v>32.5</v>
      </c>
      <c r="F2138" s="9">
        <v>12372500</v>
      </c>
      <c r="G2138" s="9">
        <v>32.5</v>
      </c>
    </row>
    <row r="2139" spans="1:7" x14ac:dyDescent="0.25">
      <c r="A2139" s="101">
        <v>38904</v>
      </c>
      <c r="B2139" s="9">
        <v>32.770000000000003</v>
      </c>
      <c r="C2139" s="9">
        <v>33.22</v>
      </c>
      <c r="D2139" s="9">
        <v>32.700000000000003</v>
      </c>
      <c r="E2139" s="9">
        <v>33.11</v>
      </c>
      <c r="F2139" s="9">
        <v>13801500</v>
      </c>
      <c r="G2139" s="9">
        <v>33.11</v>
      </c>
    </row>
    <row r="2140" spans="1:7" x14ac:dyDescent="0.25">
      <c r="A2140" s="101">
        <v>38903</v>
      </c>
      <c r="B2140" s="9">
        <v>32.85</v>
      </c>
      <c r="C2140" s="9">
        <v>32.99</v>
      </c>
      <c r="D2140" s="9">
        <v>32.33</v>
      </c>
      <c r="E2140" s="9">
        <v>32.47</v>
      </c>
      <c r="F2140" s="9">
        <v>13453900</v>
      </c>
      <c r="G2140" s="9">
        <v>32.47</v>
      </c>
    </row>
    <row r="2141" spans="1:7" x14ac:dyDescent="0.25">
      <c r="A2141" s="101">
        <v>38901</v>
      </c>
      <c r="B2141" s="9">
        <v>32.9</v>
      </c>
      <c r="C2141" s="9">
        <v>33.44</v>
      </c>
      <c r="D2141" s="9">
        <v>32.9</v>
      </c>
      <c r="E2141" s="9">
        <v>33.299999999999997</v>
      </c>
      <c r="F2141" s="9">
        <v>8067100</v>
      </c>
      <c r="G2141" s="9">
        <v>33.299999999999997</v>
      </c>
    </row>
    <row r="2142" spans="1:7" x14ac:dyDescent="0.25">
      <c r="A2142" s="101">
        <v>38898</v>
      </c>
      <c r="B2142" s="9">
        <v>33.01</v>
      </c>
      <c r="C2142" s="9">
        <v>33.119999999999997</v>
      </c>
      <c r="D2142" s="9">
        <v>32.54</v>
      </c>
      <c r="E2142" s="9">
        <v>33</v>
      </c>
      <c r="F2142" s="9">
        <v>22566600</v>
      </c>
      <c r="G2142" s="9">
        <v>33</v>
      </c>
    </row>
    <row r="2143" spans="1:7" x14ac:dyDescent="0.25">
      <c r="A2143" s="101">
        <v>38897</v>
      </c>
      <c r="B2143" s="9">
        <v>32.26</v>
      </c>
      <c r="C2143" s="9">
        <v>33</v>
      </c>
      <c r="D2143" s="9">
        <v>32.200000000000003</v>
      </c>
      <c r="E2143" s="9">
        <v>32.97</v>
      </c>
      <c r="F2143" s="9">
        <v>15745900</v>
      </c>
      <c r="G2143" s="9">
        <v>32.97</v>
      </c>
    </row>
    <row r="2144" spans="1:7" x14ac:dyDescent="0.25">
      <c r="A2144" s="101">
        <v>38896</v>
      </c>
      <c r="B2144" s="9">
        <v>31.75</v>
      </c>
      <c r="C2144" s="9">
        <v>32.17</v>
      </c>
      <c r="D2144" s="9">
        <v>31.7</v>
      </c>
      <c r="E2144" s="9">
        <v>31.92</v>
      </c>
      <c r="F2144" s="9">
        <v>14032800</v>
      </c>
      <c r="G2144" s="9">
        <v>31.92</v>
      </c>
    </row>
    <row r="2145" spans="1:7" x14ac:dyDescent="0.25">
      <c r="A2145" s="101">
        <v>38895</v>
      </c>
      <c r="B2145" s="9">
        <v>31.85</v>
      </c>
      <c r="C2145" s="9">
        <v>32.22</v>
      </c>
      <c r="D2145" s="9">
        <v>31.32</v>
      </c>
      <c r="E2145" s="9">
        <v>31.51</v>
      </c>
      <c r="F2145" s="9">
        <v>16589400</v>
      </c>
      <c r="G2145" s="9">
        <v>31.51</v>
      </c>
    </row>
    <row r="2146" spans="1:7" x14ac:dyDescent="0.25">
      <c r="A2146" s="101">
        <v>38894</v>
      </c>
      <c r="B2146" s="9">
        <v>31.45</v>
      </c>
      <c r="C2146" s="9">
        <v>31.7</v>
      </c>
      <c r="D2146" s="9">
        <v>31.16</v>
      </c>
      <c r="E2146" s="9">
        <v>31.55</v>
      </c>
      <c r="F2146" s="9">
        <v>11457000</v>
      </c>
      <c r="G2146" s="9">
        <v>31.55</v>
      </c>
    </row>
    <row r="2147" spans="1:7" x14ac:dyDescent="0.25">
      <c r="A2147" s="101">
        <v>38891</v>
      </c>
      <c r="B2147" s="9">
        <v>31.08</v>
      </c>
      <c r="C2147" s="9">
        <v>31.76</v>
      </c>
      <c r="D2147" s="9">
        <v>30.82</v>
      </c>
      <c r="E2147" s="9">
        <v>31.37</v>
      </c>
      <c r="F2147" s="9">
        <v>17378500</v>
      </c>
      <c r="G2147" s="9">
        <v>31.37</v>
      </c>
    </row>
    <row r="2148" spans="1:7" x14ac:dyDescent="0.25">
      <c r="A2148" s="101">
        <v>38890</v>
      </c>
      <c r="B2148" s="9">
        <v>30.85</v>
      </c>
      <c r="C2148" s="9">
        <v>31.16</v>
      </c>
      <c r="D2148" s="9">
        <v>30.44</v>
      </c>
      <c r="E2148" s="9">
        <v>30.68</v>
      </c>
      <c r="F2148" s="9">
        <v>11500300</v>
      </c>
      <c r="G2148" s="9">
        <v>30.68</v>
      </c>
    </row>
    <row r="2149" spans="1:7" x14ac:dyDescent="0.25">
      <c r="A2149" s="101">
        <v>38889</v>
      </c>
      <c r="B2149" s="9">
        <v>30.77</v>
      </c>
      <c r="C2149" s="9">
        <v>31.54</v>
      </c>
      <c r="D2149" s="9">
        <v>30.65</v>
      </c>
      <c r="E2149" s="9">
        <v>31.06</v>
      </c>
      <c r="F2149" s="9">
        <v>18252900</v>
      </c>
      <c r="G2149" s="9">
        <v>31.06</v>
      </c>
    </row>
    <row r="2150" spans="1:7" x14ac:dyDescent="0.25">
      <c r="A2150" s="101">
        <v>38888</v>
      </c>
      <c r="B2150" s="9">
        <v>30.42</v>
      </c>
      <c r="C2150" s="9">
        <v>30.65</v>
      </c>
      <c r="D2150" s="9">
        <v>30.1</v>
      </c>
      <c r="E2150" s="9">
        <v>30.6</v>
      </c>
      <c r="F2150" s="9">
        <v>12613200</v>
      </c>
      <c r="G2150" s="9">
        <v>30.6</v>
      </c>
    </row>
    <row r="2151" spans="1:7" x14ac:dyDescent="0.25">
      <c r="A2151" s="101">
        <v>38887</v>
      </c>
      <c r="B2151" s="9">
        <v>30.51</v>
      </c>
      <c r="C2151" s="9">
        <v>30.75</v>
      </c>
      <c r="D2151" s="9">
        <v>30.06</v>
      </c>
      <c r="E2151" s="9">
        <v>30.35</v>
      </c>
      <c r="F2151" s="9">
        <v>12236700</v>
      </c>
      <c r="G2151" s="9">
        <v>30.35</v>
      </c>
    </row>
    <row r="2152" spans="1:7" x14ac:dyDescent="0.25">
      <c r="A2152" s="101">
        <v>38884</v>
      </c>
      <c r="B2152" s="9">
        <v>30.7</v>
      </c>
      <c r="C2152" s="9">
        <v>30.86</v>
      </c>
      <c r="D2152" s="9">
        <v>30.15</v>
      </c>
      <c r="E2152" s="9">
        <v>30.36</v>
      </c>
      <c r="F2152" s="9">
        <v>12951700</v>
      </c>
      <c r="G2152" s="9">
        <v>30.36</v>
      </c>
    </row>
    <row r="2153" spans="1:7" x14ac:dyDescent="0.25">
      <c r="A2153" s="101">
        <v>38883</v>
      </c>
      <c r="B2153" s="9">
        <v>29.98</v>
      </c>
      <c r="C2153" s="9">
        <v>30.96</v>
      </c>
      <c r="D2153" s="9">
        <v>29.72</v>
      </c>
      <c r="E2153" s="9">
        <v>30.79</v>
      </c>
      <c r="F2153" s="9">
        <v>22375000</v>
      </c>
      <c r="G2153" s="9">
        <v>30.79</v>
      </c>
    </row>
    <row r="2154" spans="1:7" x14ac:dyDescent="0.25">
      <c r="A2154" s="101">
        <v>38882</v>
      </c>
      <c r="B2154" s="9">
        <v>29.81</v>
      </c>
      <c r="C2154" s="9">
        <v>30</v>
      </c>
      <c r="D2154" s="9">
        <v>29.25</v>
      </c>
      <c r="E2154" s="9">
        <v>29.62</v>
      </c>
      <c r="F2154" s="9">
        <v>19257500</v>
      </c>
      <c r="G2154" s="9">
        <v>29.62</v>
      </c>
    </row>
    <row r="2155" spans="1:7" x14ac:dyDescent="0.25">
      <c r="A2155" s="101">
        <v>38881</v>
      </c>
      <c r="B2155" s="9">
        <v>29.77</v>
      </c>
      <c r="C2155" s="9">
        <v>30.2</v>
      </c>
      <c r="D2155" s="9">
        <v>29.51</v>
      </c>
      <c r="E2155" s="9">
        <v>29.65</v>
      </c>
      <c r="F2155" s="9">
        <v>16435700</v>
      </c>
      <c r="G2155" s="9">
        <v>29.65</v>
      </c>
    </row>
    <row r="2156" spans="1:7" x14ac:dyDescent="0.25">
      <c r="A2156" s="101">
        <v>38880</v>
      </c>
      <c r="B2156" s="9">
        <v>30.37</v>
      </c>
      <c r="C2156" s="9">
        <v>30.65</v>
      </c>
      <c r="D2156" s="9">
        <v>29.66</v>
      </c>
      <c r="E2156" s="9">
        <v>29.78</v>
      </c>
      <c r="F2156" s="9">
        <v>14344600</v>
      </c>
      <c r="G2156" s="9">
        <v>29.78</v>
      </c>
    </row>
    <row r="2157" spans="1:7" x14ac:dyDescent="0.25">
      <c r="A2157" s="101">
        <v>38877</v>
      </c>
      <c r="B2157" s="9">
        <v>30.7</v>
      </c>
      <c r="C2157" s="9">
        <v>30.8</v>
      </c>
      <c r="D2157" s="9">
        <v>30.23</v>
      </c>
      <c r="E2157" s="9">
        <v>30.37</v>
      </c>
      <c r="F2157" s="9">
        <v>10044700</v>
      </c>
      <c r="G2157" s="9">
        <v>30.37</v>
      </c>
    </row>
    <row r="2158" spans="1:7" x14ac:dyDescent="0.25">
      <c r="A2158" s="101">
        <v>38876</v>
      </c>
      <c r="B2158" s="9">
        <v>30.43</v>
      </c>
      <c r="C2158" s="9">
        <v>30.99</v>
      </c>
      <c r="D2158" s="9">
        <v>29.83</v>
      </c>
      <c r="E2158" s="9">
        <v>30.45</v>
      </c>
      <c r="F2158" s="9">
        <v>20538600</v>
      </c>
      <c r="G2158" s="9">
        <v>30.45</v>
      </c>
    </row>
    <row r="2159" spans="1:7" x14ac:dyDescent="0.25">
      <c r="A2159" s="101">
        <v>38875</v>
      </c>
      <c r="B2159" s="9">
        <v>30.8</v>
      </c>
      <c r="C2159" s="9">
        <v>31.25</v>
      </c>
      <c r="D2159" s="9">
        <v>30.36</v>
      </c>
      <c r="E2159" s="9">
        <v>30.54</v>
      </c>
      <c r="F2159" s="9">
        <v>17470100</v>
      </c>
      <c r="G2159" s="9">
        <v>30.54</v>
      </c>
    </row>
    <row r="2160" spans="1:7" x14ac:dyDescent="0.25">
      <c r="A2160" s="101">
        <v>38874</v>
      </c>
      <c r="B2160" s="9">
        <v>30.83</v>
      </c>
      <c r="C2160" s="9">
        <v>30.97</v>
      </c>
      <c r="D2160" s="9">
        <v>30.35</v>
      </c>
      <c r="E2160" s="9">
        <v>30.7</v>
      </c>
      <c r="F2160" s="9">
        <v>15615600</v>
      </c>
      <c r="G2160" s="9">
        <v>30.7</v>
      </c>
    </row>
    <row r="2161" spans="1:7" x14ac:dyDescent="0.25">
      <c r="A2161" s="101">
        <v>38873</v>
      </c>
      <c r="B2161" s="9">
        <v>31.19</v>
      </c>
      <c r="C2161" s="9">
        <v>31.43</v>
      </c>
      <c r="D2161" s="9">
        <v>30.79</v>
      </c>
      <c r="E2161" s="9">
        <v>30.82</v>
      </c>
      <c r="F2161" s="9">
        <v>17188500</v>
      </c>
      <c r="G2161" s="9">
        <v>30.82</v>
      </c>
    </row>
    <row r="2162" spans="1:7" x14ac:dyDescent="0.25">
      <c r="A2162" s="101">
        <v>38870</v>
      </c>
      <c r="B2162" s="9">
        <v>32.11</v>
      </c>
      <c r="C2162" s="9">
        <v>32.19</v>
      </c>
      <c r="D2162" s="9">
        <v>31.3</v>
      </c>
      <c r="E2162" s="9">
        <v>31.52</v>
      </c>
      <c r="F2162" s="9">
        <v>16470900</v>
      </c>
      <c r="G2162" s="9">
        <v>31.52</v>
      </c>
    </row>
    <row r="2163" spans="1:7" x14ac:dyDescent="0.25">
      <c r="A2163" s="101">
        <v>38869</v>
      </c>
      <c r="B2163" s="9">
        <v>31.83</v>
      </c>
      <c r="C2163" s="9">
        <v>32</v>
      </c>
      <c r="D2163" s="9">
        <v>31.49</v>
      </c>
      <c r="E2163" s="9">
        <v>31.99</v>
      </c>
      <c r="F2163" s="9">
        <v>16652400</v>
      </c>
      <c r="G2163" s="9">
        <v>31.99</v>
      </c>
    </row>
    <row r="2164" spans="1:7" x14ac:dyDescent="0.25">
      <c r="A2164" s="101">
        <v>38868</v>
      </c>
      <c r="B2164" s="9">
        <v>32.19</v>
      </c>
      <c r="C2164" s="9">
        <v>32.32</v>
      </c>
      <c r="D2164" s="9">
        <v>31.11</v>
      </c>
      <c r="E2164" s="9">
        <v>31.59</v>
      </c>
      <c r="F2164" s="9">
        <v>21306700</v>
      </c>
      <c r="G2164" s="9">
        <v>31.59</v>
      </c>
    </row>
    <row r="2165" spans="1:7" x14ac:dyDescent="0.25">
      <c r="A2165" s="101">
        <v>38867</v>
      </c>
      <c r="B2165" s="9">
        <v>32.729999999999997</v>
      </c>
      <c r="C2165" s="9">
        <v>32.89</v>
      </c>
      <c r="D2165" s="9">
        <v>31.79</v>
      </c>
      <c r="E2165" s="9">
        <v>32</v>
      </c>
      <c r="F2165" s="9">
        <v>16247600</v>
      </c>
      <c r="G2165" s="9">
        <v>32</v>
      </c>
    </row>
    <row r="2166" spans="1:7" x14ac:dyDescent="0.25">
      <c r="A2166" s="101">
        <v>38863</v>
      </c>
      <c r="B2166" s="9">
        <v>32.86</v>
      </c>
      <c r="C2166" s="9">
        <v>33.020000000000003</v>
      </c>
      <c r="D2166" s="9">
        <v>32.35</v>
      </c>
      <c r="E2166" s="9">
        <v>33.020000000000003</v>
      </c>
      <c r="F2166" s="9">
        <v>13842600</v>
      </c>
      <c r="G2166" s="9">
        <v>33.020000000000003</v>
      </c>
    </row>
    <row r="2167" spans="1:7" x14ac:dyDescent="0.25">
      <c r="A2167" s="101">
        <v>38862</v>
      </c>
      <c r="B2167" s="9">
        <v>32.94</v>
      </c>
      <c r="C2167" s="9">
        <v>33.5</v>
      </c>
      <c r="D2167" s="9">
        <v>32.5</v>
      </c>
      <c r="E2167" s="9">
        <v>32.92</v>
      </c>
      <c r="F2167" s="9">
        <v>34732700</v>
      </c>
      <c r="G2167" s="9">
        <v>32.92</v>
      </c>
    </row>
    <row r="2168" spans="1:7" x14ac:dyDescent="0.25">
      <c r="A2168" s="101">
        <v>38861</v>
      </c>
      <c r="B2168" s="9">
        <v>30.95</v>
      </c>
      <c r="C2168" s="9">
        <v>32.020000000000003</v>
      </c>
      <c r="D2168" s="9">
        <v>30.71</v>
      </c>
      <c r="E2168" s="9">
        <v>31.79</v>
      </c>
      <c r="F2168" s="9">
        <v>27286300</v>
      </c>
      <c r="G2168" s="9">
        <v>31.79</v>
      </c>
    </row>
    <row r="2169" spans="1:7" x14ac:dyDescent="0.25">
      <c r="A2169" s="101">
        <v>38860</v>
      </c>
      <c r="B2169" s="9">
        <v>31.04</v>
      </c>
      <c r="C2169" s="9">
        <v>31.63</v>
      </c>
      <c r="D2169" s="9">
        <v>30.76</v>
      </c>
      <c r="E2169" s="9">
        <v>30.76</v>
      </c>
      <c r="F2169" s="9">
        <v>28583400</v>
      </c>
      <c r="G2169" s="9">
        <v>30.76</v>
      </c>
    </row>
    <row r="2170" spans="1:7" x14ac:dyDescent="0.25">
      <c r="A2170" s="101">
        <v>38859</v>
      </c>
      <c r="B2170" s="9">
        <v>30.42</v>
      </c>
      <c r="C2170" s="9">
        <v>30.98</v>
      </c>
      <c r="D2170" s="9">
        <v>29.89</v>
      </c>
      <c r="E2170" s="9">
        <v>30.46</v>
      </c>
      <c r="F2170" s="9">
        <v>35089300</v>
      </c>
      <c r="G2170" s="9">
        <v>30.46</v>
      </c>
    </row>
    <row r="2171" spans="1:7" x14ac:dyDescent="0.25">
      <c r="A2171" s="101">
        <v>38856</v>
      </c>
      <c r="B2171" s="9">
        <v>29.05</v>
      </c>
      <c r="C2171" s="9">
        <v>29.75</v>
      </c>
      <c r="D2171" s="9">
        <v>28.6</v>
      </c>
      <c r="E2171" s="9">
        <v>29.53</v>
      </c>
      <c r="F2171" s="9">
        <v>33121900</v>
      </c>
      <c r="G2171" s="9">
        <v>29.53</v>
      </c>
    </row>
    <row r="2172" spans="1:7" x14ac:dyDescent="0.25">
      <c r="A2172" s="101">
        <v>38855</v>
      </c>
      <c r="B2172" s="9">
        <v>30.1</v>
      </c>
      <c r="C2172" s="9">
        <v>30.36</v>
      </c>
      <c r="D2172" s="9">
        <v>28.93</v>
      </c>
      <c r="E2172" s="9">
        <v>29</v>
      </c>
      <c r="F2172" s="9">
        <v>38254000</v>
      </c>
      <c r="G2172" s="9">
        <v>29</v>
      </c>
    </row>
    <row r="2173" spans="1:7" x14ac:dyDescent="0.25">
      <c r="A2173" s="101">
        <v>38854</v>
      </c>
      <c r="B2173" s="9">
        <v>30.61</v>
      </c>
      <c r="C2173" s="9">
        <v>31.26</v>
      </c>
      <c r="D2173" s="9">
        <v>30.04</v>
      </c>
      <c r="E2173" s="9">
        <v>30.11</v>
      </c>
      <c r="F2173" s="9">
        <v>39847500</v>
      </c>
      <c r="G2173" s="9">
        <v>30.11</v>
      </c>
    </row>
    <row r="2174" spans="1:7" x14ac:dyDescent="0.25">
      <c r="A2174" s="101">
        <v>38853</v>
      </c>
      <c r="B2174" s="9">
        <v>31.1</v>
      </c>
      <c r="C2174" s="9">
        <v>31.22</v>
      </c>
      <c r="D2174" s="9">
        <v>30.63</v>
      </c>
      <c r="E2174" s="9">
        <v>30.97</v>
      </c>
      <c r="F2174" s="9">
        <v>15333700</v>
      </c>
      <c r="G2174" s="9">
        <v>30.97</v>
      </c>
    </row>
    <row r="2175" spans="1:7" x14ac:dyDescent="0.25">
      <c r="A2175" s="101">
        <v>38852</v>
      </c>
      <c r="B2175" s="9">
        <v>30.85</v>
      </c>
      <c r="C2175" s="9">
        <v>31.25</v>
      </c>
      <c r="D2175" s="9">
        <v>30.6</v>
      </c>
      <c r="E2175" s="9">
        <v>31.03</v>
      </c>
      <c r="F2175" s="9">
        <v>13350700</v>
      </c>
      <c r="G2175" s="9">
        <v>31.03</v>
      </c>
    </row>
    <row r="2176" spans="1:7" x14ac:dyDescent="0.25">
      <c r="A2176" s="101">
        <v>38849</v>
      </c>
      <c r="B2176" s="9">
        <v>30.71</v>
      </c>
      <c r="C2176" s="9">
        <v>31.18</v>
      </c>
      <c r="D2176" s="9">
        <v>30.38</v>
      </c>
      <c r="E2176" s="9">
        <v>30.81</v>
      </c>
      <c r="F2176" s="9">
        <v>16745600</v>
      </c>
      <c r="G2176" s="9">
        <v>30.81</v>
      </c>
    </row>
    <row r="2177" spans="1:7" x14ac:dyDescent="0.25">
      <c r="A2177" s="101">
        <v>38848</v>
      </c>
      <c r="B2177" s="9">
        <v>31.96</v>
      </c>
      <c r="C2177" s="9">
        <v>32.17</v>
      </c>
      <c r="D2177" s="9">
        <v>30.87</v>
      </c>
      <c r="E2177" s="9">
        <v>30.99</v>
      </c>
      <c r="F2177" s="9">
        <v>24277000</v>
      </c>
      <c r="G2177" s="9">
        <v>30.99</v>
      </c>
    </row>
    <row r="2178" spans="1:7" x14ac:dyDescent="0.25">
      <c r="A2178" s="101">
        <v>38847</v>
      </c>
      <c r="B2178" s="9">
        <v>32.479999999999997</v>
      </c>
      <c r="C2178" s="9">
        <v>32.56</v>
      </c>
      <c r="D2178" s="9">
        <v>32</v>
      </c>
      <c r="E2178" s="9">
        <v>32.090000000000003</v>
      </c>
      <c r="F2178" s="9">
        <v>13797500</v>
      </c>
      <c r="G2178" s="9">
        <v>32.090000000000003</v>
      </c>
    </row>
    <row r="2179" spans="1:7" x14ac:dyDescent="0.25">
      <c r="A2179" s="101">
        <v>38846</v>
      </c>
      <c r="B2179" s="9">
        <v>32.68</v>
      </c>
      <c r="C2179" s="9">
        <v>34</v>
      </c>
      <c r="D2179" s="9">
        <v>32.35</v>
      </c>
      <c r="E2179" s="9">
        <v>32.49</v>
      </c>
      <c r="F2179" s="9">
        <v>13396400</v>
      </c>
      <c r="G2179" s="9">
        <v>32.49</v>
      </c>
    </row>
    <row r="2180" spans="1:7" x14ac:dyDescent="0.25">
      <c r="A2180" s="101">
        <v>38845</v>
      </c>
      <c r="B2180" s="9">
        <v>33.090000000000003</v>
      </c>
      <c r="C2180" s="9">
        <v>33.43</v>
      </c>
      <c r="D2180" s="9">
        <v>32.630000000000003</v>
      </c>
      <c r="E2180" s="9">
        <v>32.869999999999997</v>
      </c>
      <c r="F2180" s="9">
        <v>18188200</v>
      </c>
      <c r="G2180" s="9">
        <v>32.869999999999997</v>
      </c>
    </row>
    <row r="2181" spans="1:7" x14ac:dyDescent="0.25">
      <c r="A2181" s="101">
        <v>38842</v>
      </c>
      <c r="B2181" s="9">
        <v>32.630000000000003</v>
      </c>
      <c r="C2181" s="9">
        <v>32.75</v>
      </c>
      <c r="D2181" s="9">
        <v>32.22</v>
      </c>
      <c r="E2181" s="9">
        <v>32.659999999999997</v>
      </c>
      <c r="F2181" s="9">
        <v>14689200</v>
      </c>
      <c r="G2181" s="9">
        <v>32.659999999999997</v>
      </c>
    </row>
    <row r="2182" spans="1:7" x14ac:dyDescent="0.25">
      <c r="A2182" s="101">
        <v>38841</v>
      </c>
      <c r="B2182" s="9">
        <v>32.4</v>
      </c>
      <c r="C2182" s="9">
        <v>32.56</v>
      </c>
      <c r="D2182" s="9">
        <v>32.08</v>
      </c>
      <c r="E2182" s="9">
        <v>32.19</v>
      </c>
      <c r="F2182" s="9">
        <v>10402300</v>
      </c>
      <c r="G2182" s="9">
        <v>32.19</v>
      </c>
    </row>
    <row r="2183" spans="1:7" x14ac:dyDescent="0.25">
      <c r="A2183" s="101">
        <v>38840</v>
      </c>
      <c r="B2183" s="9">
        <v>32.4</v>
      </c>
      <c r="C2183" s="9">
        <v>33</v>
      </c>
      <c r="D2183" s="9">
        <v>31.75</v>
      </c>
      <c r="E2183" s="9">
        <v>32.17</v>
      </c>
      <c r="F2183" s="9">
        <v>23292600</v>
      </c>
      <c r="G2183" s="9">
        <v>32.17</v>
      </c>
    </row>
    <row r="2184" spans="1:7" x14ac:dyDescent="0.25">
      <c r="A2184" s="101">
        <v>38839</v>
      </c>
      <c r="B2184" s="9">
        <v>32.200000000000003</v>
      </c>
      <c r="C2184" s="9">
        <v>32.909999999999997</v>
      </c>
      <c r="D2184" s="9">
        <v>31.72</v>
      </c>
      <c r="E2184" s="9">
        <v>31.85</v>
      </c>
      <c r="F2184" s="9">
        <v>16276000</v>
      </c>
      <c r="G2184" s="9">
        <v>31.85</v>
      </c>
    </row>
    <row r="2185" spans="1:7" x14ac:dyDescent="0.25">
      <c r="A2185" s="101">
        <v>38838</v>
      </c>
      <c r="B2185" s="9">
        <v>32.99</v>
      </c>
      <c r="C2185" s="9">
        <v>33.1</v>
      </c>
      <c r="D2185" s="9">
        <v>31.86</v>
      </c>
      <c r="E2185" s="9">
        <v>32.08</v>
      </c>
      <c r="F2185" s="9">
        <v>19752200</v>
      </c>
      <c r="G2185" s="9">
        <v>32.08</v>
      </c>
    </row>
    <row r="2186" spans="1:7" x14ac:dyDescent="0.25">
      <c r="A2186" s="101">
        <v>38835</v>
      </c>
      <c r="B2186" s="9">
        <v>32.880000000000003</v>
      </c>
      <c r="C2186" s="9">
        <v>33.450000000000003</v>
      </c>
      <c r="D2186" s="9">
        <v>32.78</v>
      </c>
      <c r="E2186" s="9">
        <v>32.78</v>
      </c>
      <c r="F2186" s="9">
        <v>13283500</v>
      </c>
      <c r="G2186" s="9">
        <v>32.78</v>
      </c>
    </row>
    <row r="2187" spans="1:7" x14ac:dyDescent="0.25">
      <c r="A2187" s="101">
        <v>38834</v>
      </c>
      <c r="B2187" s="9">
        <v>32.79</v>
      </c>
      <c r="C2187" s="9">
        <v>33.5</v>
      </c>
      <c r="D2187" s="9">
        <v>32.4</v>
      </c>
      <c r="E2187" s="9">
        <v>33.200000000000003</v>
      </c>
      <c r="F2187" s="9">
        <v>19635700</v>
      </c>
      <c r="G2187" s="9">
        <v>33.200000000000003</v>
      </c>
    </row>
    <row r="2188" spans="1:7" x14ac:dyDescent="0.25">
      <c r="A2188" s="101">
        <v>38833</v>
      </c>
      <c r="B2188" s="9">
        <v>32.299999999999997</v>
      </c>
      <c r="C2188" s="9">
        <v>33.090000000000003</v>
      </c>
      <c r="D2188" s="9">
        <v>32.1</v>
      </c>
      <c r="E2188" s="9">
        <v>33</v>
      </c>
      <c r="F2188" s="9">
        <v>24426400</v>
      </c>
      <c r="G2188" s="9">
        <v>33</v>
      </c>
    </row>
    <row r="2189" spans="1:7" x14ac:dyDescent="0.25">
      <c r="A2189" s="101">
        <v>38832</v>
      </c>
      <c r="B2189" s="9">
        <v>32.99</v>
      </c>
      <c r="C2189" s="9">
        <v>33.06</v>
      </c>
      <c r="D2189" s="9">
        <v>31.88</v>
      </c>
      <c r="E2189" s="9">
        <v>31.99</v>
      </c>
      <c r="F2189" s="9">
        <v>22363200</v>
      </c>
      <c r="G2189" s="9">
        <v>31.99</v>
      </c>
    </row>
    <row r="2190" spans="1:7" x14ac:dyDescent="0.25">
      <c r="A2190" s="101">
        <v>38831</v>
      </c>
      <c r="B2190" s="9">
        <v>33.01</v>
      </c>
      <c r="C2190" s="9">
        <v>33.450000000000003</v>
      </c>
      <c r="D2190" s="9">
        <v>32.9</v>
      </c>
      <c r="E2190" s="9">
        <v>33.01</v>
      </c>
      <c r="F2190" s="9">
        <v>15441600</v>
      </c>
      <c r="G2190" s="9">
        <v>33.01</v>
      </c>
    </row>
    <row r="2191" spans="1:7" x14ac:dyDescent="0.25">
      <c r="A2191" s="101">
        <v>38828</v>
      </c>
      <c r="B2191" s="9">
        <v>33.36</v>
      </c>
      <c r="C2191" s="9">
        <v>34.090000000000003</v>
      </c>
      <c r="D2191" s="9">
        <v>32.700000000000003</v>
      </c>
      <c r="E2191" s="9">
        <v>32.89</v>
      </c>
      <c r="F2191" s="9">
        <v>25215000</v>
      </c>
      <c r="G2191" s="9">
        <v>32.89</v>
      </c>
    </row>
    <row r="2192" spans="1:7" x14ac:dyDescent="0.25">
      <c r="A2192" s="101">
        <v>38827</v>
      </c>
      <c r="B2192" s="9">
        <v>33.479999999999997</v>
      </c>
      <c r="C2192" s="9">
        <v>33.700000000000003</v>
      </c>
      <c r="D2192" s="9">
        <v>32.93</v>
      </c>
      <c r="E2192" s="9">
        <v>33.369999999999997</v>
      </c>
      <c r="F2192" s="9">
        <v>23403900</v>
      </c>
      <c r="G2192" s="9">
        <v>33.369999999999997</v>
      </c>
    </row>
    <row r="2193" spans="1:7" x14ac:dyDescent="0.25">
      <c r="A2193" s="101">
        <v>38826</v>
      </c>
      <c r="B2193" s="9">
        <v>33.47</v>
      </c>
      <c r="C2193" s="9">
        <v>33.979999999999997</v>
      </c>
      <c r="D2193" s="9">
        <v>32.76</v>
      </c>
      <c r="E2193" s="9">
        <v>33.54</v>
      </c>
      <c r="F2193" s="9">
        <v>77253600</v>
      </c>
      <c r="G2193" s="9">
        <v>33.54</v>
      </c>
    </row>
    <row r="2194" spans="1:7" x14ac:dyDescent="0.25">
      <c r="A2194" s="101">
        <v>38825</v>
      </c>
      <c r="B2194" s="9">
        <v>31.17</v>
      </c>
      <c r="C2194" s="9">
        <v>31.38</v>
      </c>
      <c r="D2194" s="9">
        <v>30.53</v>
      </c>
      <c r="E2194" s="9">
        <v>31.3</v>
      </c>
      <c r="F2194" s="9">
        <v>38604500</v>
      </c>
      <c r="G2194" s="9">
        <v>31.3</v>
      </c>
    </row>
    <row r="2195" spans="1:7" x14ac:dyDescent="0.25">
      <c r="A2195" s="101">
        <v>38824</v>
      </c>
      <c r="B2195" s="9">
        <v>31.16</v>
      </c>
      <c r="C2195" s="9">
        <v>31.79</v>
      </c>
      <c r="D2195" s="9">
        <v>30.66</v>
      </c>
      <c r="E2195" s="9">
        <v>30.97</v>
      </c>
      <c r="F2195" s="9">
        <v>18239900</v>
      </c>
      <c r="G2195" s="9">
        <v>30.97</v>
      </c>
    </row>
    <row r="2196" spans="1:7" x14ac:dyDescent="0.25">
      <c r="A2196" s="101">
        <v>38820</v>
      </c>
      <c r="B2196" s="9">
        <v>31.14</v>
      </c>
      <c r="C2196" s="9">
        <v>31.4</v>
      </c>
      <c r="D2196" s="9">
        <v>30.85</v>
      </c>
      <c r="E2196" s="9">
        <v>31.13</v>
      </c>
      <c r="F2196" s="9">
        <v>15609800</v>
      </c>
      <c r="G2196" s="9">
        <v>31.13</v>
      </c>
    </row>
    <row r="2197" spans="1:7" x14ac:dyDescent="0.25">
      <c r="A2197" s="101">
        <v>38819</v>
      </c>
      <c r="B2197" s="9">
        <v>31.44</v>
      </c>
      <c r="C2197" s="9">
        <v>31.5</v>
      </c>
      <c r="D2197" s="9">
        <v>30.89</v>
      </c>
      <c r="E2197" s="9">
        <v>31.1</v>
      </c>
      <c r="F2197" s="9">
        <v>14926900</v>
      </c>
      <c r="G2197" s="9">
        <v>31.1</v>
      </c>
    </row>
    <row r="2198" spans="1:7" x14ac:dyDescent="0.25">
      <c r="A2198" s="101">
        <v>38818</v>
      </c>
      <c r="B2198" s="9">
        <v>32.450000000000003</v>
      </c>
      <c r="C2198" s="9">
        <v>32.6</v>
      </c>
      <c r="D2198" s="9">
        <v>31.15</v>
      </c>
      <c r="E2198" s="9">
        <v>31.39</v>
      </c>
      <c r="F2198" s="9">
        <v>22105600</v>
      </c>
      <c r="G2198" s="9">
        <v>31.39</v>
      </c>
    </row>
    <row r="2199" spans="1:7" x14ac:dyDescent="0.25">
      <c r="A2199" s="101">
        <v>38817</v>
      </c>
      <c r="B2199" s="9">
        <v>32.28</v>
      </c>
      <c r="C2199" s="9">
        <v>32.630000000000003</v>
      </c>
      <c r="D2199" s="9">
        <v>32.119999999999997</v>
      </c>
      <c r="E2199" s="9">
        <v>32.549999999999997</v>
      </c>
      <c r="F2199" s="9">
        <v>9618000</v>
      </c>
      <c r="G2199" s="9">
        <v>32.549999999999997</v>
      </c>
    </row>
    <row r="2200" spans="1:7" x14ac:dyDescent="0.25">
      <c r="A2200" s="101">
        <v>38814</v>
      </c>
      <c r="B2200" s="9">
        <v>32.85</v>
      </c>
      <c r="C2200" s="9">
        <v>32.97</v>
      </c>
      <c r="D2200" s="9">
        <v>32.21</v>
      </c>
      <c r="E2200" s="9">
        <v>32.270000000000003</v>
      </c>
      <c r="F2200" s="9">
        <v>12980200</v>
      </c>
      <c r="G2200" s="9">
        <v>32.270000000000003</v>
      </c>
    </row>
    <row r="2201" spans="1:7" x14ac:dyDescent="0.25">
      <c r="A2201" s="101">
        <v>38813</v>
      </c>
      <c r="B2201" s="9">
        <v>32.119999999999997</v>
      </c>
      <c r="C2201" s="9">
        <v>33.14</v>
      </c>
      <c r="D2201" s="9">
        <v>32.11</v>
      </c>
      <c r="E2201" s="9">
        <v>32.79</v>
      </c>
      <c r="F2201" s="9">
        <v>21572600</v>
      </c>
      <c r="G2201" s="9">
        <v>32.79</v>
      </c>
    </row>
    <row r="2202" spans="1:7" x14ac:dyDescent="0.25">
      <c r="A2202" s="101">
        <v>38812</v>
      </c>
      <c r="B2202" s="9">
        <v>32.299999999999997</v>
      </c>
      <c r="C2202" s="9">
        <v>32.5</v>
      </c>
      <c r="D2202" s="9">
        <v>31.96</v>
      </c>
      <c r="E2202" s="9">
        <v>32.11</v>
      </c>
      <c r="F2202" s="9">
        <v>11982500</v>
      </c>
      <c r="G2202" s="9">
        <v>32.11</v>
      </c>
    </row>
    <row r="2203" spans="1:7" x14ac:dyDescent="0.25">
      <c r="A2203" s="101">
        <v>38811</v>
      </c>
      <c r="B2203" s="9">
        <v>31.69</v>
      </c>
      <c r="C2203" s="9">
        <v>32.25</v>
      </c>
      <c r="D2203" s="9">
        <v>31.66</v>
      </c>
      <c r="E2203" s="9">
        <v>32.1</v>
      </c>
      <c r="F2203" s="9">
        <v>16232700</v>
      </c>
      <c r="G2203" s="9">
        <v>32.1</v>
      </c>
    </row>
    <row r="2204" spans="1:7" x14ac:dyDescent="0.25">
      <c r="A2204" s="101">
        <v>38810</v>
      </c>
      <c r="B2204" s="9">
        <v>32.409999999999997</v>
      </c>
      <c r="C2204" s="9">
        <v>32.53</v>
      </c>
      <c r="D2204" s="9">
        <v>31.79</v>
      </c>
      <c r="E2204" s="9">
        <v>31.89</v>
      </c>
      <c r="F2204" s="9">
        <v>14887900</v>
      </c>
      <c r="G2204" s="9">
        <v>31.89</v>
      </c>
    </row>
    <row r="2205" spans="1:7" x14ac:dyDescent="0.25">
      <c r="A2205" s="101">
        <v>38807</v>
      </c>
      <c r="B2205" s="9">
        <v>32.450000000000003</v>
      </c>
      <c r="C2205" s="9">
        <v>32.630000000000003</v>
      </c>
      <c r="D2205" s="9">
        <v>32.01</v>
      </c>
      <c r="E2205" s="9">
        <v>32.26</v>
      </c>
      <c r="F2205" s="9">
        <v>12677300</v>
      </c>
      <c r="G2205" s="9">
        <v>32.26</v>
      </c>
    </row>
    <row r="2206" spans="1:7" x14ac:dyDescent="0.25">
      <c r="A2206" s="101">
        <v>38806</v>
      </c>
      <c r="B2206" s="9">
        <v>32.75</v>
      </c>
      <c r="C2206" s="9">
        <v>32.83</v>
      </c>
      <c r="D2206" s="9">
        <v>32.090000000000003</v>
      </c>
      <c r="E2206" s="9">
        <v>32.42</v>
      </c>
      <c r="F2206" s="9">
        <v>14314000</v>
      </c>
      <c r="G2206" s="9">
        <v>32.42</v>
      </c>
    </row>
    <row r="2207" spans="1:7" x14ac:dyDescent="0.25">
      <c r="A2207" s="101">
        <v>38805</v>
      </c>
      <c r="B2207" s="9">
        <v>32.44</v>
      </c>
      <c r="C2207" s="9">
        <v>32.909999999999997</v>
      </c>
      <c r="D2207" s="9">
        <v>32.14</v>
      </c>
      <c r="E2207" s="9">
        <v>32.56</v>
      </c>
      <c r="F2207" s="9">
        <v>25508200</v>
      </c>
      <c r="G2207" s="9">
        <v>32.56</v>
      </c>
    </row>
    <row r="2208" spans="1:7" x14ac:dyDescent="0.25">
      <c r="A2208" s="101">
        <v>38804</v>
      </c>
      <c r="B2208" s="9">
        <v>31.45</v>
      </c>
      <c r="C2208" s="9">
        <v>32.5</v>
      </c>
      <c r="D2208" s="9">
        <v>31.41</v>
      </c>
      <c r="E2208" s="9">
        <v>32.39</v>
      </c>
      <c r="F2208" s="9">
        <v>25981500</v>
      </c>
      <c r="G2208" s="9">
        <v>32.39</v>
      </c>
    </row>
    <row r="2209" spans="1:7" x14ac:dyDescent="0.25">
      <c r="A2209" s="101">
        <v>38803</v>
      </c>
      <c r="B2209" s="9">
        <v>31.84</v>
      </c>
      <c r="C2209" s="9">
        <v>32.08</v>
      </c>
      <c r="D2209" s="9">
        <v>31.3</v>
      </c>
      <c r="E2209" s="9">
        <v>31.45</v>
      </c>
      <c r="F2209" s="9">
        <v>14858500</v>
      </c>
      <c r="G2209" s="9">
        <v>31.45</v>
      </c>
    </row>
    <row r="2210" spans="1:7" x14ac:dyDescent="0.25">
      <c r="A2210" s="101">
        <v>38800</v>
      </c>
      <c r="B2210" s="9">
        <v>32.28</v>
      </c>
      <c r="C2210" s="9">
        <v>32.31</v>
      </c>
      <c r="D2210" s="9">
        <v>31.53</v>
      </c>
      <c r="E2210" s="9">
        <v>31.77</v>
      </c>
      <c r="F2210" s="9">
        <v>17816500</v>
      </c>
      <c r="G2210" s="9">
        <v>31.77</v>
      </c>
    </row>
    <row r="2211" spans="1:7" x14ac:dyDescent="0.25">
      <c r="A2211" s="101">
        <v>38799</v>
      </c>
      <c r="B2211" s="9">
        <v>31.52</v>
      </c>
      <c r="C2211" s="9">
        <v>31.95</v>
      </c>
      <c r="D2211" s="9">
        <v>31.48</v>
      </c>
      <c r="E2211" s="9">
        <v>31.83</v>
      </c>
      <c r="F2211" s="9">
        <v>33834000</v>
      </c>
      <c r="G2211" s="9">
        <v>31.83</v>
      </c>
    </row>
    <row r="2212" spans="1:7" x14ac:dyDescent="0.25">
      <c r="A2212" s="101">
        <v>38798</v>
      </c>
      <c r="B2212" s="9">
        <v>30.33</v>
      </c>
      <c r="C2212" s="9">
        <v>30.91</v>
      </c>
      <c r="D2212" s="9">
        <v>30.31</v>
      </c>
      <c r="E2212" s="9">
        <v>30.75</v>
      </c>
      <c r="F2212" s="9">
        <v>23147400</v>
      </c>
      <c r="G2212" s="9">
        <v>30.75</v>
      </c>
    </row>
    <row r="2213" spans="1:7" x14ac:dyDescent="0.25">
      <c r="A2213" s="101">
        <v>38797</v>
      </c>
      <c r="B2213" s="9">
        <v>30.11</v>
      </c>
      <c r="C2213" s="9">
        <v>30.78</v>
      </c>
      <c r="D2213" s="9">
        <v>30.02</v>
      </c>
      <c r="E2213" s="9">
        <v>30.11</v>
      </c>
      <c r="F2213" s="9">
        <v>18876400</v>
      </c>
      <c r="G2213" s="9">
        <v>30.11</v>
      </c>
    </row>
    <row r="2214" spans="1:7" x14ac:dyDescent="0.25">
      <c r="A2214" s="101">
        <v>38796</v>
      </c>
      <c r="B2214" s="9">
        <v>30.38</v>
      </c>
      <c r="C2214" s="9">
        <v>30.93</v>
      </c>
      <c r="D2214" s="9">
        <v>30.2</v>
      </c>
      <c r="E2214" s="9">
        <v>30.44</v>
      </c>
      <c r="F2214" s="9">
        <v>21455200</v>
      </c>
      <c r="G2214" s="9">
        <v>30.44</v>
      </c>
    </row>
    <row r="2215" spans="1:7" x14ac:dyDescent="0.25">
      <c r="A2215" s="101">
        <v>38793</v>
      </c>
      <c r="B2215" s="9">
        <v>30.35</v>
      </c>
      <c r="C2215" s="9">
        <v>30.36</v>
      </c>
      <c r="D2215" s="9">
        <v>29.83</v>
      </c>
      <c r="E2215" s="9">
        <v>30.07</v>
      </c>
      <c r="F2215" s="9">
        <v>23629700</v>
      </c>
      <c r="G2215" s="9">
        <v>30.07</v>
      </c>
    </row>
    <row r="2216" spans="1:7" x14ac:dyDescent="0.25">
      <c r="A2216" s="101">
        <v>38792</v>
      </c>
      <c r="B2216" s="9">
        <v>30.77</v>
      </c>
      <c r="C2216" s="9">
        <v>30.88</v>
      </c>
      <c r="D2216" s="9">
        <v>30.1</v>
      </c>
      <c r="E2216" s="9">
        <v>30.13</v>
      </c>
      <c r="F2216" s="9">
        <v>17108000</v>
      </c>
      <c r="G2216" s="9">
        <v>30.13</v>
      </c>
    </row>
    <row r="2217" spans="1:7" x14ac:dyDescent="0.25">
      <c r="A2217" s="101">
        <v>38791</v>
      </c>
      <c r="B2217" s="9">
        <v>31.25</v>
      </c>
      <c r="C2217" s="9">
        <v>31.28</v>
      </c>
      <c r="D2217" s="9">
        <v>30.47</v>
      </c>
      <c r="E2217" s="9">
        <v>30.53</v>
      </c>
      <c r="F2217" s="9">
        <v>20758000</v>
      </c>
      <c r="G2217" s="9">
        <v>30.53</v>
      </c>
    </row>
    <row r="2218" spans="1:7" x14ac:dyDescent="0.25">
      <c r="A2218" s="101">
        <v>38790</v>
      </c>
      <c r="B2218" s="9">
        <v>30.1</v>
      </c>
      <c r="C2218" s="9">
        <v>31</v>
      </c>
      <c r="D2218" s="9">
        <v>30.1</v>
      </c>
      <c r="E2218" s="9">
        <v>30.99</v>
      </c>
      <c r="F2218" s="9">
        <v>19294700</v>
      </c>
      <c r="G2218" s="9">
        <v>30.99</v>
      </c>
    </row>
    <row r="2219" spans="1:7" x14ac:dyDescent="0.25">
      <c r="A2219" s="101">
        <v>38789</v>
      </c>
      <c r="B2219" s="9">
        <v>30.72</v>
      </c>
      <c r="C2219" s="9">
        <v>30.97</v>
      </c>
      <c r="D2219" s="9">
        <v>30.12</v>
      </c>
      <c r="E2219" s="9">
        <v>30.15</v>
      </c>
      <c r="F2219" s="9">
        <v>18437700</v>
      </c>
      <c r="G2219" s="9">
        <v>30.15</v>
      </c>
    </row>
    <row r="2220" spans="1:7" x14ac:dyDescent="0.25">
      <c r="A2220" s="101">
        <v>38786</v>
      </c>
      <c r="B2220" s="9">
        <v>30.4</v>
      </c>
      <c r="C2220" s="9">
        <v>31.1</v>
      </c>
      <c r="D2220" s="9">
        <v>29.75</v>
      </c>
      <c r="E2220" s="9">
        <v>30.58</v>
      </c>
      <c r="F2220" s="9">
        <v>28991400</v>
      </c>
      <c r="G2220" s="9">
        <v>30.58</v>
      </c>
    </row>
    <row r="2221" spans="1:7" x14ac:dyDescent="0.25">
      <c r="A2221" s="101">
        <v>38785</v>
      </c>
      <c r="B2221" s="9">
        <v>31.05</v>
      </c>
      <c r="C2221" s="9">
        <v>31.32</v>
      </c>
      <c r="D2221" s="9">
        <v>30.25</v>
      </c>
      <c r="E2221" s="9">
        <v>30.28</v>
      </c>
      <c r="F2221" s="9">
        <v>18277000</v>
      </c>
      <c r="G2221" s="9">
        <v>30.28</v>
      </c>
    </row>
    <row r="2222" spans="1:7" x14ac:dyDescent="0.25">
      <c r="A2222" s="101">
        <v>38784</v>
      </c>
      <c r="B2222" s="9">
        <v>31.31</v>
      </c>
      <c r="C2222" s="9">
        <v>31.55</v>
      </c>
      <c r="D2222" s="9">
        <v>30.82</v>
      </c>
      <c r="E2222" s="9">
        <v>30.99</v>
      </c>
      <c r="F2222" s="9">
        <v>20910200</v>
      </c>
      <c r="G2222" s="9">
        <v>30.99</v>
      </c>
    </row>
    <row r="2223" spans="1:7" x14ac:dyDescent="0.25">
      <c r="A2223" s="101">
        <v>38783</v>
      </c>
      <c r="B2223" s="9">
        <v>31.42</v>
      </c>
      <c r="C2223" s="9">
        <v>32.200000000000003</v>
      </c>
      <c r="D2223" s="9">
        <v>31.31</v>
      </c>
      <c r="E2223" s="9">
        <v>31.43</v>
      </c>
      <c r="F2223" s="9">
        <v>23365100</v>
      </c>
      <c r="G2223" s="9">
        <v>31.43</v>
      </c>
    </row>
    <row r="2224" spans="1:7" x14ac:dyDescent="0.25">
      <c r="A2224" s="101">
        <v>38782</v>
      </c>
      <c r="B2224" s="9">
        <v>31.53</v>
      </c>
      <c r="C2224" s="9">
        <v>31.94</v>
      </c>
      <c r="D2224" s="9">
        <v>31.45</v>
      </c>
      <c r="E2224" s="9">
        <v>31.57</v>
      </c>
      <c r="F2224" s="9">
        <v>17211200</v>
      </c>
      <c r="G2224" s="9">
        <v>31.57</v>
      </c>
    </row>
    <row r="2225" spans="1:7" x14ac:dyDescent="0.25">
      <c r="A2225" s="101">
        <v>38779</v>
      </c>
      <c r="B2225" s="9">
        <v>31.7</v>
      </c>
      <c r="C2225" s="9">
        <v>32.07</v>
      </c>
      <c r="D2225" s="9">
        <v>31.38</v>
      </c>
      <c r="E2225" s="9">
        <v>31.45</v>
      </c>
      <c r="F2225" s="9">
        <v>23196000</v>
      </c>
      <c r="G2225" s="9">
        <v>31.45</v>
      </c>
    </row>
    <row r="2226" spans="1:7" x14ac:dyDescent="0.25">
      <c r="A2226" s="101">
        <v>38778</v>
      </c>
      <c r="B2226" s="9">
        <v>32.01</v>
      </c>
      <c r="C2226" s="9">
        <v>32.11</v>
      </c>
      <c r="D2226" s="9">
        <v>31.58</v>
      </c>
      <c r="E2226" s="9">
        <v>31.7</v>
      </c>
      <c r="F2226" s="9">
        <v>23487300</v>
      </c>
      <c r="G2226" s="9">
        <v>31.7</v>
      </c>
    </row>
    <row r="2227" spans="1:7" x14ac:dyDescent="0.25">
      <c r="A2227" s="101">
        <v>38777</v>
      </c>
      <c r="B2227" s="9">
        <v>32.21</v>
      </c>
      <c r="C2227" s="9">
        <v>32.42</v>
      </c>
      <c r="D2227" s="9">
        <v>31.72</v>
      </c>
      <c r="E2227" s="9">
        <v>32.18</v>
      </c>
      <c r="F2227" s="9">
        <v>18466100</v>
      </c>
      <c r="G2227" s="9">
        <v>32.18</v>
      </c>
    </row>
    <row r="2228" spans="1:7" x14ac:dyDescent="0.25">
      <c r="A2228" s="101">
        <v>38776</v>
      </c>
      <c r="B2228" s="9">
        <v>32.630000000000003</v>
      </c>
      <c r="C2228" s="9">
        <v>32.979999999999997</v>
      </c>
      <c r="D2228" s="9">
        <v>31.34</v>
      </c>
      <c r="E2228" s="9">
        <v>32.06</v>
      </c>
      <c r="F2228" s="9">
        <v>39926200</v>
      </c>
      <c r="G2228" s="9">
        <v>32.06</v>
      </c>
    </row>
    <row r="2229" spans="1:7" x14ac:dyDescent="0.25">
      <c r="A2229" s="101">
        <v>38775</v>
      </c>
      <c r="B2229" s="9">
        <v>33.11</v>
      </c>
      <c r="C2229" s="9">
        <v>33.21</v>
      </c>
      <c r="D2229" s="9">
        <v>32.57</v>
      </c>
      <c r="E2229" s="9">
        <v>32.74</v>
      </c>
      <c r="F2229" s="9">
        <v>11821900</v>
      </c>
      <c r="G2229" s="9">
        <v>32.74</v>
      </c>
    </row>
    <row r="2230" spans="1:7" x14ac:dyDescent="0.25">
      <c r="A2230" s="101">
        <v>38772</v>
      </c>
      <c r="B2230" s="9">
        <v>33.200000000000003</v>
      </c>
      <c r="C2230" s="9">
        <v>33.340000000000003</v>
      </c>
      <c r="D2230" s="9">
        <v>32.92</v>
      </c>
      <c r="E2230" s="9">
        <v>33.01</v>
      </c>
      <c r="F2230" s="9">
        <v>10136400</v>
      </c>
      <c r="G2230" s="9">
        <v>33.01</v>
      </c>
    </row>
    <row r="2231" spans="1:7" x14ac:dyDescent="0.25">
      <c r="A2231" s="101">
        <v>38771</v>
      </c>
      <c r="B2231" s="9">
        <v>33.01</v>
      </c>
      <c r="C2231" s="9">
        <v>33.659999999999997</v>
      </c>
      <c r="D2231" s="9">
        <v>32.880000000000003</v>
      </c>
      <c r="E2231" s="9">
        <v>33.15</v>
      </c>
      <c r="F2231" s="9">
        <v>14947600</v>
      </c>
      <c r="G2231" s="9">
        <v>33.15</v>
      </c>
    </row>
    <row r="2232" spans="1:7" x14ac:dyDescent="0.25">
      <c r="A2232" s="101">
        <v>38770</v>
      </c>
      <c r="B2232" s="9">
        <v>32.49</v>
      </c>
      <c r="C2232" s="9">
        <v>33.340000000000003</v>
      </c>
      <c r="D2232" s="9">
        <v>32.4</v>
      </c>
      <c r="E2232" s="9">
        <v>33.159999999999997</v>
      </c>
      <c r="F2232" s="9">
        <v>18433500</v>
      </c>
      <c r="G2232" s="9">
        <v>33.159999999999997</v>
      </c>
    </row>
    <row r="2233" spans="1:7" x14ac:dyDescent="0.25">
      <c r="A2233" s="101">
        <v>38769</v>
      </c>
      <c r="B2233" s="9">
        <v>32.9</v>
      </c>
      <c r="C2233" s="9">
        <v>33.07</v>
      </c>
      <c r="D2233" s="9">
        <v>32.380000000000003</v>
      </c>
      <c r="E2233" s="9">
        <v>32.39</v>
      </c>
      <c r="F2233" s="9">
        <v>14328100</v>
      </c>
      <c r="G2233" s="9">
        <v>32.39</v>
      </c>
    </row>
    <row r="2234" spans="1:7" x14ac:dyDescent="0.25">
      <c r="A2234" s="101">
        <v>38765</v>
      </c>
      <c r="B2234" s="9">
        <v>32.880000000000003</v>
      </c>
      <c r="C2234" s="9">
        <v>33.14</v>
      </c>
      <c r="D2234" s="9">
        <v>32.71</v>
      </c>
      <c r="E2234" s="9">
        <v>32.76</v>
      </c>
      <c r="F2234" s="9">
        <v>12620200</v>
      </c>
      <c r="G2234" s="9">
        <v>32.76</v>
      </c>
    </row>
    <row r="2235" spans="1:7" x14ac:dyDescent="0.25">
      <c r="A2235" s="101">
        <v>38764</v>
      </c>
      <c r="B2235" s="9">
        <v>33.299999999999997</v>
      </c>
      <c r="C2235" s="9">
        <v>33.4</v>
      </c>
      <c r="D2235" s="9">
        <v>32.6</v>
      </c>
      <c r="E2235" s="9">
        <v>32.75</v>
      </c>
      <c r="F2235" s="9">
        <v>19500100</v>
      </c>
      <c r="G2235" s="9">
        <v>32.75</v>
      </c>
    </row>
    <row r="2236" spans="1:7" x14ac:dyDescent="0.25">
      <c r="A2236" s="101">
        <v>38763</v>
      </c>
      <c r="B2236" s="9">
        <v>32.619999999999997</v>
      </c>
      <c r="C2236" s="9">
        <v>33.33</v>
      </c>
      <c r="D2236" s="9">
        <v>32.549999999999997</v>
      </c>
      <c r="E2236" s="9">
        <v>33.020000000000003</v>
      </c>
      <c r="F2236" s="9">
        <v>19542100</v>
      </c>
      <c r="G2236" s="9">
        <v>33.020000000000003</v>
      </c>
    </row>
    <row r="2237" spans="1:7" x14ac:dyDescent="0.25">
      <c r="A2237" s="101">
        <v>38762</v>
      </c>
      <c r="B2237" s="9">
        <v>32.14</v>
      </c>
      <c r="C2237" s="9">
        <v>32.83</v>
      </c>
      <c r="D2237" s="9">
        <v>32.049999999999997</v>
      </c>
      <c r="E2237" s="9">
        <v>32.72</v>
      </c>
      <c r="F2237" s="9">
        <v>26198600</v>
      </c>
      <c r="G2237" s="9">
        <v>32.72</v>
      </c>
    </row>
    <row r="2238" spans="1:7" x14ac:dyDescent="0.25">
      <c r="A2238" s="101">
        <v>38761</v>
      </c>
      <c r="B2238" s="9">
        <v>32.21</v>
      </c>
      <c r="C2238" s="9">
        <v>32.44</v>
      </c>
      <c r="D2238" s="9">
        <v>31.7</v>
      </c>
      <c r="E2238" s="9">
        <v>32.04</v>
      </c>
      <c r="F2238" s="9">
        <v>26139300</v>
      </c>
      <c r="G2238" s="9">
        <v>32.04</v>
      </c>
    </row>
    <row r="2239" spans="1:7" x14ac:dyDescent="0.25">
      <c r="A2239" s="101">
        <v>38758</v>
      </c>
      <c r="B2239" s="9">
        <v>32.58</v>
      </c>
      <c r="C2239" s="9">
        <v>32.6</v>
      </c>
      <c r="D2239" s="9">
        <v>32.1</v>
      </c>
      <c r="E2239" s="9">
        <v>32.51</v>
      </c>
      <c r="F2239" s="9">
        <v>19628600</v>
      </c>
      <c r="G2239" s="9">
        <v>32.51</v>
      </c>
    </row>
    <row r="2240" spans="1:7" x14ac:dyDescent="0.25">
      <c r="A2240" s="101">
        <v>38757</v>
      </c>
      <c r="B2240" s="9">
        <v>33.01</v>
      </c>
      <c r="C2240" s="9">
        <v>33.36</v>
      </c>
      <c r="D2240" s="9">
        <v>32.4</v>
      </c>
      <c r="E2240" s="9">
        <v>32.5</v>
      </c>
      <c r="F2240" s="9">
        <v>25335200</v>
      </c>
      <c r="G2240" s="9">
        <v>32.5</v>
      </c>
    </row>
    <row r="2241" spans="1:7" x14ac:dyDescent="0.25">
      <c r="A2241" s="101">
        <v>38756</v>
      </c>
      <c r="B2241" s="9">
        <v>33.24</v>
      </c>
      <c r="C2241" s="9">
        <v>33.4</v>
      </c>
      <c r="D2241" s="9">
        <v>32.51</v>
      </c>
      <c r="E2241" s="9">
        <v>33</v>
      </c>
      <c r="F2241" s="9">
        <v>28112900</v>
      </c>
      <c r="G2241" s="9">
        <v>33</v>
      </c>
    </row>
    <row r="2242" spans="1:7" x14ac:dyDescent="0.25">
      <c r="A2242" s="101">
        <v>38755</v>
      </c>
      <c r="B2242" s="9">
        <v>33.01</v>
      </c>
      <c r="C2242" s="9">
        <v>33.1</v>
      </c>
      <c r="D2242" s="9">
        <v>32.32</v>
      </c>
      <c r="E2242" s="9">
        <v>33.020000000000003</v>
      </c>
      <c r="F2242" s="9">
        <v>37236800</v>
      </c>
      <c r="G2242" s="9">
        <v>33.020000000000003</v>
      </c>
    </row>
    <row r="2243" spans="1:7" x14ac:dyDescent="0.25">
      <c r="A2243" s="101">
        <v>38754</v>
      </c>
      <c r="B2243" s="9">
        <v>33.9</v>
      </c>
      <c r="C2243" s="9">
        <v>33.950000000000003</v>
      </c>
      <c r="D2243" s="9">
        <v>32.78</v>
      </c>
      <c r="E2243" s="9">
        <v>32.92</v>
      </c>
      <c r="F2243" s="9">
        <v>23523100</v>
      </c>
      <c r="G2243" s="9">
        <v>32.92</v>
      </c>
    </row>
    <row r="2244" spans="1:7" x14ac:dyDescent="0.25">
      <c r="A2244" s="101">
        <v>38751</v>
      </c>
      <c r="B2244" s="9">
        <v>34</v>
      </c>
      <c r="C2244" s="9">
        <v>34.049999999999997</v>
      </c>
      <c r="D2244" s="9">
        <v>33.26</v>
      </c>
      <c r="E2244" s="9">
        <v>33.54</v>
      </c>
      <c r="F2244" s="9">
        <v>32639600</v>
      </c>
      <c r="G2244" s="9">
        <v>33.54</v>
      </c>
    </row>
    <row r="2245" spans="1:7" x14ac:dyDescent="0.25">
      <c r="A2245" s="101">
        <v>38750</v>
      </c>
      <c r="B2245" s="9">
        <v>35.01</v>
      </c>
      <c r="C2245" s="9">
        <v>35.1</v>
      </c>
      <c r="D2245" s="9">
        <v>34.1</v>
      </c>
      <c r="E2245" s="9">
        <v>34.25</v>
      </c>
      <c r="F2245" s="9">
        <v>18323500</v>
      </c>
      <c r="G2245" s="9">
        <v>34.25</v>
      </c>
    </row>
    <row r="2246" spans="1:7" x14ac:dyDescent="0.25">
      <c r="A2246" s="101">
        <v>38749</v>
      </c>
      <c r="B2246" s="9">
        <v>34.450000000000003</v>
      </c>
      <c r="C2246" s="9">
        <v>35</v>
      </c>
      <c r="D2246" s="9">
        <v>34.35</v>
      </c>
      <c r="E2246" s="9">
        <v>35</v>
      </c>
      <c r="F2246" s="9">
        <v>43600400</v>
      </c>
      <c r="G2246" s="9">
        <v>35</v>
      </c>
    </row>
    <row r="2247" spans="1:7" x14ac:dyDescent="0.25">
      <c r="A2247" s="101">
        <v>38748</v>
      </c>
      <c r="B2247" s="9">
        <v>35.200000000000003</v>
      </c>
      <c r="C2247" s="9">
        <v>35.200000000000003</v>
      </c>
      <c r="D2247" s="9">
        <v>34.31</v>
      </c>
      <c r="E2247" s="9">
        <v>34.380000000000003</v>
      </c>
      <c r="F2247" s="9">
        <v>36538000</v>
      </c>
      <c r="G2247" s="9">
        <v>34.380000000000003</v>
      </c>
    </row>
    <row r="2248" spans="1:7" x14ac:dyDescent="0.25">
      <c r="A2248" s="101">
        <v>38747</v>
      </c>
      <c r="B2248" s="9">
        <v>35.090000000000003</v>
      </c>
      <c r="C2248" s="9">
        <v>35.229999999999997</v>
      </c>
      <c r="D2248" s="9">
        <v>34.880000000000003</v>
      </c>
      <c r="E2248" s="9">
        <v>35.049999999999997</v>
      </c>
      <c r="F2248" s="9">
        <v>29030600</v>
      </c>
      <c r="G2248" s="9">
        <v>35.049999999999997</v>
      </c>
    </row>
    <row r="2249" spans="1:7" x14ac:dyDescent="0.25">
      <c r="A2249" s="101">
        <v>38744</v>
      </c>
      <c r="B2249" s="9">
        <v>35.26</v>
      </c>
      <c r="C2249" s="9">
        <v>35.270000000000003</v>
      </c>
      <c r="D2249" s="9">
        <v>34.659999999999997</v>
      </c>
      <c r="E2249" s="9">
        <v>35.090000000000003</v>
      </c>
      <c r="F2249" s="9">
        <v>24317400</v>
      </c>
      <c r="G2249" s="9">
        <v>35.090000000000003</v>
      </c>
    </row>
    <row r="2250" spans="1:7" x14ac:dyDescent="0.25">
      <c r="A2250" s="101">
        <v>38743</v>
      </c>
      <c r="B2250" s="9">
        <v>34.94</v>
      </c>
      <c r="C2250" s="9">
        <v>35.25</v>
      </c>
      <c r="D2250" s="9">
        <v>34.49</v>
      </c>
      <c r="E2250" s="9">
        <v>35.17</v>
      </c>
      <c r="F2250" s="9">
        <v>28471400</v>
      </c>
      <c r="G2250" s="9">
        <v>35.17</v>
      </c>
    </row>
    <row r="2251" spans="1:7" x14ac:dyDescent="0.25">
      <c r="A2251" s="101">
        <v>38742</v>
      </c>
      <c r="B2251" s="9">
        <v>35.43</v>
      </c>
      <c r="C2251" s="9">
        <v>35.479999999999997</v>
      </c>
      <c r="D2251" s="9">
        <v>34.380000000000003</v>
      </c>
      <c r="E2251" s="9">
        <v>34.49</v>
      </c>
      <c r="F2251" s="9">
        <v>23779200</v>
      </c>
      <c r="G2251" s="9">
        <v>34.49</v>
      </c>
    </row>
    <row r="2252" spans="1:7" x14ac:dyDescent="0.25">
      <c r="A2252" s="101">
        <v>38741</v>
      </c>
      <c r="B2252" s="9">
        <v>34.549999999999997</v>
      </c>
      <c r="C2252" s="9">
        <v>35.200000000000003</v>
      </c>
      <c r="D2252" s="9">
        <v>34.51</v>
      </c>
      <c r="E2252" s="9">
        <v>34.869999999999997</v>
      </c>
      <c r="F2252" s="9">
        <v>31667800</v>
      </c>
      <c r="G2252" s="9">
        <v>34.869999999999997</v>
      </c>
    </row>
    <row r="2253" spans="1:7" x14ac:dyDescent="0.25">
      <c r="A2253" s="101">
        <v>38740</v>
      </c>
      <c r="B2253" s="9">
        <v>34.22</v>
      </c>
      <c r="C2253" s="9">
        <v>34.4</v>
      </c>
      <c r="D2253" s="9">
        <v>33.979999999999997</v>
      </c>
      <c r="E2253" s="9">
        <v>34.17</v>
      </c>
      <c r="F2253" s="9">
        <v>30887600</v>
      </c>
      <c r="G2253" s="9">
        <v>34.17</v>
      </c>
    </row>
    <row r="2254" spans="1:7" x14ac:dyDescent="0.25">
      <c r="A2254" s="101">
        <v>38737</v>
      </c>
      <c r="B2254" s="9">
        <v>34.44</v>
      </c>
      <c r="C2254" s="9">
        <v>34.659999999999997</v>
      </c>
      <c r="D2254" s="9">
        <v>33.21</v>
      </c>
      <c r="E2254" s="9">
        <v>33.74</v>
      </c>
      <c r="F2254" s="9">
        <v>57644600</v>
      </c>
      <c r="G2254" s="9">
        <v>33.74</v>
      </c>
    </row>
    <row r="2255" spans="1:7" x14ac:dyDescent="0.25">
      <c r="A2255" s="101">
        <v>38736</v>
      </c>
      <c r="B2255" s="9">
        <v>35.82</v>
      </c>
      <c r="C2255" s="9">
        <v>35.840000000000003</v>
      </c>
      <c r="D2255" s="9">
        <v>34.24</v>
      </c>
      <c r="E2255" s="9">
        <v>34.33</v>
      </c>
      <c r="F2255" s="9">
        <v>60913000</v>
      </c>
      <c r="G2255" s="9">
        <v>34.33</v>
      </c>
    </row>
    <row r="2256" spans="1:7" x14ac:dyDescent="0.25">
      <c r="A2256" s="101">
        <v>38735</v>
      </c>
      <c r="B2256" s="9">
        <v>35.01</v>
      </c>
      <c r="C2256" s="9">
        <v>36.159999999999997</v>
      </c>
      <c r="D2256" s="9">
        <v>34.74</v>
      </c>
      <c r="E2256" s="9">
        <v>35.18</v>
      </c>
      <c r="F2256" s="9">
        <v>118556100</v>
      </c>
      <c r="G2256" s="9">
        <v>35.18</v>
      </c>
    </row>
    <row r="2257" spans="1:7" x14ac:dyDescent="0.25">
      <c r="A2257" s="101">
        <v>38734</v>
      </c>
      <c r="B2257" s="9">
        <v>39.090000000000003</v>
      </c>
      <c r="C2257" s="9">
        <v>40.39</v>
      </c>
      <c r="D2257" s="9">
        <v>38.96</v>
      </c>
      <c r="E2257" s="9">
        <v>40.11</v>
      </c>
      <c r="F2257" s="9">
        <v>41797000</v>
      </c>
      <c r="G2257" s="9">
        <v>40.11</v>
      </c>
    </row>
    <row r="2258" spans="1:7" x14ac:dyDescent="0.25">
      <c r="A2258" s="101">
        <v>38730</v>
      </c>
      <c r="B2258" s="9">
        <v>41</v>
      </c>
      <c r="C2258" s="9">
        <v>41.08</v>
      </c>
      <c r="D2258" s="9">
        <v>39.619999999999997</v>
      </c>
      <c r="E2258" s="9">
        <v>39.9</v>
      </c>
      <c r="F2258" s="9">
        <v>30960800</v>
      </c>
      <c r="G2258" s="9">
        <v>39.9</v>
      </c>
    </row>
    <row r="2259" spans="1:7" x14ac:dyDescent="0.25">
      <c r="A2259" s="101">
        <v>38729</v>
      </c>
      <c r="B2259" s="9">
        <v>41.92</v>
      </c>
      <c r="C2259" s="9">
        <v>41.99</v>
      </c>
      <c r="D2259" s="9">
        <v>40.76</v>
      </c>
      <c r="E2259" s="9">
        <v>40.89</v>
      </c>
      <c r="F2259" s="9">
        <v>18921700</v>
      </c>
      <c r="G2259" s="9">
        <v>40.89</v>
      </c>
    </row>
    <row r="2260" spans="1:7" x14ac:dyDescent="0.25">
      <c r="A2260" s="101">
        <v>38728</v>
      </c>
      <c r="B2260" s="9">
        <v>42.19</v>
      </c>
      <c r="C2260" s="9">
        <v>42.31</v>
      </c>
      <c r="D2260" s="9">
        <v>41.72</v>
      </c>
      <c r="E2260" s="9">
        <v>41.87</v>
      </c>
      <c r="F2260" s="9">
        <v>26191400</v>
      </c>
      <c r="G2260" s="9">
        <v>41.87</v>
      </c>
    </row>
    <row r="2261" spans="1:7" x14ac:dyDescent="0.25">
      <c r="A2261" s="101">
        <v>38727</v>
      </c>
      <c r="B2261" s="9">
        <v>42.96</v>
      </c>
      <c r="C2261" s="9">
        <v>43.34</v>
      </c>
      <c r="D2261" s="9">
        <v>42.34</v>
      </c>
      <c r="E2261" s="9">
        <v>42.98</v>
      </c>
      <c r="F2261" s="9">
        <v>16287200</v>
      </c>
      <c r="G2261" s="9">
        <v>42.98</v>
      </c>
    </row>
    <row r="2262" spans="1:7" x14ac:dyDescent="0.25">
      <c r="A2262" s="101">
        <v>38726</v>
      </c>
      <c r="B2262" s="9">
        <v>43.1</v>
      </c>
      <c r="C2262" s="9">
        <v>43.66</v>
      </c>
      <c r="D2262" s="9">
        <v>42.82</v>
      </c>
      <c r="E2262" s="9">
        <v>43.42</v>
      </c>
      <c r="F2262" s="9">
        <v>16266900</v>
      </c>
      <c r="G2262" s="9">
        <v>43.42</v>
      </c>
    </row>
    <row r="2263" spans="1:7" x14ac:dyDescent="0.25">
      <c r="A2263" s="101">
        <v>38723</v>
      </c>
      <c r="B2263" s="9">
        <v>42.88</v>
      </c>
      <c r="C2263" s="9">
        <v>43.57</v>
      </c>
      <c r="D2263" s="9">
        <v>42.8</v>
      </c>
      <c r="E2263" s="9">
        <v>43.21</v>
      </c>
      <c r="F2263" s="9">
        <v>29418400</v>
      </c>
      <c r="G2263" s="9">
        <v>43.21</v>
      </c>
    </row>
    <row r="2264" spans="1:7" x14ac:dyDescent="0.25">
      <c r="A2264" s="101">
        <v>38722</v>
      </c>
      <c r="B2264" s="9">
        <v>40.93</v>
      </c>
      <c r="C2264" s="9">
        <v>41.73</v>
      </c>
      <c r="D2264" s="9">
        <v>40.85</v>
      </c>
      <c r="E2264" s="9">
        <v>41.53</v>
      </c>
      <c r="F2264" s="9">
        <v>12829100</v>
      </c>
      <c r="G2264" s="9">
        <v>41.53</v>
      </c>
    </row>
    <row r="2265" spans="1:7" x14ac:dyDescent="0.25">
      <c r="A2265" s="101">
        <v>38721</v>
      </c>
      <c r="B2265" s="9">
        <v>41.22</v>
      </c>
      <c r="C2265" s="9">
        <v>41.9</v>
      </c>
      <c r="D2265" s="9">
        <v>40.770000000000003</v>
      </c>
      <c r="E2265" s="9">
        <v>40.97</v>
      </c>
      <c r="F2265" s="9">
        <v>20549000</v>
      </c>
      <c r="G2265" s="9">
        <v>40.97</v>
      </c>
    </row>
    <row r="2266" spans="1:7" x14ac:dyDescent="0.25">
      <c r="A2266" s="101">
        <v>38720</v>
      </c>
      <c r="B2266" s="9">
        <v>39.69</v>
      </c>
      <c r="C2266" s="9">
        <v>41.22</v>
      </c>
      <c r="D2266" s="9">
        <v>38.79</v>
      </c>
      <c r="E2266" s="9">
        <v>40.909999999999997</v>
      </c>
      <c r="F2266" s="9">
        <v>24227700</v>
      </c>
      <c r="G2266" s="9">
        <v>40.909999999999997</v>
      </c>
    </row>
    <row r="2267" spans="1:7" x14ac:dyDescent="0.25">
      <c r="A2267" s="101">
        <v>38716</v>
      </c>
      <c r="B2267" s="9">
        <v>39.4</v>
      </c>
      <c r="C2267" s="9">
        <v>39.56</v>
      </c>
      <c r="D2267" s="9">
        <v>39.049999999999997</v>
      </c>
      <c r="E2267" s="9">
        <v>39.18</v>
      </c>
      <c r="F2267" s="9">
        <v>12233000</v>
      </c>
      <c r="G2267" s="9">
        <v>39.18</v>
      </c>
    </row>
    <row r="2268" spans="1:7" x14ac:dyDescent="0.25">
      <c r="A2268" s="101">
        <v>38715</v>
      </c>
      <c r="B2268" s="9">
        <v>40.25</v>
      </c>
      <c r="C2268" s="9">
        <v>40.35</v>
      </c>
      <c r="D2268" s="9">
        <v>39.409999999999997</v>
      </c>
      <c r="E2268" s="9">
        <v>39.56</v>
      </c>
      <c r="F2268" s="9">
        <v>10116600</v>
      </c>
      <c r="G2268" s="9">
        <v>39.56</v>
      </c>
    </row>
    <row r="2269" spans="1:7" x14ac:dyDescent="0.25">
      <c r="A2269" s="101">
        <v>38714</v>
      </c>
      <c r="B2269" s="9">
        <v>40.1</v>
      </c>
      <c r="C2269" s="9">
        <v>40.479999999999997</v>
      </c>
      <c r="D2269" s="9">
        <v>39.770000000000003</v>
      </c>
      <c r="E2269" s="9">
        <v>40.25</v>
      </c>
      <c r="F2269" s="9">
        <v>11567900</v>
      </c>
      <c r="G2269" s="9">
        <v>40.25</v>
      </c>
    </row>
    <row r="2270" spans="1:7" x14ac:dyDescent="0.25">
      <c r="A2270" s="101">
        <v>38713</v>
      </c>
      <c r="B2270" s="9">
        <v>40.65</v>
      </c>
      <c r="C2270" s="9">
        <v>40.94</v>
      </c>
      <c r="D2270" s="9">
        <v>39.85</v>
      </c>
      <c r="E2270" s="9">
        <v>39.94</v>
      </c>
      <c r="F2270" s="9">
        <v>11672900</v>
      </c>
      <c r="G2270" s="9">
        <v>39.94</v>
      </c>
    </row>
    <row r="2271" spans="1:7" x14ac:dyDescent="0.25">
      <c r="A2271" s="101">
        <v>38709</v>
      </c>
      <c r="B2271" s="9">
        <v>41.09</v>
      </c>
      <c r="C2271" s="9">
        <v>41.1</v>
      </c>
      <c r="D2271" s="9">
        <v>40.450000000000003</v>
      </c>
      <c r="E2271" s="9">
        <v>40.630000000000003</v>
      </c>
      <c r="F2271" s="9">
        <v>5070200</v>
      </c>
      <c r="G2271" s="9">
        <v>40.630000000000003</v>
      </c>
    </row>
    <row r="2272" spans="1:7" x14ac:dyDescent="0.25">
      <c r="A2272" s="101">
        <v>38708</v>
      </c>
      <c r="B2272" s="9">
        <v>40.69</v>
      </c>
      <c r="C2272" s="9">
        <v>41.68</v>
      </c>
      <c r="D2272" s="9">
        <v>40.549999999999997</v>
      </c>
      <c r="E2272" s="9">
        <v>40.83</v>
      </c>
      <c r="F2272" s="9">
        <v>9548300</v>
      </c>
      <c r="G2272" s="9">
        <v>40.83</v>
      </c>
    </row>
    <row r="2273" spans="1:7" x14ac:dyDescent="0.25">
      <c r="A2273" s="101">
        <v>38707</v>
      </c>
      <c r="B2273" s="9">
        <v>40.520000000000003</v>
      </c>
      <c r="C2273" s="9">
        <v>41.05</v>
      </c>
      <c r="D2273" s="9">
        <v>40.35</v>
      </c>
      <c r="E2273" s="9">
        <v>40.47</v>
      </c>
      <c r="F2273" s="9">
        <v>11626900</v>
      </c>
      <c r="G2273" s="9">
        <v>40.47</v>
      </c>
    </row>
    <row r="2274" spans="1:7" x14ac:dyDescent="0.25">
      <c r="A2274" s="101">
        <v>38706</v>
      </c>
      <c r="B2274" s="9">
        <v>41.26</v>
      </c>
      <c r="C2274" s="9">
        <v>41.36</v>
      </c>
      <c r="D2274" s="9">
        <v>40.479999999999997</v>
      </c>
      <c r="E2274" s="9">
        <v>40.68</v>
      </c>
      <c r="F2274" s="9">
        <v>15269500</v>
      </c>
      <c r="G2274" s="9">
        <v>40.68</v>
      </c>
    </row>
    <row r="2275" spans="1:7" x14ac:dyDescent="0.25">
      <c r="A2275" s="101">
        <v>38705</v>
      </c>
      <c r="B2275" s="9">
        <v>42.16</v>
      </c>
      <c r="C2275" s="9">
        <v>42.89</v>
      </c>
      <c r="D2275" s="9">
        <v>40.880000000000003</v>
      </c>
      <c r="E2275" s="9">
        <v>41.05</v>
      </c>
      <c r="F2275" s="9">
        <v>18563700</v>
      </c>
      <c r="G2275" s="9">
        <v>41.05</v>
      </c>
    </row>
    <row r="2276" spans="1:7" x14ac:dyDescent="0.25">
      <c r="A2276" s="101">
        <v>38702</v>
      </c>
      <c r="B2276" s="9">
        <v>41.86</v>
      </c>
      <c r="C2276" s="9">
        <v>42.67</v>
      </c>
      <c r="D2276" s="9">
        <v>41.75</v>
      </c>
      <c r="E2276" s="9">
        <v>42.32</v>
      </c>
      <c r="F2276" s="9">
        <v>21805000</v>
      </c>
      <c r="G2276" s="9">
        <v>42.32</v>
      </c>
    </row>
    <row r="2277" spans="1:7" x14ac:dyDescent="0.25">
      <c r="A2277" s="101">
        <v>38701</v>
      </c>
      <c r="B2277" s="9">
        <v>41.23</v>
      </c>
      <c r="C2277" s="9">
        <v>41.84</v>
      </c>
      <c r="D2277" s="9">
        <v>41.14</v>
      </c>
      <c r="E2277" s="9">
        <v>41.75</v>
      </c>
      <c r="F2277" s="9">
        <v>20900800</v>
      </c>
      <c r="G2277" s="9">
        <v>41.75</v>
      </c>
    </row>
    <row r="2278" spans="1:7" x14ac:dyDescent="0.25">
      <c r="A2278" s="101">
        <v>38700</v>
      </c>
      <c r="B2278" s="9">
        <v>41.12</v>
      </c>
      <c r="C2278" s="9">
        <v>41.68</v>
      </c>
      <c r="D2278" s="9">
        <v>40.840000000000003</v>
      </c>
      <c r="E2278" s="9">
        <v>41.3</v>
      </c>
      <c r="F2278" s="9">
        <v>23034200</v>
      </c>
      <c r="G2278" s="9">
        <v>41.3</v>
      </c>
    </row>
    <row r="2279" spans="1:7" x14ac:dyDescent="0.25">
      <c r="A2279" s="101">
        <v>38699</v>
      </c>
      <c r="B2279" s="9">
        <v>40.01</v>
      </c>
      <c r="C2279" s="9">
        <v>41.4</v>
      </c>
      <c r="D2279" s="9">
        <v>40</v>
      </c>
      <c r="E2279" s="9">
        <v>41.2</v>
      </c>
      <c r="F2279" s="9">
        <v>17264700</v>
      </c>
      <c r="G2279" s="9">
        <v>41.2</v>
      </c>
    </row>
    <row r="2280" spans="1:7" x14ac:dyDescent="0.25">
      <c r="A2280" s="101">
        <v>38698</v>
      </c>
      <c r="B2280" s="9">
        <v>40.409999999999997</v>
      </c>
      <c r="C2280" s="9">
        <v>40.54</v>
      </c>
      <c r="D2280" s="9">
        <v>39.81</v>
      </c>
      <c r="E2280" s="9">
        <v>40.08</v>
      </c>
      <c r="F2280" s="9">
        <v>9776300</v>
      </c>
      <c r="G2280" s="9">
        <v>40.08</v>
      </c>
    </row>
    <row r="2281" spans="1:7" x14ac:dyDescent="0.25">
      <c r="A2281" s="101">
        <v>38695</v>
      </c>
      <c r="B2281" s="9">
        <v>40.5</v>
      </c>
      <c r="C2281" s="9">
        <v>40.869999999999997</v>
      </c>
      <c r="D2281" s="9">
        <v>40.200000000000003</v>
      </c>
      <c r="E2281" s="9">
        <v>40.31</v>
      </c>
      <c r="F2281" s="9">
        <v>11116900</v>
      </c>
      <c r="G2281" s="9">
        <v>40.31</v>
      </c>
    </row>
    <row r="2282" spans="1:7" x14ac:dyDescent="0.25">
      <c r="A2282" s="101">
        <v>38694</v>
      </c>
      <c r="B2282" s="9">
        <v>40.25</v>
      </c>
      <c r="C2282" s="9">
        <v>40.54</v>
      </c>
      <c r="D2282" s="9">
        <v>39.950000000000003</v>
      </c>
      <c r="E2282" s="9">
        <v>40.35</v>
      </c>
      <c r="F2282" s="9">
        <v>12851600</v>
      </c>
      <c r="G2282" s="9">
        <v>40.35</v>
      </c>
    </row>
    <row r="2283" spans="1:7" x14ac:dyDescent="0.25">
      <c r="A2283" s="101">
        <v>38693</v>
      </c>
      <c r="B2283" s="9">
        <v>40.31</v>
      </c>
      <c r="C2283" s="9">
        <v>40.630000000000003</v>
      </c>
      <c r="D2283" s="9">
        <v>39.57</v>
      </c>
      <c r="E2283" s="9">
        <v>40.11</v>
      </c>
      <c r="F2283" s="9">
        <v>15644900</v>
      </c>
      <c r="G2283" s="9">
        <v>40.11</v>
      </c>
    </row>
    <row r="2284" spans="1:7" x14ac:dyDescent="0.25">
      <c r="A2284" s="101">
        <v>38692</v>
      </c>
      <c r="B2284" s="9">
        <v>40.78</v>
      </c>
      <c r="C2284" s="9">
        <v>41.18</v>
      </c>
      <c r="D2284" s="9">
        <v>40.119999999999997</v>
      </c>
      <c r="E2284" s="9">
        <v>40.19</v>
      </c>
      <c r="F2284" s="9">
        <v>16356800</v>
      </c>
      <c r="G2284" s="9">
        <v>40.19</v>
      </c>
    </row>
    <row r="2285" spans="1:7" x14ac:dyDescent="0.25">
      <c r="A2285" s="101">
        <v>38691</v>
      </c>
      <c r="B2285" s="9">
        <v>40.880000000000003</v>
      </c>
      <c r="C2285" s="9">
        <v>41.03</v>
      </c>
      <c r="D2285" s="9">
        <v>40.369999999999997</v>
      </c>
      <c r="E2285" s="9">
        <v>40.47</v>
      </c>
      <c r="F2285" s="9">
        <v>15389400</v>
      </c>
      <c r="G2285" s="9">
        <v>40.47</v>
      </c>
    </row>
    <row r="2286" spans="1:7" x14ac:dyDescent="0.25">
      <c r="A2286" s="101">
        <v>38688</v>
      </c>
      <c r="B2286" s="9">
        <v>41.22</v>
      </c>
      <c r="C2286" s="9">
        <v>41.85</v>
      </c>
      <c r="D2286" s="9">
        <v>40.89</v>
      </c>
      <c r="E2286" s="9">
        <v>41.21</v>
      </c>
      <c r="F2286" s="9">
        <v>14411400</v>
      </c>
      <c r="G2286" s="9">
        <v>41.21</v>
      </c>
    </row>
    <row r="2287" spans="1:7" x14ac:dyDescent="0.25">
      <c r="A2287" s="101">
        <v>38687</v>
      </c>
      <c r="B2287" s="9">
        <v>40.74</v>
      </c>
      <c r="C2287" s="9">
        <v>41.25</v>
      </c>
      <c r="D2287" s="9">
        <v>40.54</v>
      </c>
      <c r="E2287" s="9">
        <v>41.07</v>
      </c>
      <c r="F2287" s="9">
        <v>20069600</v>
      </c>
      <c r="G2287" s="9">
        <v>41.07</v>
      </c>
    </row>
    <row r="2288" spans="1:7" x14ac:dyDescent="0.25">
      <c r="A2288" s="101">
        <v>38686</v>
      </c>
      <c r="B2288" s="9">
        <v>39.380000000000003</v>
      </c>
      <c r="C2288" s="9">
        <v>40.840000000000003</v>
      </c>
      <c r="D2288" s="9">
        <v>39.090000000000003</v>
      </c>
      <c r="E2288" s="9">
        <v>40.229999999999997</v>
      </c>
      <c r="F2288" s="9">
        <v>31608700</v>
      </c>
      <c r="G2288" s="9">
        <v>40.229999999999997</v>
      </c>
    </row>
    <row r="2289" spans="1:7" x14ac:dyDescent="0.25">
      <c r="A2289" s="101">
        <v>38685</v>
      </c>
      <c r="B2289" s="9">
        <v>41.01</v>
      </c>
      <c r="C2289" s="9">
        <v>41.59</v>
      </c>
      <c r="D2289" s="9">
        <v>39.82</v>
      </c>
      <c r="E2289" s="9">
        <v>40.19</v>
      </c>
      <c r="F2289" s="9">
        <v>28698200</v>
      </c>
      <c r="G2289" s="9">
        <v>40.19</v>
      </c>
    </row>
    <row r="2290" spans="1:7" x14ac:dyDescent="0.25">
      <c r="A2290" s="101">
        <v>38684</v>
      </c>
      <c r="B2290" s="9">
        <v>41.63</v>
      </c>
      <c r="C2290" s="9">
        <v>41.77</v>
      </c>
      <c r="D2290" s="9">
        <v>40.659999999999997</v>
      </c>
      <c r="E2290" s="9">
        <v>41.11</v>
      </c>
      <c r="F2290" s="9">
        <v>23190900</v>
      </c>
      <c r="G2290" s="9">
        <v>41.11</v>
      </c>
    </row>
    <row r="2291" spans="1:7" x14ac:dyDescent="0.25">
      <c r="A2291" s="101">
        <v>38681</v>
      </c>
      <c r="B2291" s="9">
        <v>42.71</v>
      </c>
      <c r="C2291" s="9">
        <v>42.84</v>
      </c>
      <c r="D2291" s="9">
        <v>41.94</v>
      </c>
      <c r="E2291" s="9">
        <v>42.13</v>
      </c>
      <c r="F2291" s="9">
        <v>8253000</v>
      </c>
      <c r="G2291" s="9">
        <v>42.13</v>
      </c>
    </row>
    <row r="2292" spans="1:7" x14ac:dyDescent="0.25">
      <c r="A2292" s="101">
        <v>38679</v>
      </c>
      <c r="B2292" s="9">
        <v>42.21</v>
      </c>
      <c r="C2292" s="9">
        <v>43.45</v>
      </c>
      <c r="D2292" s="9">
        <v>42.17</v>
      </c>
      <c r="E2292" s="9">
        <v>42.5</v>
      </c>
      <c r="F2292" s="9">
        <v>21471000</v>
      </c>
      <c r="G2292" s="9">
        <v>42.5</v>
      </c>
    </row>
    <row r="2293" spans="1:7" x14ac:dyDescent="0.25">
      <c r="A2293" s="101">
        <v>38678</v>
      </c>
      <c r="B2293" s="9">
        <v>41.73</v>
      </c>
      <c r="C2293" s="9">
        <v>42.65</v>
      </c>
      <c r="D2293" s="9">
        <v>41.65</v>
      </c>
      <c r="E2293" s="9">
        <v>42.36</v>
      </c>
      <c r="F2293" s="9">
        <v>26389500</v>
      </c>
      <c r="G2293" s="9">
        <v>42.36</v>
      </c>
    </row>
    <row r="2294" spans="1:7" x14ac:dyDescent="0.25">
      <c r="A2294" s="101">
        <v>38677</v>
      </c>
      <c r="B2294" s="9">
        <v>41.26</v>
      </c>
      <c r="C2294" s="9">
        <v>42.98</v>
      </c>
      <c r="D2294" s="9">
        <v>41.21</v>
      </c>
      <c r="E2294" s="9">
        <v>42.27</v>
      </c>
      <c r="F2294" s="9">
        <v>27915500</v>
      </c>
      <c r="G2294" s="9">
        <v>42.27</v>
      </c>
    </row>
    <row r="2295" spans="1:7" x14ac:dyDescent="0.25">
      <c r="A2295" s="101">
        <v>38674</v>
      </c>
      <c r="B2295" s="9">
        <v>42.04</v>
      </c>
      <c r="C2295" s="9">
        <v>42.41</v>
      </c>
      <c r="D2295" s="9">
        <v>41.29</v>
      </c>
      <c r="E2295" s="9">
        <v>41.54</v>
      </c>
      <c r="F2295" s="9">
        <v>30747600</v>
      </c>
      <c r="G2295" s="9">
        <v>41.54</v>
      </c>
    </row>
    <row r="2296" spans="1:7" x14ac:dyDescent="0.25">
      <c r="A2296" s="101">
        <v>38673</v>
      </c>
      <c r="B2296" s="9">
        <v>40.32</v>
      </c>
      <c r="C2296" s="9">
        <v>42.5</v>
      </c>
      <c r="D2296" s="9">
        <v>40.03</v>
      </c>
      <c r="E2296" s="9">
        <v>42.23</v>
      </c>
      <c r="F2296" s="9">
        <v>44796000</v>
      </c>
      <c r="G2296" s="9">
        <v>42.23</v>
      </c>
    </row>
    <row r="2297" spans="1:7" x14ac:dyDescent="0.25">
      <c r="A2297" s="101">
        <v>38672</v>
      </c>
      <c r="B2297" s="9">
        <v>37.9</v>
      </c>
      <c r="C2297" s="9">
        <v>40.07</v>
      </c>
      <c r="D2297" s="9">
        <v>37.86</v>
      </c>
      <c r="E2297" s="9">
        <v>40.04</v>
      </c>
      <c r="F2297" s="9">
        <v>39464600</v>
      </c>
      <c r="G2297" s="9">
        <v>40.04</v>
      </c>
    </row>
    <row r="2298" spans="1:7" x14ac:dyDescent="0.25">
      <c r="A2298" s="101">
        <v>38671</v>
      </c>
      <c r="B2298" s="9">
        <v>38.26</v>
      </c>
      <c r="C2298" s="9">
        <v>38.61</v>
      </c>
      <c r="D2298" s="9">
        <v>37.54</v>
      </c>
      <c r="E2298" s="9">
        <v>37.65</v>
      </c>
      <c r="F2298" s="9">
        <v>11981600</v>
      </c>
      <c r="G2298" s="9">
        <v>37.65</v>
      </c>
    </row>
    <row r="2299" spans="1:7" x14ac:dyDescent="0.25">
      <c r="A2299" s="101">
        <v>38670</v>
      </c>
      <c r="B2299" s="9">
        <v>38.43</v>
      </c>
      <c r="C2299" s="9">
        <v>38.72</v>
      </c>
      <c r="D2299" s="9">
        <v>37.96</v>
      </c>
      <c r="E2299" s="9">
        <v>38.450000000000003</v>
      </c>
      <c r="F2299" s="9">
        <v>10112500</v>
      </c>
      <c r="G2299" s="9">
        <v>38.450000000000003</v>
      </c>
    </row>
    <row r="2300" spans="1:7" x14ac:dyDescent="0.25">
      <c r="A2300" s="101">
        <v>38667</v>
      </c>
      <c r="B2300" s="9">
        <v>38.69</v>
      </c>
      <c r="C2300" s="9">
        <v>39.049999999999997</v>
      </c>
      <c r="D2300" s="9">
        <v>38.340000000000003</v>
      </c>
      <c r="E2300" s="9">
        <v>38.49</v>
      </c>
      <c r="F2300" s="9">
        <v>12234400</v>
      </c>
      <c r="G2300" s="9">
        <v>38.49</v>
      </c>
    </row>
    <row r="2301" spans="1:7" x14ac:dyDescent="0.25">
      <c r="A2301" s="101">
        <v>38666</v>
      </c>
      <c r="B2301" s="9">
        <v>37.520000000000003</v>
      </c>
      <c r="C2301" s="9">
        <v>38.75</v>
      </c>
      <c r="D2301" s="9">
        <v>37.520000000000003</v>
      </c>
      <c r="E2301" s="9">
        <v>38.69</v>
      </c>
      <c r="F2301" s="9">
        <v>13722400</v>
      </c>
      <c r="G2301" s="9">
        <v>38.69</v>
      </c>
    </row>
    <row r="2302" spans="1:7" x14ac:dyDescent="0.25">
      <c r="A2302" s="101">
        <v>38665</v>
      </c>
      <c r="B2302" s="9">
        <v>37.76</v>
      </c>
      <c r="C2302" s="9">
        <v>38.04</v>
      </c>
      <c r="D2302" s="9">
        <v>37.43</v>
      </c>
      <c r="E2302" s="9">
        <v>37.75</v>
      </c>
      <c r="F2302" s="9">
        <v>12217600</v>
      </c>
      <c r="G2302" s="9">
        <v>37.75</v>
      </c>
    </row>
    <row r="2303" spans="1:7" x14ac:dyDescent="0.25">
      <c r="A2303" s="101">
        <v>38664</v>
      </c>
      <c r="B2303" s="9">
        <v>37.75</v>
      </c>
      <c r="C2303" s="9">
        <v>38.5</v>
      </c>
      <c r="D2303" s="9">
        <v>37.6</v>
      </c>
      <c r="E2303" s="9">
        <v>37.97</v>
      </c>
      <c r="F2303" s="9">
        <v>14434400</v>
      </c>
      <c r="G2303" s="9">
        <v>37.97</v>
      </c>
    </row>
    <row r="2304" spans="1:7" x14ac:dyDescent="0.25">
      <c r="A2304" s="101">
        <v>38663</v>
      </c>
      <c r="B2304" s="9">
        <v>37.69</v>
      </c>
      <c r="C2304" s="9">
        <v>38.18</v>
      </c>
      <c r="D2304" s="9">
        <v>37.409999999999997</v>
      </c>
      <c r="E2304" s="9">
        <v>37.9</v>
      </c>
      <c r="F2304" s="9">
        <v>11652700</v>
      </c>
      <c r="G2304" s="9">
        <v>37.9</v>
      </c>
    </row>
    <row r="2305" spans="1:7" x14ac:dyDescent="0.25">
      <c r="A2305" s="101">
        <v>38660</v>
      </c>
      <c r="B2305" s="9">
        <v>37.590000000000003</v>
      </c>
      <c r="C2305" s="9">
        <v>37.99</v>
      </c>
      <c r="D2305" s="9">
        <v>37.369999999999997</v>
      </c>
      <c r="E2305" s="9">
        <v>37.869999999999997</v>
      </c>
      <c r="F2305" s="9">
        <v>11656100</v>
      </c>
      <c r="G2305" s="9">
        <v>37.869999999999997</v>
      </c>
    </row>
    <row r="2306" spans="1:7" x14ac:dyDescent="0.25">
      <c r="A2306" s="101">
        <v>38659</v>
      </c>
      <c r="B2306" s="9">
        <v>38.26</v>
      </c>
      <c r="C2306" s="9">
        <v>38.28</v>
      </c>
      <c r="D2306" s="9">
        <v>37.33</v>
      </c>
      <c r="E2306" s="9">
        <v>37.450000000000003</v>
      </c>
      <c r="F2306" s="9">
        <v>16880800</v>
      </c>
      <c r="G2306" s="9">
        <v>37.450000000000003</v>
      </c>
    </row>
    <row r="2307" spans="1:7" x14ac:dyDescent="0.25">
      <c r="A2307" s="101">
        <v>38658</v>
      </c>
      <c r="B2307" s="9">
        <v>37.49</v>
      </c>
      <c r="C2307" s="9">
        <v>38.04</v>
      </c>
      <c r="D2307" s="9">
        <v>37.43</v>
      </c>
      <c r="E2307" s="9">
        <v>37.99</v>
      </c>
      <c r="F2307" s="9">
        <v>17886200</v>
      </c>
      <c r="G2307" s="9">
        <v>37.99</v>
      </c>
    </row>
    <row r="2308" spans="1:7" x14ac:dyDescent="0.25">
      <c r="A2308" s="101">
        <v>38657</v>
      </c>
      <c r="B2308" s="9">
        <v>36.619999999999997</v>
      </c>
      <c r="C2308" s="9">
        <v>38.71</v>
      </c>
      <c r="D2308" s="9">
        <v>36.590000000000003</v>
      </c>
      <c r="E2308" s="9">
        <v>37.72</v>
      </c>
      <c r="F2308" s="9">
        <v>41932100</v>
      </c>
      <c r="G2308" s="9">
        <v>37.72</v>
      </c>
    </row>
    <row r="2309" spans="1:7" x14ac:dyDescent="0.25">
      <c r="A2309" s="101">
        <v>38656</v>
      </c>
      <c r="B2309" s="9">
        <v>35.6</v>
      </c>
      <c r="C2309" s="9">
        <v>37.270000000000003</v>
      </c>
      <c r="D2309" s="9">
        <v>35.6</v>
      </c>
      <c r="E2309" s="9">
        <v>36.97</v>
      </c>
      <c r="F2309" s="9">
        <v>24867100</v>
      </c>
      <c r="G2309" s="9">
        <v>36.97</v>
      </c>
    </row>
    <row r="2310" spans="1:7" x14ac:dyDescent="0.25">
      <c r="A2310" s="101">
        <v>38653</v>
      </c>
      <c r="B2310" s="9">
        <v>35.619999999999997</v>
      </c>
      <c r="C2310" s="9">
        <v>35.92</v>
      </c>
      <c r="D2310" s="9">
        <v>35.25</v>
      </c>
      <c r="E2310" s="9">
        <v>35.58</v>
      </c>
      <c r="F2310" s="9">
        <v>14123800</v>
      </c>
      <c r="G2310" s="9">
        <v>35.58</v>
      </c>
    </row>
    <row r="2311" spans="1:7" x14ac:dyDescent="0.25">
      <c r="A2311" s="101">
        <v>38652</v>
      </c>
      <c r="B2311" s="9">
        <v>35.340000000000003</v>
      </c>
      <c r="C2311" s="9">
        <v>35.659999999999997</v>
      </c>
      <c r="D2311" s="9">
        <v>35.299999999999997</v>
      </c>
      <c r="E2311" s="9">
        <v>35.450000000000003</v>
      </c>
      <c r="F2311" s="9">
        <v>11605000</v>
      </c>
      <c r="G2311" s="9">
        <v>35.450000000000003</v>
      </c>
    </row>
    <row r="2312" spans="1:7" x14ac:dyDescent="0.25">
      <c r="A2312" s="101">
        <v>38651</v>
      </c>
      <c r="B2312" s="9">
        <v>35.06</v>
      </c>
      <c r="C2312" s="9">
        <v>35.75</v>
      </c>
      <c r="D2312" s="9">
        <v>34.97</v>
      </c>
      <c r="E2312" s="9">
        <v>35.46</v>
      </c>
      <c r="F2312" s="9">
        <v>17125600</v>
      </c>
      <c r="G2312" s="9">
        <v>35.46</v>
      </c>
    </row>
    <row r="2313" spans="1:7" x14ac:dyDescent="0.25">
      <c r="A2313" s="101">
        <v>38650</v>
      </c>
      <c r="B2313" s="9">
        <v>35.19</v>
      </c>
      <c r="C2313" s="9">
        <v>35.380000000000003</v>
      </c>
      <c r="D2313" s="9">
        <v>34.89</v>
      </c>
      <c r="E2313" s="9">
        <v>35.119999999999997</v>
      </c>
      <c r="F2313" s="9">
        <v>14441100</v>
      </c>
      <c r="G2313" s="9">
        <v>35.119999999999997</v>
      </c>
    </row>
    <row r="2314" spans="1:7" x14ac:dyDescent="0.25">
      <c r="A2314" s="101">
        <v>38649</v>
      </c>
      <c r="B2314" s="9">
        <v>35.299999999999997</v>
      </c>
      <c r="C2314" s="9">
        <v>35.49</v>
      </c>
      <c r="D2314" s="9">
        <v>34.94</v>
      </c>
      <c r="E2314" s="9">
        <v>35.28</v>
      </c>
      <c r="F2314" s="9">
        <v>19591900</v>
      </c>
      <c r="G2314" s="9">
        <v>35.28</v>
      </c>
    </row>
    <row r="2315" spans="1:7" x14ac:dyDescent="0.25">
      <c r="A2315" s="101">
        <v>38646</v>
      </c>
      <c r="B2315" s="9">
        <v>35.99</v>
      </c>
      <c r="C2315" s="9">
        <v>36.33</v>
      </c>
      <c r="D2315" s="9">
        <v>35.19</v>
      </c>
      <c r="E2315" s="9">
        <v>35.29</v>
      </c>
      <c r="F2315" s="9">
        <v>28423400</v>
      </c>
      <c r="G2315" s="9">
        <v>35.29</v>
      </c>
    </row>
    <row r="2316" spans="1:7" x14ac:dyDescent="0.25">
      <c r="A2316" s="101">
        <v>38645</v>
      </c>
      <c r="B2316" s="9">
        <v>35.9</v>
      </c>
      <c r="C2316" s="9">
        <v>36.94</v>
      </c>
      <c r="D2316" s="9">
        <v>35.049999999999997</v>
      </c>
      <c r="E2316" s="9">
        <v>35.26</v>
      </c>
      <c r="F2316" s="9">
        <v>29267000</v>
      </c>
      <c r="G2316" s="9">
        <v>35.26</v>
      </c>
    </row>
    <row r="2317" spans="1:7" x14ac:dyDescent="0.25">
      <c r="A2317" s="101">
        <v>38644</v>
      </c>
      <c r="B2317" s="9">
        <v>34.619999999999997</v>
      </c>
      <c r="C2317" s="9">
        <v>35.94</v>
      </c>
      <c r="D2317" s="9">
        <v>34.590000000000003</v>
      </c>
      <c r="E2317" s="9">
        <v>35.909999999999997</v>
      </c>
      <c r="F2317" s="9">
        <v>63254000</v>
      </c>
      <c r="G2317" s="9">
        <v>35.909999999999997</v>
      </c>
    </row>
    <row r="2318" spans="1:7" x14ac:dyDescent="0.25">
      <c r="A2318" s="101">
        <v>38643</v>
      </c>
      <c r="B2318" s="9">
        <v>34.4</v>
      </c>
      <c r="C2318" s="9">
        <v>34.76</v>
      </c>
      <c r="D2318" s="9">
        <v>33.64</v>
      </c>
      <c r="E2318" s="9">
        <v>33.700000000000003</v>
      </c>
      <c r="F2318" s="9">
        <v>35010300</v>
      </c>
      <c r="G2318" s="9">
        <v>33.700000000000003</v>
      </c>
    </row>
    <row r="2319" spans="1:7" x14ac:dyDescent="0.25">
      <c r="A2319" s="101">
        <v>38642</v>
      </c>
      <c r="B2319" s="9">
        <v>33.85</v>
      </c>
      <c r="C2319" s="9">
        <v>34.299999999999997</v>
      </c>
      <c r="D2319" s="9">
        <v>33.799999999999997</v>
      </c>
      <c r="E2319" s="9">
        <v>34.159999999999997</v>
      </c>
      <c r="F2319" s="9">
        <v>21994600</v>
      </c>
      <c r="G2319" s="9">
        <v>34.159999999999997</v>
      </c>
    </row>
    <row r="2320" spans="1:7" x14ac:dyDescent="0.25">
      <c r="A2320" s="101">
        <v>38639</v>
      </c>
      <c r="B2320" s="9">
        <v>33.619999999999997</v>
      </c>
      <c r="C2320" s="9">
        <v>33.619999999999997</v>
      </c>
      <c r="D2320" s="9">
        <v>32.770000000000003</v>
      </c>
      <c r="E2320" s="9">
        <v>33.520000000000003</v>
      </c>
      <c r="F2320" s="9">
        <v>17425200</v>
      </c>
      <c r="G2320" s="9">
        <v>33.520000000000003</v>
      </c>
    </row>
    <row r="2321" spans="1:7" x14ac:dyDescent="0.25">
      <c r="A2321" s="101">
        <v>38638</v>
      </c>
      <c r="B2321" s="9">
        <v>33.799999999999997</v>
      </c>
      <c r="C2321" s="9">
        <v>33.85</v>
      </c>
      <c r="D2321" s="9">
        <v>32.97</v>
      </c>
      <c r="E2321" s="9">
        <v>33.369999999999997</v>
      </c>
      <c r="F2321" s="9">
        <v>16254600</v>
      </c>
      <c r="G2321" s="9">
        <v>33.369999999999997</v>
      </c>
    </row>
    <row r="2322" spans="1:7" x14ac:dyDescent="0.25">
      <c r="A2322" s="101">
        <v>38637</v>
      </c>
      <c r="B2322" s="9">
        <v>33.99</v>
      </c>
      <c r="C2322" s="9">
        <v>34.71</v>
      </c>
      <c r="D2322" s="9">
        <v>33.909999999999997</v>
      </c>
      <c r="E2322" s="9">
        <v>33.93</v>
      </c>
      <c r="F2322" s="9">
        <v>16089600</v>
      </c>
      <c r="G2322" s="9">
        <v>33.93</v>
      </c>
    </row>
    <row r="2323" spans="1:7" x14ac:dyDescent="0.25">
      <c r="A2323" s="101">
        <v>38636</v>
      </c>
      <c r="B2323" s="9">
        <v>34.549999999999997</v>
      </c>
      <c r="C2323" s="9">
        <v>34.840000000000003</v>
      </c>
      <c r="D2323" s="9">
        <v>33.659999999999997</v>
      </c>
      <c r="E2323" s="9">
        <v>34.1</v>
      </c>
      <c r="F2323" s="9">
        <v>16504700</v>
      </c>
      <c r="G2323" s="9">
        <v>34.1</v>
      </c>
    </row>
    <row r="2324" spans="1:7" x14ac:dyDescent="0.25">
      <c r="A2324" s="101">
        <v>38635</v>
      </c>
      <c r="B2324" s="9">
        <v>34.200000000000003</v>
      </c>
      <c r="C2324" s="9">
        <v>34.9</v>
      </c>
      <c r="D2324" s="9">
        <v>34.119999999999997</v>
      </c>
      <c r="E2324" s="9">
        <v>34.53</v>
      </c>
      <c r="F2324" s="9">
        <v>15227800</v>
      </c>
      <c r="G2324" s="9">
        <v>34.53</v>
      </c>
    </row>
    <row r="2325" spans="1:7" x14ac:dyDescent="0.25">
      <c r="A2325" s="101">
        <v>38632</v>
      </c>
      <c r="B2325" s="9">
        <v>34.03</v>
      </c>
      <c r="C2325" s="9">
        <v>34.29</v>
      </c>
      <c r="D2325" s="9">
        <v>33.97</v>
      </c>
      <c r="E2325" s="9">
        <v>34.159999999999997</v>
      </c>
      <c r="F2325" s="9">
        <v>12253200</v>
      </c>
      <c r="G2325" s="9">
        <v>34.159999999999997</v>
      </c>
    </row>
    <row r="2326" spans="1:7" x14ac:dyDescent="0.25">
      <c r="A2326" s="101">
        <v>38631</v>
      </c>
      <c r="B2326" s="9">
        <v>33.950000000000003</v>
      </c>
      <c r="C2326" s="9">
        <v>34.299999999999997</v>
      </c>
      <c r="D2326" s="9">
        <v>33.54</v>
      </c>
      <c r="E2326" s="9">
        <v>33.799999999999997</v>
      </c>
      <c r="F2326" s="9">
        <v>21836100</v>
      </c>
      <c r="G2326" s="9">
        <v>33.799999999999997</v>
      </c>
    </row>
    <row r="2327" spans="1:7" x14ac:dyDescent="0.25">
      <c r="A2327" s="101">
        <v>38630</v>
      </c>
      <c r="B2327" s="9">
        <v>33.79</v>
      </c>
      <c r="C2327" s="9">
        <v>33.93</v>
      </c>
      <c r="D2327" s="9">
        <v>33.36</v>
      </c>
      <c r="E2327" s="9">
        <v>33.49</v>
      </c>
      <c r="F2327" s="9">
        <v>14642000</v>
      </c>
      <c r="G2327" s="9">
        <v>33.49</v>
      </c>
    </row>
    <row r="2328" spans="1:7" x14ac:dyDescent="0.25">
      <c r="A2328" s="101">
        <v>38629</v>
      </c>
      <c r="B2328" s="9">
        <v>33.75</v>
      </c>
      <c r="C2328" s="9">
        <v>34.369999999999997</v>
      </c>
      <c r="D2328" s="9">
        <v>33.51</v>
      </c>
      <c r="E2328" s="9">
        <v>33.57</v>
      </c>
      <c r="F2328" s="9">
        <v>14331000</v>
      </c>
      <c r="G2328" s="9">
        <v>33.57</v>
      </c>
    </row>
    <row r="2329" spans="1:7" x14ac:dyDescent="0.25">
      <c r="A2329" s="101">
        <v>38628</v>
      </c>
      <c r="B2329" s="9">
        <v>33.799999999999997</v>
      </c>
      <c r="C2329" s="9">
        <v>34.119999999999997</v>
      </c>
      <c r="D2329" s="9">
        <v>33.71</v>
      </c>
      <c r="E2329" s="9">
        <v>33.770000000000003</v>
      </c>
      <c r="F2329" s="9">
        <v>13184500</v>
      </c>
      <c r="G2329" s="9">
        <v>33.770000000000003</v>
      </c>
    </row>
    <row r="2330" spans="1:7" x14ac:dyDescent="0.25">
      <c r="A2330" s="101">
        <v>38625</v>
      </c>
      <c r="B2330" s="9">
        <v>33.590000000000003</v>
      </c>
      <c r="C2330" s="9">
        <v>34.1</v>
      </c>
      <c r="D2330" s="9">
        <v>33.56</v>
      </c>
      <c r="E2330" s="9">
        <v>33.840000000000003</v>
      </c>
      <c r="F2330" s="9">
        <v>15697000</v>
      </c>
      <c r="G2330" s="9">
        <v>33.840000000000003</v>
      </c>
    </row>
    <row r="2331" spans="1:7" x14ac:dyDescent="0.25">
      <c r="A2331" s="101">
        <v>38624</v>
      </c>
      <c r="B2331" s="9">
        <v>32.4</v>
      </c>
      <c r="C2331" s="9">
        <v>33.700000000000003</v>
      </c>
      <c r="D2331" s="9">
        <v>32.119999999999997</v>
      </c>
      <c r="E2331" s="9">
        <v>33.46</v>
      </c>
      <c r="F2331" s="9">
        <v>22209100</v>
      </c>
      <c r="G2331" s="9">
        <v>33.46</v>
      </c>
    </row>
    <row r="2332" spans="1:7" x14ac:dyDescent="0.25">
      <c r="A2332" s="101">
        <v>38623</v>
      </c>
      <c r="B2332" s="9">
        <v>32.67</v>
      </c>
      <c r="C2332" s="9">
        <v>32.799999999999997</v>
      </c>
      <c r="D2332" s="9">
        <v>32.270000000000003</v>
      </c>
      <c r="E2332" s="9">
        <v>32.35</v>
      </c>
      <c r="F2332" s="9">
        <v>11622800</v>
      </c>
      <c r="G2332" s="9">
        <v>32.35</v>
      </c>
    </row>
    <row r="2333" spans="1:7" x14ac:dyDescent="0.25">
      <c r="A2333" s="101">
        <v>38622</v>
      </c>
      <c r="B2333" s="9">
        <v>32.17</v>
      </c>
      <c r="C2333" s="9">
        <v>32.61</v>
      </c>
      <c r="D2333" s="9">
        <v>32.17</v>
      </c>
      <c r="E2333" s="9">
        <v>32.479999999999997</v>
      </c>
      <c r="F2333" s="9">
        <v>12246900</v>
      </c>
      <c r="G2333" s="9">
        <v>32.479999999999997</v>
      </c>
    </row>
    <row r="2334" spans="1:7" x14ac:dyDescent="0.25">
      <c r="A2334" s="101">
        <v>38621</v>
      </c>
      <c r="B2334" s="9">
        <v>32.479999999999997</v>
      </c>
      <c r="C2334" s="9">
        <v>32.549999999999997</v>
      </c>
      <c r="D2334" s="9">
        <v>31.99</v>
      </c>
      <c r="E2334" s="9">
        <v>32.18</v>
      </c>
      <c r="F2334" s="9">
        <v>13548200</v>
      </c>
      <c r="G2334" s="9">
        <v>32.18</v>
      </c>
    </row>
    <row r="2335" spans="1:7" x14ac:dyDescent="0.25">
      <c r="A2335" s="101">
        <v>38618</v>
      </c>
      <c r="B2335" s="9">
        <v>32.119999999999997</v>
      </c>
      <c r="C2335" s="9">
        <v>32.25</v>
      </c>
      <c r="D2335" s="9">
        <v>31.75</v>
      </c>
      <c r="E2335" s="9">
        <v>32.130000000000003</v>
      </c>
      <c r="F2335" s="9">
        <v>14903700</v>
      </c>
      <c r="G2335" s="9">
        <v>32.130000000000003</v>
      </c>
    </row>
    <row r="2336" spans="1:7" x14ac:dyDescent="0.25">
      <c r="A2336" s="101">
        <v>38617</v>
      </c>
      <c r="B2336" s="9">
        <v>32.090000000000003</v>
      </c>
      <c r="C2336" s="9">
        <v>32.409999999999997</v>
      </c>
      <c r="D2336" s="9">
        <v>31.76</v>
      </c>
      <c r="E2336" s="9">
        <v>32.04</v>
      </c>
      <c r="F2336" s="9">
        <v>18259400</v>
      </c>
      <c r="G2336" s="9">
        <v>32.04</v>
      </c>
    </row>
    <row r="2337" spans="1:7" x14ac:dyDescent="0.25">
      <c r="A2337" s="101">
        <v>38616</v>
      </c>
      <c r="B2337" s="9">
        <v>32.53</v>
      </c>
      <c r="C2337" s="9">
        <v>33.1</v>
      </c>
      <c r="D2337" s="9">
        <v>31.6</v>
      </c>
      <c r="E2337" s="9">
        <v>31.97</v>
      </c>
      <c r="F2337" s="9">
        <v>21896000</v>
      </c>
      <c r="G2337" s="9">
        <v>31.97</v>
      </c>
    </row>
    <row r="2338" spans="1:7" x14ac:dyDescent="0.25">
      <c r="A2338" s="101">
        <v>38615</v>
      </c>
      <c r="B2338" s="9">
        <v>32.880000000000003</v>
      </c>
      <c r="C2338" s="9">
        <v>33.11</v>
      </c>
      <c r="D2338" s="9">
        <v>32.36</v>
      </c>
      <c r="E2338" s="9">
        <v>32.64</v>
      </c>
      <c r="F2338" s="9">
        <v>14578900</v>
      </c>
      <c r="G2338" s="9">
        <v>32.64</v>
      </c>
    </row>
    <row r="2339" spans="1:7" x14ac:dyDescent="0.25">
      <c r="A2339" s="101">
        <v>38614</v>
      </c>
      <c r="B2339" s="9">
        <v>33.270000000000003</v>
      </c>
      <c r="C2339" s="9">
        <v>33.47</v>
      </c>
      <c r="D2339" s="9">
        <v>32.25</v>
      </c>
      <c r="E2339" s="9">
        <v>32.75</v>
      </c>
      <c r="F2339" s="9">
        <v>15429900</v>
      </c>
      <c r="G2339" s="9">
        <v>32.75</v>
      </c>
    </row>
    <row r="2340" spans="1:7" x14ac:dyDescent="0.25">
      <c r="A2340" s="101">
        <v>38611</v>
      </c>
      <c r="B2340" s="9">
        <v>33.74</v>
      </c>
      <c r="C2340" s="9">
        <v>33.770000000000003</v>
      </c>
      <c r="D2340" s="9">
        <v>33.049999999999997</v>
      </c>
      <c r="E2340" s="9">
        <v>33.17</v>
      </c>
      <c r="F2340" s="9">
        <v>20858300</v>
      </c>
      <c r="G2340" s="9">
        <v>33.17</v>
      </c>
    </row>
    <row r="2341" spans="1:7" x14ac:dyDescent="0.25">
      <c r="A2341" s="101">
        <v>38610</v>
      </c>
      <c r="B2341" s="9">
        <v>33.950000000000003</v>
      </c>
      <c r="C2341" s="9">
        <v>33.99</v>
      </c>
      <c r="D2341" s="9">
        <v>33.5</v>
      </c>
      <c r="E2341" s="9">
        <v>33.57</v>
      </c>
      <c r="F2341" s="9">
        <v>10404800</v>
      </c>
      <c r="G2341" s="9">
        <v>33.57</v>
      </c>
    </row>
    <row r="2342" spans="1:7" x14ac:dyDescent="0.25">
      <c r="A2342" s="101">
        <v>38609</v>
      </c>
      <c r="B2342" s="9">
        <v>34.299999999999997</v>
      </c>
      <c r="C2342" s="9">
        <v>34.5</v>
      </c>
      <c r="D2342" s="9">
        <v>33.64</v>
      </c>
      <c r="E2342" s="9">
        <v>33.799999999999997</v>
      </c>
      <c r="F2342" s="9">
        <v>15017400</v>
      </c>
      <c r="G2342" s="9">
        <v>33.799999999999997</v>
      </c>
    </row>
    <row r="2343" spans="1:7" x14ac:dyDescent="0.25">
      <c r="A2343" s="101">
        <v>38608</v>
      </c>
      <c r="B2343" s="9">
        <v>33.93</v>
      </c>
      <c r="C2343" s="9">
        <v>34.71</v>
      </c>
      <c r="D2343" s="9">
        <v>33.729999999999997</v>
      </c>
      <c r="E2343" s="9">
        <v>34.299999999999997</v>
      </c>
      <c r="F2343" s="9">
        <v>19346600</v>
      </c>
      <c r="G2343" s="9">
        <v>34.299999999999997</v>
      </c>
    </row>
    <row r="2344" spans="1:7" x14ac:dyDescent="0.25">
      <c r="A2344" s="101">
        <v>38607</v>
      </c>
      <c r="B2344" s="9">
        <v>33.42</v>
      </c>
      <c r="C2344" s="9">
        <v>34.340000000000003</v>
      </c>
      <c r="D2344" s="9">
        <v>33.409999999999997</v>
      </c>
      <c r="E2344" s="9">
        <v>33.909999999999997</v>
      </c>
      <c r="F2344" s="9">
        <v>18580300</v>
      </c>
      <c r="G2344" s="9">
        <v>33.909999999999997</v>
      </c>
    </row>
    <row r="2345" spans="1:7" x14ac:dyDescent="0.25">
      <c r="A2345" s="101">
        <v>38604</v>
      </c>
      <c r="B2345" s="9">
        <v>33.35</v>
      </c>
      <c r="C2345" s="9">
        <v>33.6</v>
      </c>
      <c r="D2345" s="9">
        <v>33.020000000000003</v>
      </c>
      <c r="E2345" s="9">
        <v>33.46</v>
      </c>
      <c r="F2345" s="9">
        <v>15247900</v>
      </c>
      <c r="G2345" s="9">
        <v>33.46</v>
      </c>
    </row>
    <row r="2346" spans="1:7" x14ac:dyDescent="0.25">
      <c r="A2346" s="101">
        <v>38603</v>
      </c>
      <c r="B2346" s="9">
        <v>33.74</v>
      </c>
      <c r="C2346" s="9">
        <v>33.93</v>
      </c>
      <c r="D2346" s="9">
        <v>33.200000000000003</v>
      </c>
      <c r="E2346" s="9">
        <v>33.340000000000003</v>
      </c>
      <c r="F2346" s="9">
        <v>17464400</v>
      </c>
      <c r="G2346" s="9">
        <v>33.340000000000003</v>
      </c>
    </row>
    <row r="2347" spans="1:7" x14ac:dyDescent="0.25">
      <c r="A2347" s="101">
        <v>38602</v>
      </c>
      <c r="B2347" s="9">
        <v>33.5</v>
      </c>
      <c r="C2347" s="9">
        <v>34.26</v>
      </c>
      <c r="D2347" s="9">
        <v>33.299999999999997</v>
      </c>
      <c r="E2347" s="9">
        <v>34.06</v>
      </c>
      <c r="F2347" s="9">
        <v>12545300</v>
      </c>
      <c r="G2347" s="9">
        <v>34.06</v>
      </c>
    </row>
    <row r="2348" spans="1:7" x14ac:dyDescent="0.25">
      <c r="A2348" s="101">
        <v>38601</v>
      </c>
      <c r="B2348" s="9">
        <v>33.18</v>
      </c>
      <c r="C2348" s="9">
        <v>33.78</v>
      </c>
      <c r="D2348" s="9">
        <v>33.18</v>
      </c>
      <c r="E2348" s="9">
        <v>33.68</v>
      </c>
      <c r="F2348" s="9">
        <v>12513300</v>
      </c>
      <c r="G2348" s="9">
        <v>33.68</v>
      </c>
    </row>
    <row r="2349" spans="1:7" x14ac:dyDescent="0.25">
      <c r="A2349" s="101">
        <v>38597</v>
      </c>
      <c r="B2349" s="9">
        <v>33.200000000000003</v>
      </c>
      <c r="C2349" s="9">
        <v>33.369999999999997</v>
      </c>
      <c r="D2349" s="9">
        <v>33.1</v>
      </c>
      <c r="E2349" s="9">
        <v>33.17</v>
      </c>
      <c r="F2349" s="9">
        <v>6849000</v>
      </c>
      <c r="G2349" s="9">
        <v>33.17</v>
      </c>
    </row>
    <row r="2350" spans="1:7" x14ac:dyDescent="0.25">
      <c r="A2350" s="101">
        <v>38596</v>
      </c>
      <c r="B2350" s="9">
        <v>33.28</v>
      </c>
      <c r="C2350" s="9">
        <v>33.51</v>
      </c>
      <c r="D2350" s="9">
        <v>33.04</v>
      </c>
      <c r="E2350" s="9">
        <v>33.24</v>
      </c>
      <c r="F2350" s="9">
        <v>11848500</v>
      </c>
      <c r="G2350" s="9">
        <v>33.24</v>
      </c>
    </row>
    <row r="2351" spans="1:7" x14ac:dyDescent="0.25">
      <c r="A2351" s="101">
        <v>38595</v>
      </c>
      <c r="B2351" s="9">
        <v>33.229999999999997</v>
      </c>
      <c r="C2351" s="9">
        <v>33.39</v>
      </c>
      <c r="D2351" s="9">
        <v>32.99</v>
      </c>
      <c r="E2351" s="9">
        <v>33.32</v>
      </c>
      <c r="F2351" s="9">
        <v>13035500</v>
      </c>
      <c r="G2351" s="9">
        <v>33.32</v>
      </c>
    </row>
    <row r="2352" spans="1:7" x14ac:dyDescent="0.25">
      <c r="A2352" s="101">
        <v>38594</v>
      </c>
      <c r="B2352" s="9">
        <v>33.5</v>
      </c>
      <c r="C2352" s="9">
        <v>33.67</v>
      </c>
      <c r="D2352" s="9">
        <v>33</v>
      </c>
      <c r="E2352" s="9">
        <v>33.18</v>
      </c>
      <c r="F2352" s="9">
        <v>13496000</v>
      </c>
      <c r="G2352" s="9">
        <v>33.18</v>
      </c>
    </row>
    <row r="2353" spans="1:7" x14ac:dyDescent="0.25">
      <c r="A2353" s="101">
        <v>38593</v>
      </c>
      <c r="B2353" s="9">
        <v>33.4</v>
      </c>
      <c r="C2353" s="9">
        <v>33.78</v>
      </c>
      <c r="D2353" s="9">
        <v>33.31</v>
      </c>
      <c r="E2353" s="9">
        <v>33.68</v>
      </c>
      <c r="F2353" s="9">
        <v>11427600</v>
      </c>
      <c r="G2353" s="9">
        <v>33.68</v>
      </c>
    </row>
    <row r="2354" spans="1:7" x14ac:dyDescent="0.25">
      <c r="A2354" s="101">
        <v>38590</v>
      </c>
      <c r="B2354" s="9">
        <v>33.51</v>
      </c>
      <c r="C2354" s="9">
        <v>33.81</v>
      </c>
      <c r="D2354" s="9">
        <v>33.380000000000003</v>
      </c>
      <c r="E2354" s="9">
        <v>33.57</v>
      </c>
      <c r="F2354" s="9">
        <v>9833400</v>
      </c>
      <c r="G2354" s="9">
        <v>33.57</v>
      </c>
    </row>
    <row r="2355" spans="1:7" x14ac:dyDescent="0.25">
      <c r="A2355" s="101">
        <v>38589</v>
      </c>
      <c r="B2355" s="9">
        <v>33.54</v>
      </c>
      <c r="C2355" s="9">
        <v>33.619999999999997</v>
      </c>
      <c r="D2355" s="9">
        <v>33.200000000000003</v>
      </c>
      <c r="E2355" s="9">
        <v>33.479999999999997</v>
      </c>
      <c r="F2355" s="9">
        <v>12564900</v>
      </c>
      <c r="G2355" s="9">
        <v>33.479999999999997</v>
      </c>
    </row>
    <row r="2356" spans="1:7" x14ac:dyDescent="0.25">
      <c r="A2356" s="101">
        <v>38588</v>
      </c>
      <c r="B2356" s="9">
        <v>32.92</v>
      </c>
      <c r="C2356" s="9">
        <v>33.68</v>
      </c>
      <c r="D2356" s="9">
        <v>32.880000000000003</v>
      </c>
      <c r="E2356" s="9">
        <v>33.47</v>
      </c>
      <c r="F2356" s="9">
        <v>23249500</v>
      </c>
      <c r="G2356" s="9">
        <v>33.47</v>
      </c>
    </row>
    <row r="2357" spans="1:7" x14ac:dyDescent="0.25">
      <c r="A2357" s="101">
        <v>38587</v>
      </c>
      <c r="B2357" s="9">
        <v>33.29</v>
      </c>
      <c r="C2357" s="9">
        <v>33.33</v>
      </c>
      <c r="D2357" s="9">
        <v>32.65</v>
      </c>
      <c r="E2357" s="9">
        <v>33.11</v>
      </c>
      <c r="F2357" s="9">
        <v>16912700</v>
      </c>
      <c r="G2357" s="9">
        <v>33.11</v>
      </c>
    </row>
    <row r="2358" spans="1:7" x14ac:dyDescent="0.25">
      <c r="A2358" s="101">
        <v>38586</v>
      </c>
      <c r="B2358" s="9">
        <v>34.07</v>
      </c>
      <c r="C2358" s="9">
        <v>34.1</v>
      </c>
      <c r="D2358" s="9">
        <v>33.07</v>
      </c>
      <c r="E2358" s="9">
        <v>33.200000000000003</v>
      </c>
      <c r="F2358" s="9">
        <v>21054400</v>
      </c>
      <c r="G2358" s="9">
        <v>33.200000000000003</v>
      </c>
    </row>
    <row r="2359" spans="1:7" x14ac:dyDescent="0.25">
      <c r="A2359" s="101">
        <v>38583</v>
      </c>
      <c r="B2359" s="9">
        <v>34.39</v>
      </c>
      <c r="C2359" s="9">
        <v>34.47</v>
      </c>
      <c r="D2359" s="9">
        <v>33.979999999999997</v>
      </c>
      <c r="E2359" s="9">
        <v>34</v>
      </c>
      <c r="F2359" s="9">
        <v>12810400</v>
      </c>
      <c r="G2359" s="9">
        <v>34</v>
      </c>
    </row>
    <row r="2360" spans="1:7" x14ac:dyDescent="0.25">
      <c r="A2360" s="101">
        <v>38582</v>
      </c>
      <c r="B2360" s="9">
        <v>34.130000000000003</v>
      </c>
      <c r="C2360" s="9">
        <v>34.729999999999997</v>
      </c>
      <c r="D2360" s="9">
        <v>34.119999999999997</v>
      </c>
      <c r="E2360" s="9">
        <v>34.36</v>
      </c>
      <c r="F2360" s="9">
        <v>12154200</v>
      </c>
      <c r="G2360" s="9">
        <v>34.36</v>
      </c>
    </row>
    <row r="2361" spans="1:7" x14ac:dyDescent="0.25">
      <c r="A2361" s="101">
        <v>38581</v>
      </c>
      <c r="B2361" s="9">
        <v>34.299999999999997</v>
      </c>
      <c r="C2361" s="9">
        <v>34.729999999999997</v>
      </c>
      <c r="D2361" s="9">
        <v>34.229999999999997</v>
      </c>
      <c r="E2361" s="9">
        <v>34.39</v>
      </c>
      <c r="F2361" s="9">
        <v>10443700</v>
      </c>
      <c r="G2361" s="9">
        <v>34.39</v>
      </c>
    </row>
    <row r="2362" spans="1:7" x14ac:dyDescent="0.25">
      <c r="A2362" s="101">
        <v>38580</v>
      </c>
      <c r="B2362" s="9">
        <v>34.57</v>
      </c>
      <c r="C2362" s="9">
        <v>34.659999999999997</v>
      </c>
      <c r="D2362" s="9">
        <v>34.21</v>
      </c>
      <c r="E2362" s="9">
        <v>34.229999999999997</v>
      </c>
      <c r="F2362" s="9">
        <v>11867100</v>
      </c>
      <c r="G2362" s="9">
        <v>34.229999999999997</v>
      </c>
    </row>
    <row r="2363" spans="1:7" x14ac:dyDescent="0.25">
      <c r="A2363" s="101">
        <v>38579</v>
      </c>
      <c r="B2363" s="9">
        <v>34.799999999999997</v>
      </c>
      <c r="C2363" s="9">
        <v>34.869999999999997</v>
      </c>
      <c r="D2363" s="9">
        <v>34.49</v>
      </c>
      <c r="E2363" s="9">
        <v>34.6</v>
      </c>
      <c r="F2363" s="9">
        <v>11244500</v>
      </c>
      <c r="G2363" s="9">
        <v>34.6</v>
      </c>
    </row>
    <row r="2364" spans="1:7" x14ac:dyDescent="0.25">
      <c r="A2364" s="101">
        <v>38576</v>
      </c>
      <c r="B2364" s="9">
        <v>34.86</v>
      </c>
      <c r="C2364" s="9">
        <v>34.880000000000003</v>
      </c>
      <c r="D2364" s="9">
        <v>34.450000000000003</v>
      </c>
      <c r="E2364" s="9">
        <v>34.6</v>
      </c>
      <c r="F2364" s="9">
        <v>13306100</v>
      </c>
      <c r="G2364" s="9">
        <v>34.6</v>
      </c>
    </row>
    <row r="2365" spans="1:7" x14ac:dyDescent="0.25">
      <c r="A2365" s="101">
        <v>38575</v>
      </c>
      <c r="B2365" s="9">
        <v>34.54</v>
      </c>
      <c r="C2365" s="9">
        <v>35</v>
      </c>
      <c r="D2365" s="9">
        <v>34.32</v>
      </c>
      <c r="E2365" s="9">
        <v>34.94</v>
      </c>
      <c r="F2365" s="9">
        <v>22391900</v>
      </c>
      <c r="G2365" s="9">
        <v>34.94</v>
      </c>
    </row>
    <row r="2366" spans="1:7" x14ac:dyDescent="0.25">
      <c r="A2366" s="101">
        <v>38574</v>
      </c>
      <c r="B2366" s="9">
        <v>34.28</v>
      </c>
      <c r="C2366" s="9">
        <v>34.770000000000003</v>
      </c>
      <c r="D2366" s="9">
        <v>34</v>
      </c>
      <c r="E2366" s="9">
        <v>34.19</v>
      </c>
      <c r="F2366" s="9">
        <v>18047900</v>
      </c>
      <c r="G2366" s="9">
        <v>34.19</v>
      </c>
    </row>
    <row r="2367" spans="1:7" x14ac:dyDescent="0.25">
      <c r="A2367" s="101">
        <v>38573</v>
      </c>
      <c r="B2367" s="9">
        <v>34.15</v>
      </c>
      <c r="C2367" s="9">
        <v>34.32</v>
      </c>
      <c r="D2367" s="9">
        <v>33.909999999999997</v>
      </c>
      <c r="E2367" s="9">
        <v>34.06</v>
      </c>
      <c r="F2367" s="9">
        <v>9987400</v>
      </c>
      <c r="G2367" s="9">
        <v>34.06</v>
      </c>
    </row>
    <row r="2368" spans="1:7" x14ac:dyDescent="0.25">
      <c r="A2368" s="101">
        <v>38572</v>
      </c>
      <c r="B2368" s="9">
        <v>33.86</v>
      </c>
      <c r="C2368" s="9">
        <v>34.18</v>
      </c>
      <c r="D2368" s="9">
        <v>33.659999999999997</v>
      </c>
      <c r="E2368" s="9">
        <v>33.94</v>
      </c>
      <c r="F2368" s="9">
        <v>13066200</v>
      </c>
      <c r="G2368" s="9">
        <v>33.94</v>
      </c>
    </row>
    <row r="2369" spans="1:7" x14ac:dyDescent="0.25">
      <c r="A2369" s="101">
        <v>38569</v>
      </c>
      <c r="B2369" s="9">
        <v>34.090000000000003</v>
      </c>
      <c r="C2369" s="9">
        <v>34.28</v>
      </c>
      <c r="D2369" s="9">
        <v>33.49</v>
      </c>
      <c r="E2369" s="9">
        <v>33.520000000000003</v>
      </c>
      <c r="F2369" s="9">
        <v>11873800</v>
      </c>
      <c r="G2369" s="9">
        <v>33.520000000000003</v>
      </c>
    </row>
    <row r="2370" spans="1:7" x14ac:dyDescent="0.25">
      <c r="A2370" s="101">
        <v>38568</v>
      </c>
      <c r="B2370" s="9">
        <v>34.26</v>
      </c>
      <c r="C2370" s="9">
        <v>34.6</v>
      </c>
      <c r="D2370" s="9">
        <v>34</v>
      </c>
      <c r="E2370" s="9">
        <v>34.06</v>
      </c>
      <c r="F2370" s="9">
        <v>11143400</v>
      </c>
      <c r="G2370" s="9">
        <v>34.06</v>
      </c>
    </row>
    <row r="2371" spans="1:7" x14ac:dyDescent="0.25">
      <c r="A2371" s="101">
        <v>38567</v>
      </c>
      <c r="B2371" s="9">
        <v>33.75</v>
      </c>
      <c r="C2371" s="9">
        <v>34.68</v>
      </c>
      <c r="D2371" s="9">
        <v>33.729999999999997</v>
      </c>
      <c r="E2371" s="9">
        <v>34.51</v>
      </c>
      <c r="F2371" s="9">
        <v>18240600</v>
      </c>
      <c r="G2371" s="9">
        <v>34.51</v>
      </c>
    </row>
    <row r="2372" spans="1:7" x14ac:dyDescent="0.25">
      <c r="A2372" s="101">
        <v>38566</v>
      </c>
      <c r="B2372" s="9">
        <v>33.46</v>
      </c>
      <c r="C2372" s="9">
        <v>34.200000000000003</v>
      </c>
      <c r="D2372" s="9">
        <v>33.39</v>
      </c>
      <c r="E2372" s="9">
        <v>33.880000000000003</v>
      </c>
      <c r="F2372" s="9">
        <v>17581900</v>
      </c>
      <c r="G2372" s="9">
        <v>33.880000000000003</v>
      </c>
    </row>
    <row r="2373" spans="1:7" x14ac:dyDescent="0.25">
      <c r="A2373" s="101">
        <v>38565</v>
      </c>
      <c r="B2373" s="9">
        <v>33.630000000000003</v>
      </c>
      <c r="C2373" s="9">
        <v>33.69</v>
      </c>
      <c r="D2373" s="9">
        <v>33.31</v>
      </c>
      <c r="E2373" s="9">
        <v>33.33</v>
      </c>
      <c r="F2373" s="9">
        <v>12637100</v>
      </c>
      <c r="G2373" s="9">
        <v>33.33</v>
      </c>
    </row>
    <row r="2374" spans="1:7" x14ac:dyDescent="0.25">
      <c r="A2374" s="101">
        <v>38562</v>
      </c>
      <c r="B2374" s="9">
        <v>34.01</v>
      </c>
      <c r="C2374" s="9">
        <v>34.06</v>
      </c>
      <c r="D2374" s="9">
        <v>33.340000000000003</v>
      </c>
      <c r="E2374" s="9">
        <v>33.340000000000003</v>
      </c>
      <c r="F2374" s="9">
        <v>16236100</v>
      </c>
      <c r="G2374" s="9">
        <v>33.340000000000003</v>
      </c>
    </row>
    <row r="2375" spans="1:7" x14ac:dyDescent="0.25">
      <c r="A2375" s="101">
        <v>38561</v>
      </c>
      <c r="B2375" s="9">
        <v>34.229999999999997</v>
      </c>
      <c r="C2375" s="9">
        <v>34.31</v>
      </c>
      <c r="D2375" s="9">
        <v>33.979999999999997</v>
      </c>
      <c r="E2375" s="9">
        <v>34.01</v>
      </c>
      <c r="F2375" s="9">
        <v>11871600</v>
      </c>
      <c r="G2375" s="9">
        <v>34.01</v>
      </c>
    </row>
    <row r="2376" spans="1:7" x14ac:dyDescent="0.25">
      <c r="A2376" s="101">
        <v>38560</v>
      </c>
      <c r="B2376" s="9">
        <v>34.22</v>
      </c>
      <c r="C2376" s="9">
        <v>34.369999999999997</v>
      </c>
      <c r="D2376" s="9">
        <v>33.950000000000003</v>
      </c>
      <c r="E2376" s="9">
        <v>34.29</v>
      </c>
      <c r="F2376" s="9">
        <v>20497500</v>
      </c>
      <c r="G2376" s="9">
        <v>34.29</v>
      </c>
    </row>
    <row r="2377" spans="1:7" x14ac:dyDescent="0.25">
      <c r="A2377" s="101">
        <v>38559</v>
      </c>
      <c r="B2377" s="9">
        <v>34.049999999999997</v>
      </c>
      <c r="C2377" s="9">
        <v>34.299999999999997</v>
      </c>
      <c r="D2377" s="9">
        <v>33.909999999999997</v>
      </c>
      <c r="E2377" s="9">
        <v>34.15</v>
      </c>
      <c r="F2377" s="9">
        <v>16819200</v>
      </c>
      <c r="G2377" s="9">
        <v>34.15</v>
      </c>
    </row>
    <row r="2378" spans="1:7" x14ac:dyDescent="0.25">
      <c r="A2378" s="101">
        <v>38558</v>
      </c>
      <c r="B2378" s="9">
        <v>33.880000000000003</v>
      </c>
      <c r="C2378" s="9">
        <v>34.08</v>
      </c>
      <c r="D2378" s="9">
        <v>33.590000000000003</v>
      </c>
      <c r="E2378" s="9">
        <v>33.85</v>
      </c>
      <c r="F2378" s="9">
        <v>23252600</v>
      </c>
      <c r="G2378" s="9">
        <v>33.85</v>
      </c>
    </row>
    <row r="2379" spans="1:7" x14ac:dyDescent="0.25">
      <c r="A2379" s="101">
        <v>38555</v>
      </c>
      <c r="B2379" s="9">
        <v>33.35</v>
      </c>
      <c r="C2379" s="9">
        <v>33.770000000000003</v>
      </c>
      <c r="D2379" s="9">
        <v>33.17</v>
      </c>
      <c r="E2379" s="9">
        <v>33.53</v>
      </c>
      <c r="F2379" s="9">
        <v>27561500</v>
      </c>
      <c r="G2379" s="9">
        <v>33.53</v>
      </c>
    </row>
    <row r="2380" spans="1:7" x14ac:dyDescent="0.25">
      <c r="A2380" s="101">
        <v>38554</v>
      </c>
      <c r="B2380" s="9">
        <v>33.75</v>
      </c>
      <c r="C2380" s="9">
        <v>33.76</v>
      </c>
      <c r="D2380" s="9">
        <v>32.75</v>
      </c>
      <c r="E2380" s="9">
        <v>32.94</v>
      </c>
      <c r="F2380" s="9">
        <v>37778500</v>
      </c>
      <c r="G2380" s="9">
        <v>32.94</v>
      </c>
    </row>
    <row r="2381" spans="1:7" x14ac:dyDescent="0.25">
      <c r="A2381" s="101">
        <v>38553</v>
      </c>
      <c r="B2381" s="9">
        <v>34.21</v>
      </c>
      <c r="C2381" s="9">
        <v>34.35</v>
      </c>
      <c r="D2381" s="9">
        <v>33.31</v>
      </c>
      <c r="E2381" s="9">
        <v>33.4</v>
      </c>
      <c r="F2381" s="9">
        <v>82623300</v>
      </c>
      <c r="G2381" s="9">
        <v>33.4</v>
      </c>
    </row>
    <row r="2382" spans="1:7" x14ac:dyDescent="0.25">
      <c r="A2382" s="101">
        <v>38552</v>
      </c>
      <c r="B2382" s="9">
        <v>37.020000000000003</v>
      </c>
      <c r="C2382" s="9">
        <v>38.020000000000003</v>
      </c>
      <c r="D2382" s="9">
        <v>36.56</v>
      </c>
      <c r="E2382" s="9">
        <v>37.729999999999997</v>
      </c>
      <c r="F2382" s="9">
        <v>32685500</v>
      </c>
      <c r="G2382" s="9">
        <v>37.729999999999997</v>
      </c>
    </row>
    <row r="2383" spans="1:7" x14ac:dyDescent="0.25">
      <c r="A2383" s="101">
        <v>38551</v>
      </c>
      <c r="B2383" s="9">
        <v>36.450000000000003</v>
      </c>
      <c r="C2383" s="9">
        <v>36.78</v>
      </c>
      <c r="D2383" s="9">
        <v>36.369999999999997</v>
      </c>
      <c r="E2383" s="9">
        <v>36.58</v>
      </c>
      <c r="F2383" s="9">
        <v>11019300</v>
      </c>
      <c r="G2383" s="9">
        <v>36.58</v>
      </c>
    </row>
    <row r="2384" spans="1:7" x14ac:dyDescent="0.25">
      <c r="A2384" s="101">
        <v>38548</v>
      </c>
      <c r="B2384" s="9">
        <v>37.049999999999997</v>
      </c>
      <c r="C2384" s="9">
        <v>37.159999999999997</v>
      </c>
      <c r="D2384" s="9">
        <v>36.5</v>
      </c>
      <c r="E2384" s="9">
        <v>36.58</v>
      </c>
      <c r="F2384" s="9">
        <v>12372200</v>
      </c>
      <c r="G2384" s="9">
        <v>36.58</v>
      </c>
    </row>
    <row r="2385" spans="1:7" x14ac:dyDescent="0.25">
      <c r="A2385" s="101">
        <v>38547</v>
      </c>
      <c r="B2385" s="9">
        <v>37.4</v>
      </c>
      <c r="C2385" s="9">
        <v>37.5</v>
      </c>
      <c r="D2385" s="9">
        <v>36.770000000000003</v>
      </c>
      <c r="E2385" s="9">
        <v>36.86</v>
      </c>
      <c r="F2385" s="9">
        <v>14722200</v>
      </c>
      <c r="G2385" s="9">
        <v>36.86</v>
      </c>
    </row>
    <row r="2386" spans="1:7" x14ac:dyDescent="0.25">
      <c r="A2386" s="101">
        <v>38546</v>
      </c>
      <c r="B2386" s="9">
        <v>36.42</v>
      </c>
      <c r="C2386" s="9">
        <v>36.979999999999997</v>
      </c>
      <c r="D2386" s="9">
        <v>36.409999999999997</v>
      </c>
      <c r="E2386" s="9">
        <v>36.729999999999997</v>
      </c>
      <c r="F2386" s="9">
        <v>16897500</v>
      </c>
      <c r="G2386" s="9">
        <v>36.729999999999997</v>
      </c>
    </row>
    <row r="2387" spans="1:7" x14ac:dyDescent="0.25">
      <c r="A2387" s="101">
        <v>38545</v>
      </c>
      <c r="B2387" s="9">
        <v>36.200000000000003</v>
      </c>
      <c r="C2387" s="9">
        <v>36.49</v>
      </c>
      <c r="D2387" s="9">
        <v>35.94</v>
      </c>
      <c r="E2387" s="9">
        <v>36.229999999999997</v>
      </c>
      <c r="F2387" s="9">
        <v>19665800</v>
      </c>
      <c r="G2387" s="9">
        <v>36.229999999999997</v>
      </c>
    </row>
    <row r="2388" spans="1:7" x14ac:dyDescent="0.25">
      <c r="A2388" s="101">
        <v>38544</v>
      </c>
      <c r="B2388" s="9">
        <v>34.9</v>
      </c>
      <c r="C2388" s="9">
        <v>35.81</v>
      </c>
      <c r="D2388" s="9">
        <v>34.78</v>
      </c>
      <c r="E2388" s="9">
        <v>35.76</v>
      </c>
      <c r="F2388" s="9">
        <v>20233000</v>
      </c>
      <c r="G2388" s="9">
        <v>35.76</v>
      </c>
    </row>
    <row r="2389" spans="1:7" x14ac:dyDescent="0.25">
      <c r="A2389" s="101">
        <v>38541</v>
      </c>
      <c r="B2389" s="9">
        <v>34.770000000000003</v>
      </c>
      <c r="C2389" s="9">
        <v>34.869999999999997</v>
      </c>
      <c r="D2389" s="9">
        <v>34.25</v>
      </c>
      <c r="E2389" s="9">
        <v>34.619999999999997</v>
      </c>
      <c r="F2389" s="9">
        <v>15515400</v>
      </c>
      <c r="G2389" s="9">
        <v>34.619999999999997</v>
      </c>
    </row>
    <row r="2390" spans="1:7" x14ac:dyDescent="0.25">
      <c r="A2390" s="101">
        <v>38540</v>
      </c>
      <c r="B2390" s="9">
        <v>33.869999999999997</v>
      </c>
      <c r="C2390" s="9">
        <v>34.770000000000003</v>
      </c>
      <c r="D2390" s="9">
        <v>33.72</v>
      </c>
      <c r="E2390" s="9">
        <v>34.630000000000003</v>
      </c>
      <c r="F2390" s="9">
        <v>16354300</v>
      </c>
      <c r="G2390" s="9">
        <v>34.630000000000003</v>
      </c>
    </row>
    <row r="2391" spans="1:7" x14ac:dyDescent="0.25">
      <c r="A2391" s="101">
        <v>38539</v>
      </c>
      <c r="B2391" s="9">
        <v>34.64</v>
      </c>
      <c r="C2391" s="9">
        <v>34.97</v>
      </c>
      <c r="D2391" s="9">
        <v>34.03</v>
      </c>
      <c r="E2391" s="9">
        <v>34.119999999999997</v>
      </c>
      <c r="F2391" s="9">
        <v>13585700</v>
      </c>
      <c r="G2391" s="9">
        <v>34.119999999999997</v>
      </c>
    </row>
    <row r="2392" spans="1:7" x14ac:dyDescent="0.25">
      <c r="A2392" s="101">
        <v>38538</v>
      </c>
      <c r="B2392" s="9">
        <v>34.25</v>
      </c>
      <c r="C2392" s="9">
        <v>35.08</v>
      </c>
      <c r="D2392" s="9">
        <v>34.200000000000003</v>
      </c>
      <c r="E2392" s="9">
        <v>34.6</v>
      </c>
      <c r="F2392" s="9">
        <v>16086700</v>
      </c>
      <c r="G2392" s="9">
        <v>34.6</v>
      </c>
    </row>
    <row r="2393" spans="1:7" x14ac:dyDescent="0.25">
      <c r="A2393" s="101">
        <v>38534</v>
      </c>
      <c r="B2393" s="9">
        <v>34.76</v>
      </c>
      <c r="C2393" s="9">
        <v>34.85</v>
      </c>
      <c r="D2393" s="9">
        <v>34.22</v>
      </c>
      <c r="E2393" s="9">
        <v>34.44</v>
      </c>
      <c r="F2393" s="9">
        <v>9861600</v>
      </c>
      <c r="G2393" s="9">
        <v>34.44</v>
      </c>
    </row>
    <row r="2394" spans="1:7" x14ac:dyDescent="0.25">
      <c r="A2394" s="101">
        <v>38533</v>
      </c>
      <c r="B2394" s="9">
        <v>34.840000000000003</v>
      </c>
      <c r="C2394" s="9">
        <v>35.17</v>
      </c>
      <c r="D2394" s="9">
        <v>34.44</v>
      </c>
      <c r="E2394" s="9">
        <v>34.65</v>
      </c>
      <c r="F2394" s="9">
        <v>16699500</v>
      </c>
      <c r="G2394" s="9">
        <v>34.65</v>
      </c>
    </row>
    <row r="2395" spans="1:7" x14ac:dyDescent="0.25">
      <c r="A2395" s="101">
        <v>38532</v>
      </c>
      <c r="B2395" s="9">
        <v>35.799999999999997</v>
      </c>
      <c r="C2395" s="9">
        <v>35.94</v>
      </c>
      <c r="D2395" s="9">
        <v>34.880000000000003</v>
      </c>
      <c r="E2395" s="9">
        <v>34.94</v>
      </c>
      <c r="F2395" s="9">
        <v>16481900</v>
      </c>
      <c r="G2395" s="9">
        <v>34.94</v>
      </c>
    </row>
    <row r="2396" spans="1:7" x14ac:dyDescent="0.25">
      <c r="A2396" s="101">
        <v>38531</v>
      </c>
      <c r="B2396" s="9">
        <v>35.950000000000003</v>
      </c>
      <c r="C2396" s="9">
        <v>36.24</v>
      </c>
      <c r="D2396" s="9">
        <v>35.51</v>
      </c>
      <c r="E2396" s="9">
        <v>35.799999999999997</v>
      </c>
      <c r="F2396" s="9">
        <v>13346200</v>
      </c>
      <c r="G2396" s="9">
        <v>35.799999999999997</v>
      </c>
    </row>
    <row r="2397" spans="1:7" x14ac:dyDescent="0.25">
      <c r="A2397" s="101">
        <v>38530</v>
      </c>
      <c r="B2397" s="9">
        <v>35.880000000000003</v>
      </c>
      <c r="C2397" s="9">
        <v>36.11</v>
      </c>
      <c r="D2397" s="9">
        <v>35.200000000000003</v>
      </c>
      <c r="E2397" s="9">
        <v>35.68</v>
      </c>
      <c r="F2397" s="9">
        <v>12044700</v>
      </c>
      <c r="G2397" s="9">
        <v>35.68</v>
      </c>
    </row>
    <row r="2398" spans="1:7" x14ac:dyDescent="0.25">
      <c r="A2398" s="101">
        <v>38527</v>
      </c>
      <c r="B2398" s="9">
        <v>36.26</v>
      </c>
      <c r="C2398" s="9">
        <v>36.4</v>
      </c>
      <c r="D2398" s="9">
        <v>35.6</v>
      </c>
      <c r="E2398" s="9">
        <v>36.090000000000003</v>
      </c>
      <c r="F2398" s="9">
        <v>13468200</v>
      </c>
      <c r="G2398" s="9">
        <v>36.090000000000003</v>
      </c>
    </row>
    <row r="2399" spans="1:7" x14ac:dyDescent="0.25">
      <c r="A2399" s="101">
        <v>38526</v>
      </c>
      <c r="B2399" s="9">
        <v>36.85</v>
      </c>
      <c r="C2399" s="9">
        <v>37.31</v>
      </c>
      <c r="D2399" s="9">
        <v>36.200000000000003</v>
      </c>
      <c r="E2399" s="9">
        <v>36.200000000000003</v>
      </c>
      <c r="F2399" s="9">
        <v>15547700</v>
      </c>
      <c r="G2399" s="9">
        <v>36.200000000000003</v>
      </c>
    </row>
    <row r="2400" spans="1:7" x14ac:dyDescent="0.25">
      <c r="A2400" s="101">
        <v>38525</v>
      </c>
      <c r="B2400" s="9">
        <v>36.909999999999997</v>
      </c>
      <c r="C2400" s="9">
        <v>37.32</v>
      </c>
      <c r="D2400" s="9">
        <v>36.840000000000003</v>
      </c>
      <c r="E2400" s="9">
        <v>36.9</v>
      </c>
      <c r="F2400" s="9">
        <v>12148100</v>
      </c>
      <c r="G2400" s="9">
        <v>36.9</v>
      </c>
    </row>
    <row r="2401" spans="1:7" x14ac:dyDescent="0.25">
      <c r="A2401" s="101">
        <v>38524</v>
      </c>
      <c r="B2401" s="9">
        <v>36.369999999999997</v>
      </c>
      <c r="C2401" s="9">
        <v>37.31</v>
      </c>
      <c r="D2401" s="9">
        <v>36.36</v>
      </c>
      <c r="E2401" s="9">
        <v>36.950000000000003</v>
      </c>
      <c r="F2401" s="9">
        <v>16219200</v>
      </c>
      <c r="G2401" s="9">
        <v>36.950000000000003</v>
      </c>
    </row>
    <row r="2402" spans="1:7" x14ac:dyDescent="0.25">
      <c r="A2402" s="101">
        <v>38523</v>
      </c>
      <c r="B2402" s="9">
        <v>35.96</v>
      </c>
      <c r="C2402" s="9">
        <v>36.840000000000003</v>
      </c>
      <c r="D2402" s="9">
        <v>35.79</v>
      </c>
      <c r="E2402" s="9">
        <v>36.450000000000003</v>
      </c>
      <c r="F2402" s="9">
        <v>12753200</v>
      </c>
      <c r="G2402" s="9">
        <v>36.450000000000003</v>
      </c>
    </row>
    <row r="2403" spans="1:7" x14ac:dyDescent="0.25">
      <c r="A2403" s="101">
        <v>38520</v>
      </c>
      <c r="B2403" s="9">
        <v>36.76</v>
      </c>
      <c r="C2403" s="9">
        <v>36.979999999999997</v>
      </c>
      <c r="D2403" s="9">
        <v>36.119999999999997</v>
      </c>
      <c r="E2403" s="9">
        <v>36.299999999999997</v>
      </c>
      <c r="F2403" s="9">
        <v>15952800</v>
      </c>
      <c r="G2403" s="9">
        <v>36.299999999999997</v>
      </c>
    </row>
    <row r="2404" spans="1:7" x14ac:dyDescent="0.25">
      <c r="A2404" s="101">
        <v>38519</v>
      </c>
      <c r="B2404" s="9">
        <v>36.46</v>
      </c>
      <c r="C2404" s="9">
        <v>36.74</v>
      </c>
      <c r="D2404" s="9">
        <v>36.22</v>
      </c>
      <c r="E2404" s="9">
        <v>36.4</v>
      </c>
      <c r="F2404" s="9">
        <v>12228700</v>
      </c>
      <c r="G2404" s="9">
        <v>36.4</v>
      </c>
    </row>
    <row r="2405" spans="1:7" x14ac:dyDescent="0.25">
      <c r="A2405" s="101">
        <v>38518</v>
      </c>
      <c r="B2405" s="9">
        <v>36.97</v>
      </c>
      <c r="C2405" s="9">
        <v>37.11</v>
      </c>
      <c r="D2405" s="9">
        <v>35.909999999999997</v>
      </c>
      <c r="E2405" s="9">
        <v>36.32</v>
      </c>
      <c r="F2405" s="9">
        <v>22753900</v>
      </c>
      <c r="G2405" s="9">
        <v>36.32</v>
      </c>
    </row>
    <row r="2406" spans="1:7" x14ac:dyDescent="0.25">
      <c r="A2406" s="101">
        <v>38517</v>
      </c>
      <c r="B2406" s="9">
        <v>36.56</v>
      </c>
      <c r="C2406" s="9">
        <v>37.049999999999997</v>
      </c>
      <c r="D2406" s="9">
        <v>36.43</v>
      </c>
      <c r="E2406" s="9">
        <v>36.799999999999997</v>
      </c>
      <c r="F2406" s="9">
        <v>12781200</v>
      </c>
      <c r="G2406" s="9">
        <v>36.799999999999997</v>
      </c>
    </row>
    <row r="2407" spans="1:7" x14ac:dyDescent="0.25">
      <c r="A2407" s="101">
        <v>38516</v>
      </c>
      <c r="B2407" s="9">
        <v>36.659999999999997</v>
      </c>
      <c r="C2407" s="9">
        <v>37.51</v>
      </c>
      <c r="D2407" s="9">
        <v>36.53</v>
      </c>
      <c r="E2407" s="9">
        <v>36.9</v>
      </c>
      <c r="F2407" s="9">
        <v>11586300</v>
      </c>
      <c r="G2407" s="9">
        <v>36.9</v>
      </c>
    </row>
    <row r="2408" spans="1:7" x14ac:dyDescent="0.25">
      <c r="A2408" s="101">
        <v>38513</v>
      </c>
      <c r="B2408" s="9">
        <v>37.479999999999997</v>
      </c>
      <c r="C2408" s="9">
        <v>37.5</v>
      </c>
      <c r="D2408" s="9">
        <v>36.32</v>
      </c>
      <c r="E2408" s="9">
        <v>36.81</v>
      </c>
      <c r="F2408" s="9">
        <v>14216900</v>
      </c>
      <c r="G2408" s="9">
        <v>36.81</v>
      </c>
    </row>
    <row r="2409" spans="1:7" x14ac:dyDescent="0.25">
      <c r="A2409" s="101">
        <v>38512</v>
      </c>
      <c r="B2409" s="9">
        <v>36.81</v>
      </c>
      <c r="C2409" s="9">
        <v>37.479999999999997</v>
      </c>
      <c r="D2409" s="9">
        <v>36.380000000000003</v>
      </c>
      <c r="E2409" s="9">
        <v>37.450000000000003</v>
      </c>
      <c r="F2409" s="9">
        <v>18455100</v>
      </c>
      <c r="G2409" s="9">
        <v>37.450000000000003</v>
      </c>
    </row>
    <row r="2410" spans="1:7" x14ac:dyDescent="0.25">
      <c r="A2410" s="101">
        <v>38511</v>
      </c>
      <c r="B2410" s="9">
        <v>37.42</v>
      </c>
      <c r="C2410" s="9">
        <v>37.450000000000003</v>
      </c>
      <c r="D2410" s="9">
        <v>36.32</v>
      </c>
      <c r="E2410" s="9">
        <v>36.630000000000003</v>
      </c>
      <c r="F2410" s="9">
        <v>20121100</v>
      </c>
      <c r="G2410" s="9">
        <v>36.630000000000003</v>
      </c>
    </row>
    <row r="2411" spans="1:7" x14ac:dyDescent="0.25">
      <c r="A2411" s="101">
        <v>38510</v>
      </c>
      <c r="B2411" s="9">
        <v>38.72</v>
      </c>
      <c r="C2411" s="9">
        <v>38.950000000000003</v>
      </c>
      <c r="D2411" s="9">
        <v>37.32</v>
      </c>
      <c r="E2411" s="9">
        <v>37.44</v>
      </c>
      <c r="F2411" s="9">
        <v>22848300</v>
      </c>
      <c r="G2411" s="9">
        <v>37.44</v>
      </c>
    </row>
    <row r="2412" spans="1:7" x14ac:dyDescent="0.25">
      <c r="A2412" s="101">
        <v>38509</v>
      </c>
      <c r="B2412" s="9">
        <v>37.79</v>
      </c>
      <c r="C2412" s="9">
        <v>38.74</v>
      </c>
      <c r="D2412" s="9">
        <v>37.75</v>
      </c>
      <c r="E2412" s="9">
        <v>38.520000000000003</v>
      </c>
      <c r="F2412" s="9">
        <v>12416000</v>
      </c>
      <c r="G2412" s="9">
        <v>38.520000000000003</v>
      </c>
    </row>
    <row r="2413" spans="1:7" x14ac:dyDescent="0.25">
      <c r="A2413" s="101">
        <v>38506</v>
      </c>
      <c r="B2413" s="9">
        <v>38.24</v>
      </c>
      <c r="C2413" s="9">
        <v>38.79</v>
      </c>
      <c r="D2413" s="9">
        <v>37.6</v>
      </c>
      <c r="E2413" s="9">
        <v>37.92</v>
      </c>
      <c r="F2413" s="9">
        <v>12813300</v>
      </c>
      <c r="G2413" s="9">
        <v>37.92</v>
      </c>
    </row>
    <row r="2414" spans="1:7" x14ac:dyDescent="0.25">
      <c r="A2414" s="101">
        <v>38505</v>
      </c>
      <c r="B2414" s="9">
        <v>38.200000000000003</v>
      </c>
      <c r="C2414" s="9">
        <v>38.71</v>
      </c>
      <c r="D2414" s="9">
        <v>38.130000000000003</v>
      </c>
      <c r="E2414" s="9">
        <v>38.5</v>
      </c>
      <c r="F2414" s="9">
        <v>13150700</v>
      </c>
      <c r="G2414" s="9">
        <v>38.5</v>
      </c>
    </row>
    <row r="2415" spans="1:7" x14ac:dyDescent="0.25">
      <c r="A2415" s="101">
        <v>38504</v>
      </c>
      <c r="B2415" s="9">
        <v>37.31</v>
      </c>
      <c r="C2415" s="9">
        <v>38.9</v>
      </c>
      <c r="D2415" s="9">
        <v>37.17</v>
      </c>
      <c r="E2415" s="9">
        <v>38.42</v>
      </c>
      <c r="F2415" s="9">
        <v>28153800</v>
      </c>
      <c r="G2415" s="9">
        <v>38.42</v>
      </c>
    </row>
    <row r="2416" spans="1:7" x14ac:dyDescent="0.25">
      <c r="A2416" s="101">
        <v>38503</v>
      </c>
      <c r="B2416" s="9">
        <v>37.03</v>
      </c>
      <c r="C2416" s="9">
        <v>37.35</v>
      </c>
      <c r="D2416" s="9">
        <v>36.85</v>
      </c>
      <c r="E2416" s="9">
        <v>37.200000000000003</v>
      </c>
      <c r="F2416" s="9">
        <v>12498300</v>
      </c>
      <c r="G2416" s="9">
        <v>37.200000000000003</v>
      </c>
    </row>
    <row r="2417" spans="1:7" x14ac:dyDescent="0.25">
      <c r="A2417" s="101">
        <v>38499</v>
      </c>
      <c r="B2417" s="9">
        <v>36.979999999999997</v>
      </c>
      <c r="C2417" s="9">
        <v>37.47</v>
      </c>
      <c r="D2417" s="9">
        <v>36.950000000000003</v>
      </c>
      <c r="E2417" s="9">
        <v>37.270000000000003</v>
      </c>
      <c r="F2417" s="9">
        <v>10256600</v>
      </c>
      <c r="G2417" s="9">
        <v>37.270000000000003</v>
      </c>
    </row>
    <row r="2418" spans="1:7" x14ac:dyDescent="0.25">
      <c r="A2418" s="101">
        <v>38498</v>
      </c>
      <c r="B2418" s="9">
        <v>36.450000000000003</v>
      </c>
      <c r="C2418" s="9">
        <v>37.19</v>
      </c>
      <c r="D2418" s="9">
        <v>36.35</v>
      </c>
      <c r="E2418" s="9">
        <v>37.14</v>
      </c>
      <c r="F2418" s="9">
        <v>15547700</v>
      </c>
      <c r="G2418" s="9">
        <v>37.14</v>
      </c>
    </row>
    <row r="2419" spans="1:7" x14ac:dyDescent="0.25">
      <c r="A2419" s="101">
        <v>38497</v>
      </c>
      <c r="B2419" s="9">
        <v>36.25</v>
      </c>
      <c r="C2419" s="9">
        <v>36.42</v>
      </c>
      <c r="D2419" s="9">
        <v>36.06</v>
      </c>
      <c r="E2419" s="9">
        <v>36.270000000000003</v>
      </c>
      <c r="F2419" s="9">
        <v>14995100</v>
      </c>
      <c r="G2419" s="9">
        <v>36.270000000000003</v>
      </c>
    </row>
    <row r="2420" spans="1:7" x14ac:dyDescent="0.25">
      <c r="A2420" s="101">
        <v>38496</v>
      </c>
      <c r="B2420" s="9">
        <v>36.869999999999997</v>
      </c>
      <c r="C2420" s="9">
        <v>37.1</v>
      </c>
      <c r="D2420" s="9">
        <v>36.450000000000003</v>
      </c>
      <c r="E2420" s="9">
        <v>36.630000000000003</v>
      </c>
      <c r="F2420" s="9">
        <v>17421300</v>
      </c>
      <c r="G2420" s="9">
        <v>36.630000000000003</v>
      </c>
    </row>
    <row r="2421" spans="1:7" x14ac:dyDescent="0.25">
      <c r="A2421" s="101">
        <v>38495</v>
      </c>
      <c r="B2421" s="9">
        <v>36.1</v>
      </c>
      <c r="C2421" s="9">
        <v>37.1</v>
      </c>
      <c r="D2421" s="9">
        <v>36.04</v>
      </c>
      <c r="E2421" s="9">
        <v>36.799999999999997</v>
      </c>
      <c r="F2421" s="9">
        <v>21616200</v>
      </c>
      <c r="G2421" s="9">
        <v>36.799999999999997</v>
      </c>
    </row>
    <row r="2422" spans="1:7" x14ac:dyDescent="0.25">
      <c r="A2422" s="101">
        <v>38492</v>
      </c>
      <c r="B2422" s="9">
        <v>36.6</v>
      </c>
      <c r="C2422" s="9">
        <v>36.64</v>
      </c>
      <c r="D2422" s="9">
        <v>36.130000000000003</v>
      </c>
      <c r="E2422" s="9">
        <v>36.33</v>
      </c>
      <c r="F2422" s="9">
        <v>13771900</v>
      </c>
      <c r="G2422" s="9">
        <v>36.33</v>
      </c>
    </row>
    <row r="2423" spans="1:7" x14ac:dyDescent="0.25">
      <c r="A2423" s="101">
        <v>38491</v>
      </c>
      <c r="B2423" s="9">
        <v>36.130000000000003</v>
      </c>
      <c r="C2423" s="9">
        <v>36.99</v>
      </c>
      <c r="D2423" s="9">
        <v>36.11</v>
      </c>
      <c r="E2423" s="9">
        <v>36.75</v>
      </c>
      <c r="F2423" s="9">
        <v>21267100</v>
      </c>
      <c r="G2423" s="9">
        <v>36.75</v>
      </c>
    </row>
    <row r="2424" spans="1:7" x14ac:dyDescent="0.25">
      <c r="A2424" s="101">
        <v>38490</v>
      </c>
      <c r="B2424" s="9">
        <v>35.79</v>
      </c>
      <c r="C2424" s="9">
        <v>36.58</v>
      </c>
      <c r="D2424" s="9">
        <v>35.69</v>
      </c>
      <c r="E2424" s="9">
        <v>35.950000000000003</v>
      </c>
      <c r="F2424" s="9">
        <v>23769000</v>
      </c>
      <c r="G2424" s="9">
        <v>35.950000000000003</v>
      </c>
    </row>
    <row r="2425" spans="1:7" x14ac:dyDescent="0.25">
      <c r="A2425" s="101">
        <v>38489</v>
      </c>
      <c r="B2425" s="9">
        <v>35.200000000000003</v>
      </c>
      <c r="C2425" s="9">
        <v>35.799999999999997</v>
      </c>
      <c r="D2425" s="9">
        <v>35.14</v>
      </c>
      <c r="E2425" s="9">
        <v>35.68</v>
      </c>
      <c r="F2425" s="9">
        <v>13178400</v>
      </c>
      <c r="G2425" s="9">
        <v>35.68</v>
      </c>
    </row>
    <row r="2426" spans="1:7" x14ac:dyDescent="0.25">
      <c r="A2426" s="101">
        <v>38488</v>
      </c>
      <c r="B2426" s="9">
        <v>34.78</v>
      </c>
      <c r="C2426" s="9">
        <v>35.5</v>
      </c>
      <c r="D2426" s="9">
        <v>34.74</v>
      </c>
      <c r="E2426" s="9">
        <v>35.450000000000003</v>
      </c>
      <c r="F2426" s="9">
        <v>15473900</v>
      </c>
      <c r="G2426" s="9">
        <v>35.450000000000003</v>
      </c>
    </row>
    <row r="2427" spans="1:7" x14ac:dyDescent="0.25">
      <c r="A2427" s="101">
        <v>38485</v>
      </c>
      <c r="B2427" s="9">
        <v>34.71</v>
      </c>
      <c r="C2427" s="9">
        <v>35.35</v>
      </c>
      <c r="D2427" s="9">
        <v>34.35</v>
      </c>
      <c r="E2427" s="9">
        <v>34.82</v>
      </c>
      <c r="F2427" s="9">
        <v>15855900</v>
      </c>
      <c r="G2427" s="9">
        <v>34.82</v>
      </c>
    </row>
    <row r="2428" spans="1:7" x14ac:dyDescent="0.25">
      <c r="A2428" s="101">
        <v>38484</v>
      </c>
      <c r="B2428" s="9">
        <v>34.950000000000003</v>
      </c>
      <c r="C2428" s="9">
        <v>35.369999999999997</v>
      </c>
      <c r="D2428" s="9">
        <v>34.54</v>
      </c>
      <c r="E2428" s="9">
        <v>34.71</v>
      </c>
      <c r="F2428" s="9">
        <v>18906700</v>
      </c>
      <c r="G2428" s="9">
        <v>34.71</v>
      </c>
    </row>
    <row r="2429" spans="1:7" x14ac:dyDescent="0.25">
      <c r="A2429" s="101">
        <v>38483</v>
      </c>
      <c r="B2429" s="9">
        <v>34.090000000000003</v>
      </c>
      <c r="C2429" s="9">
        <v>34.880000000000003</v>
      </c>
      <c r="D2429" s="9">
        <v>33.69</v>
      </c>
      <c r="E2429" s="9">
        <v>34.880000000000003</v>
      </c>
      <c r="F2429" s="9">
        <v>19537100</v>
      </c>
      <c r="G2429" s="9">
        <v>34.880000000000003</v>
      </c>
    </row>
    <row r="2430" spans="1:7" x14ac:dyDescent="0.25">
      <c r="A2430" s="101">
        <v>38482</v>
      </c>
      <c r="B2430" s="9">
        <v>34.299999999999997</v>
      </c>
      <c r="C2430" s="9">
        <v>34.369999999999997</v>
      </c>
      <c r="D2430" s="9">
        <v>33.86</v>
      </c>
      <c r="E2430" s="9">
        <v>34.06</v>
      </c>
      <c r="F2430" s="9">
        <v>13227000</v>
      </c>
      <c r="G2430" s="9">
        <v>34.06</v>
      </c>
    </row>
    <row r="2431" spans="1:7" x14ac:dyDescent="0.25">
      <c r="A2431" s="101">
        <v>38481</v>
      </c>
      <c r="B2431" s="9">
        <v>34.479999999999997</v>
      </c>
      <c r="C2431" s="9">
        <v>34.65</v>
      </c>
      <c r="D2431" s="9">
        <v>34.25</v>
      </c>
      <c r="E2431" s="9">
        <v>34.590000000000003</v>
      </c>
      <c r="F2431" s="9">
        <v>9991700</v>
      </c>
      <c r="G2431" s="9">
        <v>34.590000000000003</v>
      </c>
    </row>
    <row r="2432" spans="1:7" x14ac:dyDescent="0.25">
      <c r="A2432" s="101">
        <v>38478</v>
      </c>
      <c r="B2432" s="9">
        <v>35</v>
      </c>
      <c r="C2432" s="9">
        <v>35.08</v>
      </c>
      <c r="D2432" s="9">
        <v>34.450000000000003</v>
      </c>
      <c r="E2432" s="9">
        <v>34.520000000000003</v>
      </c>
      <c r="F2432" s="9">
        <v>14202200</v>
      </c>
      <c r="G2432" s="9">
        <v>34.520000000000003</v>
      </c>
    </row>
    <row r="2433" spans="1:7" x14ac:dyDescent="0.25">
      <c r="A2433" s="101">
        <v>38477</v>
      </c>
      <c r="B2433" s="9">
        <v>35.1</v>
      </c>
      <c r="C2433" s="9">
        <v>35.29</v>
      </c>
      <c r="D2433" s="9">
        <v>34.43</v>
      </c>
      <c r="E2433" s="9">
        <v>34.71</v>
      </c>
      <c r="F2433" s="9">
        <v>16926300</v>
      </c>
      <c r="G2433" s="9">
        <v>34.71</v>
      </c>
    </row>
    <row r="2434" spans="1:7" x14ac:dyDescent="0.25">
      <c r="A2434" s="101">
        <v>38476</v>
      </c>
      <c r="B2434" s="9">
        <v>34.43</v>
      </c>
      <c r="C2434" s="9">
        <v>35.5</v>
      </c>
      <c r="D2434" s="9">
        <v>34.380000000000003</v>
      </c>
      <c r="E2434" s="9">
        <v>35.18</v>
      </c>
      <c r="F2434" s="9">
        <v>23410900</v>
      </c>
      <c r="G2434" s="9">
        <v>35.18</v>
      </c>
    </row>
    <row r="2435" spans="1:7" x14ac:dyDescent="0.25">
      <c r="A2435" s="101">
        <v>38475</v>
      </c>
      <c r="B2435" s="9">
        <v>34.049999999999997</v>
      </c>
      <c r="C2435" s="9">
        <v>34.6</v>
      </c>
      <c r="D2435" s="9">
        <v>33.9</v>
      </c>
      <c r="E2435" s="9">
        <v>34.28</v>
      </c>
      <c r="F2435" s="9">
        <v>22042800</v>
      </c>
      <c r="G2435" s="9">
        <v>34.28</v>
      </c>
    </row>
    <row r="2436" spans="1:7" x14ac:dyDescent="0.25">
      <c r="A2436" s="101">
        <v>38474</v>
      </c>
      <c r="B2436" s="9">
        <v>34.44</v>
      </c>
      <c r="C2436" s="9">
        <v>34.85</v>
      </c>
      <c r="D2436" s="9">
        <v>34.03</v>
      </c>
      <c r="E2436" s="9">
        <v>34.380000000000003</v>
      </c>
      <c r="F2436" s="9">
        <v>13231500</v>
      </c>
      <c r="G2436" s="9">
        <v>34.380000000000003</v>
      </c>
    </row>
    <row r="2437" spans="1:7" x14ac:dyDescent="0.25">
      <c r="A2437" s="101">
        <v>38471</v>
      </c>
      <c r="B2437" s="9">
        <v>34.6</v>
      </c>
      <c r="C2437" s="9">
        <v>34.75</v>
      </c>
      <c r="D2437" s="9">
        <v>33.92</v>
      </c>
      <c r="E2437" s="9">
        <v>34.5</v>
      </c>
      <c r="F2437" s="9">
        <v>15666100</v>
      </c>
      <c r="G2437" s="9">
        <v>34.5</v>
      </c>
    </row>
    <row r="2438" spans="1:7" x14ac:dyDescent="0.25">
      <c r="A2438" s="101">
        <v>38470</v>
      </c>
      <c r="B2438" s="9">
        <v>34.700000000000003</v>
      </c>
      <c r="C2438" s="9">
        <v>34.93</v>
      </c>
      <c r="D2438" s="9">
        <v>34.020000000000003</v>
      </c>
      <c r="E2438" s="9">
        <v>34.33</v>
      </c>
      <c r="F2438" s="9">
        <v>16159300</v>
      </c>
      <c r="G2438" s="9">
        <v>34.33</v>
      </c>
    </row>
    <row r="2439" spans="1:7" x14ac:dyDescent="0.25">
      <c r="A2439" s="101">
        <v>38469</v>
      </c>
      <c r="B2439" s="9">
        <v>34.700000000000003</v>
      </c>
      <c r="C2439" s="9">
        <v>35.14</v>
      </c>
      <c r="D2439" s="9">
        <v>34.590000000000003</v>
      </c>
      <c r="E2439" s="9">
        <v>34.950000000000003</v>
      </c>
      <c r="F2439" s="9">
        <v>14861300</v>
      </c>
      <c r="G2439" s="9">
        <v>34.950000000000003</v>
      </c>
    </row>
    <row r="2440" spans="1:7" x14ac:dyDescent="0.25">
      <c r="A2440" s="101">
        <v>38468</v>
      </c>
      <c r="B2440" s="9">
        <v>35.119999999999997</v>
      </c>
      <c r="C2440" s="9">
        <v>35.42</v>
      </c>
      <c r="D2440" s="9">
        <v>34.799999999999997</v>
      </c>
      <c r="E2440" s="9">
        <v>35</v>
      </c>
      <c r="F2440" s="9">
        <v>17921200</v>
      </c>
      <c r="G2440" s="9">
        <v>35</v>
      </c>
    </row>
    <row r="2441" spans="1:7" x14ac:dyDescent="0.25">
      <c r="A2441" s="101">
        <v>38467</v>
      </c>
      <c r="B2441" s="9">
        <v>34.58</v>
      </c>
      <c r="C2441" s="9">
        <v>35.590000000000003</v>
      </c>
      <c r="D2441" s="9">
        <v>34.58</v>
      </c>
      <c r="E2441" s="9">
        <v>35.49</v>
      </c>
      <c r="F2441" s="9">
        <v>23883600</v>
      </c>
      <c r="G2441" s="9">
        <v>35.49</v>
      </c>
    </row>
    <row r="2442" spans="1:7" x14ac:dyDescent="0.25">
      <c r="A2442" s="101">
        <v>38464</v>
      </c>
      <c r="B2442" s="9">
        <v>35.21</v>
      </c>
      <c r="C2442" s="9">
        <v>35.880000000000003</v>
      </c>
      <c r="D2442" s="9">
        <v>34.5</v>
      </c>
      <c r="E2442" s="9">
        <v>34.869999999999997</v>
      </c>
      <c r="F2442" s="9">
        <v>31869800</v>
      </c>
      <c r="G2442" s="9">
        <v>34.869999999999997</v>
      </c>
    </row>
    <row r="2443" spans="1:7" x14ac:dyDescent="0.25">
      <c r="A2443" s="101">
        <v>38463</v>
      </c>
      <c r="B2443" s="9">
        <v>35.119999999999997</v>
      </c>
      <c r="C2443" s="9">
        <v>35.909999999999997</v>
      </c>
      <c r="D2443" s="9">
        <v>34.71</v>
      </c>
      <c r="E2443" s="9">
        <v>35.869999999999997</v>
      </c>
      <c r="F2443" s="9">
        <v>27731600</v>
      </c>
      <c r="G2443" s="9">
        <v>35.869999999999997</v>
      </c>
    </row>
    <row r="2444" spans="1:7" x14ac:dyDescent="0.25">
      <c r="A2444" s="101">
        <v>38462</v>
      </c>
      <c r="B2444" s="9">
        <v>34.96</v>
      </c>
      <c r="C2444" s="9">
        <v>35.25</v>
      </c>
      <c r="D2444" s="9">
        <v>34.36</v>
      </c>
      <c r="E2444" s="9">
        <v>34.65</v>
      </c>
      <c r="F2444" s="9">
        <v>50104400</v>
      </c>
      <c r="G2444" s="9">
        <v>34.65</v>
      </c>
    </row>
    <row r="2445" spans="1:7" x14ac:dyDescent="0.25">
      <c r="A2445" s="101">
        <v>38461</v>
      </c>
      <c r="B2445" s="9">
        <v>32.96</v>
      </c>
      <c r="C2445" s="9">
        <v>33.33</v>
      </c>
      <c r="D2445" s="9">
        <v>32.42</v>
      </c>
      <c r="E2445" s="9">
        <v>33.22</v>
      </c>
      <c r="F2445" s="9">
        <v>34158500</v>
      </c>
      <c r="G2445" s="9">
        <v>33.22</v>
      </c>
    </row>
    <row r="2446" spans="1:7" x14ac:dyDescent="0.25">
      <c r="A2446" s="101">
        <v>38460</v>
      </c>
      <c r="B2446" s="9">
        <v>32.43</v>
      </c>
      <c r="C2446" s="9">
        <v>33.090000000000003</v>
      </c>
      <c r="D2446" s="9">
        <v>32.4</v>
      </c>
      <c r="E2446" s="9">
        <v>32.549999999999997</v>
      </c>
      <c r="F2446" s="9">
        <v>19201200</v>
      </c>
      <c r="G2446" s="9">
        <v>32.549999999999997</v>
      </c>
    </row>
    <row r="2447" spans="1:7" x14ac:dyDescent="0.25">
      <c r="A2447" s="101">
        <v>38457</v>
      </c>
      <c r="B2447" s="9">
        <v>32.96</v>
      </c>
      <c r="C2447" s="9">
        <v>33.409999999999997</v>
      </c>
      <c r="D2447" s="9">
        <v>32.29</v>
      </c>
      <c r="E2447" s="9">
        <v>32.46</v>
      </c>
      <c r="F2447" s="9">
        <v>27008500</v>
      </c>
      <c r="G2447" s="9">
        <v>32.46</v>
      </c>
    </row>
    <row r="2448" spans="1:7" x14ac:dyDescent="0.25">
      <c r="A2448" s="101">
        <v>38456</v>
      </c>
      <c r="B2448" s="9">
        <v>33.630000000000003</v>
      </c>
      <c r="C2448" s="9">
        <v>34.200000000000003</v>
      </c>
      <c r="D2448" s="9">
        <v>33.4</v>
      </c>
      <c r="E2448" s="9">
        <v>33.46</v>
      </c>
      <c r="F2448" s="9">
        <v>19855300</v>
      </c>
      <c r="G2448" s="9">
        <v>33.46</v>
      </c>
    </row>
    <row r="2449" spans="1:7" x14ac:dyDescent="0.25">
      <c r="A2449" s="101">
        <v>38455</v>
      </c>
      <c r="B2449" s="9">
        <v>34.159999999999997</v>
      </c>
      <c r="C2449" s="9">
        <v>34.46</v>
      </c>
      <c r="D2449" s="9">
        <v>33.4</v>
      </c>
      <c r="E2449" s="9">
        <v>33.6</v>
      </c>
      <c r="F2449" s="9">
        <v>16886100</v>
      </c>
      <c r="G2449" s="9">
        <v>33.6</v>
      </c>
    </row>
    <row r="2450" spans="1:7" x14ac:dyDescent="0.25">
      <c r="A2450" s="101">
        <v>38454</v>
      </c>
      <c r="B2450" s="9">
        <v>34.35</v>
      </c>
      <c r="C2450" s="9">
        <v>34.5</v>
      </c>
      <c r="D2450" s="9">
        <v>33.74</v>
      </c>
      <c r="E2450" s="9">
        <v>34.28</v>
      </c>
      <c r="F2450" s="9">
        <v>22681900</v>
      </c>
      <c r="G2450" s="9">
        <v>34.28</v>
      </c>
    </row>
    <row r="2451" spans="1:7" x14ac:dyDescent="0.25">
      <c r="A2451" s="101">
        <v>38453</v>
      </c>
      <c r="B2451" s="9">
        <v>34.97</v>
      </c>
      <c r="C2451" s="9">
        <v>35.090000000000003</v>
      </c>
      <c r="D2451" s="9">
        <v>34.54</v>
      </c>
      <c r="E2451" s="9">
        <v>34.6</v>
      </c>
      <c r="F2451" s="9">
        <v>11758500</v>
      </c>
      <c r="G2451" s="9">
        <v>34.6</v>
      </c>
    </row>
    <row r="2452" spans="1:7" x14ac:dyDescent="0.25">
      <c r="A2452" s="101">
        <v>38450</v>
      </c>
      <c r="B2452" s="9">
        <v>35.04</v>
      </c>
      <c r="C2452" s="9">
        <v>35.14</v>
      </c>
      <c r="D2452" s="9">
        <v>34.65</v>
      </c>
      <c r="E2452" s="9">
        <v>34.76</v>
      </c>
      <c r="F2452" s="9">
        <v>11106300</v>
      </c>
      <c r="G2452" s="9">
        <v>34.76</v>
      </c>
    </row>
    <row r="2453" spans="1:7" x14ac:dyDescent="0.25">
      <c r="A2453" s="101">
        <v>38449</v>
      </c>
      <c r="B2453" s="9">
        <v>34.450000000000003</v>
      </c>
      <c r="C2453" s="9">
        <v>35.25</v>
      </c>
      <c r="D2453" s="9">
        <v>34.450000000000003</v>
      </c>
      <c r="E2453" s="9">
        <v>35.07</v>
      </c>
      <c r="F2453" s="9">
        <v>20575000</v>
      </c>
      <c r="G2453" s="9">
        <v>35.07</v>
      </c>
    </row>
    <row r="2454" spans="1:7" x14ac:dyDescent="0.25">
      <c r="A2454" s="101">
        <v>38448</v>
      </c>
      <c r="B2454" s="9">
        <v>35.14</v>
      </c>
      <c r="C2454" s="9">
        <v>35.42</v>
      </c>
      <c r="D2454" s="9">
        <v>34.119999999999997</v>
      </c>
      <c r="E2454" s="9">
        <v>34.49</v>
      </c>
      <c r="F2454" s="9">
        <v>23574000</v>
      </c>
      <c r="G2454" s="9">
        <v>34.49</v>
      </c>
    </row>
    <row r="2455" spans="1:7" x14ac:dyDescent="0.25">
      <c r="A2455" s="101">
        <v>38447</v>
      </c>
      <c r="B2455" s="9">
        <v>35.15</v>
      </c>
      <c r="C2455" s="9">
        <v>35.4</v>
      </c>
      <c r="D2455" s="9">
        <v>34.840000000000003</v>
      </c>
      <c r="E2455" s="9">
        <v>35.15</v>
      </c>
      <c r="F2455" s="9">
        <v>20275900</v>
      </c>
      <c r="G2455" s="9">
        <v>35.15</v>
      </c>
    </row>
    <row r="2456" spans="1:7" x14ac:dyDescent="0.25">
      <c r="A2456" s="101">
        <v>38446</v>
      </c>
      <c r="B2456" s="9">
        <v>34.340000000000003</v>
      </c>
      <c r="C2456" s="9">
        <v>35.270000000000003</v>
      </c>
      <c r="D2456" s="9">
        <v>33.75</v>
      </c>
      <c r="E2456" s="9">
        <v>35.07</v>
      </c>
      <c r="F2456" s="9">
        <v>27853300</v>
      </c>
      <c r="G2456" s="9">
        <v>35.07</v>
      </c>
    </row>
    <row r="2457" spans="1:7" x14ac:dyDescent="0.25">
      <c r="A2457" s="101">
        <v>38443</v>
      </c>
      <c r="B2457" s="9">
        <v>34.18</v>
      </c>
      <c r="C2457" s="9">
        <v>34.770000000000003</v>
      </c>
      <c r="D2457" s="9">
        <v>34.15</v>
      </c>
      <c r="E2457" s="9">
        <v>34.28</v>
      </c>
      <c r="F2457" s="9">
        <v>27955400</v>
      </c>
      <c r="G2457" s="9">
        <v>34.28</v>
      </c>
    </row>
    <row r="2458" spans="1:7" x14ac:dyDescent="0.25">
      <c r="A2458" s="101">
        <v>38442</v>
      </c>
      <c r="B2458" s="9">
        <v>33.549999999999997</v>
      </c>
      <c r="C2458" s="9">
        <v>34.200000000000003</v>
      </c>
      <c r="D2458" s="9">
        <v>33.200000000000003</v>
      </c>
      <c r="E2458" s="9">
        <v>33.9</v>
      </c>
      <c r="F2458" s="9">
        <v>25390000</v>
      </c>
      <c r="G2458" s="9">
        <v>33.9</v>
      </c>
    </row>
    <row r="2459" spans="1:7" x14ac:dyDescent="0.25">
      <c r="A2459" s="101">
        <v>38441</v>
      </c>
      <c r="B2459" s="9">
        <v>32.31</v>
      </c>
      <c r="C2459" s="9">
        <v>33.6</v>
      </c>
      <c r="D2459" s="9">
        <v>32.270000000000003</v>
      </c>
      <c r="E2459" s="9">
        <v>33.479999999999997</v>
      </c>
      <c r="F2459" s="9">
        <v>28267900</v>
      </c>
      <c r="G2459" s="9">
        <v>33.479999999999997</v>
      </c>
    </row>
    <row r="2460" spans="1:7" x14ac:dyDescent="0.25">
      <c r="A2460" s="101">
        <v>38440</v>
      </c>
      <c r="B2460" s="9">
        <v>32.18</v>
      </c>
      <c r="C2460" s="9">
        <v>32.840000000000003</v>
      </c>
      <c r="D2460" s="9">
        <v>31.79</v>
      </c>
      <c r="E2460" s="9">
        <v>32.159999999999997</v>
      </c>
      <c r="F2460" s="9">
        <v>23544700</v>
      </c>
      <c r="G2460" s="9">
        <v>32.159999999999997</v>
      </c>
    </row>
    <row r="2461" spans="1:7" x14ac:dyDescent="0.25">
      <c r="A2461" s="101">
        <v>38439</v>
      </c>
      <c r="B2461" s="9">
        <v>32.21</v>
      </c>
      <c r="C2461" s="9">
        <v>32.5</v>
      </c>
      <c r="D2461" s="9">
        <v>32.1</v>
      </c>
      <c r="E2461" s="9">
        <v>32.25</v>
      </c>
      <c r="F2461" s="9">
        <v>20624400</v>
      </c>
      <c r="G2461" s="9">
        <v>32.25</v>
      </c>
    </row>
    <row r="2462" spans="1:7" x14ac:dyDescent="0.25">
      <c r="A2462" s="101">
        <v>38435</v>
      </c>
      <c r="B2462" s="9">
        <v>31.94</v>
      </c>
      <c r="C2462" s="9">
        <v>32.090000000000003</v>
      </c>
      <c r="D2462" s="9">
        <v>31.41</v>
      </c>
      <c r="E2462" s="9">
        <v>31.41</v>
      </c>
      <c r="F2462" s="9">
        <v>23162000</v>
      </c>
      <c r="G2462" s="9">
        <v>31.41</v>
      </c>
    </row>
    <row r="2463" spans="1:7" x14ac:dyDescent="0.25">
      <c r="A2463" s="101">
        <v>38434</v>
      </c>
      <c r="B2463" s="9">
        <v>30.91</v>
      </c>
      <c r="C2463" s="9">
        <v>31.33</v>
      </c>
      <c r="D2463" s="9">
        <v>30.85</v>
      </c>
      <c r="E2463" s="9">
        <v>30.87</v>
      </c>
      <c r="F2463" s="9">
        <v>13917100</v>
      </c>
      <c r="G2463" s="9">
        <v>30.87</v>
      </c>
    </row>
    <row r="2464" spans="1:7" x14ac:dyDescent="0.25">
      <c r="A2464" s="101">
        <v>38433</v>
      </c>
      <c r="B2464" s="9">
        <v>31.7</v>
      </c>
      <c r="C2464" s="9">
        <v>31.98</v>
      </c>
      <c r="D2464" s="9">
        <v>30.86</v>
      </c>
      <c r="E2464" s="9">
        <v>30.99</v>
      </c>
      <c r="F2464" s="9">
        <v>19570600</v>
      </c>
      <c r="G2464" s="9">
        <v>30.99</v>
      </c>
    </row>
    <row r="2465" spans="1:7" x14ac:dyDescent="0.25">
      <c r="A2465" s="101">
        <v>38432</v>
      </c>
      <c r="B2465" s="9">
        <v>31.29</v>
      </c>
      <c r="C2465" s="9">
        <v>31.77</v>
      </c>
      <c r="D2465" s="9">
        <v>30.98</v>
      </c>
      <c r="E2465" s="9">
        <v>31.62</v>
      </c>
      <c r="F2465" s="9">
        <v>18449400</v>
      </c>
      <c r="G2465" s="9">
        <v>31.62</v>
      </c>
    </row>
    <row r="2466" spans="1:7" x14ac:dyDescent="0.25">
      <c r="A2466" s="101">
        <v>38429</v>
      </c>
      <c r="B2466" s="9">
        <v>31.53</v>
      </c>
      <c r="C2466" s="9">
        <v>31.73</v>
      </c>
      <c r="D2466" s="9">
        <v>30.91</v>
      </c>
      <c r="E2466" s="9">
        <v>31.11</v>
      </c>
      <c r="F2466" s="9">
        <v>20796400</v>
      </c>
      <c r="G2466" s="9">
        <v>31.11</v>
      </c>
    </row>
    <row r="2467" spans="1:7" x14ac:dyDescent="0.25">
      <c r="A2467" s="101">
        <v>38428</v>
      </c>
      <c r="B2467" s="9">
        <v>31.8</v>
      </c>
      <c r="C2467" s="9">
        <v>31.98</v>
      </c>
      <c r="D2467" s="9">
        <v>31.54</v>
      </c>
      <c r="E2467" s="9">
        <v>31.61</v>
      </c>
      <c r="F2467" s="9">
        <v>13760200</v>
      </c>
      <c r="G2467" s="9">
        <v>31.61</v>
      </c>
    </row>
    <row r="2468" spans="1:7" x14ac:dyDescent="0.25">
      <c r="A2468" s="101">
        <v>38427</v>
      </c>
      <c r="B2468" s="9">
        <v>31.87</v>
      </c>
      <c r="C2468" s="9">
        <v>32.35</v>
      </c>
      <c r="D2468" s="9">
        <v>31.4</v>
      </c>
      <c r="E2468" s="9">
        <v>31.58</v>
      </c>
      <c r="F2468" s="9">
        <v>17952000</v>
      </c>
      <c r="G2468" s="9">
        <v>31.58</v>
      </c>
    </row>
    <row r="2469" spans="1:7" x14ac:dyDescent="0.25">
      <c r="A2469" s="101">
        <v>38426</v>
      </c>
      <c r="B2469" s="9">
        <v>31.61</v>
      </c>
      <c r="C2469" s="9">
        <v>32.28</v>
      </c>
      <c r="D2469" s="9">
        <v>31.53</v>
      </c>
      <c r="E2469" s="9">
        <v>31.94</v>
      </c>
      <c r="F2469" s="9">
        <v>20880800</v>
      </c>
      <c r="G2469" s="9">
        <v>31.94</v>
      </c>
    </row>
    <row r="2470" spans="1:7" x14ac:dyDescent="0.25">
      <c r="A2470" s="101">
        <v>38425</v>
      </c>
      <c r="B2470" s="9">
        <v>31.74</v>
      </c>
      <c r="C2470" s="9">
        <v>31.83</v>
      </c>
      <c r="D2470" s="9">
        <v>30.65</v>
      </c>
      <c r="E2470" s="9">
        <v>31.32</v>
      </c>
      <c r="F2470" s="9">
        <v>19762000</v>
      </c>
      <c r="G2470" s="9">
        <v>31.32</v>
      </c>
    </row>
    <row r="2471" spans="1:7" x14ac:dyDescent="0.25">
      <c r="A2471" s="101">
        <v>38422</v>
      </c>
      <c r="B2471" s="9">
        <v>31.86</v>
      </c>
      <c r="C2471" s="9">
        <v>32.21</v>
      </c>
      <c r="D2471" s="9">
        <v>31.65</v>
      </c>
      <c r="E2471" s="9">
        <v>31.65</v>
      </c>
      <c r="F2471" s="9">
        <v>13364800</v>
      </c>
      <c r="G2471" s="9">
        <v>31.65</v>
      </c>
    </row>
    <row r="2472" spans="1:7" x14ac:dyDescent="0.25">
      <c r="A2472" s="101">
        <v>38421</v>
      </c>
      <c r="B2472" s="9">
        <v>32.43</v>
      </c>
      <c r="C2472" s="9">
        <v>32.56</v>
      </c>
      <c r="D2472" s="9">
        <v>31.6</v>
      </c>
      <c r="E2472" s="9">
        <v>31.91</v>
      </c>
      <c r="F2472" s="9">
        <v>19381200</v>
      </c>
      <c r="G2472" s="9">
        <v>31.91</v>
      </c>
    </row>
    <row r="2473" spans="1:7" x14ac:dyDescent="0.25">
      <c r="A2473" s="101">
        <v>38420</v>
      </c>
      <c r="B2473" s="9">
        <v>33.01</v>
      </c>
      <c r="C2473" s="9">
        <v>33.15</v>
      </c>
      <c r="D2473" s="9">
        <v>32.01</v>
      </c>
      <c r="E2473" s="9">
        <v>32.32</v>
      </c>
      <c r="F2473" s="9">
        <v>21824400</v>
      </c>
      <c r="G2473" s="9">
        <v>32.32</v>
      </c>
    </row>
    <row r="2474" spans="1:7" x14ac:dyDescent="0.25">
      <c r="A2474" s="101">
        <v>38419</v>
      </c>
      <c r="B2474" s="9">
        <v>33.549999999999997</v>
      </c>
      <c r="C2474" s="9">
        <v>33.729999999999997</v>
      </c>
      <c r="D2474" s="9">
        <v>33.14</v>
      </c>
      <c r="E2474" s="9">
        <v>33.159999999999997</v>
      </c>
      <c r="F2474" s="9">
        <v>17839300</v>
      </c>
      <c r="G2474" s="9">
        <v>33.159999999999997</v>
      </c>
    </row>
    <row r="2475" spans="1:7" x14ac:dyDescent="0.25">
      <c r="A2475" s="101">
        <v>38418</v>
      </c>
      <c r="B2475" s="9">
        <v>32.4</v>
      </c>
      <c r="C2475" s="9">
        <v>33.31</v>
      </c>
      <c r="D2475" s="9">
        <v>32.36</v>
      </c>
      <c r="E2475" s="9">
        <v>33.090000000000003</v>
      </c>
      <c r="F2475" s="9">
        <v>17679200</v>
      </c>
      <c r="G2475" s="9">
        <v>33.090000000000003</v>
      </c>
    </row>
    <row r="2476" spans="1:7" x14ac:dyDescent="0.25">
      <c r="A2476" s="101">
        <v>38415</v>
      </c>
      <c r="B2476" s="9">
        <v>32.36</v>
      </c>
      <c r="C2476" s="9">
        <v>32.57</v>
      </c>
      <c r="D2476" s="9">
        <v>31.76</v>
      </c>
      <c r="E2476" s="9">
        <v>32.36</v>
      </c>
      <c r="F2476" s="9">
        <v>17499800</v>
      </c>
      <c r="G2476" s="9">
        <v>32.36</v>
      </c>
    </row>
    <row r="2477" spans="1:7" x14ac:dyDescent="0.25">
      <c r="A2477" s="101">
        <v>38414</v>
      </c>
      <c r="B2477" s="9">
        <v>32.25</v>
      </c>
      <c r="C2477" s="9">
        <v>32.479999999999997</v>
      </c>
      <c r="D2477" s="9">
        <v>31.8</v>
      </c>
      <c r="E2477" s="9">
        <v>32.31</v>
      </c>
      <c r="F2477" s="9">
        <v>17896100</v>
      </c>
      <c r="G2477" s="9">
        <v>32.31</v>
      </c>
    </row>
    <row r="2478" spans="1:7" x14ac:dyDescent="0.25">
      <c r="A2478" s="101">
        <v>38413</v>
      </c>
      <c r="B2478" s="9">
        <v>32.07</v>
      </c>
      <c r="C2478" s="9">
        <v>32.6</v>
      </c>
      <c r="D2478" s="9">
        <v>31.75</v>
      </c>
      <c r="E2478" s="9">
        <v>32.229999999999997</v>
      </c>
      <c r="F2478" s="9">
        <v>15357200</v>
      </c>
      <c r="G2478" s="9">
        <v>32.229999999999997</v>
      </c>
    </row>
    <row r="2479" spans="1:7" x14ac:dyDescent="0.25">
      <c r="A2479" s="101">
        <v>38412</v>
      </c>
      <c r="B2479" s="9">
        <v>32.369999999999997</v>
      </c>
      <c r="C2479" s="9">
        <v>32.67</v>
      </c>
      <c r="D2479" s="9">
        <v>32.049999999999997</v>
      </c>
      <c r="E2479" s="9">
        <v>32.299999999999997</v>
      </c>
      <c r="F2479" s="9">
        <v>20222500</v>
      </c>
      <c r="G2479" s="9">
        <v>32.299999999999997</v>
      </c>
    </row>
    <row r="2480" spans="1:7" x14ac:dyDescent="0.25">
      <c r="A2480" s="101">
        <v>38411</v>
      </c>
      <c r="B2480" s="9">
        <v>31.74</v>
      </c>
      <c r="C2480" s="9">
        <v>33.770000000000003</v>
      </c>
      <c r="D2480" s="9">
        <v>31.62</v>
      </c>
      <c r="E2480" s="9">
        <v>32.270000000000003</v>
      </c>
      <c r="F2480" s="9">
        <v>25266400</v>
      </c>
      <c r="G2480" s="9">
        <v>32.270000000000003</v>
      </c>
    </row>
    <row r="2481" spans="1:7" x14ac:dyDescent="0.25">
      <c r="A2481" s="101">
        <v>38408</v>
      </c>
      <c r="B2481" s="9">
        <v>31.53</v>
      </c>
      <c r="C2481" s="9">
        <v>31.96</v>
      </c>
      <c r="D2481" s="9">
        <v>31.43</v>
      </c>
      <c r="E2481" s="9">
        <v>31.73</v>
      </c>
      <c r="F2481" s="9">
        <v>20114900</v>
      </c>
      <c r="G2481" s="9">
        <v>31.73</v>
      </c>
    </row>
    <row r="2482" spans="1:7" x14ac:dyDescent="0.25">
      <c r="A2482" s="101">
        <v>38407</v>
      </c>
      <c r="B2482" s="9">
        <v>30.43</v>
      </c>
      <c r="C2482" s="9">
        <v>31.49</v>
      </c>
      <c r="D2482" s="9">
        <v>30.3</v>
      </c>
      <c r="E2482" s="9">
        <v>31.48</v>
      </c>
      <c r="F2482" s="9">
        <v>55457300</v>
      </c>
      <c r="G2482" s="9">
        <v>31.48</v>
      </c>
    </row>
    <row r="2483" spans="1:7" x14ac:dyDescent="0.25">
      <c r="A2483" s="101">
        <v>38406</v>
      </c>
      <c r="B2483" s="9">
        <v>32.82</v>
      </c>
      <c r="C2483" s="9">
        <v>32.92</v>
      </c>
      <c r="D2483" s="9">
        <v>31.4</v>
      </c>
      <c r="E2483" s="9">
        <v>32.119999999999997</v>
      </c>
      <c r="F2483" s="9">
        <v>34757100</v>
      </c>
      <c r="G2483" s="9">
        <v>32.119999999999997</v>
      </c>
    </row>
    <row r="2484" spans="1:7" x14ac:dyDescent="0.25">
      <c r="A2484" s="101">
        <v>38405</v>
      </c>
      <c r="B2484" s="9">
        <v>33.25</v>
      </c>
      <c r="C2484" s="9">
        <v>33.82</v>
      </c>
      <c r="D2484" s="9">
        <v>32.659999999999997</v>
      </c>
      <c r="E2484" s="9">
        <v>32.79</v>
      </c>
      <c r="F2484" s="9">
        <v>18142600</v>
      </c>
      <c r="G2484" s="9">
        <v>32.79</v>
      </c>
    </row>
    <row r="2485" spans="1:7" x14ac:dyDescent="0.25">
      <c r="A2485" s="101">
        <v>38401</v>
      </c>
      <c r="B2485" s="9">
        <v>33.840000000000003</v>
      </c>
      <c r="C2485" s="9">
        <v>33.979999999999997</v>
      </c>
      <c r="D2485" s="9">
        <v>33.380000000000003</v>
      </c>
      <c r="E2485" s="9">
        <v>33.6</v>
      </c>
      <c r="F2485" s="9">
        <v>12436100</v>
      </c>
      <c r="G2485" s="9">
        <v>33.6</v>
      </c>
    </row>
    <row r="2486" spans="1:7" x14ac:dyDescent="0.25">
      <c r="A2486" s="101">
        <v>38400</v>
      </c>
      <c r="B2486" s="9">
        <v>34.42</v>
      </c>
      <c r="C2486" s="9">
        <v>34.79</v>
      </c>
      <c r="D2486" s="9">
        <v>33.76</v>
      </c>
      <c r="E2486" s="9">
        <v>33.82</v>
      </c>
      <c r="F2486" s="9">
        <v>16203500</v>
      </c>
      <c r="G2486" s="9">
        <v>33.82</v>
      </c>
    </row>
    <row r="2487" spans="1:7" x14ac:dyDescent="0.25">
      <c r="A2487" s="101">
        <v>38399</v>
      </c>
      <c r="B2487" s="9">
        <v>33.81</v>
      </c>
      <c r="C2487" s="9">
        <v>34.82</v>
      </c>
      <c r="D2487" s="9">
        <v>33.75</v>
      </c>
      <c r="E2487" s="9">
        <v>34.42</v>
      </c>
      <c r="F2487" s="9">
        <v>22176200</v>
      </c>
      <c r="G2487" s="9">
        <v>34.42</v>
      </c>
    </row>
    <row r="2488" spans="1:7" x14ac:dyDescent="0.25">
      <c r="A2488" s="101">
        <v>38398</v>
      </c>
      <c r="B2488" s="9">
        <v>34.340000000000003</v>
      </c>
      <c r="C2488" s="9">
        <v>34.92</v>
      </c>
      <c r="D2488" s="9">
        <v>33.81</v>
      </c>
      <c r="E2488" s="9">
        <v>33.979999999999997</v>
      </c>
      <c r="F2488" s="9">
        <v>20391900</v>
      </c>
      <c r="G2488" s="9">
        <v>33.979999999999997</v>
      </c>
    </row>
    <row r="2489" spans="1:7" x14ac:dyDescent="0.25">
      <c r="A2489" s="101">
        <v>38397</v>
      </c>
      <c r="B2489" s="9">
        <v>34.01</v>
      </c>
      <c r="C2489" s="9">
        <v>34.409999999999997</v>
      </c>
      <c r="D2489" s="9">
        <v>33.78</v>
      </c>
      <c r="E2489" s="9">
        <v>34.33</v>
      </c>
      <c r="F2489" s="9">
        <v>20065300</v>
      </c>
      <c r="G2489" s="9">
        <v>34.33</v>
      </c>
    </row>
    <row r="2490" spans="1:7" x14ac:dyDescent="0.25">
      <c r="A2490" s="101">
        <v>38394</v>
      </c>
      <c r="B2490" s="9">
        <v>33.450000000000003</v>
      </c>
      <c r="C2490" s="9">
        <v>34.700000000000003</v>
      </c>
      <c r="D2490" s="9">
        <v>33.31</v>
      </c>
      <c r="E2490" s="9">
        <v>34.15</v>
      </c>
      <c r="F2490" s="9">
        <v>20005800</v>
      </c>
      <c r="G2490" s="9">
        <v>34.15</v>
      </c>
    </row>
    <row r="2491" spans="1:7" x14ac:dyDescent="0.25">
      <c r="A2491" s="101">
        <v>38393</v>
      </c>
      <c r="B2491" s="9">
        <v>33.72</v>
      </c>
      <c r="C2491" s="9">
        <v>33.72</v>
      </c>
      <c r="D2491" s="9">
        <v>32.47</v>
      </c>
      <c r="E2491" s="9">
        <v>33.44</v>
      </c>
      <c r="F2491" s="9">
        <v>32637400</v>
      </c>
      <c r="G2491" s="9">
        <v>33.44</v>
      </c>
    </row>
    <row r="2492" spans="1:7" x14ac:dyDescent="0.25">
      <c r="A2492" s="101">
        <v>38392</v>
      </c>
      <c r="B2492" s="9">
        <v>34.6</v>
      </c>
      <c r="C2492" s="9">
        <v>34.659999999999997</v>
      </c>
      <c r="D2492" s="9">
        <v>33.450000000000003</v>
      </c>
      <c r="E2492" s="9">
        <v>33.590000000000003</v>
      </c>
      <c r="F2492" s="9">
        <v>18285100</v>
      </c>
      <c r="G2492" s="9">
        <v>33.590000000000003</v>
      </c>
    </row>
    <row r="2493" spans="1:7" x14ac:dyDescent="0.25">
      <c r="A2493" s="101">
        <v>38391</v>
      </c>
      <c r="B2493" s="9">
        <v>34.64</v>
      </c>
      <c r="C2493" s="9">
        <v>34.909999999999997</v>
      </c>
      <c r="D2493" s="9">
        <v>34.32</v>
      </c>
      <c r="E2493" s="9">
        <v>34.36</v>
      </c>
      <c r="F2493" s="9">
        <v>17321500</v>
      </c>
      <c r="G2493" s="9">
        <v>34.36</v>
      </c>
    </row>
    <row r="2494" spans="1:7" x14ac:dyDescent="0.25">
      <c r="A2494" s="101">
        <v>38390</v>
      </c>
      <c r="B2494" s="9">
        <v>35.07</v>
      </c>
      <c r="C2494" s="9">
        <v>35.19</v>
      </c>
      <c r="D2494" s="9">
        <v>34.36</v>
      </c>
      <c r="E2494" s="9">
        <v>34.47</v>
      </c>
      <c r="F2494" s="9">
        <v>14588900</v>
      </c>
      <c r="G2494" s="9">
        <v>34.47</v>
      </c>
    </row>
    <row r="2495" spans="1:7" x14ac:dyDescent="0.25">
      <c r="A2495" s="101">
        <v>38387</v>
      </c>
      <c r="B2495" s="9">
        <v>34.71</v>
      </c>
      <c r="C2495" s="9">
        <v>35.299999999999997</v>
      </c>
      <c r="D2495" s="9">
        <v>34.71</v>
      </c>
      <c r="E2495" s="9">
        <v>35.020000000000003</v>
      </c>
      <c r="F2495" s="9">
        <v>16850200</v>
      </c>
      <c r="G2495" s="9">
        <v>35.020000000000003</v>
      </c>
    </row>
    <row r="2496" spans="1:7" x14ac:dyDescent="0.25">
      <c r="A2496" s="101">
        <v>38386</v>
      </c>
      <c r="B2496" s="9">
        <v>35.270000000000003</v>
      </c>
      <c r="C2496" s="9">
        <v>35.67</v>
      </c>
      <c r="D2496" s="9">
        <v>35</v>
      </c>
      <c r="E2496" s="9">
        <v>35.090000000000003</v>
      </c>
      <c r="F2496" s="9">
        <v>16742400</v>
      </c>
      <c r="G2496" s="9">
        <v>35.090000000000003</v>
      </c>
    </row>
    <row r="2497" spans="1:7" x14ac:dyDescent="0.25">
      <c r="A2497" s="101">
        <v>38385</v>
      </c>
      <c r="B2497" s="9">
        <v>36.020000000000003</v>
      </c>
      <c r="C2497" s="9">
        <v>36.340000000000003</v>
      </c>
      <c r="D2497" s="9">
        <v>35.29</v>
      </c>
      <c r="E2497" s="9">
        <v>35.54</v>
      </c>
      <c r="F2497" s="9">
        <v>33495200</v>
      </c>
      <c r="G2497" s="9">
        <v>35.54</v>
      </c>
    </row>
    <row r="2498" spans="1:7" x14ac:dyDescent="0.25">
      <c r="A2498" s="101">
        <v>38384</v>
      </c>
      <c r="B2498" s="9">
        <v>35.130000000000003</v>
      </c>
      <c r="C2498" s="9">
        <v>35.28</v>
      </c>
      <c r="D2498" s="9">
        <v>34.46</v>
      </c>
      <c r="E2498" s="9">
        <v>34.75</v>
      </c>
      <c r="F2498" s="9">
        <v>18633600</v>
      </c>
      <c r="G2498" s="9">
        <v>34.75</v>
      </c>
    </row>
    <row r="2499" spans="1:7" x14ac:dyDescent="0.25">
      <c r="A2499" s="101">
        <v>38383</v>
      </c>
      <c r="B2499" s="9">
        <v>35.04</v>
      </c>
      <c r="C2499" s="9">
        <v>35.44</v>
      </c>
      <c r="D2499" s="9">
        <v>34.53</v>
      </c>
      <c r="E2499" s="9">
        <v>35.21</v>
      </c>
      <c r="F2499" s="9">
        <v>20712200</v>
      </c>
      <c r="G2499" s="9">
        <v>35.21</v>
      </c>
    </row>
    <row r="2500" spans="1:7" x14ac:dyDescent="0.25">
      <c r="A2500" s="101">
        <v>38380</v>
      </c>
      <c r="B2500" s="9">
        <v>34.9</v>
      </c>
      <c r="C2500" s="9">
        <v>35.24</v>
      </c>
      <c r="D2500" s="9">
        <v>34.119999999999997</v>
      </c>
      <c r="E2500" s="9">
        <v>34.619999999999997</v>
      </c>
      <c r="F2500" s="9">
        <v>17853700</v>
      </c>
      <c r="G2500" s="9">
        <v>34.619999999999997</v>
      </c>
    </row>
    <row r="2501" spans="1:7" x14ac:dyDescent="0.25">
      <c r="A2501" s="101">
        <v>38379</v>
      </c>
      <c r="B2501" s="9">
        <v>35.380000000000003</v>
      </c>
      <c r="C2501" s="9">
        <v>35.49</v>
      </c>
      <c r="D2501" s="9">
        <v>34.35</v>
      </c>
      <c r="E2501" s="9">
        <v>34.729999999999997</v>
      </c>
      <c r="F2501" s="9">
        <v>21450800</v>
      </c>
      <c r="G2501" s="9">
        <v>34.729999999999997</v>
      </c>
    </row>
    <row r="2502" spans="1:7" x14ac:dyDescent="0.25">
      <c r="A2502" s="101">
        <v>38378</v>
      </c>
      <c r="B2502" s="9">
        <v>34.71</v>
      </c>
      <c r="C2502" s="9">
        <v>35.74</v>
      </c>
      <c r="D2502" s="9">
        <v>34.39</v>
      </c>
      <c r="E2502" s="9">
        <v>35.47</v>
      </c>
      <c r="F2502" s="9">
        <v>25767500</v>
      </c>
      <c r="G2502" s="9">
        <v>35.47</v>
      </c>
    </row>
    <row r="2503" spans="1:7" x14ac:dyDescent="0.25">
      <c r="A2503" s="101">
        <v>38377</v>
      </c>
      <c r="B2503" s="9">
        <v>34.549999999999997</v>
      </c>
      <c r="C2503" s="9">
        <v>34.76</v>
      </c>
      <c r="D2503" s="9">
        <v>33.94</v>
      </c>
      <c r="E2503" s="9">
        <v>34.04</v>
      </c>
      <c r="F2503" s="9">
        <v>26521400</v>
      </c>
      <c r="G2503" s="9">
        <v>34.04</v>
      </c>
    </row>
    <row r="2504" spans="1:7" x14ac:dyDescent="0.25">
      <c r="A2504" s="101">
        <v>38376</v>
      </c>
      <c r="B2504" s="9">
        <v>35.479999999999997</v>
      </c>
      <c r="C2504" s="9">
        <v>35.520000000000003</v>
      </c>
      <c r="D2504" s="9">
        <v>33.75</v>
      </c>
      <c r="E2504" s="9">
        <v>33.93</v>
      </c>
      <c r="F2504" s="9">
        <v>31477400</v>
      </c>
      <c r="G2504" s="9">
        <v>33.93</v>
      </c>
    </row>
    <row r="2505" spans="1:7" x14ac:dyDescent="0.25">
      <c r="A2505" s="101">
        <v>38373</v>
      </c>
      <c r="B2505" s="9">
        <v>36.07</v>
      </c>
      <c r="C2505" s="9">
        <v>36.11</v>
      </c>
      <c r="D2505" s="9">
        <v>35.29</v>
      </c>
      <c r="E2505" s="9">
        <v>35.299999999999997</v>
      </c>
      <c r="F2505" s="9">
        <v>26608000</v>
      </c>
      <c r="G2505" s="9">
        <v>35.299999999999997</v>
      </c>
    </row>
    <row r="2506" spans="1:7" x14ac:dyDescent="0.25">
      <c r="A2506" s="101">
        <v>38372</v>
      </c>
      <c r="B2506" s="9">
        <v>35.39</v>
      </c>
      <c r="C2506" s="9">
        <v>36.42</v>
      </c>
      <c r="D2506" s="9">
        <v>35.049999999999997</v>
      </c>
      <c r="E2506" s="9">
        <v>35.78</v>
      </c>
      <c r="F2506" s="9">
        <v>30239100</v>
      </c>
      <c r="G2506" s="9">
        <v>35.78</v>
      </c>
    </row>
    <row r="2507" spans="1:7" x14ac:dyDescent="0.25">
      <c r="A2507" s="101">
        <v>38371</v>
      </c>
      <c r="B2507" s="9">
        <v>38.08</v>
      </c>
      <c r="C2507" s="9">
        <v>38.200000000000003</v>
      </c>
      <c r="D2507" s="9">
        <v>36.42</v>
      </c>
      <c r="E2507" s="9">
        <v>36.450000000000003</v>
      </c>
      <c r="F2507" s="9">
        <v>44303200</v>
      </c>
      <c r="G2507" s="9">
        <v>36.450000000000003</v>
      </c>
    </row>
    <row r="2508" spans="1:7" x14ac:dyDescent="0.25">
      <c r="A2508" s="101">
        <v>38370</v>
      </c>
      <c r="B2508" s="9">
        <v>37.1</v>
      </c>
      <c r="C2508" s="9">
        <v>37.46</v>
      </c>
      <c r="D2508" s="9">
        <v>36.6</v>
      </c>
      <c r="E2508" s="9">
        <v>37.18</v>
      </c>
      <c r="F2508" s="9">
        <v>42709600</v>
      </c>
      <c r="G2508" s="9">
        <v>37.18</v>
      </c>
    </row>
    <row r="2509" spans="1:7" x14ac:dyDescent="0.25">
      <c r="A2509" s="101">
        <v>38366</v>
      </c>
      <c r="B2509" s="9">
        <v>35.86</v>
      </c>
      <c r="C2509" s="9">
        <v>36.700000000000003</v>
      </c>
      <c r="D2509" s="9">
        <v>35.83</v>
      </c>
      <c r="E2509" s="9">
        <v>36.700000000000003</v>
      </c>
      <c r="F2509" s="9">
        <v>27697700</v>
      </c>
      <c r="G2509" s="9">
        <v>36.700000000000003</v>
      </c>
    </row>
    <row r="2510" spans="1:7" x14ac:dyDescent="0.25">
      <c r="A2510" s="101">
        <v>38365</v>
      </c>
      <c r="B2510" s="9">
        <v>36.119999999999997</v>
      </c>
      <c r="C2510" s="9">
        <v>36.32</v>
      </c>
      <c r="D2510" s="9">
        <v>35.26</v>
      </c>
      <c r="E2510" s="9">
        <v>35.33</v>
      </c>
      <c r="F2510" s="9">
        <v>18526500</v>
      </c>
      <c r="G2510" s="9">
        <v>35.33</v>
      </c>
    </row>
    <row r="2511" spans="1:7" x14ac:dyDescent="0.25">
      <c r="A2511" s="101">
        <v>38364</v>
      </c>
      <c r="B2511" s="9">
        <v>35.880000000000003</v>
      </c>
      <c r="C2511" s="9">
        <v>36.18</v>
      </c>
      <c r="D2511" s="9">
        <v>34.799999999999997</v>
      </c>
      <c r="E2511" s="9">
        <v>36.14</v>
      </c>
      <c r="F2511" s="9">
        <v>23274700</v>
      </c>
      <c r="G2511" s="9">
        <v>36.14</v>
      </c>
    </row>
    <row r="2512" spans="1:7" x14ac:dyDescent="0.25">
      <c r="A2512" s="101">
        <v>38363</v>
      </c>
      <c r="B2512" s="9">
        <v>36.31</v>
      </c>
      <c r="C2512" s="9">
        <v>36.58</v>
      </c>
      <c r="D2512" s="9">
        <v>35.39</v>
      </c>
      <c r="E2512" s="9">
        <v>35.659999999999997</v>
      </c>
      <c r="F2512" s="9">
        <v>19711900</v>
      </c>
      <c r="G2512" s="9">
        <v>35.659999999999997</v>
      </c>
    </row>
    <row r="2513" spans="1:7" x14ac:dyDescent="0.25">
      <c r="A2513" s="101">
        <v>38362</v>
      </c>
      <c r="B2513" s="9">
        <v>36</v>
      </c>
      <c r="C2513" s="9">
        <v>36.76</v>
      </c>
      <c r="D2513" s="9">
        <v>35.51</v>
      </c>
      <c r="E2513" s="9">
        <v>36.32</v>
      </c>
      <c r="F2513" s="9">
        <v>17482800</v>
      </c>
      <c r="G2513" s="9">
        <v>36.32</v>
      </c>
    </row>
    <row r="2514" spans="1:7" x14ac:dyDescent="0.25">
      <c r="A2514" s="101">
        <v>38359</v>
      </c>
      <c r="B2514" s="9">
        <v>35.99</v>
      </c>
      <c r="C2514" s="9">
        <v>36.46</v>
      </c>
      <c r="D2514" s="9">
        <v>35.409999999999997</v>
      </c>
      <c r="E2514" s="9">
        <v>35.96</v>
      </c>
      <c r="F2514" s="9">
        <v>18596300</v>
      </c>
      <c r="G2514" s="9">
        <v>35.96</v>
      </c>
    </row>
    <row r="2515" spans="1:7" x14ac:dyDescent="0.25">
      <c r="A2515" s="101">
        <v>38358</v>
      </c>
      <c r="B2515" s="9">
        <v>36.32</v>
      </c>
      <c r="C2515" s="9">
        <v>36.5</v>
      </c>
      <c r="D2515" s="9">
        <v>35.21</v>
      </c>
      <c r="E2515" s="9">
        <v>35.43</v>
      </c>
      <c r="F2515" s="9">
        <v>20835300</v>
      </c>
      <c r="G2515" s="9">
        <v>35.43</v>
      </c>
    </row>
    <row r="2516" spans="1:7" x14ac:dyDescent="0.25">
      <c r="A2516" s="101">
        <v>38357</v>
      </c>
      <c r="B2516" s="9">
        <v>36.69</v>
      </c>
      <c r="C2516" s="9">
        <v>36.979999999999997</v>
      </c>
      <c r="D2516" s="9">
        <v>36.06</v>
      </c>
      <c r="E2516" s="9">
        <v>36.130000000000003</v>
      </c>
      <c r="F2516" s="9">
        <v>18469100</v>
      </c>
      <c r="G2516" s="9">
        <v>36.130000000000003</v>
      </c>
    </row>
    <row r="2517" spans="1:7" x14ac:dyDescent="0.25">
      <c r="A2517" s="101">
        <v>38356</v>
      </c>
      <c r="B2517" s="9">
        <v>38.450000000000003</v>
      </c>
      <c r="C2517" s="9">
        <v>38.54</v>
      </c>
      <c r="D2517" s="9">
        <v>36.46</v>
      </c>
      <c r="E2517" s="9">
        <v>36.58</v>
      </c>
      <c r="F2517" s="9">
        <v>26625300</v>
      </c>
      <c r="G2517" s="9">
        <v>36.58</v>
      </c>
    </row>
    <row r="2518" spans="1:7" x14ac:dyDescent="0.25">
      <c r="A2518" s="101">
        <v>38355</v>
      </c>
      <c r="B2518" s="9">
        <v>38.36</v>
      </c>
      <c r="C2518" s="9">
        <v>38.9</v>
      </c>
      <c r="D2518" s="9">
        <v>37.65</v>
      </c>
      <c r="E2518" s="9">
        <v>38.18</v>
      </c>
      <c r="F2518" s="9">
        <v>25482800</v>
      </c>
      <c r="G2518" s="9">
        <v>38.18</v>
      </c>
    </row>
    <row r="2519" spans="1:7" x14ac:dyDescent="0.25">
      <c r="A2519" s="101">
        <v>38352</v>
      </c>
      <c r="B2519" s="9">
        <v>38.04</v>
      </c>
      <c r="C2519" s="9">
        <v>38.200000000000003</v>
      </c>
      <c r="D2519" s="9">
        <v>37.5</v>
      </c>
      <c r="E2519" s="9">
        <v>37.68</v>
      </c>
      <c r="F2519" s="9">
        <v>7556600</v>
      </c>
      <c r="G2519" s="9">
        <v>37.68</v>
      </c>
    </row>
    <row r="2520" spans="1:7" x14ac:dyDescent="0.25">
      <c r="A2520" s="101">
        <v>38351</v>
      </c>
      <c r="B2520" s="9">
        <v>38.03</v>
      </c>
      <c r="C2520" s="9">
        <v>38.21</v>
      </c>
      <c r="D2520" s="9">
        <v>37.82</v>
      </c>
      <c r="E2520" s="9">
        <v>37.869999999999997</v>
      </c>
      <c r="F2520" s="9">
        <v>6955700</v>
      </c>
      <c r="G2520" s="9">
        <v>37.869999999999997</v>
      </c>
    </row>
    <row r="2521" spans="1:7" x14ac:dyDescent="0.25">
      <c r="A2521" s="101">
        <v>38350</v>
      </c>
      <c r="B2521" s="9">
        <v>37.83</v>
      </c>
      <c r="C2521" s="9">
        <v>38.4</v>
      </c>
      <c r="D2521" s="9">
        <v>37.75</v>
      </c>
      <c r="E2521" s="9">
        <v>37.85</v>
      </c>
      <c r="F2521" s="9">
        <v>10160200</v>
      </c>
      <c r="G2521" s="9">
        <v>37.85</v>
      </c>
    </row>
    <row r="2522" spans="1:7" x14ac:dyDescent="0.25">
      <c r="A2522" s="101">
        <v>38349</v>
      </c>
      <c r="B2522" s="9">
        <v>37.85</v>
      </c>
      <c r="C2522" s="9">
        <v>37.99</v>
      </c>
      <c r="D2522" s="9">
        <v>37.65</v>
      </c>
      <c r="E2522" s="9">
        <v>37.9</v>
      </c>
      <c r="F2522" s="9">
        <v>11291000</v>
      </c>
      <c r="G2522" s="9">
        <v>37.9</v>
      </c>
    </row>
    <row r="2523" spans="1:7" x14ac:dyDescent="0.25">
      <c r="A2523" s="101">
        <v>38348</v>
      </c>
      <c r="B2523" s="9">
        <v>37.450000000000003</v>
      </c>
      <c r="C2523" s="9">
        <v>38</v>
      </c>
      <c r="D2523" s="9">
        <v>37.4</v>
      </c>
      <c r="E2523" s="9">
        <v>37.74</v>
      </c>
      <c r="F2523" s="9">
        <v>11095800</v>
      </c>
      <c r="G2523" s="9">
        <v>37.74</v>
      </c>
    </row>
    <row r="2524" spans="1:7" x14ac:dyDescent="0.25">
      <c r="A2524" s="101">
        <v>38344</v>
      </c>
      <c r="B2524" s="9">
        <v>37.43</v>
      </c>
      <c r="C2524" s="9">
        <v>37.5</v>
      </c>
      <c r="D2524" s="9">
        <v>37.21</v>
      </c>
      <c r="E2524" s="9">
        <v>37.25</v>
      </c>
      <c r="F2524" s="9">
        <v>6045500</v>
      </c>
      <c r="G2524" s="9">
        <v>37.25</v>
      </c>
    </row>
    <row r="2525" spans="1:7" x14ac:dyDescent="0.25">
      <c r="A2525" s="101">
        <v>38343</v>
      </c>
      <c r="B2525" s="9">
        <v>36.47</v>
      </c>
      <c r="C2525" s="9">
        <v>37.35</v>
      </c>
      <c r="D2525" s="9">
        <v>36.409999999999997</v>
      </c>
      <c r="E2525" s="9">
        <v>37.29</v>
      </c>
      <c r="F2525" s="9">
        <v>11297700</v>
      </c>
      <c r="G2525" s="9">
        <v>37.29</v>
      </c>
    </row>
    <row r="2526" spans="1:7" x14ac:dyDescent="0.25">
      <c r="A2526" s="101">
        <v>38342</v>
      </c>
      <c r="B2526" s="9">
        <v>36.979999999999997</v>
      </c>
      <c r="C2526" s="9">
        <v>37.159999999999997</v>
      </c>
      <c r="D2526" s="9">
        <v>36.24</v>
      </c>
      <c r="E2526" s="9">
        <v>36.659999999999997</v>
      </c>
      <c r="F2526" s="9">
        <v>12393500</v>
      </c>
      <c r="G2526" s="9">
        <v>36.659999999999997</v>
      </c>
    </row>
    <row r="2527" spans="1:7" x14ac:dyDescent="0.25">
      <c r="A2527" s="101">
        <v>38341</v>
      </c>
      <c r="B2527" s="9">
        <v>36.89</v>
      </c>
      <c r="C2527" s="9">
        <v>37.53</v>
      </c>
      <c r="D2527" s="9">
        <v>36.21</v>
      </c>
      <c r="E2527" s="9">
        <v>36.659999999999997</v>
      </c>
      <c r="F2527" s="9">
        <v>18330400</v>
      </c>
      <c r="G2527" s="9">
        <v>36.659999999999997</v>
      </c>
    </row>
    <row r="2528" spans="1:7" x14ac:dyDescent="0.25">
      <c r="A2528" s="101">
        <v>38338</v>
      </c>
      <c r="B2528" s="9">
        <v>36.770000000000003</v>
      </c>
      <c r="C2528" s="9">
        <v>37.54</v>
      </c>
      <c r="D2528" s="9">
        <v>36.61</v>
      </c>
      <c r="E2528" s="9">
        <v>36.770000000000003</v>
      </c>
      <c r="F2528" s="9">
        <v>13640900</v>
      </c>
      <c r="G2528" s="9">
        <v>36.770000000000003</v>
      </c>
    </row>
    <row r="2529" spans="1:7" x14ac:dyDescent="0.25">
      <c r="A2529" s="101">
        <v>38337</v>
      </c>
      <c r="B2529" s="9">
        <v>38.33</v>
      </c>
      <c r="C2529" s="9">
        <v>38.36</v>
      </c>
      <c r="D2529" s="9">
        <v>36.9</v>
      </c>
      <c r="E2529" s="9">
        <v>37.08</v>
      </c>
      <c r="F2529" s="9">
        <v>18292300</v>
      </c>
      <c r="G2529" s="9">
        <v>37.08</v>
      </c>
    </row>
    <row r="2530" spans="1:7" x14ac:dyDescent="0.25">
      <c r="A2530" s="101">
        <v>38336</v>
      </c>
      <c r="B2530" s="9">
        <v>38.130000000000003</v>
      </c>
      <c r="C2530" s="9">
        <v>38.590000000000003</v>
      </c>
      <c r="D2530" s="9">
        <v>37.950000000000003</v>
      </c>
      <c r="E2530" s="9">
        <v>38.29</v>
      </c>
      <c r="F2530" s="9">
        <v>9710500</v>
      </c>
      <c r="G2530" s="9">
        <v>38.29</v>
      </c>
    </row>
    <row r="2531" spans="1:7" x14ac:dyDescent="0.25">
      <c r="A2531" s="101">
        <v>38335</v>
      </c>
      <c r="B2531" s="9">
        <v>37.979999999999997</v>
      </c>
      <c r="C2531" s="9">
        <v>38.47</v>
      </c>
      <c r="D2531" s="9">
        <v>37.82</v>
      </c>
      <c r="E2531" s="9">
        <v>38.26</v>
      </c>
      <c r="F2531" s="9">
        <v>10088500</v>
      </c>
      <c r="G2531" s="9">
        <v>38.26</v>
      </c>
    </row>
    <row r="2532" spans="1:7" x14ac:dyDescent="0.25">
      <c r="A2532" s="101">
        <v>38334</v>
      </c>
      <c r="B2532" s="9">
        <v>38.26</v>
      </c>
      <c r="C2532" s="9">
        <v>38.32</v>
      </c>
      <c r="D2532" s="9">
        <v>37.549999999999997</v>
      </c>
      <c r="E2532" s="9">
        <v>38.090000000000003</v>
      </c>
      <c r="F2532" s="9">
        <v>10266600</v>
      </c>
      <c r="G2532" s="9">
        <v>38.090000000000003</v>
      </c>
    </row>
    <row r="2533" spans="1:7" x14ac:dyDescent="0.25">
      <c r="A2533" s="101">
        <v>38331</v>
      </c>
      <c r="B2533" s="9">
        <v>38.020000000000003</v>
      </c>
      <c r="C2533" s="9">
        <v>38.58</v>
      </c>
      <c r="D2533" s="9">
        <v>37.93</v>
      </c>
      <c r="E2533" s="9">
        <v>38.020000000000003</v>
      </c>
      <c r="F2533" s="9">
        <v>10019700</v>
      </c>
      <c r="G2533" s="9">
        <v>38.020000000000003</v>
      </c>
    </row>
    <row r="2534" spans="1:7" x14ac:dyDescent="0.25">
      <c r="A2534" s="101">
        <v>38330</v>
      </c>
      <c r="B2534" s="9">
        <v>36.83</v>
      </c>
      <c r="C2534" s="9">
        <v>38.64</v>
      </c>
      <c r="D2534" s="9">
        <v>36.82</v>
      </c>
      <c r="E2534" s="9">
        <v>38.31</v>
      </c>
      <c r="F2534" s="9">
        <v>18900700</v>
      </c>
      <c r="G2534" s="9">
        <v>38.31</v>
      </c>
    </row>
    <row r="2535" spans="1:7" x14ac:dyDescent="0.25">
      <c r="A2535" s="101">
        <v>38329</v>
      </c>
      <c r="B2535" s="9">
        <v>37.35</v>
      </c>
      <c r="C2535" s="9">
        <v>37.44</v>
      </c>
      <c r="D2535" s="9">
        <v>36.78</v>
      </c>
      <c r="E2535" s="9">
        <v>37.049999999999997</v>
      </c>
      <c r="F2535" s="9">
        <v>14006800</v>
      </c>
      <c r="G2535" s="9">
        <v>37.049999999999997</v>
      </c>
    </row>
    <row r="2536" spans="1:7" x14ac:dyDescent="0.25">
      <c r="A2536" s="101">
        <v>38328</v>
      </c>
      <c r="B2536" s="9">
        <v>38.75</v>
      </c>
      <c r="C2536" s="9">
        <v>38.93</v>
      </c>
      <c r="D2536" s="9">
        <v>37</v>
      </c>
      <c r="E2536" s="9">
        <v>37.08</v>
      </c>
      <c r="F2536" s="9">
        <v>17718900</v>
      </c>
      <c r="G2536" s="9">
        <v>37.08</v>
      </c>
    </row>
    <row r="2537" spans="1:7" x14ac:dyDescent="0.25">
      <c r="A2537" s="101">
        <v>38327</v>
      </c>
      <c r="B2537" s="9">
        <v>38.71</v>
      </c>
      <c r="C2537" s="9">
        <v>39</v>
      </c>
      <c r="D2537" s="9">
        <v>38.51</v>
      </c>
      <c r="E2537" s="9">
        <v>38.840000000000003</v>
      </c>
      <c r="F2537" s="9">
        <v>12007500</v>
      </c>
      <c r="G2537" s="9">
        <v>38.840000000000003</v>
      </c>
    </row>
    <row r="2538" spans="1:7" x14ac:dyDescent="0.25">
      <c r="A2538" s="101">
        <v>38324</v>
      </c>
      <c r="B2538" s="9">
        <v>39.14</v>
      </c>
      <c r="C2538" s="9">
        <v>39.79</v>
      </c>
      <c r="D2538" s="9">
        <v>38.71</v>
      </c>
      <c r="E2538" s="9">
        <v>39.020000000000003</v>
      </c>
      <c r="F2538" s="9">
        <v>15890900</v>
      </c>
      <c r="G2538" s="9">
        <v>39.020000000000003</v>
      </c>
    </row>
    <row r="2539" spans="1:7" x14ac:dyDescent="0.25">
      <c r="A2539" s="101">
        <v>38323</v>
      </c>
      <c r="B2539" s="9">
        <v>37.96</v>
      </c>
      <c r="C2539" s="9">
        <v>39.4</v>
      </c>
      <c r="D2539" s="9">
        <v>37.89</v>
      </c>
      <c r="E2539" s="9">
        <v>39.14</v>
      </c>
      <c r="F2539" s="9">
        <v>22437500</v>
      </c>
      <c r="G2539" s="9">
        <v>39.14</v>
      </c>
    </row>
    <row r="2540" spans="1:7" x14ac:dyDescent="0.25">
      <c r="A2540" s="101">
        <v>38322</v>
      </c>
      <c r="B2540" s="9">
        <v>37.9</v>
      </c>
      <c r="C2540" s="9">
        <v>38.03</v>
      </c>
      <c r="D2540" s="9">
        <v>37.35</v>
      </c>
      <c r="E2540" s="9">
        <v>38</v>
      </c>
      <c r="F2540" s="9">
        <v>13204800</v>
      </c>
      <c r="G2540" s="9">
        <v>38</v>
      </c>
    </row>
    <row r="2541" spans="1:7" x14ac:dyDescent="0.25">
      <c r="A2541" s="101">
        <v>38321</v>
      </c>
      <c r="B2541" s="9">
        <v>37.92</v>
      </c>
      <c r="C2541" s="9">
        <v>38.19</v>
      </c>
      <c r="D2541" s="9">
        <v>37.520000000000003</v>
      </c>
      <c r="E2541" s="9">
        <v>37.619999999999997</v>
      </c>
      <c r="F2541" s="9">
        <v>10965100</v>
      </c>
      <c r="G2541" s="9">
        <v>37.619999999999997</v>
      </c>
    </row>
    <row r="2542" spans="1:7" x14ac:dyDescent="0.25">
      <c r="A2542" s="101">
        <v>38320</v>
      </c>
      <c r="B2542" s="9">
        <v>38.090000000000003</v>
      </c>
      <c r="C2542" s="9">
        <v>38.24</v>
      </c>
      <c r="D2542" s="9">
        <v>37.5</v>
      </c>
      <c r="E2542" s="9">
        <v>38.119999999999997</v>
      </c>
      <c r="F2542" s="9">
        <v>13895100</v>
      </c>
      <c r="G2542" s="9">
        <v>38.119999999999997</v>
      </c>
    </row>
    <row r="2543" spans="1:7" x14ac:dyDescent="0.25">
      <c r="A2543" s="101">
        <v>38317</v>
      </c>
      <c r="B2543" s="9">
        <v>37.83</v>
      </c>
      <c r="C2543" s="9">
        <v>38.15</v>
      </c>
      <c r="D2543" s="9">
        <v>37.57</v>
      </c>
      <c r="E2543" s="9">
        <v>37.81</v>
      </c>
      <c r="F2543" s="9">
        <v>6230900</v>
      </c>
      <c r="G2543" s="9">
        <v>37.81</v>
      </c>
    </row>
    <row r="2544" spans="1:7" x14ac:dyDescent="0.25">
      <c r="A2544" s="101">
        <v>38315</v>
      </c>
      <c r="B2544" s="9">
        <v>37.15</v>
      </c>
      <c r="C2544" s="9">
        <v>37.64</v>
      </c>
      <c r="D2544" s="9">
        <v>36.659999999999997</v>
      </c>
      <c r="E2544" s="9">
        <v>37.61</v>
      </c>
      <c r="F2544" s="9">
        <v>16495200</v>
      </c>
      <c r="G2544" s="9">
        <v>37.61</v>
      </c>
    </row>
    <row r="2545" spans="1:7" x14ac:dyDescent="0.25">
      <c r="A2545" s="101">
        <v>38314</v>
      </c>
      <c r="B2545" s="9">
        <v>36.700000000000003</v>
      </c>
      <c r="C2545" s="9">
        <v>37.049999999999997</v>
      </c>
      <c r="D2545" s="9">
        <v>36.1</v>
      </c>
      <c r="E2545" s="9">
        <v>36.4</v>
      </c>
      <c r="F2545" s="9">
        <v>14691000</v>
      </c>
      <c r="G2545" s="9">
        <v>36.4</v>
      </c>
    </row>
    <row r="2546" spans="1:7" x14ac:dyDescent="0.25">
      <c r="A2546" s="101">
        <v>38313</v>
      </c>
      <c r="B2546" s="9">
        <v>35.99</v>
      </c>
      <c r="C2546" s="9">
        <v>36.5</v>
      </c>
      <c r="D2546" s="9">
        <v>35.35</v>
      </c>
      <c r="E2546" s="9">
        <v>36.450000000000003</v>
      </c>
      <c r="F2546" s="9">
        <v>17256100</v>
      </c>
      <c r="G2546" s="9">
        <v>36.450000000000003</v>
      </c>
    </row>
    <row r="2547" spans="1:7" x14ac:dyDescent="0.25">
      <c r="A2547" s="101">
        <v>38310</v>
      </c>
      <c r="B2547" s="9">
        <v>37.24</v>
      </c>
      <c r="C2547" s="9">
        <v>37.409999999999997</v>
      </c>
      <c r="D2547" s="9">
        <v>35.9</v>
      </c>
      <c r="E2547" s="9">
        <v>36.15</v>
      </c>
      <c r="F2547" s="9">
        <v>15936600</v>
      </c>
      <c r="G2547" s="9">
        <v>36.15</v>
      </c>
    </row>
    <row r="2548" spans="1:7" x14ac:dyDescent="0.25">
      <c r="A2548" s="101">
        <v>38309</v>
      </c>
      <c r="B2548" s="9">
        <v>37.43</v>
      </c>
      <c r="C2548" s="9">
        <v>37.78</v>
      </c>
      <c r="D2548" s="9">
        <v>37.1</v>
      </c>
      <c r="E2548" s="9">
        <v>37.19</v>
      </c>
      <c r="F2548" s="9">
        <v>15401000</v>
      </c>
      <c r="G2548" s="9">
        <v>37.19</v>
      </c>
    </row>
    <row r="2549" spans="1:7" x14ac:dyDescent="0.25">
      <c r="A2549" s="101">
        <v>38308</v>
      </c>
      <c r="B2549" s="9">
        <v>36.950000000000003</v>
      </c>
      <c r="C2549" s="9">
        <v>37.369999999999997</v>
      </c>
      <c r="D2549" s="9">
        <v>36.479999999999997</v>
      </c>
      <c r="E2549" s="9">
        <v>36.950000000000003</v>
      </c>
      <c r="F2549" s="9">
        <v>15189100</v>
      </c>
      <c r="G2549" s="9">
        <v>36.950000000000003</v>
      </c>
    </row>
    <row r="2550" spans="1:7" x14ac:dyDescent="0.25">
      <c r="A2550" s="101">
        <v>38307</v>
      </c>
      <c r="B2550" s="9">
        <v>37.29</v>
      </c>
      <c r="C2550" s="9">
        <v>37.409999999999997</v>
      </c>
      <c r="D2550" s="9">
        <v>36.56</v>
      </c>
      <c r="E2550" s="9">
        <v>36.74</v>
      </c>
      <c r="F2550" s="9">
        <v>15160100</v>
      </c>
      <c r="G2550" s="9">
        <v>36.74</v>
      </c>
    </row>
    <row r="2551" spans="1:7" x14ac:dyDescent="0.25">
      <c r="A2551" s="101">
        <v>38306</v>
      </c>
      <c r="B2551" s="9">
        <v>37.770000000000003</v>
      </c>
      <c r="C2551" s="9">
        <v>38</v>
      </c>
      <c r="D2551" s="9">
        <v>37.31</v>
      </c>
      <c r="E2551" s="9">
        <v>37.630000000000003</v>
      </c>
      <c r="F2551" s="9">
        <v>13108100</v>
      </c>
      <c r="G2551" s="9">
        <v>37.630000000000003</v>
      </c>
    </row>
    <row r="2552" spans="1:7" x14ac:dyDescent="0.25">
      <c r="A2552" s="101">
        <v>38303</v>
      </c>
      <c r="B2552" s="9">
        <v>37.869999999999997</v>
      </c>
      <c r="C2552" s="9">
        <v>38.299999999999997</v>
      </c>
      <c r="D2552" s="9">
        <v>37.53</v>
      </c>
      <c r="E2552" s="9">
        <v>37.799999999999997</v>
      </c>
      <c r="F2552" s="9">
        <v>16545200</v>
      </c>
      <c r="G2552" s="9">
        <v>37.799999999999997</v>
      </c>
    </row>
    <row r="2553" spans="1:7" x14ac:dyDescent="0.25">
      <c r="A2553" s="101">
        <v>38302</v>
      </c>
      <c r="B2553" s="9">
        <v>36.9</v>
      </c>
      <c r="C2553" s="9">
        <v>37.82</v>
      </c>
      <c r="D2553" s="9">
        <v>36.46</v>
      </c>
      <c r="E2553" s="9">
        <v>37.79</v>
      </c>
      <c r="F2553" s="9">
        <v>16640100</v>
      </c>
      <c r="G2553" s="9">
        <v>37.79</v>
      </c>
    </row>
    <row r="2554" spans="1:7" x14ac:dyDescent="0.25">
      <c r="A2554" s="101">
        <v>38301</v>
      </c>
      <c r="B2554" s="9">
        <v>36.85</v>
      </c>
      <c r="C2554" s="9">
        <v>37.19</v>
      </c>
      <c r="D2554" s="9">
        <v>36.369999999999997</v>
      </c>
      <c r="E2554" s="9">
        <v>36.659999999999997</v>
      </c>
      <c r="F2554" s="9">
        <v>14160400</v>
      </c>
      <c r="G2554" s="9">
        <v>36.659999999999997</v>
      </c>
    </row>
    <row r="2555" spans="1:7" x14ac:dyDescent="0.25">
      <c r="A2555" s="101">
        <v>38300</v>
      </c>
      <c r="B2555" s="9">
        <v>37.24</v>
      </c>
      <c r="C2555" s="9">
        <v>37.630000000000003</v>
      </c>
      <c r="D2555" s="9">
        <v>36.86</v>
      </c>
      <c r="E2555" s="9">
        <v>37.03</v>
      </c>
      <c r="F2555" s="9">
        <v>14937800</v>
      </c>
      <c r="G2555" s="9">
        <v>37.03</v>
      </c>
    </row>
    <row r="2556" spans="1:7" x14ac:dyDescent="0.25">
      <c r="A2556" s="101">
        <v>38299</v>
      </c>
      <c r="B2556" s="9">
        <v>36.79</v>
      </c>
      <c r="C2556" s="9">
        <v>37.32</v>
      </c>
      <c r="D2556" s="9">
        <v>36.71</v>
      </c>
      <c r="E2556" s="9">
        <v>37.14</v>
      </c>
      <c r="F2556" s="9">
        <v>15368500</v>
      </c>
      <c r="G2556" s="9">
        <v>37.14</v>
      </c>
    </row>
    <row r="2557" spans="1:7" x14ac:dyDescent="0.25">
      <c r="A2557" s="101">
        <v>38296</v>
      </c>
      <c r="B2557" s="9">
        <v>37.68</v>
      </c>
      <c r="C2557" s="9">
        <v>37.85</v>
      </c>
      <c r="D2557" s="9">
        <v>35.76</v>
      </c>
      <c r="E2557" s="9">
        <v>36.35</v>
      </c>
      <c r="F2557" s="9">
        <v>25428100</v>
      </c>
      <c r="G2557" s="9">
        <v>36.35</v>
      </c>
    </row>
    <row r="2558" spans="1:7" x14ac:dyDescent="0.25">
      <c r="A2558" s="101">
        <v>38295</v>
      </c>
      <c r="B2558" s="9">
        <v>37.57</v>
      </c>
      <c r="C2558" s="9">
        <v>37.950000000000003</v>
      </c>
      <c r="D2558" s="9">
        <v>36.75</v>
      </c>
      <c r="E2558" s="9">
        <v>37.659999999999997</v>
      </c>
      <c r="F2558" s="9">
        <v>19812300</v>
      </c>
      <c r="G2558" s="9">
        <v>37.659999999999997</v>
      </c>
    </row>
    <row r="2559" spans="1:7" x14ac:dyDescent="0.25">
      <c r="A2559" s="101">
        <v>38294</v>
      </c>
      <c r="B2559" s="9">
        <v>39.200000000000003</v>
      </c>
      <c r="C2559" s="9">
        <v>39.25</v>
      </c>
      <c r="D2559" s="9">
        <v>37.54</v>
      </c>
      <c r="E2559" s="9">
        <v>37.97</v>
      </c>
      <c r="F2559" s="9">
        <v>25377500</v>
      </c>
      <c r="G2559" s="9">
        <v>37.97</v>
      </c>
    </row>
    <row r="2560" spans="1:7" x14ac:dyDescent="0.25">
      <c r="A2560" s="101">
        <v>38293</v>
      </c>
      <c r="B2560" s="9">
        <v>37.03</v>
      </c>
      <c r="C2560" s="9">
        <v>38.15</v>
      </c>
      <c r="D2560" s="9">
        <v>36.89</v>
      </c>
      <c r="E2560" s="9">
        <v>37.74</v>
      </c>
      <c r="F2560" s="9">
        <v>22925400</v>
      </c>
      <c r="G2560" s="9">
        <v>37.74</v>
      </c>
    </row>
    <row r="2561" spans="1:7" x14ac:dyDescent="0.25">
      <c r="A2561" s="101">
        <v>38292</v>
      </c>
      <c r="B2561" s="9">
        <v>35.909999999999997</v>
      </c>
      <c r="C2561" s="9">
        <v>37</v>
      </c>
      <c r="D2561" s="9">
        <v>35.86</v>
      </c>
      <c r="E2561" s="9">
        <v>36.92</v>
      </c>
      <c r="F2561" s="9">
        <v>16436900</v>
      </c>
      <c r="G2561" s="9">
        <v>36.92</v>
      </c>
    </row>
    <row r="2562" spans="1:7" x14ac:dyDescent="0.25">
      <c r="A2562" s="101">
        <v>38289</v>
      </c>
      <c r="B2562" s="9">
        <v>36.08</v>
      </c>
      <c r="C2562" s="9">
        <v>36.72</v>
      </c>
      <c r="D2562" s="9">
        <v>35.86</v>
      </c>
      <c r="E2562" s="9">
        <v>36.19</v>
      </c>
      <c r="F2562" s="9">
        <v>13432500</v>
      </c>
      <c r="G2562" s="9">
        <v>36.19</v>
      </c>
    </row>
    <row r="2563" spans="1:7" x14ac:dyDescent="0.25">
      <c r="A2563" s="101">
        <v>38288</v>
      </c>
      <c r="B2563" s="9">
        <v>35.82</v>
      </c>
      <c r="C2563" s="9">
        <v>36.5</v>
      </c>
      <c r="D2563" s="9">
        <v>35.82</v>
      </c>
      <c r="E2563" s="9">
        <v>36.450000000000003</v>
      </c>
      <c r="F2563" s="9">
        <v>13245200</v>
      </c>
      <c r="G2563" s="9">
        <v>36.450000000000003</v>
      </c>
    </row>
    <row r="2564" spans="1:7" x14ac:dyDescent="0.25">
      <c r="A2564" s="101">
        <v>38287</v>
      </c>
      <c r="B2564" s="9">
        <v>34.9</v>
      </c>
      <c r="C2564" s="9">
        <v>36.520000000000003</v>
      </c>
      <c r="D2564" s="9">
        <v>34.85</v>
      </c>
      <c r="E2564" s="9">
        <v>36.18</v>
      </c>
      <c r="F2564" s="9">
        <v>20968100</v>
      </c>
      <c r="G2564" s="9">
        <v>36.18</v>
      </c>
    </row>
    <row r="2565" spans="1:7" x14ac:dyDescent="0.25">
      <c r="A2565" s="101">
        <v>38286</v>
      </c>
      <c r="B2565" s="9">
        <v>35.119999999999997</v>
      </c>
      <c r="C2565" s="9">
        <v>35.39</v>
      </c>
      <c r="D2565" s="9">
        <v>34.75</v>
      </c>
      <c r="E2565" s="9">
        <v>35.090000000000003</v>
      </c>
      <c r="F2565" s="9">
        <v>15698700</v>
      </c>
      <c r="G2565" s="9">
        <v>35.090000000000003</v>
      </c>
    </row>
    <row r="2566" spans="1:7" x14ac:dyDescent="0.25">
      <c r="A2566" s="101">
        <v>38285</v>
      </c>
      <c r="B2566" s="9">
        <v>34.83</v>
      </c>
      <c r="C2566" s="9">
        <v>35.24</v>
      </c>
      <c r="D2566" s="9">
        <v>34.5</v>
      </c>
      <c r="E2566" s="9">
        <v>35.200000000000003</v>
      </c>
      <c r="F2566" s="9">
        <v>17718300</v>
      </c>
      <c r="G2566" s="9">
        <v>35.200000000000003</v>
      </c>
    </row>
    <row r="2567" spans="1:7" x14ac:dyDescent="0.25">
      <c r="A2567" s="101">
        <v>38282</v>
      </c>
      <c r="B2567" s="9">
        <v>36.57</v>
      </c>
      <c r="C2567" s="9">
        <v>36.75</v>
      </c>
      <c r="D2567" s="9">
        <v>34.93</v>
      </c>
      <c r="E2567" s="9">
        <v>34.96</v>
      </c>
      <c r="F2567" s="9">
        <v>35643200</v>
      </c>
      <c r="G2567" s="9">
        <v>34.96</v>
      </c>
    </row>
    <row r="2568" spans="1:7" x14ac:dyDescent="0.25">
      <c r="A2568" s="101">
        <v>38281</v>
      </c>
      <c r="B2568" s="9">
        <v>35.4</v>
      </c>
      <c r="C2568" s="9">
        <v>35.93</v>
      </c>
      <c r="D2568" s="9">
        <v>34.9</v>
      </c>
      <c r="E2568" s="9">
        <v>35.700000000000003</v>
      </c>
      <c r="F2568" s="9">
        <v>27937000</v>
      </c>
      <c r="G2568" s="9">
        <v>35.700000000000003</v>
      </c>
    </row>
    <row r="2569" spans="1:7" x14ac:dyDescent="0.25">
      <c r="A2569" s="101">
        <v>38280</v>
      </c>
      <c r="B2569" s="9">
        <v>34.380000000000003</v>
      </c>
      <c r="C2569" s="9">
        <v>34.57</v>
      </c>
      <c r="D2569" s="9">
        <v>34</v>
      </c>
      <c r="E2569" s="9">
        <v>34.49</v>
      </c>
      <c r="F2569" s="9">
        <v>15943900</v>
      </c>
      <c r="G2569" s="9">
        <v>34.49</v>
      </c>
    </row>
    <row r="2570" spans="1:7" x14ac:dyDescent="0.25">
      <c r="A2570" s="101">
        <v>38279</v>
      </c>
      <c r="B2570" s="9">
        <v>35.44</v>
      </c>
      <c r="C2570" s="9">
        <v>35.69</v>
      </c>
      <c r="D2570" s="9">
        <v>34.53</v>
      </c>
      <c r="E2570" s="9">
        <v>34.64</v>
      </c>
      <c r="F2570" s="9">
        <v>22291600</v>
      </c>
      <c r="G2570" s="9">
        <v>34.64</v>
      </c>
    </row>
    <row r="2571" spans="1:7" x14ac:dyDescent="0.25">
      <c r="A2571" s="101">
        <v>38278</v>
      </c>
      <c r="B2571" s="9">
        <v>34.32</v>
      </c>
      <c r="C2571" s="9">
        <v>35.4</v>
      </c>
      <c r="D2571" s="9">
        <v>34.11</v>
      </c>
      <c r="E2571" s="9">
        <v>35.299999999999997</v>
      </c>
      <c r="F2571" s="9">
        <v>19801400</v>
      </c>
      <c r="G2571" s="9">
        <v>35.299999999999997</v>
      </c>
    </row>
    <row r="2572" spans="1:7" x14ac:dyDescent="0.25">
      <c r="A2572" s="101">
        <v>38275</v>
      </c>
      <c r="B2572" s="9">
        <v>34.89</v>
      </c>
      <c r="C2572" s="9">
        <v>35.03</v>
      </c>
      <c r="D2572" s="9">
        <v>34.409999999999997</v>
      </c>
      <c r="E2572" s="9">
        <v>34.520000000000003</v>
      </c>
      <c r="F2572" s="9">
        <v>19657500</v>
      </c>
      <c r="G2572" s="9">
        <v>34.520000000000003</v>
      </c>
    </row>
    <row r="2573" spans="1:7" x14ac:dyDescent="0.25">
      <c r="A2573" s="101">
        <v>38274</v>
      </c>
      <c r="B2573" s="9">
        <v>34.979999999999997</v>
      </c>
      <c r="C2573" s="9">
        <v>35.15</v>
      </c>
      <c r="D2573" s="9">
        <v>34.22</v>
      </c>
      <c r="E2573" s="9">
        <v>34.96</v>
      </c>
      <c r="F2573" s="9">
        <v>22861600</v>
      </c>
      <c r="G2573" s="9">
        <v>34.96</v>
      </c>
    </row>
    <row r="2574" spans="1:7" x14ac:dyDescent="0.25">
      <c r="A2574" s="101">
        <v>38273</v>
      </c>
      <c r="B2574" s="9">
        <v>35.950000000000003</v>
      </c>
      <c r="C2574" s="9">
        <v>36.28</v>
      </c>
      <c r="D2574" s="9">
        <v>34.840000000000003</v>
      </c>
      <c r="E2574" s="9">
        <v>34.96</v>
      </c>
      <c r="F2574" s="9">
        <v>49492300</v>
      </c>
      <c r="G2574" s="9">
        <v>34.96</v>
      </c>
    </row>
    <row r="2575" spans="1:7" x14ac:dyDescent="0.25">
      <c r="A2575" s="101">
        <v>38272</v>
      </c>
      <c r="B2575" s="9">
        <v>33.71</v>
      </c>
      <c r="C2575" s="9">
        <v>34.479999999999997</v>
      </c>
      <c r="D2575" s="9">
        <v>33.6</v>
      </c>
      <c r="E2575" s="9">
        <v>34.229999999999997</v>
      </c>
      <c r="F2575" s="9">
        <v>31284000</v>
      </c>
      <c r="G2575" s="9">
        <v>34.229999999999997</v>
      </c>
    </row>
    <row r="2576" spans="1:7" x14ac:dyDescent="0.25">
      <c r="A2576" s="101">
        <v>38271</v>
      </c>
      <c r="B2576" s="9">
        <v>34.4</v>
      </c>
      <c r="C2576" s="9">
        <v>34.549999999999997</v>
      </c>
      <c r="D2576" s="9">
        <v>33.65</v>
      </c>
      <c r="E2576" s="9">
        <v>34.020000000000003</v>
      </c>
      <c r="F2576" s="9">
        <v>12664400</v>
      </c>
      <c r="G2576" s="9">
        <v>34.020000000000003</v>
      </c>
    </row>
    <row r="2577" spans="1:7" x14ac:dyDescent="0.25">
      <c r="A2577" s="101">
        <v>38268</v>
      </c>
      <c r="B2577" s="9">
        <v>34.479999999999997</v>
      </c>
      <c r="C2577" s="9">
        <v>35</v>
      </c>
      <c r="D2577" s="9">
        <v>34.1</v>
      </c>
      <c r="E2577" s="9">
        <v>34.17</v>
      </c>
      <c r="F2577" s="9">
        <v>16152700</v>
      </c>
      <c r="G2577" s="9">
        <v>34.17</v>
      </c>
    </row>
    <row r="2578" spans="1:7" x14ac:dyDescent="0.25">
      <c r="A2578" s="101">
        <v>38267</v>
      </c>
      <c r="B2578" s="9">
        <v>34.880000000000003</v>
      </c>
      <c r="C2578" s="9">
        <v>35.49</v>
      </c>
      <c r="D2578" s="9">
        <v>34.72</v>
      </c>
      <c r="E2578" s="9">
        <v>34.78</v>
      </c>
      <c r="F2578" s="9">
        <v>16233700</v>
      </c>
      <c r="G2578" s="9">
        <v>34.78</v>
      </c>
    </row>
    <row r="2579" spans="1:7" x14ac:dyDescent="0.25">
      <c r="A2579" s="101">
        <v>38266</v>
      </c>
      <c r="B2579" s="9">
        <v>34.72</v>
      </c>
      <c r="C2579" s="9">
        <v>35.15</v>
      </c>
      <c r="D2579" s="9">
        <v>34.51</v>
      </c>
      <c r="E2579" s="9">
        <v>34.96</v>
      </c>
      <c r="F2579" s="9">
        <v>17118000</v>
      </c>
      <c r="G2579" s="9">
        <v>34.96</v>
      </c>
    </row>
    <row r="2580" spans="1:7" x14ac:dyDescent="0.25">
      <c r="A2580" s="101">
        <v>38265</v>
      </c>
      <c r="B2580" s="9">
        <v>34.520000000000003</v>
      </c>
      <c r="C2580" s="9">
        <v>35</v>
      </c>
      <c r="D2580" s="9">
        <v>34.43</v>
      </c>
      <c r="E2580" s="9">
        <v>34.96</v>
      </c>
      <c r="F2580" s="9">
        <v>14934400</v>
      </c>
      <c r="G2580" s="9">
        <v>34.96</v>
      </c>
    </row>
    <row r="2581" spans="1:7" x14ac:dyDescent="0.25">
      <c r="A2581" s="101">
        <v>38264</v>
      </c>
      <c r="B2581" s="9">
        <v>35.049999999999997</v>
      </c>
      <c r="C2581" s="9">
        <v>35.450000000000003</v>
      </c>
      <c r="D2581" s="9">
        <v>34.729999999999997</v>
      </c>
      <c r="E2581" s="9">
        <v>34.909999999999997</v>
      </c>
      <c r="F2581" s="9">
        <v>21264100</v>
      </c>
      <c r="G2581" s="9">
        <v>34.909999999999997</v>
      </c>
    </row>
    <row r="2582" spans="1:7" x14ac:dyDescent="0.25">
      <c r="A2582" s="101">
        <v>38261</v>
      </c>
      <c r="B2582" s="9">
        <v>34.35</v>
      </c>
      <c r="C2582" s="9">
        <v>35.14</v>
      </c>
      <c r="D2582" s="9">
        <v>34.119999999999997</v>
      </c>
      <c r="E2582" s="9">
        <v>35.03</v>
      </c>
      <c r="F2582" s="9">
        <v>22100300</v>
      </c>
      <c r="G2582" s="9">
        <v>35.03</v>
      </c>
    </row>
    <row r="2583" spans="1:7" x14ac:dyDescent="0.25">
      <c r="A2583" s="101">
        <v>38260</v>
      </c>
      <c r="B2583" s="9">
        <v>33.590000000000003</v>
      </c>
      <c r="C2583" s="9">
        <v>34.49</v>
      </c>
      <c r="D2583" s="9">
        <v>33.56</v>
      </c>
      <c r="E2583" s="9">
        <v>33.909999999999997</v>
      </c>
      <c r="F2583" s="9">
        <v>25706900</v>
      </c>
      <c r="G2583" s="9">
        <v>33.909999999999997</v>
      </c>
    </row>
    <row r="2584" spans="1:7" x14ac:dyDescent="0.25">
      <c r="A2584" s="101">
        <v>38259</v>
      </c>
      <c r="B2584" s="9">
        <v>32.78</v>
      </c>
      <c r="C2584" s="9">
        <v>34.15</v>
      </c>
      <c r="D2584" s="9">
        <v>32.770000000000003</v>
      </c>
      <c r="E2584" s="9">
        <v>34</v>
      </c>
      <c r="F2584" s="9">
        <v>30183700</v>
      </c>
      <c r="G2584" s="9">
        <v>34</v>
      </c>
    </row>
    <row r="2585" spans="1:7" x14ac:dyDescent="0.25">
      <c r="A2585" s="101">
        <v>38258</v>
      </c>
      <c r="B2585" s="9">
        <v>32.270000000000003</v>
      </c>
      <c r="C2585" s="9">
        <v>33</v>
      </c>
      <c r="D2585" s="9">
        <v>31.67</v>
      </c>
      <c r="E2585" s="9">
        <v>32.799999999999997</v>
      </c>
      <c r="F2585" s="9">
        <v>18218200</v>
      </c>
      <c r="G2585" s="9">
        <v>32.799999999999997</v>
      </c>
    </row>
    <row r="2586" spans="1:7" x14ac:dyDescent="0.25">
      <c r="A2586" s="101">
        <v>38257</v>
      </c>
      <c r="B2586" s="9">
        <v>32.54</v>
      </c>
      <c r="C2586" s="9">
        <v>32.72</v>
      </c>
      <c r="D2586" s="9">
        <v>31.65</v>
      </c>
      <c r="E2586" s="9">
        <v>31.82</v>
      </c>
      <c r="F2586" s="9">
        <v>15218800</v>
      </c>
      <c r="G2586" s="9">
        <v>31.82</v>
      </c>
    </row>
    <row r="2587" spans="1:7" x14ac:dyDescent="0.25">
      <c r="A2587" s="101">
        <v>38254</v>
      </c>
      <c r="B2587" s="9">
        <v>33.19</v>
      </c>
      <c r="C2587" s="9">
        <v>33.25</v>
      </c>
      <c r="D2587" s="9">
        <v>32.56</v>
      </c>
      <c r="E2587" s="9">
        <v>32.58</v>
      </c>
      <c r="F2587" s="9">
        <v>11285600</v>
      </c>
      <c r="G2587" s="9">
        <v>32.58</v>
      </c>
    </row>
    <row r="2588" spans="1:7" x14ac:dyDescent="0.25">
      <c r="A2588" s="101">
        <v>38253</v>
      </c>
      <c r="B2588" s="9">
        <v>32.71</v>
      </c>
      <c r="C2588" s="9">
        <v>33.33</v>
      </c>
      <c r="D2588" s="9">
        <v>32.33</v>
      </c>
      <c r="E2588" s="9">
        <v>33.04</v>
      </c>
      <c r="F2588" s="9">
        <v>15695100</v>
      </c>
      <c r="G2588" s="9">
        <v>33.04</v>
      </c>
    </row>
    <row r="2589" spans="1:7" x14ac:dyDescent="0.25">
      <c r="A2589" s="101">
        <v>38252</v>
      </c>
      <c r="B2589" s="9">
        <v>32.81</v>
      </c>
      <c r="C2589" s="9">
        <v>33.75</v>
      </c>
      <c r="D2589" s="9">
        <v>32.380000000000003</v>
      </c>
      <c r="E2589" s="9">
        <v>32.47</v>
      </c>
      <c r="F2589" s="9">
        <v>22239800</v>
      </c>
      <c r="G2589" s="9">
        <v>32.47</v>
      </c>
    </row>
    <row r="2590" spans="1:7" x14ac:dyDescent="0.25">
      <c r="A2590" s="101">
        <v>38251</v>
      </c>
      <c r="B2590" s="9">
        <v>33.35</v>
      </c>
      <c r="C2590" s="9">
        <v>33.479999999999997</v>
      </c>
      <c r="D2590" s="9">
        <v>32.799999999999997</v>
      </c>
      <c r="E2590" s="9">
        <v>33.26</v>
      </c>
      <c r="F2590" s="9">
        <v>17063500</v>
      </c>
      <c r="G2590" s="9">
        <v>33.26</v>
      </c>
    </row>
    <row r="2591" spans="1:7" x14ac:dyDescent="0.25">
      <c r="A2591" s="101">
        <v>38250</v>
      </c>
      <c r="B2591" s="9">
        <v>32.85</v>
      </c>
      <c r="C2591" s="9">
        <v>34.04</v>
      </c>
      <c r="D2591" s="9">
        <v>32.85</v>
      </c>
      <c r="E2591" s="9">
        <v>33.26</v>
      </c>
      <c r="F2591" s="9">
        <v>18702200</v>
      </c>
      <c r="G2591" s="9">
        <v>33.26</v>
      </c>
    </row>
    <row r="2592" spans="1:7" x14ac:dyDescent="0.25">
      <c r="A2592" s="101">
        <v>38247</v>
      </c>
      <c r="B2592" s="9">
        <v>33</v>
      </c>
      <c r="C2592" s="9">
        <v>33.5</v>
      </c>
      <c r="D2592" s="9">
        <v>32.659999999999997</v>
      </c>
      <c r="E2592" s="9">
        <v>33.46</v>
      </c>
      <c r="F2592" s="9">
        <v>15049000</v>
      </c>
      <c r="G2592" s="9">
        <v>33.46</v>
      </c>
    </row>
    <row r="2593" spans="1:7" x14ac:dyDescent="0.25">
      <c r="A2593" s="101">
        <v>38246</v>
      </c>
      <c r="B2593" s="9">
        <v>32.89</v>
      </c>
      <c r="C2593" s="9">
        <v>33.94</v>
      </c>
      <c r="D2593" s="9">
        <v>32.520000000000003</v>
      </c>
      <c r="E2593" s="9">
        <v>32.79</v>
      </c>
      <c r="F2593" s="9">
        <v>23336100</v>
      </c>
      <c r="G2593" s="9">
        <v>32.79</v>
      </c>
    </row>
    <row r="2594" spans="1:7" x14ac:dyDescent="0.25">
      <c r="A2594" s="101">
        <v>38245</v>
      </c>
      <c r="B2594" s="9">
        <v>32.700000000000003</v>
      </c>
      <c r="C2594" s="9">
        <v>33.4</v>
      </c>
      <c r="D2594" s="9">
        <v>32.409999999999997</v>
      </c>
      <c r="E2594" s="9">
        <v>32.9</v>
      </c>
      <c r="F2594" s="9">
        <v>16915900</v>
      </c>
      <c r="G2594" s="9">
        <v>32.9</v>
      </c>
    </row>
    <row r="2595" spans="1:7" x14ac:dyDescent="0.25">
      <c r="A2595" s="101">
        <v>38244</v>
      </c>
      <c r="B2595" s="9">
        <v>31.62</v>
      </c>
      <c r="C2595" s="9">
        <v>33.549999999999997</v>
      </c>
      <c r="D2595" s="9">
        <v>31.44</v>
      </c>
      <c r="E2595" s="9">
        <v>33.200000000000003</v>
      </c>
      <c r="F2595" s="9">
        <v>28245600</v>
      </c>
      <c r="G2595" s="9">
        <v>33.200000000000003</v>
      </c>
    </row>
    <row r="2596" spans="1:7" x14ac:dyDescent="0.25">
      <c r="A2596" s="101">
        <v>38243</v>
      </c>
      <c r="B2596" s="9">
        <v>31.01</v>
      </c>
      <c r="C2596" s="9">
        <v>31.99</v>
      </c>
      <c r="D2596" s="9">
        <v>31.01</v>
      </c>
      <c r="E2596" s="9">
        <v>31.87</v>
      </c>
      <c r="F2596" s="9">
        <v>17476400</v>
      </c>
      <c r="G2596" s="9">
        <v>31.87</v>
      </c>
    </row>
    <row r="2597" spans="1:7" x14ac:dyDescent="0.25">
      <c r="A2597" s="101">
        <v>38240</v>
      </c>
      <c r="B2597" s="9">
        <v>30.24</v>
      </c>
      <c r="C2597" s="9">
        <v>31.12</v>
      </c>
      <c r="D2597" s="9">
        <v>30.21</v>
      </c>
      <c r="E2597" s="9">
        <v>31.08</v>
      </c>
      <c r="F2597" s="9">
        <v>11312500</v>
      </c>
      <c r="G2597" s="9">
        <v>31.08</v>
      </c>
    </row>
    <row r="2598" spans="1:7" x14ac:dyDescent="0.25">
      <c r="A2598" s="101">
        <v>38239</v>
      </c>
      <c r="B2598" s="9">
        <v>30.2</v>
      </c>
      <c r="C2598" s="9">
        <v>30.7</v>
      </c>
      <c r="D2598" s="9">
        <v>29.83</v>
      </c>
      <c r="E2598" s="9">
        <v>30.49</v>
      </c>
      <c r="F2598" s="9">
        <v>16353800</v>
      </c>
      <c r="G2598" s="9">
        <v>30.49</v>
      </c>
    </row>
    <row r="2599" spans="1:7" x14ac:dyDescent="0.25">
      <c r="A2599" s="101">
        <v>38238</v>
      </c>
      <c r="B2599" s="9">
        <v>29.61</v>
      </c>
      <c r="C2599" s="9">
        <v>30.47</v>
      </c>
      <c r="D2599" s="9">
        <v>29.57</v>
      </c>
      <c r="E2599" s="9">
        <v>30.38</v>
      </c>
      <c r="F2599" s="9">
        <v>18660200</v>
      </c>
      <c r="G2599" s="9">
        <v>30.38</v>
      </c>
    </row>
    <row r="2600" spans="1:7" x14ac:dyDescent="0.25">
      <c r="A2600" s="101">
        <v>38237</v>
      </c>
      <c r="B2600" s="9">
        <v>29.87</v>
      </c>
      <c r="C2600" s="9">
        <v>30.1</v>
      </c>
      <c r="D2600" s="9">
        <v>29.27</v>
      </c>
      <c r="E2600" s="9">
        <v>29.64</v>
      </c>
      <c r="F2600" s="9">
        <v>16331200</v>
      </c>
      <c r="G2600" s="9">
        <v>29.64</v>
      </c>
    </row>
    <row r="2601" spans="1:7" x14ac:dyDescent="0.25">
      <c r="A2601" s="101">
        <v>38233</v>
      </c>
      <c r="B2601" s="9">
        <v>29.75</v>
      </c>
      <c r="C2601" s="9">
        <v>30.31</v>
      </c>
      <c r="D2601" s="9">
        <v>29.27</v>
      </c>
      <c r="E2601" s="9">
        <v>29.46</v>
      </c>
      <c r="F2601" s="9">
        <v>12782700</v>
      </c>
      <c r="G2601" s="9">
        <v>29.46</v>
      </c>
    </row>
    <row r="2602" spans="1:7" x14ac:dyDescent="0.25">
      <c r="A2602" s="101">
        <v>38232</v>
      </c>
      <c r="B2602" s="9">
        <v>28.7</v>
      </c>
      <c r="C2602" s="9">
        <v>30.16</v>
      </c>
      <c r="D2602" s="9">
        <v>28.66</v>
      </c>
      <c r="E2602" s="9">
        <v>29.84</v>
      </c>
      <c r="F2602" s="9">
        <v>17247700</v>
      </c>
      <c r="G2602" s="9">
        <v>29.84</v>
      </c>
    </row>
    <row r="2603" spans="1:7" x14ac:dyDescent="0.25">
      <c r="A2603" s="101">
        <v>38231</v>
      </c>
      <c r="B2603" s="9">
        <v>28.39</v>
      </c>
      <c r="C2603" s="9">
        <v>29.04</v>
      </c>
      <c r="D2603" s="9">
        <v>28.13</v>
      </c>
      <c r="E2603" s="9">
        <v>29.01</v>
      </c>
      <c r="F2603" s="9">
        <v>16668100</v>
      </c>
      <c r="G2603" s="9">
        <v>29.01</v>
      </c>
    </row>
    <row r="2604" spans="1:7" x14ac:dyDescent="0.25">
      <c r="A2604" s="101">
        <v>38230</v>
      </c>
      <c r="B2604" s="9">
        <v>28.48</v>
      </c>
      <c r="C2604" s="9">
        <v>28.7</v>
      </c>
      <c r="D2604" s="9">
        <v>28.08</v>
      </c>
      <c r="E2604" s="9">
        <v>28.51</v>
      </c>
      <c r="F2604" s="9">
        <v>11381700</v>
      </c>
      <c r="G2604" s="9">
        <v>28.51</v>
      </c>
    </row>
    <row r="2605" spans="1:7" x14ac:dyDescent="0.25">
      <c r="A2605" s="101">
        <v>38229</v>
      </c>
      <c r="B2605" s="9">
        <v>29.07</v>
      </c>
      <c r="C2605" s="9">
        <v>29.07</v>
      </c>
      <c r="D2605" s="9">
        <v>28.35</v>
      </c>
      <c r="E2605" s="9">
        <v>28.46</v>
      </c>
      <c r="F2605" s="9">
        <v>12762700</v>
      </c>
      <c r="G2605" s="9">
        <v>28.46</v>
      </c>
    </row>
    <row r="2606" spans="1:7" x14ac:dyDescent="0.25">
      <c r="A2606" s="101">
        <v>38226</v>
      </c>
      <c r="B2606" s="9">
        <v>29.43</v>
      </c>
      <c r="C2606" s="9">
        <v>29.57</v>
      </c>
      <c r="D2606" s="9">
        <v>29.19</v>
      </c>
      <c r="E2606" s="9">
        <v>29.3</v>
      </c>
      <c r="F2606" s="9">
        <v>8327500</v>
      </c>
      <c r="G2606" s="9">
        <v>29.3</v>
      </c>
    </row>
    <row r="2607" spans="1:7" x14ac:dyDescent="0.25">
      <c r="A2607" s="101">
        <v>38225</v>
      </c>
      <c r="B2607" s="9">
        <v>29</v>
      </c>
      <c r="C2607" s="9">
        <v>29.49</v>
      </c>
      <c r="D2607" s="9">
        <v>28.96</v>
      </c>
      <c r="E2607" s="9">
        <v>29.17</v>
      </c>
      <c r="F2607" s="9">
        <v>9756000</v>
      </c>
      <c r="G2607" s="9">
        <v>29.17</v>
      </c>
    </row>
    <row r="2608" spans="1:7" x14ac:dyDescent="0.25">
      <c r="A2608" s="101">
        <v>38224</v>
      </c>
      <c r="B2608" s="9">
        <v>28.36</v>
      </c>
      <c r="C2608" s="9">
        <v>29.5</v>
      </c>
      <c r="D2608" s="9">
        <v>28.21</v>
      </c>
      <c r="E2608" s="9">
        <v>29.37</v>
      </c>
      <c r="F2608" s="9">
        <v>15518100</v>
      </c>
      <c r="G2608" s="9">
        <v>29.37</v>
      </c>
    </row>
    <row r="2609" spans="1:7" x14ac:dyDescent="0.25">
      <c r="A2609" s="101">
        <v>38223</v>
      </c>
      <c r="B2609" s="9">
        <v>28.99</v>
      </c>
      <c r="C2609" s="9">
        <v>29.08</v>
      </c>
      <c r="D2609" s="9">
        <v>28.05</v>
      </c>
      <c r="E2609" s="9">
        <v>28.41</v>
      </c>
      <c r="F2609" s="9">
        <v>16537400</v>
      </c>
      <c r="G2609" s="9">
        <v>28.41</v>
      </c>
    </row>
    <row r="2610" spans="1:7" x14ac:dyDescent="0.25">
      <c r="A2610" s="101">
        <v>38222</v>
      </c>
      <c r="B2610" s="9">
        <v>29.1</v>
      </c>
      <c r="C2610" s="9">
        <v>29.19</v>
      </c>
      <c r="D2610" s="9">
        <v>28.56</v>
      </c>
      <c r="E2610" s="9">
        <v>28.63</v>
      </c>
      <c r="F2610" s="9">
        <v>13024400</v>
      </c>
      <c r="G2610" s="9">
        <v>28.63</v>
      </c>
    </row>
    <row r="2611" spans="1:7" x14ac:dyDescent="0.25">
      <c r="A2611" s="101">
        <v>38219</v>
      </c>
      <c r="B2611" s="9">
        <v>27.88</v>
      </c>
      <c r="C2611" s="9">
        <v>28.83</v>
      </c>
      <c r="D2611" s="9">
        <v>27.83</v>
      </c>
      <c r="E2611" s="9">
        <v>28.61</v>
      </c>
      <c r="F2611" s="9">
        <v>17228700</v>
      </c>
      <c r="G2611" s="9">
        <v>28.61</v>
      </c>
    </row>
    <row r="2612" spans="1:7" x14ac:dyDescent="0.25">
      <c r="A2612" s="101">
        <v>38218</v>
      </c>
      <c r="B2612" s="9">
        <v>28.34</v>
      </c>
      <c r="C2612" s="9">
        <v>28.97</v>
      </c>
      <c r="D2612" s="9">
        <v>27.9</v>
      </c>
      <c r="E2612" s="9">
        <v>28.11</v>
      </c>
      <c r="F2612" s="9">
        <v>27657500</v>
      </c>
      <c r="G2612" s="9">
        <v>28.11</v>
      </c>
    </row>
    <row r="2613" spans="1:7" x14ac:dyDescent="0.25">
      <c r="A2613" s="101">
        <v>38217</v>
      </c>
      <c r="B2613" s="9">
        <v>27.46</v>
      </c>
      <c r="C2613" s="9">
        <v>28.54</v>
      </c>
      <c r="D2613" s="9">
        <v>27.42</v>
      </c>
      <c r="E2613" s="9">
        <v>28.48</v>
      </c>
      <c r="F2613" s="9">
        <v>22358300</v>
      </c>
      <c r="G2613" s="9">
        <v>28.48</v>
      </c>
    </row>
    <row r="2614" spans="1:7" x14ac:dyDescent="0.25">
      <c r="A2614" s="101">
        <v>38216</v>
      </c>
      <c r="B2614" s="9">
        <v>28.63</v>
      </c>
      <c r="C2614" s="9">
        <v>29.16</v>
      </c>
      <c r="D2614" s="9">
        <v>28.17</v>
      </c>
      <c r="E2614" s="9">
        <v>28.34</v>
      </c>
      <c r="F2614" s="9">
        <v>19609800</v>
      </c>
      <c r="G2614" s="9">
        <v>28.34</v>
      </c>
    </row>
    <row r="2615" spans="1:7" x14ac:dyDescent="0.25">
      <c r="A2615" s="101">
        <v>38215</v>
      </c>
      <c r="B2615" s="9">
        <v>27.39</v>
      </c>
      <c r="C2615" s="9">
        <v>28.77</v>
      </c>
      <c r="D2615" s="9">
        <v>27.3</v>
      </c>
      <c r="E2615" s="9">
        <v>28.25</v>
      </c>
      <c r="F2615" s="9">
        <v>15923600</v>
      </c>
      <c r="G2615" s="9">
        <v>28.25</v>
      </c>
    </row>
    <row r="2616" spans="1:7" x14ac:dyDescent="0.25">
      <c r="A2616" s="101">
        <v>38212</v>
      </c>
      <c r="B2616" s="9">
        <v>27.83</v>
      </c>
      <c r="C2616" s="9">
        <v>27.88</v>
      </c>
      <c r="D2616" s="9">
        <v>26.9</v>
      </c>
      <c r="E2616" s="9">
        <v>27.49</v>
      </c>
      <c r="F2616" s="9">
        <v>16278400</v>
      </c>
      <c r="G2616" s="9">
        <v>27.49</v>
      </c>
    </row>
    <row r="2617" spans="1:7" x14ac:dyDescent="0.25">
      <c r="A2617" s="101">
        <v>38211</v>
      </c>
      <c r="B2617" s="9">
        <v>27.43</v>
      </c>
      <c r="C2617" s="9">
        <v>27.93</v>
      </c>
      <c r="D2617" s="9">
        <v>27.19</v>
      </c>
      <c r="E2617" s="9">
        <v>27.55</v>
      </c>
      <c r="F2617" s="9">
        <v>18779300</v>
      </c>
      <c r="G2617" s="9">
        <v>27.55</v>
      </c>
    </row>
    <row r="2618" spans="1:7" x14ac:dyDescent="0.25">
      <c r="A2618" s="101">
        <v>38210</v>
      </c>
      <c r="B2618" s="9">
        <v>26.4</v>
      </c>
      <c r="C2618" s="9">
        <v>27.81</v>
      </c>
      <c r="D2618" s="9">
        <v>26.24</v>
      </c>
      <c r="E2618" s="9">
        <v>27.42</v>
      </c>
      <c r="F2618" s="9">
        <v>24805300</v>
      </c>
      <c r="G2618" s="9">
        <v>27.42</v>
      </c>
    </row>
    <row r="2619" spans="1:7" x14ac:dyDescent="0.25">
      <c r="A2619" s="101">
        <v>38209</v>
      </c>
      <c r="B2619" s="9">
        <v>26.16</v>
      </c>
      <c r="C2619" s="9">
        <v>27.24</v>
      </c>
      <c r="D2619" s="9">
        <v>26</v>
      </c>
      <c r="E2619" s="9">
        <v>27.15</v>
      </c>
      <c r="F2619" s="9">
        <v>24449700</v>
      </c>
      <c r="G2619" s="9">
        <v>27.15</v>
      </c>
    </row>
    <row r="2620" spans="1:7" x14ac:dyDescent="0.25">
      <c r="A2620" s="101">
        <v>38208</v>
      </c>
      <c r="B2620" s="9">
        <v>26.29</v>
      </c>
      <c r="C2620" s="9">
        <v>26.39</v>
      </c>
      <c r="D2620" s="9">
        <v>25.52</v>
      </c>
      <c r="E2620" s="9">
        <v>25.7</v>
      </c>
      <c r="F2620" s="9">
        <v>18997700</v>
      </c>
      <c r="G2620" s="9">
        <v>25.7</v>
      </c>
    </row>
    <row r="2621" spans="1:7" x14ac:dyDescent="0.25">
      <c r="A2621" s="101">
        <v>38205</v>
      </c>
      <c r="B2621" s="9">
        <v>26.47</v>
      </c>
      <c r="C2621" s="9">
        <v>26.7</v>
      </c>
      <c r="D2621" s="9">
        <v>25.77</v>
      </c>
      <c r="E2621" s="9">
        <v>26.02</v>
      </c>
      <c r="F2621" s="9">
        <v>30177200</v>
      </c>
      <c r="G2621" s="9">
        <v>26.02</v>
      </c>
    </row>
    <row r="2622" spans="1:7" x14ac:dyDescent="0.25">
      <c r="A2622" s="101">
        <v>38204</v>
      </c>
      <c r="B2622" s="9">
        <v>28.46</v>
      </c>
      <c r="C2622" s="9">
        <v>28.46</v>
      </c>
      <c r="D2622" s="9">
        <v>26.7</v>
      </c>
      <c r="E2622" s="9">
        <v>26.8</v>
      </c>
      <c r="F2622" s="9">
        <v>27642000</v>
      </c>
      <c r="G2622" s="9">
        <v>26.8</v>
      </c>
    </row>
    <row r="2623" spans="1:7" x14ac:dyDescent="0.25">
      <c r="A2623" s="101">
        <v>38203</v>
      </c>
      <c r="B2623" s="9">
        <v>27.98</v>
      </c>
      <c r="C2623" s="9">
        <v>28.23</v>
      </c>
      <c r="D2623" s="9">
        <v>27.58</v>
      </c>
      <c r="E2623" s="9">
        <v>27.91</v>
      </c>
      <c r="F2623" s="9">
        <v>30154500</v>
      </c>
      <c r="G2623" s="9">
        <v>27.91</v>
      </c>
    </row>
    <row r="2624" spans="1:7" x14ac:dyDescent="0.25">
      <c r="A2624" s="101">
        <v>38202</v>
      </c>
      <c r="B2624" s="9">
        <v>30.41</v>
      </c>
      <c r="C2624" s="9">
        <v>30.59</v>
      </c>
      <c r="D2624" s="9">
        <v>28.98</v>
      </c>
      <c r="E2624" s="9">
        <v>29.15</v>
      </c>
      <c r="F2624" s="9">
        <v>17729200</v>
      </c>
      <c r="G2624" s="9">
        <v>29.15</v>
      </c>
    </row>
    <row r="2625" spans="1:7" x14ac:dyDescent="0.25">
      <c r="A2625" s="101">
        <v>38201</v>
      </c>
      <c r="B2625" s="9">
        <v>30.57</v>
      </c>
      <c r="C2625" s="9">
        <v>30.61</v>
      </c>
      <c r="D2625" s="9">
        <v>30.13</v>
      </c>
      <c r="E2625" s="9">
        <v>30.42</v>
      </c>
      <c r="F2625" s="9">
        <v>12250800</v>
      </c>
      <c r="G2625" s="9">
        <v>30.42</v>
      </c>
    </row>
    <row r="2626" spans="1:7" x14ac:dyDescent="0.25">
      <c r="A2626" s="101">
        <v>38198</v>
      </c>
      <c r="B2626" s="9">
        <v>30.25</v>
      </c>
      <c r="C2626" s="9">
        <v>31.12</v>
      </c>
      <c r="D2626" s="9">
        <v>30.19</v>
      </c>
      <c r="E2626" s="9">
        <v>30.8</v>
      </c>
      <c r="F2626" s="9">
        <v>16265700</v>
      </c>
      <c r="G2626" s="9">
        <v>30.8</v>
      </c>
    </row>
    <row r="2627" spans="1:7" x14ac:dyDescent="0.25">
      <c r="A2627" s="101">
        <v>38197</v>
      </c>
      <c r="B2627" s="9">
        <v>30.56</v>
      </c>
      <c r="C2627" s="9">
        <v>30.8</v>
      </c>
      <c r="D2627" s="9">
        <v>30</v>
      </c>
      <c r="E2627" s="9">
        <v>30.49</v>
      </c>
      <c r="F2627" s="9">
        <v>18747300</v>
      </c>
      <c r="G2627" s="9">
        <v>30.49</v>
      </c>
    </row>
    <row r="2628" spans="1:7" x14ac:dyDescent="0.25">
      <c r="A2628" s="101">
        <v>38196</v>
      </c>
      <c r="B2628" s="9">
        <v>29.79</v>
      </c>
      <c r="C2628" s="9">
        <v>30.38</v>
      </c>
      <c r="D2628" s="9">
        <v>28.86</v>
      </c>
      <c r="E2628" s="9">
        <v>29.7</v>
      </c>
      <c r="F2628" s="9">
        <v>24592700</v>
      </c>
      <c r="G2628" s="9">
        <v>29.7</v>
      </c>
    </row>
    <row r="2629" spans="1:7" x14ac:dyDescent="0.25">
      <c r="A2629" s="101">
        <v>38195</v>
      </c>
      <c r="B2629" s="9">
        <v>28.6</v>
      </c>
      <c r="C2629" s="9">
        <v>30.22</v>
      </c>
      <c r="D2629" s="9">
        <v>28.45</v>
      </c>
      <c r="E2629" s="9">
        <v>30</v>
      </c>
      <c r="F2629" s="9">
        <v>25597200</v>
      </c>
      <c r="G2629" s="9">
        <v>30</v>
      </c>
    </row>
    <row r="2630" spans="1:7" x14ac:dyDescent="0.25">
      <c r="A2630" s="101">
        <v>38194</v>
      </c>
      <c r="B2630" s="9">
        <v>28.45</v>
      </c>
      <c r="C2630" s="9">
        <v>28.75</v>
      </c>
      <c r="D2630" s="9">
        <v>27.58</v>
      </c>
      <c r="E2630" s="9">
        <v>28.21</v>
      </c>
      <c r="F2630" s="9">
        <v>21484500</v>
      </c>
      <c r="G2630" s="9">
        <v>28.21</v>
      </c>
    </row>
    <row r="2631" spans="1:7" x14ac:dyDescent="0.25">
      <c r="A2631" s="101">
        <v>38191</v>
      </c>
      <c r="B2631" s="9">
        <v>28.2</v>
      </c>
      <c r="C2631" s="9">
        <v>28.97</v>
      </c>
      <c r="D2631" s="9">
        <v>28.03</v>
      </c>
      <c r="E2631" s="9">
        <v>28.19</v>
      </c>
      <c r="F2631" s="9">
        <v>15762300</v>
      </c>
      <c r="G2631" s="9">
        <v>28.19</v>
      </c>
    </row>
    <row r="2632" spans="1:7" x14ac:dyDescent="0.25">
      <c r="A2632" s="101">
        <v>38190</v>
      </c>
      <c r="B2632" s="9">
        <v>27.82</v>
      </c>
      <c r="C2632" s="9">
        <v>29.32</v>
      </c>
      <c r="D2632" s="9">
        <v>27.51</v>
      </c>
      <c r="E2632" s="9">
        <v>29.26</v>
      </c>
      <c r="F2632" s="9">
        <v>26079400</v>
      </c>
      <c r="G2632" s="9">
        <v>29.26</v>
      </c>
    </row>
    <row r="2633" spans="1:7" x14ac:dyDescent="0.25">
      <c r="A2633" s="101">
        <v>38189</v>
      </c>
      <c r="B2633" s="9">
        <v>30.11</v>
      </c>
      <c r="C2633" s="9">
        <v>30.15</v>
      </c>
      <c r="D2633" s="9">
        <v>28.1</v>
      </c>
      <c r="E2633" s="9">
        <v>28.13</v>
      </c>
      <c r="F2633" s="9">
        <v>19493300</v>
      </c>
      <c r="G2633" s="9">
        <v>28.13</v>
      </c>
    </row>
    <row r="2634" spans="1:7" x14ac:dyDescent="0.25">
      <c r="A2634" s="101">
        <v>38188</v>
      </c>
      <c r="B2634" s="9">
        <v>28.2</v>
      </c>
      <c r="C2634" s="9">
        <v>29.63</v>
      </c>
      <c r="D2634" s="9">
        <v>28.16</v>
      </c>
      <c r="E2634" s="9">
        <v>29.39</v>
      </c>
      <c r="F2634" s="9">
        <v>19513500</v>
      </c>
      <c r="G2634" s="9">
        <v>29.39</v>
      </c>
    </row>
    <row r="2635" spans="1:7" x14ac:dyDescent="0.25">
      <c r="A2635" s="101">
        <v>38187</v>
      </c>
      <c r="B2635" s="9">
        <v>28.9</v>
      </c>
      <c r="C2635" s="9">
        <v>29</v>
      </c>
      <c r="D2635" s="9">
        <v>27.54</v>
      </c>
      <c r="E2635" s="9">
        <v>28.11</v>
      </c>
      <c r="F2635" s="9">
        <v>32020300</v>
      </c>
      <c r="G2635" s="9">
        <v>28.11</v>
      </c>
    </row>
    <row r="2636" spans="1:7" x14ac:dyDescent="0.25">
      <c r="A2636" s="101">
        <v>38184</v>
      </c>
      <c r="B2636" s="9">
        <v>30.72</v>
      </c>
      <c r="C2636" s="9">
        <v>30.75</v>
      </c>
      <c r="D2636" s="9">
        <v>29.15</v>
      </c>
      <c r="E2636" s="9">
        <v>29.19</v>
      </c>
      <c r="F2636" s="9">
        <v>18654300</v>
      </c>
      <c r="G2636" s="9">
        <v>29.19</v>
      </c>
    </row>
    <row r="2637" spans="1:7" x14ac:dyDescent="0.25">
      <c r="A2637" s="101">
        <v>38183</v>
      </c>
      <c r="B2637" s="9">
        <v>31</v>
      </c>
      <c r="C2637" s="9">
        <v>31.01</v>
      </c>
      <c r="D2637" s="9">
        <v>30.09</v>
      </c>
      <c r="E2637" s="9">
        <v>30.25</v>
      </c>
      <c r="F2637" s="9">
        <v>13566000</v>
      </c>
      <c r="G2637" s="9">
        <v>30.25</v>
      </c>
    </row>
    <row r="2638" spans="1:7" x14ac:dyDescent="0.25">
      <c r="A2638" s="101">
        <v>38182</v>
      </c>
      <c r="B2638" s="9">
        <v>29.74</v>
      </c>
      <c r="C2638" s="9">
        <v>31.15</v>
      </c>
      <c r="D2638" s="9">
        <v>29.3</v>
      </c>
      <c r="E2638" s="9">
        <v>30.66</v>
      </c>
      <c r="F2638" s="9">
        <v>18758700</v>
      </c>
      <c r="G2638" s="9">
        <v>30.66</v>
      </c>
    </row>
    <row r="2639" spans="1:7" x14ac:dyDescent="0.25">
      <c r="A2639" s="101">
        <v>38181</v>
      </c>
      <c r="B2639" s="9">
        <v>30.59</v>
      </c>
      <c r="C2639" s="9">
        <v>30.8</v>
      </c>
      <c r="D2639" s="9">
        <v>30.01</v>
      </c>
      <c r="E2639" s="9">
        <v>30.34</v>
      </c>
      <c r="F2639" s="9">
        <v>19083300</v>
      </c>
      <c r="G2639" s="9">
        <v>30.34</v>
      </c>
    </row>
    <row r="2640" spans="1:7" x14ac:dyDescent="0.25">
      <c r="A2640" s="101">
        <v>38180</v>
      </c>
      <c r="B2640" s="9">
        <v>29.66</v>
      </c>
      <c r="C2640" s="9">
        <v>30.36</v>
      </c>
      <c r="D2640" s="9">
        <v>29.53</v>
      </c>
      <c r="E2640" s="9">
        <v>30.26</v>
      </c>
      <c r="F2640" s="9">
        <v>19661900</v>
      </c>
      <c r="G2640" s="9">
        <v>30.26</v>
      </c>
    </row>
    <row r="2641" spans="1:7" x14ac:dyDescent="0.25">
      <c r="A2641" s="101">
        <v>38177</v>
      </c>
      <c r="B2641" s="9">
        <v>30.88</v>
      </c>
      <c r="C2641" s="9">
        <v>30.98</v>
      </c>
      <c r="D2641" s="9">
        <v>29.63</v>
      </c>
      <c r="E2641" s="9">
        <v>30.11</v>
      </c>
      <c r="F2641" s="9">
        <v>26462600</v>
      </c>
      <c r="G2641" s="9">
        <v>30.11</v>
      </c>
    </row>
    <row r="2642" spans="1:7" x14ac:dyDescent="0.25">
      <c r="A2642" s="101">
        <v>38176</v>
      </c>
      <c r="B2642" s="9">
        <v>29.42</v>
      </c>
      <c r="C2642" s="9">
        <v>31.24</v>
      </c>
      <c r="D2642" s="9">
        <v>28.99</v>
      </c>
      <c r="E2642" s="9">
        <v>30.08</v>
      </c>
      <c r="F2642" s="9">
        <v>87532700</v>
      </c>
      <c r="G2642" s="9">
        <v>30.08</v>
      </c>
    </row>
    <row r="2643" spans="1:7" x14ac:dyDescent="0.25">
      <c r="A2643" s="101">
        <v>38175</v>
      </c>
      <c r="B2643" s="9">
        <v>33.07</v>
      </c>
      <c r="C2643" s="9">
        <v>33.14</v>
      </c>
      <c r="D2643" s="9">
        <v>32.299999999999997</v>
      </c>
      <c r="E2643" s="9">
        <v>32.6</v>
      </c>
      <c r="F2643" s="9">
        <v>35597600</v>
      </c>
      <c r="G2643" s="9">
        <v>32.6</v>
      </c>
    </row>
    <row r="2644" spans="1:7" x14ac:dyDescent="0.25">
      <c r="A2644" s="101">
        <v>38174</v>
      </c>
      <c r="B2644" s="9">
        <v>34</v>
      </c>
      <c r="C2644" s="9">
        <v>34</v>
      </c>
      <c r="D2644" s="9">
        <v>32.299999999999997</v>
      </c>
      <c r="E2644" s="9">
        <v>33.22</v>
      </c>
      <c r="F2644" s="9">
        <v>27496900</v>
      </c>
      <c r="G2644" s="9">
        <v>33.22</v>
      </c>
    </row>
    <row r="2645" spans="1:7" x14ac:dyDescent="0.25">
      <c r="A2645" s="101">
        <v>38170</v>
      </c>
      <c r="B2645" s="9">
        <v>34.46</v>
      </c>
      <c r="C2645" s="9">
        <v>34.54</v>
      </c>
      <c r="D2645" s="9">
        <v>33.57</v>
      </c>
      <c r="E2645" s="9">
        <v>33.94</v>
      </c>
      <c r="F2645" s="9">
        <v>16242300</v>
      </c>
      <c r="G2645" s="9">
        <v>33.94</v>
      </c>
    </row>
    <row r="2646" spans="1:7" x14ac:dyDescent="0.25">
      <c r="A2646" s="101">
        <v>38169</v>
      </c>
      <c r="B2646" s="9">
        <v>35.14</v>
      </c>
      <c r="C2646" s="9">
        <v>35.340000000000003</v>
      </c>
      <c r="D2646" s="9">
        <v>34.11</v>
      </c>
      <c r="E2646" s="9">
        <v>34.299999999999997</v>
      </c>
      <c r="F2646" s="9">
        <v>28525400</v>
      </c>
      <c r="G2646" s="9">
        <v>34.299999999999997</v>
      </c>
    </row>
    <row r="2647" spans="1:7" x14ac:dyDescent="0.25">
      <c r="A2647" s="101">
        <v>38168</v>
      </c>
      <c r="B2647" s="9">
        <v>35.99</v>
      </c>
      <c r="C2647" s="9">
        <v>36.51</v>
      </c>
      <c r="D2647" s="9">
        <v>35.700000000000003</v>
      </c>
      <c r="E2647" s="9">
        <v>36.4</v>
      </c>
      <c r="F2647" s="9">
        <v>21374100</v>
      </c>
      <c r="G2647" s="9">
        <v>36.4</v>
      </c>
    </row>
    <row r="2648" spans="1:7" x14ac:dyDescent="0.25">
      <c r="A2648" s="101">
        <v>38167</v>
      </c>
      <c r="B2648" s="9">
        <v>35.380000000000003</v>
      </c>
      <c r="C2648" s="9">
        <v>35.770000000000003</v>
      </c>
      <c r="D2648" s="9">
        <v>35.08</v>
      </c>
      <c r="E2648" s="9">
        <v>35.35</v>
      </c>
      <c r="F2648" s="9">
        <v>15009200</v>
      </c>
      <c r="G2648" s="9">
        <v>35.35</v>
      </c>
    </row>
    <row r="2649" spans="1:7" x14ac:dyDescent="0.25">
      <c r="A2649" s="101">
        <v>38166</v>
      </c>
      <c r="B2649" s="9">
        <v>35.08</v>
      </c>
      <c r="C2649" s="9">
        <v>36.270000000000003</v>
      </c>
      <c r="D2649" s="9">
        <v>34.979999999999997</v>
      </c>
      <c r="E2649" s="9">
        <v>35.479999999999997</v>
      </c>
      <c r="F2649" s="9">
        <v>24739200</v>
      </c>
      <c r="G2649" s="9">
        <v>35.479999999999997</v>
      </c>
    </row>
    <row r="2650" spans="1:7" x14ac:dyDescent="0.25">
      <c r="A2650" s="101">
        <v>38163</v>
      </c>
      <c r="B2650" s="9">
        <v>34.369999999999997</v>
      </c>
      <c r="C2650" s="9">
        <v>35.36</v>
      </c>
      <c r="D2650" s="9">
        <v>33.5</v>
      </c>
      <c r="E2650" s="9">
        <v>34.909999999999997</v>
      </c>
      <c r="F2650" s="9">
        <v>20260800</v>
      </c>
      <c r="G2650" s="9">
        <v>34.909999999999997</v>
      </c>
    </row>
    <row r="2651" spans="1:7" x14ac:dyDescent="0.25">
      <c r="A2651" s="101">
        <v>38162</v>
      </c>
      <c r="B2651" s="9">
        <v>33.64</v>
      </c>
      <c r="C2651" s="9">
        <v>34.380000000000003</v>
      </c>
      <c r="D2651" s="9">
        <v>33.64</v>
      </c>
      <c r="E2651" s="9">
        <v>34.11</v>
      </c>
      <c r="F2651" s="9">
        <v>15620000</v>
      </c>
      <c r="G2651" s="9">
        <v>34.11</v>
      </c>
    </row>
    <row r="2652" spans="1:7" x14ac:dyDescent="0.25">
      <c r="A2652" s="101">
        <v>38161</v>
      </c>
      <c r="B2652" s="9">
        <v>32.54</v>
      </c>
      <c r="C2652" s="9">
        <v>34.19</v>
      </c>
      <c r="D2652" s="9">
        <v>32.520000000000003</v>
      </c>
      <c r="E2652" s="9">
        <v>33.97</v>
      </c>
      <c r="F2652" s="9">
        <v>27370700</v>
      </c>
      <c r="G2652" s="9">
        <v>33.97</v>
      </c>
    </row>
    <row r="2653" spans="1:7" x14ac:dyDescent="0.25">
      <c r="A2653" s="101">
        <v>38160</v>
      </c>
      <c r="B2653" s="9">
        <v>31.96</v>
      </c>
      <c r="C2653" s="9">
        <v>32.549999999999997</v>
      </c>
      <c r="D2653" s="9">
        <v>31.77</v>
      </c>
      <c r="E2653" s="9">
        <v>32.54</v>
      </c>
      <c r="F2653" s="9">
        <v>15136600</v>
      </c>
      <c r="G2653" s="9">
        <v>32.54</v>
      </c>
    </row>
    <row r="2654" spans="1:7" x14ac:dyDescent="0.25">
      <c r="A2654" s="101">
        <v>38159</v>
      </c>
      <c r="B2654" s="9">
        <v>32.200000000000003</v>
      </c>
      <c r="C2654" s="9">
        <v>32.380000000000003</v>
      </c>
      <c r="D2654" s="9">
        <v>31.56</v>
      </c>
      <c r="E2654" s="9">
        <v>31.67</v>
      </c>
      <c r="F2654" s="9">
        <v>12367400</v>
      </c>
      <c r="G2654" s="9">
        <v>31.67</v>
      </c>
    </row>
    <row r="2655" spans="1:7" x14ac:dyDescent="0.25">
      <c r="A2655" s="101">
        <v>38156</v>
      </c>
      <c r="B2655" s="9">
        <v>32.11</v>
      </c>
      <c r="C2655" s="9">
        <v>32.869999999999997</v>
      </c>
      <c r="D2655" s="9">
        <v>31.95</v>
      </c>
      <c r="E2655" s="9">
        <v>32.07</v>
      </c>
      <c r="F2655" s="9">
        <v>15809400</v>
      </c>
      <c r="G2655" s="9">
        <v>32.07</v>
      </c>
    </row>
    <row r="2656" spans="1:7" x14ac:dyDescent="0.25">
      <c r="A2656" s="101">
        <v>38155</v>
      </c>
      <c r="B2656" s="9">
        <v>32.39</v>
      </c>
      <c r="C2656" s="9">
        <v>32.53</v>
      </c>
      <c r="D2656" s="9">
        <v>31.96</v>
      </c>
      <c r="E2656" s="9">
        <v>32.380000000000003</v>
      </c>
      <c r="F2656" s="9">
        <v>11658700</v>
      </c>
      <c r="G2656" s="9">
        <v>32.380000000000003</v>
      </c>
    </row>
    <row r="2657" spans="1:7" x14ac:dyDescent="0.25">
      <c r="A2657" s="101">
        <v>38154</v>
      </c>
      <c r="B2657" s="9">
        <v>32.409999999999997</v>
      </c>
      <c r="C2657" s="9">
        <v>32.770000000000003</v>
      </c>
      <c r="D2657" s="9">
        <v>32.07</v>
      </c>
      <c r="E2657" s="9">
        <v>32.47</v>
      </c>
      <c r="F2657" s="9">
        <v>11281800</v>
      </c>
      <c r="G2657" s="9">
        <v>32.47</v>
      </c>
    </row>
    <row r="2658" spans="1:7" x14ac:dyDescent="0.25">
      <c r="A2658" s="101">
        <v>38153</v>
      </c>
      <c r="B2658" s="9">
        <v>31.99</v>
      </c>
      <c r="C2658" s="9">
        <v>32.58</v>
      </c>
      <c r="D2658" s="9">
        <v>31.97</v>
      </c>
      <c r="E2658" s="9">
        <v>32.1</v>
      </c>
      <c r="F2658" s="9">
        <v>14796000</v>
      </c>
      <c r="G2658" s="9">
        <v>32.1</v>
      </c>
    </row>
    <row r="2659" spans="1:7" x14ac:dyDescent="0.25">
      <c r="A2659" s="101">
        <v>38152</v>
      </c>
      <c r="B2659" s="9">
        <v>32.18</v>
      </c>
      <c r="C2659" s="9">
        <v>32.24</v>
      </c>
      <c r="D2659" s="9">
        <v>31.44</v>
      </c>
      <c r="E2659" s="9">
        <v>31.65</v>
      </c>
      <c r="F2659" s="9">
        <v>11766900</v>
      </c>
      <c r="G2659" s="9">
        <v>31.65</v>
      </c>
    </row>
    <row r="2660" spans="1:7" x14ac:dyDescent="0.25">
      <c r="A2660" s="101">
        <v>38148</v>
      </c>
      <c r="B2660" s="9">
        <v>32.729999999999997</v>
      </c>
      <c r="C2660" s="9">
        <v>32.74</v>
      </c>
      <c r="D2660" s="9">
        <v>31.86</v>
      </c>
      <c r="E2660" s="9">
        <v>32.4</v>
      </c>
      <c r="F2660" s="9">
        <v>17537700</v>
      </c>
      <c r="G2660" s="9">
        <v>32.4</v>
      </c>
    </row>
    <row r="2661" spans="1:7" x14ac:dyDescent="0.25">
      <c r="A2661" s="101">
        <v>38147</v>
      </c>
      <c r="B2661" s="9">
        <v>32.950000000000003</v>
      </c>
      <c r="C2661" s="9">
        <v>33.01</v>
      </c>
      <c r="D2661" s="9">
        <v>32.08</v>
      </c>
      <c r="E2661" s="9">
        <v>32.32</v>
      </c>
      <c r="F2661" s="9">
        <v>16989900</v>
      </c>
      <c r="G2661" s="9">
        <v>32.32</v>
      </c>
    </row>
    <row r="2662" spans="1:7" x14ac:dyDescent="0.25">
      <c r="A2662" s="101">
        <v>38146</v>
      </c>
      <c r="B2662" s="9">
        <v>32.32</v>
      </c>
      <c r="C2662" s="9">
        <v>33</v>
      </c>
      <c r="D2662" s="9">
        <v>32.28</v>
      </c>
      <c r="E2662" s="9">
        <v>32.99</v>
      </c>
      <c r="F2662" s="9">
        <v>18337200</v>
      </c>
      <c r="G2662" s="9">
        <v>32.99</v>
      </c>
    </row>
    <row r="2663" spans="1:7" x14ac:dyDescent="0.25">
      <c r="A2663" s="101">
        <v>38145</v>
      </c>
      <c r="B2663" s="9">
        <v>32.36</v>
      </c>
      <c r="C2663" s="9">
        <v>32.520000000000003</v>
      </c>
      <c r="D2663" s="9">
        <v>32.03</v>
      </c>
      <c r="E2663" s="9">
        <v>32.51</v>
      </c>
      <c r="F2663" s="9">
        <v>17988200</v>
      </c>
      <c r="G2663" s="9">
        <v>32.51</v>
      </c>
    </row>
    <row r="2664" spans="1:7" x14ac:dyDescent="0.25">
      <c r="A2664" s="101">
        <v>38142</v>
      </c>
      <c r="B2664" s="9">
        <v>31.88</v>
      </c>
      <c r="C2664" s="9">
        <v>32.200000000000003</v>
      </c>
      <c r="D2664" s="9">
        <v>31.45</v>
      </c>
      <c r="E2664" s="9">
        <v>31.87</v>
      </c>
      <c r="F2664" s="9">
        <v>16267800</v>
      </c>
      <c r="G2664" s="9">
        <v>31.87</v>
      </c>
    </row>
    <row r="2665" spans="1:7" x14ac:dyDescent="0.25">
      <c r="A2665" s="101">
        <v>38141</v>
      </c>
      <c r="B2665" s="9">
        <v>31.66</v>
      </c>
      <c r="C2665" s="9">
        <v>31.81</v>
      </c>
      <c r="D2665" s="9">
        <v>31.06</v>
      </c>
      <c r="E2665" s="9">
        <v>31.19</v>
      </c>
      <c r="F2665" s="9">
        <v>18500900</v>
      </c>
      <c r="G2665" s="9">
        <v>31.19</v>
      </c>
    </row>
    <row r="2666" spans="1:7" x14ac:dyDescent="0.25">
      <c r="A2666" s="101">
        <v>38140</v>
      </c>
      <c r="B2666" s="9">
        <v>32.450000000000003</v>
      </c>
      <c r="C2666" s="9">
        <v>32.840000000000003</v>
      </c>
      <c r="D2666" s="9">
        <v>31.49</v>
      </c>
      <c r="E2666" s="9">
        <v>31.55</v>
      </c>
      <c r="F2666" s="9">
        <v>30055600</v>
      </c>
      <c r="G2666" s="9">
        <v>31.55</v>
      </c>
    </row>
    <row r="2667" spans="1:7" x14ac:dyDescent="0.25">
      <c r="A2667" s="101">
        <v>38139</v>
      </c>
      <c r="B2667" s="9">
        <v>30.49</v>
      </c>
      <c r="C2667" s="9">
        <v>32.82</v>
      </c>
      <c r="D2667" s="9">
        <v>30.43</v>
      </c>
      <c r="E2667" s="9">
        <v>32.479999999999997</v>
      </c>
      <c r="F2667" s="9">
        <v>28801700</v>
      </c>
      <c r="G2667" s="9">
        <v>32.479999999999997</v>
      </c>
    </row>
    <row r="2668" spans="1:7" x14ac:dyDescent="0.25">
      <c r="A2668" s="101">
        <v>38135</v>
      </c>
      <c r="B2668" s="9">
        <v>30.41</v>
      </c>
      <c r="C2668" s="9">
        <v>31.16</v>
      </c>
      <c r="D2668" s="9">
        <v>30.3</v>
      </c>
      <c r="E2668" s="9">
        <v>30.66</v>
      </c>
      <c r="F2668" s="9">
        <v>16671800</v>
      </c>
      <c r="G2668" s="9">
        <v>30.66</v>
      </c>
    </row>
    <row r="2669" spans="1:7" x14ac:dyDescent="0.25">
      <c r="A2669" s="101">
        <v>38134</v>
      </c>
      <c r="B2669" s="9">
        <v>30.41</v>
      </c>
      <c r="C2669" s="9">
        <v>30.8</v>
      </c>
      <c r="D2669" s="9">
        <v>30</v>
      </c>
      <c r="E2669" s="9">
        <v>30.56</v>
      </c>
      <c r="F2669" s="9">
        <v>18645100</v>
      </c>
      <c r="G2669" s="9">
        <v>30.56</v>
      </c>
    </row>
    <row r="2670" spans="1:7" x14ac:dyDescent="0.25">
      <c r="A2670" s="101">
        <v>38133</v>
      </c>
      <c r="B2670" s="9">
        <v>29.78</v>
      </c>
      <c r="C2670" s="9">
        <v>30.4</v>
      </c>
      <c r="D2670" s="9">
        <v>29.77</v>
      </c>
      <c r="E2670" s="9">
        <v>30.11</v>
      </c>
      <c r="F2670" s="9">
        <v>20933100</v>
      </c>
      <c r="G2670" s="9">
        <v>30.11</v>
      </c>
    </row>
    <row r="2671" spans="1:7" x14ac:dyDescent="0.25">
      <c r="A2671" s="101">
        <v>38132</v>
      </c>
      <c r="B2671" s="9">
        <v>28.94</v>
      </c>
      <c r="C2671" s="9">
        <v>30.5</v>
      </c>
      <c r="D2671" s="9">
        <v>28.88</v>
      </c>
      <c r="E2671" s="9">
        <v>30.28</v>
      </c>
      <c r="F2671" s="9">
        <v>25008100</v>
      </c>
      <c r="G2671" s="9">
        <v>30.28</v>
      </c>
    </row>
    <row r="2672" spans="1:7" x14ac:dyDescent="0.25">
      <c r="A2672" s="101">
        <v>38131</v>
      </c>
      <c r="B2672" s="9">
        <v>28.84</v>
      </c>
      <c r="C2672" s="9">
        <v>29.76</v>
      </c>
      <c r="D2672" s="9">
        <v>28.84</v>
      </c>
      <c r="E2672" s="9">
        <v>29.43</v>
      </c>
      <c r="F2672" s="9">
        <v>23701900</v>
      </c>
      <c r="G2672" s="9">
        <v>29.43</v>
      </c>
    </row>
    <row r="2673" spans="1:7" x14ac:dyDescent="0.25">
      <c r="A2673" s="101">
        <v>38128</v>
      </c>
      <c r="B2673" s="9">
        <v>28.3</v>
      </c>
      <c r="C2673" s="9">
        <v>28.85</v>
      </c>
      <c r="D2673" s="9">
        <v>28.15</v>
      </c>
      <c r="E2673" s="9">
        <v>28.55</v>
      </c>
      <c r="F2673" s="9">
        <v>15443000</v>
      </c>
      <c r="G2673" s="9">
        <v>28.55</v>
      </c>
    </row>
    <row r="2674" spans="1:7" x14ac:dyDescent="0.25">
      <c r="A2674" s="101">
        <v>38127</v>
      </c>
      <c r="B2674" s="9">
        <v>28.12</v>
      </c>
      <c r="C2674" s="9">
        <v>28.3</v>
      </c>
      <c r="D2674" s="9">
        <v>27.51</v>
      </c>
      <c r="E2674" s="9">
        <v>28.03</v>
      </c>
      <c r="F2674" s="9">
        <v>16537200</v>
      </c>
      <c r="G2674" s="9">
        <v>28.03</v>
      </c>
    </row>
    <row r="2675" spans="1:7" x14ac:dyDescent="0.25">
      <c r="A2675" s="101">
        <v>38126</v>
      </c>
      <c r="B2675" s="9">
        <v>28.61</v>
      </c>
      <c r="C2675" s="9">
        <v>28.9</v>
      </c>
      <c r="D2675" s="9">
        <v>27.82</v>
      </c>
      <c r="E2675" s="9">
        <v>27.95</v>
      </c>
      <c r="F2675" s="9">
        <v>25635100</v>
      </c>
      <c r="G2675" s="9">
        <v>27.95</v>
      </c>
    </row>
    <row r="2676" spans="1:7" x14ac:dyDescent="0.25">
      <c r="A2676" s="101">
        <v>38125</v>
      </c>
      <c r="B2676" s="9">
        <v>27.49</v>
      </c>
      <c r="C2676" s="9">
        <v>27.98</v>
      </c>
      <c r="D2676" s="9">
        <v>27.31</v>
      </c>
      <c r="E2676" s="9">
        <v>27.77</v>
      </c>
      <c r="F2676" s="9">
        <v>19084700</v>
      </c>
      <c r="G2676" s="9">
        <v>27.77</v>
      </c>
    </row>
    <row r="2677" spans="1:7" x14ac:dyDescent="0.25">
      <c r="A2677" s="101">
        <v>38124</v>
      </c>
      <c r="B2677" s="9">
        <v>26.35</v>
      </c>
      <c r="C2677" s="9">
        <v>27.66</v>
      </c>
      <c r="D2677" s="9">
        <v>26.21</v>
      </c>
      <c r="E2677" s="9">
        <v>27.02</v>
      </c>
      <c r="F2677" s="9">
        <v>13986900</v>
      </c>
      <c r="G2677" s="9">
        <v>27.02</v>
      </c>
    </row>
    <row r="2678" spans="1:7" x14ac:dyDescent="0.25">
      <c r="A2678" s="101">
        <v>38121</v>
      </c>
      <c r="B2678" s="9">
        <v>27.54</v>
      </c>
      <c r="C2678" s="9">
        <v>27.67</v>
      </c>
      <c r="D2678" s="9">
        <v>26.75</v>
      </c>
      <c r="E2678" s="9">
        <v>26.97</v>
      </c>
      <c r="F2678" s="9">
        <v>19204900</v>
      </c>
      <c r="G2678" s="9">
        <v>26.97</v>
      </c>
    </row>
    <row r="2679" spans="1:7" x14ac:dyDescent="0.25">
      <c r="A2679" s="101">
        <v>38120</v>
      </c>
      <c r="B2679" s="9">
        <v>27.18</v>
      </c>
      <c r="C2679" s="9">
        <v>28.1</v>
      </c>
      <c r="D2679" s="9">
        <v>26.78</v>
      </c>
      <c r="E2679" s="9">
        <v>27.1</v>
      </c>
      <c r="F2679" s="9">
        <v>19947800</v>
      </c>
      <c r="G2679" s="9">
        <v>27.1</v>
      </c>
    </row>
    <row r="2680" spans="1:7" x14ac:dyDescent="0.25">
      <c r="A2680" s="101">
        <v>38119</v>
      </c>
      <c r="B2680" s="9">
        <v>26.81</v>
      </c>
      <c r="C2680" s="9">
        <v>27.18</v>
      </c>
      <c r="D2680" s="9">
        <v>25.76</v>
      </c>
      <c r="E2680" s="9">
        <v>27.08</v>
      </c>
      <c r="F2680" s="9">
        <v>26108100</v>
      </c>
      <c r="G2680" s="9">
        <v>27.08</v>
      </c>
    </row>
    <row r="2681" spans="1:7" x14ac:dyDescent="0.25">
      <c r="A2681" s="101">
        <v>38118</v>
      </c>
      <c r="B2681" s="9">
        <v>52.35</v>
      </c>
      <c r="C2681" s="9">
        <v>54</v>
      </c>
      <c r="D2681" s="9">
        <v>52.18</v>
      </c>
      <c r="E2681" s="9">
        <v>53.53</v>
      </c>
      <c r="F2681" s="9">
        <v>34553400</v>
      </c>
      <c r="G2681" s="9">
        <v>26.76</v>
      </c>
    </row>
    <row r="2682" spans="1:7" x14ac:dyDescent="0.25">
      <c r="A2682" s="101">
        <v>38117</v>
      </c>
      <c r="B2682" s="9">
        <v>52.39</v>
      </c>
      <c r="C2682" s="9">
        <v>52.4</v>
      </c>
      <c r="D2682" s="9">
        <v>50.67</v>
      </c>
      <c r="E2682" s="9">
        <v>51.33</v>
      </c>
      <c r="F2682" s="9">
        <v>31360600</v>
      </c>
      <c r="G2682" s="9">
        <v>25.67</v>
      </c>
    </row>
    <row r="2683" spans="1:7" x14ac:dyDescent="0.25">
      <c r="A2683" s="101">
        <v>38114</v>
      </c>
      <c r="B2683" s="9">
        <v>52.42</v>
      </c>
      <c r="C2683" s="9">
        <v>53.74</v>
      </c>
      <c r="D2683" s="9">
        <v>52.28</v>
      </c>
      <c r="E2683" s="9">
        <v>52.8</v>
      </c>
      <c r="F2683" s="9">
        <v>22879000</v>
      </c>
      <c r="G2683" s="9">
        <v>26.4</v>
      </c>
    </row>
    <row r="2684" spans="1:7" x14ac:dyDescent="0.25">
      <c r="A2684" s="101">
        <v>38113</v>
      </c>
      <c r="B2684" s="9">
        <v>53.2</v>
      </c>
      <c r="C2684" s="9">
        <v>53.2</v>
      </c>
      <c r="D2684" s="9">
        <v>51.63</v>
      </c>
      <c r="E2684" s="9">
        <v>52.36</v>
      </c>
      <c r="F2684" s="9">
        <v>20360600</v>
      </c>
      <c r="G2684" s="9">
        <v>26.18</v>
      </c>
    </row>
    <row r="2685" spans="1:7" x14ac:dyDescent="0.25">
      <c r="A2685" s="101">
        <v>38112</v>
      </c>
      <c r="B2685" s="9">
        <v>52.97</v>
      </c>
      <c r="C2685" s="9">
        <v>53.92</v>
      </c>
      <c r="D2685" s="9">
        <v>52.91</v>
      </c>
      <c r="E2685" s="9">
        <v>53.16</v>
      </c>
      <c r="F2685" s="9">
        <v>15579000</v>
      </c>
      <c r="G2685" s="9">
        <v>26.58</v>
      </c>
    </row>
    <row r="2686" spans="1:7" x14ac:dyDescent="0.25">
      <c r="A2686" s="101">
        <v>38111</v>
      </c>
      <c r="B2686" s="9">
        <v>52.34</v>
      </c>
      <c r="C2686" s="9">
        <v>53.86</v>
      </c>
      <c r="D2686" s="9">
        <v>52.25</v>
      </c>
      <c r="E2686" s="9">
        <v>52.85</v>
      </c>
      <c r="F2686" s="9">
        <v>24891800</v>
      </c>
      <c r="G2686" s="9">
        <v>26.42</v>
      </c>
    </row>
    <row r="2687" spans="1:7" x14ac:dyDescent="0.25">
      <c r="A2687" s="101">
        <v>38110</v>
      </c>
      <c r="B2687" s="9">
        <v>50.53</v>
      </c>
      <c r="C2687" s="9">
        <v>52.4</v>
      </c>
      <c r="D2687" s="9">
        <v>50.51</v>
      </c>
      <c r="E2687" s="9">
        <v>52.3</v>
      </c>
      <c r="F2687" s="9">
        <v>29483200</v>
      </c>
      <c r="G2687" s="9">
        <v>26.15</v>
      </c>
    </row>
    <row r="2688" spans="1:7" x14ac:dyDescent="0.25">
      <c r="A2688" s="101">
        <v>38107</v>
      </c>
      <c r="B2688" s="9">
        <v>54.41</v>
      </c>
      <c r="C2688" s="9">
        <v>54.59</v>
      </c>
      <c r="D2688" s="9">
        <v>50.02</v>
      </c>
      <c r="E2688" s="9">
        <v>50.53</v>
      </c>
      <c r="F2688" s="9">
        <v>53096600</v>
      </c>
      <c r="G2688" s="9">
        <v>25.26</v>
      </c>
    </row>
    <row r="2689" spans="1:7" x14ac:dyDescent="0.25">
      <c r="A2689" s="101">
        <v>38106</v>
      </c>
      <c r="B2689" s="9">
        <v>55.78</v>
      </c>
      <c r="C2689" s="9">
        <v>56.4</v>
      </c>
      <c r="D2689" s="9">
        <v>53.55</v>
      </c>
      <c r="E2689" s="9">
        <v>54.71</v>
      </c>
      <c r="F2689" s="9">
        <v>29266400</v>
      </c>
      <c r="G2689" s="9">
        <v>27.35</v>
      </c>
    </row>
    <row r="2690" spans="1:7" x14ac:dyDescent="0.25">
      <c r="A2690" s="101">
        <v>38105</v>
      </c>
      <c r="B2690" s="9">
        <v>57.77</v>
      </c>
      <c r="C2690" s="9">
        <v>58.32</v>
      </c>
      <c r="D2690" s="9">
        <v>55.75</v>
      </c>
      <c r="E2690" s="9">
        <v>55.83</v>
      </c>
      <c r="F2690" s="9">
        <v>20569400</v>
      </c>
      <c r="G2690" s="9">
        <v>27.92</v>
      </c>
    </row>
    <row r="2691" spans="1:7" x14ac:dyDescent="0.25">
      <c r="A2691" s="101">
        <v>38104</v>
      </c>
      <c r="B2691" s="9">
        <v>56.98</v>
      </c>
      <c r="C2691" s="9">
        <v>58.25</v>
      </c>
      <c r="D2691" s="9">
        <v>56.57</v>
      </c>
      <c r="E2691" s="9">
        <v>57.54</v>
      </c>
      <c r="F2691" s="9">
        <v>20146600</v>
      </c>
      <c r="G2691" s="9">
        <v>28.77</v>
      </c>
    </row>
    <row r="2692" spans="1:7" x14ac:dyDescent="0.25">
      <c r="A2692" s="101">
        <v>38103</v>
      </c>
      <c r="B2692" s="9">
        <v>56.45</v>
      </c>
      <c r="C2692" s="9">
        <v>58.35</v>
      </c>
      <c r="D2692" s="9">
        <v>55.95</v>
      </c>
      <c r="E2692" s="9">
        <v>57</v>
      </c>
      <c r="F2692" s="9">
        <v>21909400</v>
      </c>
      <c r="G2692" s="9">
        <v>28.5</v>
      </c>
    </row>
    <row r="2693" spans="1:7" x14ac:dyDescent="0.25">
      <c r="A2693" s="101">
        <v>38100</v>
      </c>
      <c r="B2693" s="9">
        <v>57.35</v>
      </c>
      <c r="C2693" s="9">
        <v>57.5</v>
      </c>
      <c r="D2693" s="9">
        <v>55.91</v>
      </c>
      <c r="E2693" s="9">
        <v>56.75</v>
      </c>
      <c r="F2693" s="9">
        <v>19840200</v>
      </c>
      <c r="G2693" s="9">
        <v>28.38</v>
      </c>
    </row>
    <row r="2694" spans="1:7" x14ac:dyDescent="0.25">
      <c r="A2694" s="101">
        <v>38099</v>
      </c>
      <c r="B2694" s="9">
        <v>54.78</v>
      </c>
      <c r="C2694" s="9">
        <v>57.97</v>
      </c>
      <c r="D2694" s="9">
        <v>54.51</v>
      </c>
      <c r="E2694" s="9">
        <v>57.59</v>
      </c>
      <c r="F2694" s="9">
        <v>32878000</v>
      </c>
      <c r="G2694" s="9">
        <v>28.8</v>
      </c>
    </row>
    <row r="2695" spans="1:7" x14ac:dyDescent="0.25">
      <c r="A2695" s="101">
        <v>38098</v>
      </c>
      <c r="B2695" s="9">
        <v>53.9</v>
      </c>
      <c r="C2695" s="9">
        <v>54.76</v>
      </c>
      <c r="D2695" s="9">
        <v>53.09</v>
      </c>
      <c r="E2695" s="9">
        <v>54.58</v>
      </c>
      <c r="F2695" s="9">
        <v>20465200</v>
      </c>
      <c r="G2695" s="9">
        <v>27.29</v>
      </c>
    </row>
    <row r="2696" spans="1:7" x14ac:dyDescent="0.25">
      <c r="A2696" s="101">
        <v>38097</v>
      </c>
      <c r="B2696" s="9">
        <v>55.87</v>
      </c>
      <c r="C2696" s="9">
        <v>55.95</v>
      </c>
      <c r="D2696" s="9">
        <v>53.5</v>
      </c>
      <c r="E2696" s="9">
        <v>53.55</v>
      </c>
      <c r="F2696" s="9">
        <v>20080800</v>
      </c>
      <c r="G2696" s="9">
        <v>26.77</v>
      </c>
    </row>
    <row r="2697" spans="1:7" x14ac:dyDescent="0.25">
      <c r="A2697" s="101">
        <v>38096</v>
      </c>
      <c r="B2697" s="9">
        <v>53.87</v>
      </c>
      <c r="C2697" s="9">
        <v>55.84</v>
      </c>
      <c r="D2697" s="9">
        <v>53.75</v>
      </c>
      <c r="E2697" s="9">
        <v>55.69</v>
      </c>
      <c r="F2697" s="9">
        <v>19227800</v>
      </c>
      <c r="G2697" s="9">
        <v>27.84</v>
      </c>
    </row>
    <row r="2698" spans="1:7" x14ac:dyDescent="0.25">
      <c r="A2698" s="101">
        <v>38093</v>
      </c>
      <c r="B2698" s="9">
        <v>53.93</v>
      </c>
      <c r="C2698" s="9">
        <v>54.78</v>
      </c>
      <c r="D2698" s="9">
        <v>53.35</v>
      </c>
      <c r="E2698" s="9">
        <v>54.14</v>
      </c>
      <c r="F2698" s="9">
        <v>19200600</v>
      </c>
      <c r="G2698" s="9">
        <v>27.07</v>
      </c>
    </row>
    <row r="2699" spans="1:7" x14ac:dyDescent="0.25">
      <c r="A2699" s="101">
        <v>38092</v>
      </c>
      <c r="B2699" s="9">
        <v>54.81</v>
      </c>
      <c r="C2699" s="9">
        <v>54.87</v>
      </c>
      <c r="D2699" s="9">
        <v>53.75</v>
      </c>
      <c r="E2699" s="9">
        <v>53.9</v>
      </c>
      <c r="F2699" s="9">
        <v>17628400</v>
      </c>
      <c r="G2699" s="9">
        <v>26.95</v>
      </c>
    </row>
    <row r="2700" spans="1:7" x14ac:dyDescent="0.25">
      <c r="A2700" s="101">
        <v>38091</v>
      </c>
      <c r="B2700" s="9">
        <v>53.67</v>
      </c>
      <c r="C2700" s="9">
        <v>54.95</v>
      </c>
      <c r="D2700" s="9">
        <v>53.43</v>
      </c>
      <c r="E2700" s="9">
        <v>54.69</v>
      </c>
      <c r="F2700" s="9">
        <v>20407400</v>
      </c>
      <c r="G2700" s="9">
        <v>27.34</v>
      </c>
    </row>
    <row r="2701" spans="1:7" x14ac:dyDescent="0.25">
      <c r="A2701" s="101">
        <v>38090</v>
      </c>
      <c r="B2701" s="9">
        <v>54.99</v>
      </c>
      <c r="C2701" s="9">
        <v>55.08</v>
      </c>
      <c r="D2701" s="9">
        <v>53.85</v>
      </c>
      <c r="E2701" s="9">
        <v>54.14</v>
      </c>
      <c r="F2701" s="9">
        <v>26006600</v>
      </c>
      <c r="G2701" s="9">
        <v>27.07</v>
      </c>
    </row>
    <row r="2702" spans="1:7" x14ac:dyDescent="0.25">
      <c r="A2702" s="101">
        <v>38089</v>
      </c>
      <c r="B2702" s="9">
        <v>55.78</v>
      </c>
      <c r="C2702" s="9">
        <v>55.97</v>
      </c>
      <c r="D2702" s="9">
        <v>54.87</v>
      </c>
      <c r="E2702" s="9">
        <v>55.14</v>
      </c>
      <c r="F2702" s="9">
        <v>34690800</v>
      </c>
      <c r="G2702" s="9">
        <v>27.57</v>
      </c>
    </row>
    <row r="2703" spans="1:7" x14ac:dyDescent="0.25">
      <c r="A2703" s="101">
        <v>38085</v>
      </c>
      <c r="B2703" s="9">
        <v>55.72</v>
      </c>
      <c r="C2703" s="9">
        <v>56.24</v>
      </c>
      <c r="D2703" s="9">
        <v>54.5</v>
      </c>
      <c r="E2703" s="9">
        <v>56.21</v>
      </c>
      <c r="F2703" s="9">
        <v>90565800</v>
      </c>
      <c r="G2703" s="9">
        <v>28.1</v>
      </c>
    </row>
    <row r="2704" spans="1:7" x14ac:dyDescent="0.25">
      <c r="A2704" s="101">
        <v>38084</v>
      </c>
      <c r="B2704" s="9">
        <v>48.45</v>
      </c>
      <c r="C2704" s="9">
        <v>49.25</v>
      </c>
      <c r="D2704" s="9">
        <v>47.89</v>
      </c>
      <c r="E2704" s="9">
        <v>48.35</v>
      </c>
      <c r="F2704" s="9">
        <v>33223600</v>
      </c>
      <c r="G2704" s="9">
        <v>24.17</v>
      </c>
    </row>
    <row r="2705" spans="1:7" x14ac:dyDescent="0.25">
      <c r="A2705" s="101">
        <v>38083</v>
      </c>
      <c r="B2705" s="9">
        <v>49.11</v>
      </c>
      <c r="C2705" s="9">
        <v>49.3</v>
      </c>
      <c r="D2705" s="9">
        <v>48.22</v>
      </c>
      <c r="E2705" s="9">
        <v>48.77</v>
      </c>
      <c r="F2705" s="9">
        <v>23672800</v>
      </c>
      <c r="G2705" s="9">
        <v>24.39</v>
      </c>
    </row>
    <row r="2706" spans="1:7" x14ac:dyDescent="0.25">
      <c r="A2706" s="101">
        <v>38082</v>
      </c>
      <c r="B2706" s="9">
        <v>50.06</v>
      </c>
      <c r="C2706" s="9">
        <v>50.99</v>
      </c>
      <c r="D2706" s="9">
        <v>49.3</v>
      </c>
      <c r="E2706" s="9">
        <v>49.99</v>
      </c>
      <c r="F2706" s="9">
        <v>22794400</v>
      </c>
      <c r="G2706" s="9">
        <v>25</v>
      </c>
    </row>
    <row r="2707" spans="1:7" x14ac:dyDescent="0.25">
      <c r="A2707" s="101">
        <v>38079</v>
      </c>
      <c r="B2707" s="9">
        <v>50.52</v>
      </c>
      <c r="C2707" s="9">
        <v>50.63</v>
      </c>
      <c r="D2707" s="9">
        <v>49.26</v>
      </c>
      <c r="E2707" s="9">
        <v>50.15</v>
      </c>
      <c r="F2707" s="9">
        <v>22649600</v>
      </c>
      <c r="G2707" s="9">
        <v>25.08</v>
      </c>
    </row>
    <row r="2708" spans="1:7" x14ac:dyDescent="0.25">
      <c r="A2708" s="101">
        <v>38078</v>
      </c>
      <c r="B2708" s="9">
        <v>48.82</v>
      </c>
      <c r="C2708" s="9">
        <v>49.71</v>
      </c>
      <c r="D2708" s="9">
        <v>48.42</v>
      </c>
      <c r="E2708" s="9">
        <v>49.45</v>
      </c>
      <c r="F2708" s="9">
        <v>22423000</v>
      </c>
      <c r="G2708" s="9">
        <v>24.73</v>
      </c>
    </row>
    <row r="2709" spans="1:7" x14ac:dyDescent="0.25">
      <c r="A2709" s="101">
        <v>38077</v>
      </c>
      <c r="B2709" s="9">
        <v>48.74</v>
      </c>
      <c r="C2709" s="9">
        <v>49.3</v>
      </c>
      <c r="D2709" s="9">
        <v>48.33</v>
      </c>
      <c r="E2709" s="9">
        <v>48.47</v>
      </c>
      <c r="F2709" s="9">
        <v>21079800</v>
      </c>
      <c r="G2709" s="9">
        <v>24.24</v>
      </c>
    </row>
    <row r="2710" spans="1:7" x14ac:dyDescent="0.25">
      <c r="A2710" s="101">
        <v>38076</v>
      </c>
      <c r="B2710" s="9">
        <v>47.6</v>
      </c>
      <c r="C2710" s="9">
        <v>48.86</v>
      </c>
      <c r="D2710" s="9">
        <v>47.55</v>
      </c>
      <c r="E2710" s="9">
        <v>48.79</v>
      </c>
      <c r="F2710" s="9">
        <v>17370400</v>
      </c>
      <c r="G2710" s="9">
        <v>24.4</v>
      </c>
    </row>
    <row r="2711" spans="1:7" x14ac:dyDescent="0.25">
      <c r="A2711" s="101">
        <v>38075</v>
      </c>
      <c r="B2711" s="9">
        <v>47.2</v>
      </c>
      <c r="C2711" s="9">
        <v>47.9</v>
      </c>
      <c r="D2711" s="9">
        <v>47.11</v>
      </c>
      <c r="E2711" s="9">
        <v>47.69</v>
      </c>
      <c r="F2711" s="9">
        <v>17705600</v>
      </c>
      <c r="G2711" s="9">
        <v>23.84</v>
      </c>
    </row>
    <row r="2712" spans="1:7" x14ac:dyDescent="0.25">
      <c r="A2712" s="101">
        <v>38072</v>
      </c>
      <c r="B2712" s="9">
        <v>46.75</v>
      </c>
      <c r="C2712" s="9">
        <v>47.53</v>
      </c>
      <c r="D2712" s="9">
        <v>46.73</v>
      </c>
      <c r="E2712" s="9">
        <v>47.13</v>
      </c>
      <c r="F2712" s="9">
        <v>16950800</v>
      </c>
      <c r="G2712" s="9">
        <v>23.57</v>
      </c>
    </row>
    <row r="2713" spans="1:7" x14ac:dyDescent="0.25">
      <c r="A2713" s="101">
        <v>38071</v>
      </c>
      <c r="B2713" s="9">
        <v>44.98</v>
      </c>
      <c r="C2713" s="9">
        <v>46.99</v>
      </c>
      <c r="D2713" s="9">
        <v>44.96</v>
      </c>
      <c r="E2713" s="9">
        <v>46.94</v>
      </c>
      <c r="F2713" s="9">
        <v>23709000</v>
      </c>
      <c r="G2713" s="9">
        <v>23.47</v>
      </c>
    </row>
    <row r="2714" spans="1:7" x14ac:dyDescent="0.25">
      <c r="A2714" s="101">
        <v>38070</v>
      </c>
      <c r="B2714" s="9">
        <v>44.27</v>
      </c>
      <c r="C2714" s="9">
        <v>44.57</v>
      </c>
      <c r="D2714" s="9">
        <v>43.49</v>
      </c>
      <c r="E2714" s="9">
        <v>44.5</v>
      </c>
      <c r="F2714" s="9">
        <v>17418400</v>
      </c>
      <c r="G2714" s="9">
        <v>22.25</v>
      </c>
    </row>
    <row r="2715" spans="1:7" x14ac:dyDescent="0.25">
      <c r="A2715" s="101">
        <v>38069</v>
      </c>
      <c r="B2715" s="9">
        <v>44.75</v>
      </c>
      <c r="C2715" s="9">
        <v>44.84</v>
      </c>
      <c r="D2715" s="9">
        <v>43.84</v>
      </c>
      <c r="E2715" s="9">
        <v>44.08</v>
      </c>
      <c r="F2715" s="9">
        <v>18597400</v>
      </c>
      <c r="G2715" s="9">
        <v>22.04</v>
      </c>
    </row>
    <row r="2716" spans="1:7" x14ac:dyDescent="0.25">
      <c r="A2716" s="101">
        <v>38068</v>
      </c>
      <c r="B2716" s="9">
        <v>45</v>
      </c>
      <c r="C2716" s="9">
        <v>45.15</v>
      </c>
      <c r="D2716" s="9">
        <v>43.76</v>
      </c>
      <c r="E2716" s="9">
        <v>44.47</v>
      </c>
      <c r="F2716" s="9">
        <v>24057600</v>
      </c>
      <c r="G2716" s="9">
        <v>22.24</v>
      </c>
    </row>
    <row r="2717" spans="1:7" x14ac:dyDescent="0.25">
      <c r="A2717" s="101">
        <v>38065</v>
      </c>
      <c r="B2717" s="9">
        <v>44.86</v>
      </c>
      <c r="C2717" s="9">
        <v>46.69</v>
      </c>
      <c r="D2717" s="9">
        <v>44.84</v>
      </c>
      <c r="E2717" s="9">
        <v>45.75</v>
      </c>
      <c r="F2717" s="9">
        <v>28441000</v>
      </c>
      <c r="G2717" s="9">
        <v>22.88</v>
      </c>
    </row>
    <row r="2718" spans="1:7" x14ac:dyDescent="0.25">
      <c r="A2718" s="101">
        <v>38064</v>
      </c>
      <c r="B2718" s="9">
        <v>44.79</v>
      </c>
      <c r="C2718" s="9">
        <v>45.29</v>
      </c>
      <c r="D2718" s="9">
        <v>44.36</v>
      </c>
      <c r="E2718" s="9">
        <v>45.05</v>
      </c>
      <c r="F2718" s="9">
        <v>20207200</v>
      </c>
      <c r="G2718" s="9">
        <v>22.52</v>
      </c>
    </row>
    <row r="2719" spans="1:7" x14ac:dyDescent="0.25">
      <c r="A2719" s="101">
        <v>38063</v>
      </c>
      <c r="B2719" s="9">
        <v>44.16</v>
      </c>
      <c r="C2719" s="9">
        <v>45.05</v>
      </c>
      <c r="D2719" s="9">
        <v>44.05</v>
      </c>
      <c r="E2719" s="9">
        <v>44.85</v>
      </c>
      <c r="F2719" s="9">
        <v>32029200</v>
      </c>
      <c r="G2719" s="9">
        <v>22.42</v>
      </c>
    </row>
    <row r="2720" spans="1:7" x14ac:dyDescent="0.25">
      <c r="A2720" s="101">
        <v>38062</v>
      </c>
      <c r="B2720" s="9">
        <v>42.09</v>
      </c>
      <c r="C2720" s="9">
        <v>42.97</v>
      </c>
      <c r="D2720" s="9">
        <v>42</v>
      </c>
      <c r="E2720" s="9">
        <v>42.57</v>
      </c>
      <c r="F2720" s="9">
        <v>20002800</v>
      </c>
      <c r="G2720" s="9">
        <v>21.28</v>
      </c>
    </row>
    <row r="2721" spans="1:7" x14ac:dyDescent="0.25">
      <c r="A2721" s="101">
        <v>38061</v>
      </c>
      <c r="B2721" s="9">
        <v>43.15</v>
      </c>
      <c r="C2721" s="9">
        <v>43.37</v>
      </c>
      <c r="D2721" s="9">
        <v>41.62</v>
      </c>
      <c r="E2721" s="9">
        <v>41.75</v>
      </c>
      <c r="F2721" s="9">
        <v>14253200</v>
      </c>
      <c r="G2721" s="9">
        <v>20.88</v>
      </c>
    </row>
    <row r="2722" spans="1:7" x14ac:dyDescent="0.25">
      <c r="A2722" s="101">
        <v>38058</v>
      </c>
      <c r="B2722" s="9">
        <v>41.88</v>
      </c>
      <c r="C2722" s="9">
        <v>43.26</v>
      </c>
      <c r="D2722" s="9">
        <v>41.72</v>
      </c>
      <c r="E2722" s="9">
        <v>43.02</v>
      </c>
      <c r="F2722" s="9">
        <v>17305800</v>
      </c>
      <c r="G2722" s="9">
        <v>21.51</v>
      </c>
    </row>
    <row r="2723" spans="1:7" x14ac:dyDescent="0.25">
      <c r="A2723" s="101">
        <v>38057</v>
      </c>
      <c r="B2723" s="9">
        <v>41.29</v>
      </c>
      <c r="C2723" s="9">
        <v>42.56</v>
      </c>
      <c r="D2723" s="9">
        <v>41.14</v>
      </c>
      <c r="E2723" s="9">
        <v>41.65</v>
      </c>
      <c r="F2723" s="9">
        <v>28028800</v>
      </c>
      <c r="G2723" s="9">
        <v>20.83</v>
      </c>
    </row>
    <row r="2724" spans="1:7" x14ac:dyDescent="0.25">
      <c r="A2724" s="101">
        <v>38056</v>
      </c>
      <c r="B2724" s="9">
        <v>43.33</v>
      </c>
      <c r="C2724" s="9">
        <v>43.75</v>
      </c>
      <c r="D2724" s="9">
        <v>41.51</v>
      </c>
      <c r="E2724" s="9">
        <v>41.7</v>
      </c>
      <c r="F2724" s="9">
        <v>26451600</v>
      </c>
      <c r="G2724" s="9">
        <v>20.85</v>
      </c>
    </row>
    <row r="2725" spans="1:7" x14ac:dyDescent="0.25">
      <c r="A2725" s="101">
        <v>38055</v>
      </c>
      <c r="B2725" s="9">
        <v>43.87</v>
      </c>
      <c r="C2725" s="9">
        <v>44.28</v>
      </c>
      <c r="D2725" s="9">
        <v>42.91</v>
      </c>
      <c r="E2725" s="9">
        <v>43.35</v>
      </c>
      <c r="F2725" s="9">
        <v>20994200</v>
      </c>
      <c r="G2725" s="9">
        <v>21.67</v>
      </c>
    </row>
    <row r="2726" spans="1:7" x14ac:dyDescent="0.25">
      <c r="A2726" s="101">
        <v>38054</v>
      </c>
      <c r="B2726" s="9">
        <v>44.33</v>
      </c>
      <c r="C2726" s="9">
        <v>45.43</v>
      </c>
      <c r="D2726" s="9">
        <v>43.7</v>
      </c>
      <c r="E2726" s="9">
        <v>43.84</v>
      </c>
      <c r="F2726" s="9">
        <v>20297600</v>
      </c>
      <c r="G2726" s="9">
        <v>21.92</v>
      </c>
    </row>
    <row r="2727" spans="1:7" x14ac:dyDescent="0.25">
      <c r="A2727" s="101">
        <v>38051</v>
      </c>
      <c r="B2727" s="9">
        <v>43.59</v>
      </c>
      <c r="C2727" s="9">
        <v>44.78</v>
      </c>
      <c r="D2727" s="9">
        <v>43.47</v>
      </c>
      <c r="E2727" s="9">
        <v>44.4</v>
      </c>
      <c r="F2727" s="9">
        <v>20294600</v>
      </c>
      <c r="G2727" s="9">
        <v>22.2</v>
      </c>
    </row>
    <row r="2728" spans="1:7" x14ac:dyDescent="0.25">
      <c r="A2728" s="101">
        <v>38050</v>
      </c>
      <c r="B2728" s="9">
        <v>43.46</v>
      </c>
      <c r="C2728" s="9">
        <v>44.21</v>
      </c>
      <c r="D2728" s="9">
        <v>43.35</v>
      </c>
      <c r="E2728" s="9">
        <v>44.13</v>
      </c>
      <c r="F2728" s="9">
        <v>18474400</v>
      </c>
      <c r="G2728" s="9">
        <v>22.07</v>
      </c>
    </row>
    <row r="2729" spans="1:7" x14ac:dyDescent="0.25">
      <c r="A2729" s="101">
        <v>38049</v>
      </c>
      <c r="B2729" s="9">
        <v>42.83</v>
      </c>
      <c r="C2729" s="9">
        <v>43.57</v>
      </c>
      <c r="D2729" s="9">
        <v>42.19</v>
      </c>
      <c r="E2729" s="9">
        <v>43.36</v>
      </c>
      <c r="F2729" s="9">
        <v>20006400</v>
      </c>
      <c r="G2729" s="9">
        <v>21.68</v>
      </c>
    </row>
    <row r="2730" spans="1:7" x14ac:dyDescent="0.25">
      <c r="A2730" s="101">
        <v>38048</v>
      </c>
      <c r="B2730" s="9">
        <v>44.12</v>
      </c>
      <c r="C2730" s="9">
        <v>44.6</v>
      </c>
      <c r="D2730" s="9">
        <v>42.98</v>
      </c>
      <c r="E2730" s="9">
        <v>43</v>
      </c>
      <c r="F2730" s="9">
        <v>21491200</v>
      </c>
      <c r="G2730" s="9">
        <v>21.5</v>
      </c>
    </row>
    <row r="2731" spans="1:7" x14ac:dyDescent="0.25">
      <c r="A2731" s="101">
        <v>38047</v>
      </c>
      <c r="B2731" s="9">
        <v>44.55</v>
      </c>
      <c r="C2731" s="9">
        <v>44.88</v>
      </c>
      <c r="D2731" s="9">
        <v>43.91</v>
      </c>
      <c r="E2731" s="9">
        <v>44.08</v>
      </c>
      <c r="F2731" s="9">
        <v>26580200</v>
      </c>
      <c r="G2731" s="9">
        <v>22.04</v>
      </c>
    </row>
    <row r="2732" spans="1:7" x14ac:dyDescent="0.25">
      <c r="A2732" s="101">
        <v>38044</v>
      </c>
      <c r="B2732" s="9">
        <v>43.45</v>
      </c>
      <c r="C2732" s="9">
        <v>44.4</v>
      </c>
      <c r="D2732" s="9">
        <v>43.41</v>
      </c>
      <c r="E2732" s="9">
        <v>44.34</v>
      </c>
      <c r="F2732" s="9">
        <v>30877600</v>
      </c>
      <c r="G2732" s="9">
        <v>22.17</v>
      </c>
    </row>
    <row r="2733" spans="1:7" x14ac:dyDescent="0.25">
      <c r="A2733" s="101">
        <v>38043</v>
      </c>
      <c r="B2733" s="9">
        <v>43.18</v>
      </c>
      <c r="C2733" s="9">
        <v>43.82</v>
      </c>
      <c r="D2733" s="9">
        <v>43.06</v>
      </c>
      <c r="E2733" s="9">
        <v>43.55</v>
      </c>
      <c r="F2733" s="9">
        <v>27284200</v>
      </c>
      <c r="G2733" s="9">
        <v>21.77</v>
      </c>
    </row>
    <row r="2734" spans="1:7" x14ac:dyDescent="0.25">
      <c r="A2734" s="101">
        <v>38042</v>
      </c>
      <c r="B2734" s="9">
        <v>44.39</v>
      </c>
      <c r="C2734" s="9">
        <v>44.5</v>
      </c>
      <c r="D2734" s="9">
        <v>42.83</v>
      </c>
      <c r="E2734" s="9">
        <v>43.34</v>
      </c>
      <c r="F2734" s="9">
        <v>33120000</v>
      </c>
      <c r="G2734" s="9">
        <v>21.67</v>
      </c>
    </row>
    <row r="2735" spans="1:7" x14ac:dyDescent="0.25">
      <c r="A2735" s="101">
        <v>38041</v>
      </c>
      <c r="B2735" s="9">
        <v>44.86</v>
      </c>
      <c r="C2735" s="9">
        <v>44.86</v>
      </c>
      <c r="D2735" s="9">
        <v>43.52</v>
      </c>
      <c r="E2735" s="9">
        <v>43.76</v>
      </c>
      <c r="F2735" s="9">
        <v>22020200</v>
      </c>
      <c r="G2735" s="9">
        <v>21.88</v>
      </c>
    </row>
    <row r="2736" spans="1:7" x14ac:dyDescent="0.25">
      <c r="A2736" s="101">
        <v>38040</v>
      </c>
      <c r="B2736" s="9">
        <v>46.44</v>
      </c>
      <c r="C2736" s="9">
        <v>46.51</v>
      </c>
      <c r="D2736" s="9">
        <v>44.48</v>
      </c>
      <c r="E2736" s="9">
        <v>44.91</v>
      </c>
      <c r="F2736" s="9">
        <v>18639400</v>
      </c>
      <c r="G2736" s="9">
        <v>22.45</v>
      </c>
    </row>
    <row r="2737" spans="1:7" x14ac:dyDescent="0.25">
      <c r="A2737" s="101">
        <v>38037</v>
      </c>
      <c r="B2737" s="9">
        <v>45.94</v>
      </c>
      <c r="C2737" s="9">
        <v>47</v>
      </c>
      <c r="D2737" s="9">
        <v>45.55</v>
      </c>
      <c r="E2737" s="9">
        <v>46.51</v>
      </c>
      <c r="F2737" s="9">
        <v>16215000</v>
      </c>
      <c r="G2737" s="9">
        <v>23.25</v>
      </c>
    </row>
    <row r="2738" spans="1:7" x14ac:dyDescent="0.25">
      <c r="A2738" s="101">
        <v>38036</v>
      </c>
      <c r="B2738" s="9">
        <v>46.42</v>
      </c>
      <c r="C2738" s="9">
        <v>46.73</v>
      </c>
      <c r="D2738" s="9">
        <v>46</v>
      </c>
      <c r="E2738" s="9">
        <v>46</v>
      </c>
      <c r="F2738" s="9">
        <v>12007800</v>
      </c>
      <c r="G2738" s="9">
        <v>23</v>
      </c>
    </row>
    <row r="2739" spans="1:7" x14ac:dyDescent="0.25">
      <c r="A2739" s="101">
        <v>38035</v>
      </c>
      <c r="B2739" s="9">
        <v>46.6</v>
      </c>
      <c r="C2739" s="9">
        <v>46.74</v>
      </c>
      <c r="D2739" s="9">
        <v>46</v>
      </c>
      <c r="E2739" s="9">
        <v>46.09</v>
      </c>
      <c r="F2739" s="9">
        <v>10064000</v>
      </c>
      <c r="G2739" s="9">
        <v>23.05</v>
      </c>
    </row>
    <row r="2740" spans="1:7" x14ac:dyDescent="0.25">
      <c r="A2740" s="101">
        <v>38034</v>
      </c>
      <c r="B2740" s="9">
        <v>46.78</v>
      </c>
      <c r="C2740" s="9">
        <v>47.18</v>
      </c>
      <c r="D2740" s="9">
        <v>46.05</v>
      </c>
      <c r="E2740" s="9">
        <v>46.57</v>
      </c>
      <c r="F2740" s="9">
        <v>11648800</v>
      </c>
      <c r="G2740" s="9">
        <v>23.28</v>
      </c>
    </row>
    <row r="2741" spans="1:7" x14ac:dyDescent="0.25">
      <c r="A2741" s="101">
        <v>38030</v>
      </c>
      <c r="B2741" s="9">
        <v>47.61</v>
      </c>
      <c r="C2741" s="9">
        <v>47.87</v>
      </c>
      <c r="D2741" s="9">
        <v>46.35</v>
      </c>
      <c r="E2741" s="9">
        <v>46.4</v>
      </c>
      <c r="F2741" s="9">
        <v>14322400</v>
      </c>
      <c r="G2741" s="9">
        <v>23.2</v>
      </c>
    </row>
    <row r="2742" spans="1:7" x14ac:dyDescent="0.25">
      <c r="A2742" s="101">
        <v>38029</v>
      </c>
      <c r="B2742" s="9">
        <v>47.57</v>
      </c>
      <c r="C2742" s="9">
        <v>48.07</v>
      </c>
      <c r="D2742" s="9">
        <v>47.23</v>
      </c>
      <c r="E2742" s="9">
        <v>47.52</v>
      </c>
      <c r="F2742" s="9">
        <v>9577000</v>
      </c>
      <c r="G2742" s="9">
        <v>23.76</v>
      </c>
    </row>
    <row r="2743" spans="1:7" x14ac:dyDescent="0.25">
      <c r="A2743" s="101">
        <v>38028</v>
      </c>
      <c r="B2743" s="9">
        <v>47.03</v>
      </c>
      <c r="C2743" s="9">
        <v>47.94</v>
      </c>
      <c r="D2743" s="9">
        <v>46.52</v>
      </c>
      <c r="E2743" s="9">
        <v>47.87</v>
      </c>
      <c r="F2743" s="9">
        <v>15619200</v>
      </c>
      <c r="G2743" s="9">
        <v>23.93</v>
      </c>
    </row>
    <row r="2744" spans="1:7" x14ac:dyDescent="0.25">
      <c r="A2744" s="101">
        <v>38027</v>
      </c>
      <c r="B2744" s="9">
        <v>46.76</v>
      </c>
      <c r="C2744" s="9">
        <v>47.4</v>
      </c>
      <c r="D2744" s="9">
        <v>46.56</v>
      </c>
      <c r="E2744" s="9">
        <v>46.89</v>
      </c>
      <c r="F2744" s="9">
        <v>7743800</v>
      </c>
      <c r="G2744" s="9">
        <v>23.44</v>
      </c>
    </row>
    <row r="2745" spans="1:7" x14ac:dyDescent="0.25">
      <c r="A2745" s="101">
        <v>38026</v>
      </c>
      <c r="B2745" s="9">
        <v>46.28</v>
      </c>
      <c r="C2745" s="9">
        <v>47.25</v>
      </c>
      <c r="D2745" s="9">
        <v>46.23</v>
      </c>
      <c r="E2745" s="9">
        <v>46.92</v>
      </c>
      <c r="F2745" s="9">
        <v>11495600</v>
      </c>
      <c r="G2745" s="9">
        <v>23.46</v>
      </c>
    </row>
    <row r="2746" spans="1:7" x14ac:dyDescent="0.25">
      <c r="A2746" s="101">
        <v>38023</v>
      </c>
      <c r="B2746" s="9">
        <v>46.22</v>
      </c>
      <c r="C2746" s="9">
        <v>46.57</v>
      </c>
      <c r="D2746" s="9">
        <v>45.88</v>
      </c>
      <c r="E2746" s="9">
        <v>46.49</v>
      </c>
      <c r="F2746" s="9">
        <v>14507600</v>
      </c>
      <c r="G2746" s="9">
        <v>23.25</v>
      </c>
    </row>
    <row r="2747" spans="1:7" x14ac:dyDescent="0.25">
      <c r="A2747" s="101">
        <v>38022</v>
      </c>
      <c r="B2747" s="9">
        <v>45.28</v>
      </c>
      <c r="C2747" s="9">
        <v>46.7</v>
      </c>
      <c r="D2747" s="9">
        <v>45.13</v>
      </c>
      <c r="E2747" s="9">
        <v>46.1</v>
      </c>
      <c r="F2747" s="9">
        <v>18855400</v>
      </c>
      <c r="G2747" s="9">
        <v>23.05</v>
      </c>
    </row>
    <row r="2748" spans="1:7" x14ac:dyDescent="0.25">
      <c r="A2748" s="101">
        <v>38021</v>
      </c>
      <c r="B2748" s="9">
        <v>44.82</v>
      </c>
      <c r="C2748" s="9">
        <v>46.04</v>
      </c>
      <c r="D2748" s="9">
        <v>44.8</v>
      </c>
      <c r="E2748" s="9">
        <v>44.95</v>
      </c>
      <c r="F2748" s="9">
        <v>17276400</v>
      </c>
      <c r="G2748" s="9">
        <v>22.48</v>
      </c>
    </row>
    <row r="2749" spans="1:7" x14ac:dyDescent="0.25">
      <c r="A2749" s="101">
        <v>38020</v>
      </c>
      <c r="B2749" s="9">
        <v>46.67</v>
      </c>
      <c r="C2749" s="9">
        <v>46.68</v>
      </c>
      <c r="D2749" s="9">
        <v>45.08</v>
      </c>
      <c r="E2749" s="9">
        <v>45.49</v>
      </c>
      <c r="F2749" s="9">
        <v>20293400</v>
      </c>
      <c r="G2749" s="9">
        <v>22.75</v>
      </c>
    </row>
    <row r="2750" spans="1:7" x14ac:dyDescent="0.25">
      <c r="A2750" s="101">
        <v>38019</v>
      </c>
      <c r="B2750" s="9">
        <v>47.1</v>
      </c>
      <c r="C2750" s="9">
        <v>47.45</v>
      </c>
      <c r="D2750" s="9">
        <v>45.97</v>
      </c>
      <c r="E2750" s="9">
        <v>46.7</v>
      </c>
      <c r="F2750" s="9">
        <v>20970400</v>
      </c>
      <c r="G2750" s="9">
        <v>23.35</v>
      </c>
    </row>
    <row r="2751" spans="1:7" x14ac:dyDescent="0.25">
      <c r="A2751" s="101">
        <v>38016</v>
      </c>
      <c r="B2751" s="9">
        <v>46.76</v>
      </c>
      <c r="C2751" s="9">
        <v>47.14</v>
      </c>
      <c r="D2751" s="9">
        <v>46.14</v>
      </c>
      <c r="E2751" s="9">
        <v>46.98</v>
      </c>
      <c r="F2751" s="9">
        <v>16523400</v>
      </c>
      <c r="G2751" s="9">
        <v>23.49</v>
      </c>
    </row>
    <row r="2752" spans="1:7" x14ac:dyDescent="0.25">
      <c r="A2752" s="101">
        <v>38015</v>
      </c>
      <c r="B2752" s="9">
        <v>46.54</v>
      </c>
      <c r="C2752" s="9">
        <v>46.57</v>
      </c>
      <c r="D2752" s="9">
        <v>44.25</v>
      </c>
      <c r="E2752" s="9">
        <v>46.09</v>
      </c>
      <c r="F2752" s="9">
        <v>31658200</v>
      </c>
      <c r="G2752" s="9">
        <v>23.05</v>
      </c>
    </row>
    <row r="2753" spans="1:7" x14ac:dyDescent="0.25">
      <c r="A2753" s="101">
        <v>38014</v>
      </c>
      <c r="B2753" s="9">
        <v>47.04</v>
      </c>
      <c r="C2753" s="9">
        <v>47.3</v>
      </c>
      <c r="D2753" s="9">
        <v>45.59</v>
      </c>
      <c r="E2753" s="9">
        <v>46.19</v>
      </c>
      <c r="F2753" s="9">
        <v>16625200</v>
      </c>
      <c r="G2753" s="9">
        <v>23.09</v>
      </c>
    </row>
    <row r="2754" spans="1:7" x14ac:dyDescent="0.25">
      <c r="A2754" s="101">
        <v>38013</v>
      </c>
      <c r="B2754" s="9">
        <v>48.07</v>
      </c>
      <c r="C2754" s="9">
        <v>48.45</v>
      </c>
      <c r="D2754" s="9">
        <v>47</v>
      </c>
      <c r="E2754" s="9">
        <v>47.04</v>
      </c>
      <c r="F2754" s="9">
        <v>14656800</v>
      </c>
      <c r="G2754" s="9">
        <v>23.52</v>
      </c>
    </row>
    <row r="2755" spans="1:7" x14ac:dyDescent="0.25">
      <c r="A2755" s="101">
        <v>38012</v>
      </c>
      <c r="B2755" s="9">
        <v>46.82</v>
      </c>
      <c r="C2755" s="9">
        <v>48.23</v>
      </c>
      <c r="D2755" s="9">
        <v>46.59</v>
      </c>
      <c r="E2755" s="9">
        <v>48.16</v>
      </c>
      <c r="F2755" s="9">
        <v>15649000</v>
      </c>
      <c r="G2755" s="9">
        <v>24.08</v>
      </c>
    </row>
    <row r="2756" spans="1:7" x14ac:dyDescent="0.25">
      <c r="A2756" s="101">
        <v>38009</v>
      </c>
      <c r="B2756" s="9">
        <v>47.24</v>
      </c>
      <c r="C2756" s="9">
        <v>47.35</v>
      </c>
      <c r="D2756" s="9">
        <v>46.75</v>
      </c>
      <c r="E2756" s="9">
        <v>47.09</v>
      </c>
      <c r="F2756" s="9">
        <v>11179400</v>
      </c>
      <c r="G2756" s="9">
        <v>23.55</v>
      </c>
    </row>
    <row r="2757" spans="1:7" x14ac:dyDescent="0.25">
      <c r="A2757" s="101">
        <v>38008</v>
      </c>
      <c r="B2757" s="9">
        <v>47.77</v>
      </c>
      <c r="C2757" s="9">
        <v>48.21</v>
      </c>
      <c r="D2757" s="9">
        <v>46.91</v>
      </c>
      <c r="E2757" s="9">
        <v>47.18</v>
      </c>
      <c r="F2757" s="9">
        <v>14775000</v>
      </c>
      <c r="G2757" s="9">
        <v>23.59</v>
      </c>
    </row>
    <row r="2758" spans="1:7" x14ac:dyDescent="0.25">
      <c r="A2758" s="101">
        <v>38007</v>
      </c>
      <c r="B2758" s="9">
        <v>47.24</v>
      </c>
      <c r="C2758" s="9">
        <v>47.97</v>
      </c>
      <c r="D2758" s="9">
        <v>46.91</v>
      </c>
      <c r="E2758" s="9">
        <v>47.38</v>
      </c>
      <c r="F2758" s="9">
        <v>15065800</v>
      </c>
      <c r="G2758" s="9">
        <v>23.69</v>
      </c>
    </row>
    <row r="2759" spans="1:7" x14ac:dyDescent="0.25">
      <c r="A2759" s="101">
        <v>38006</v>
      </c>
      <c r="B2759" s="9">
        <v>47.9</v>
      </c>
      <c r="C2759" s="9">
        <v>48</v>
      </c>
      <c r="D2759" s="9">
        <v>46.76</v>
      </c>
      <c r="E2759" s="9">
        <v>47.66</v>
      </c>
      <c r="F2759" s="9">
        <v>21289000</v>
      </c>
      <c r="G2759" s="9">
        <v>23.83</v>
      </c>
    </row>
    <row r="2760" spans="1:7" x14ac:dyDescent="0.25">
      <c r="A2760" s="101">
        <v>38002</v>
      </c>
      <c r="B2760" s="9">
        <v>48.46</v>
      </c>
      <c r="C2760" s="9">
        <v>48.5</v>
      </c>
      <c r="D2760" s="9">
        <v>47.1</v>
      </c>
      <c r="E2760" s="9">
        <v>48.11</v>
      </c>
      <c r="F2760" s="9">
        <v>24108600</v>
      </c>
      <c r="G2760" s="9">
        <v>24.06</v>
      </c>
    </row>
    <row r="2761" spans="1:7" x14ac:dyDescent="0.25">
      <c r="A2761" s="101">
        <v>38001</v>
      </c>
      <c r="B2761" s="9">
        <v>46.56</v>
      </c>
      <c r="C2761" s="9">
        <v>48.8</v>
      </c>
      <c r="D2761" s="9">
        <v>45.86</v>
      </c>
      <c r="E2761" s="9">
        <v>48.09</v>
      </c>
      <c r="F2761" s="9">
        <v>54017800</v>
      </c>
      <c r="G2761" s="9">
        <v>24.05</v>
      </c>
    </row>
    <row r="2762" spans="1:7" x14ac:dyDescent="0.25">
      <c r="A2762" s="101">
        <v>38000</v>
      </c>
      <c r="B2762" s="9">
        <v>49.38</v>
      </c>
      <c r="C2762" s="9">
        <v>49.62</v>
      </c>
      <c r="D2762" s="9">
        <v>47.69</v>
      </c>
      <c r="E2762" s="9">
        <v>48.39</v>
      </c>
      <c r="F2762" s="9">
        <v>34347200</v>
      </c>
      <c r="G2762" s="9">
        <v>24.19</v>
      </c>
    </row>
    <row r="2763" spans="1:7" x14ac:dyDescent="0.25">
      <c r="A2763" s="101">
        <v>37999</v>
      </c>
      <c r="B2763" s="9">
        <v>49.73</v>
      </c>
      <c r="C2763" s="9">
        <v>50.41</v>
      </c>
      <c r="D2763" s="9">
        <v>48.21</v>
      </c>
      <c r="E2763" s="9">
        <v>48.8</v>
      </c>
      <c r="F2763" s="9">
        <v>28687400</v>
      </c>
      <c r="G2763" s="9">
        <v>24.4</v>
      </c>
    </row>
    <row r="2764" spans="1:7" x14ac:dyDescent="0.25">
      <c r="A2764" s="101">
        <v>37998</v>
      </c>
      <c r="B2764" s="9">
        <v>48.25</v>
      </c>
      <c r="C2764" s="9">
        <v>49.86</v>
      </c>
      <c r="D2764" s="9">
        <v>48.2</v>
      </c>
      <c r="E2764" s="9">
        <v>49.74</v>
      </c>
      <c r="F2764" s="9">
        <v>29919400</v>
      </c>
      <c r="G2764" s="9">
        <v>24.87</v>
      </c>
    </row>
    <row r="2765" spans="1:7" x14ac:dyDescent="0.25">
      <c r="A2765" s="101">
        <v>37995</v>
      </c>
      <c r="B2765" s="9">
        <v>48.04</v>
      </c>
      <c r="C2765" s="9">
        <v>48.76</v>
      </c>
      <c r="D2765" s="9">
        <v>48</v>
      </c>
      <c r="E2765" s="9">
        <v>48.12</v>
      </c>
      <c r="F2765" s="9">
        <v>19043400</v>
      </c>
      <c r="G2765" s="9">
        <v>24.06</v>
      </c>
    </row>
    <row r="2766" spans="1:7" x14ac:dyDescent="0.25">
      <c r="A2766" s="101">
        <v>37994</v>
      </c>
      <c r="B2766" s="9">
        <v>48</v>
      </c>
      <c r="C2766" s="9">
        <v>48.97</v>
      </c>
      <c r="D2766" s="9">
        <v>47.87</v>
      </c>
      <c r="E2766" s="9">
        <v>48.58</v>
      </c>
      <c r="F2766" s="9">
        <v>25469200</v>
      </c>
      <c r="G2766" s="9">
        <v>24.29</v>
      </c>
    </row>
    <row r="2767" spans="1:7" x14ac:dyDescent="0.25">
      <c r="A2767" s="101">
        <v>37993</v>
      </c>
      <c r="B2767" s="9">
        <v>46.9</v>
      </c>
      <c r="C2767" s="9">
        <v>47.76</v>
      </c>
      <c r="D2767" s="9">
        <v>46.85</v>
      </c>
      <c r="E2767" s="9">
        <v>47.67</v>
      </c>
      <c r="F2767" s="9">
        <v>19229000</v>
      </c>
      <c r="G2767" s="9">
        <v>23.83</v>
      </c>
    </row>
    <row r="2768" spans="1:7" x14ac:dyDescent="0.25">
      <c r="A2768" s="101">
        <v>37992</v>
      </c>
      <c r="B2768" s="9">
        <v>46.44</v>
      </c>
      <c r="C2768" s="9">
        <v>47.45</v>
      </c>
      <c r="D2768" s="9">
        <v>46.35</v>
      </c>
      <c r="E2768" s="9">
        <v>47.24</v>
      </c>
      <c r="F2768" s="9">
        <v>20527800</v>
      </c>
      <c r="G2768" s="9">
        <v>23.62</v>
      </c>
    </row>
    <row r="2769" spans="1:7" x14ac:dyDescent="0.25">
      <c r="A2769" s="101">
        <v>37991</v>
      </c>
      <c r="B2769" s="9">
        <v>45.76</v>
      </c>
      <c r="C2769" s="9">
        <v>47.11</v>
      </c>
      <c r="D2769" s="9">
        <v>45.35</v>
      </c>
      <c r="E2769" s="9">
        <v>46.9</v>
      </c>
      <c r="F2769" s="9">
        <v>23107800</v>
      </c>
      <c r="G2769" s="9">
        <v>23.45</v>
      </c>
    </row>
    <row r="2770" spans="1:7" x14ac:dyDescent="0.25">
      <c r="A2770" s="101">
        <v>37988</v>
      </c>
      <c r="B2770" s="9">
        <v>45.5</v>
      </c>
      <c r="C2770" s="9">
        <v>45.83</v>
      </c>
      <c r="D2770" s="9">
        <v>45.12</v>
      </c>
      <c r="E2770" s="9">
        <v>45.4</v>
      </c>
      <c r="F2770" s="9">
        <v>16480000</v>
      </c>
      <c r="G2770" s="9">
        <v>22.7</v>
      </c>
    </row>
    <row r="2771" spans="1:7" x14ac:dyDescent="0.25">
      <c r="A2771" s="101">
        <v>37986</v>
      </c>
      <c r="B2771" s="9">
        <v>45.05</v>
      </c>
      <c r="C2771" s="9">
        <v>45.48</v>
      </c>
      <c r="D2771" s="9">
        <v>44.62</v>
      </c>
      <c r="E2771" s="9">
        <v>45.03</v>
      </c>
      <c r="F2771" s="9">
        <v>18878600</v>
      </c>
      <c r="G2771" s="9">
        <v>22.51</v>
      </c>
    </row>
    <row r="2772" spans="1:7" x14ac:dyDescent="0.25">
      <c r="A2772" s="101">
        <v>37985</v>
      </c>
      <c r="B2772" s="9">
        <v>44.93</v>
      </c>
      <c r="C2772" s="9">
        <v>45.16</v>
      </c>
      <c r="D2772" s="9">
        <v>44.5</v>
      </c>
      <c r="E2772" s="9">
        <v>44.93</v>
      </c>
      <c r="F2772" s="9">
        <v>10980200</v>
      </c>
      <c r="G2772" s="9">
        <v>22.47</v>
      </c>
    </row>
    <row r="2773" spans="1:7" x14ac:dyDescent="0.25">
      <c r="A2773" s="101">
        <v>37984</v>
      </c>
      <c r="B2773" s="9">
        <v>44.45</v>
      </c>
      <c r="C2773" s="9">
        <v>45.1</v>
      </c>
      <c r="D2773" s="9">
        <v>43.81</v>
      </c>
      <c r="E2773" s="9">
        <v>44.97</v>
      </c>
      <c r="F2773" s="9">
        <v>13772400</v>
      </c>
      <c r="G2773" s="9">
        <v>22.49</v>
      </c>
    </row>
    <row r="2774" spans="1:7" x14ac:dyDescent="0.25">
      <c r="A2774" s="101">
        <v>37981</v>
      </c>
      <c r="B2774" s="9">
        <v>44.8</v>
      </c>
      <c r="C2774" s="9">
        <v>45.25</v>
      </c>
      <c r="D2774" s="9">
        <v>44.25</v>
      </c>
      <c r="E2774" s="9">
        <v>44.29</v>
      </c>
      <c r="F2774" s="9">
        <v>8493400</v>
      </c>
      <c r="G2774" s="9">
        <v>22.15</v>
      </c>
    </row>
    <row r="2775" spans="1:7" x14ac:dyDescent="0.25">
      <c r="A2775" s="101">
        <v>37979</v>
      </c>
      <c r="B2775" s="9">
        <v>43.46</v>
      </c>
      <c r="C2775" s="9">
        <v>45.34</v>
      </c>
      <c r="D2775" s="9">
        <v>43.44</v>
      </c>
      <c r="E2775" s="9">
        <v>44.77</v>
      </c>
      <c r="F2775" s="9">
        <v>18166400</v>
      </c>
      <c r="G2775" s="9">
        <v>22.39</v>
      </c>
    </row>
    <row r="2776" spans="1:7" x14ac:dyDescent="0.25">
      <c r="A2776" s="101">
        <v>37978</v>
      </c>
      <c r="B2776" s="9">
        <v>42.35</v>
      </c>
      <c r="C2776" s="9">
        <v>43.74</v>
      </c>
      <c r="D2776" s="9">
        <v>42.25</v>
      </c>
      <c r="E2776" s="9">
        <v>43.68</v>
      </c>
      <c r="F2776" s="9">
        <v>16710800</v>
      </c>
      <c r="G2776" s="9">
        <v>21.84</v>
      </c>
    </row>
    <row r="2777" spans="1:7" x14ac:dyDescent="0.25">
      <c r="A2777" s="101">
        <v>37977</v>
      </c>
      <c r="B2777" s="9">
        <v>41.83</v>
      </c>
      <c r="C2777" s="9">
        <v>42.61</v>
      </c>
      <c r="D2777" s="9">
        <v>41.77</v>
      </c>
      <c r="E2777" s="9">
        <v>42.6</v>
      </c>
      <c r="F2777" s="9">
        <v>14952400</v>
      </c>
      <c r="G2777" s="9">
        <v>21.3</v>
      </c>
    </row>
    <row r="2778" spans="1:7" x14ac:dyDescent="0.25">
      <c r="A2778" s="101">
        <v>37974</v>
      </c>
      <c r="B2778" s="9">
        <v>41.93</v>
      </c>
      <c r="C2778" s="9">
        <v>42.3</v>
      </c>
      <c r="D2778" s="9">
        <v>41.15</v>
      </c>
      <c r="E2778" s="9">
        <v>42.11</v>
      </c>
      <c r="F2778" s="9">
        <v>19387800</v>
      </c>
      <c r="G2778" s="9">
        <v>21.06</v>
      </c>
    </row>
    <row r="2779" spans="1:7" x14ac:dyDescent="0.25">
      <c r="A2779" s="101">
        <v>37973</v>
      </c>
      <c r="B2779" s="9">
        <v>41.06</v>
      </c>
      <c r="C2779" s="9">
        <v>42.05</v>
      </c>
      <c r="D2779" s="9">
        <v>40.76</v>
      </c>
      <c r="E2779" s="9">
        <v>41.89</v>
      </c>
      <c r="F2779" s="9">
        <v>16245800</v>
      </c>
      <c r="G2779" s="9">
        <v>20.94</v>
      </c>
    </row>
    <row r="2780" spans="1:7" x14ac:dyDescent="0.25">
      <c r="A2780" s="101">
        <v>37972</v>
      </c>
      <c r="B2780" s="9">
        <v>40.58</v>
      </c>
      <c r="C2780" s="9">
        <v>40.83</v>
      </c>
      <c r="D2780" s="9">
        <v>39.96</v>
      </c>
      <c r="E2780" s="9">
        <v>40.729999999999997</v>
      </c>
      <c r="F2780" s="9">
        <v>21553600</v>
      </c>
      <c r="G2780" s="9">
        <v>20.36</v>
      </c>
    </row>
    <row r="2781" spans="1:7" x14ac:dyDescent="0.25">
      <c r="A2781" s="101">
        <v>37971</v>
      </c>
      <c r="B2781" s="9">
        <v>41.94</v>
      </c>
      <c r="C2781" s="9">
        <v>42.19</v>
      </c>
      <c r="D2781" s="9">
        <v>40.21</v>
      </c>
      <c r="E2781" s="9">
        <v>40.700000000000003</v>
      </c>
      <c r="F2781" s="9">
        <v>29586600</v>
      </c>
      <c r="G2781" s="9">
        <v>20.350000000000001</v>
      </c>
    </row>
    <row r="2782" spans="1:7" x14ac:dyDescent="0.25">
      <c r="A2782" s="101">
        <v>37970</v>
      </c>
      <c r="B2782" s="9">
        <v>43.84</v>
      </c>
      <c r="C2782" s="9">
        <v>44</v>
      </c>
      <c r="D2782" s="9">
        <v>42.1</v>
      </c>
      <c r="E2782" s="9">
        <v>42.25</v>
      </c>
      <c r="F2782" s="9">
        <v>19726000</v>
      </c>
      <c r="G2782" s="9">
        <v>21.12</v>
      </c>
    </row>
    <row r="2783" spans="1:7" x14ac:dyDescent="0.25">
      <c r="A2783" s="101">
        <v>37967</v>
      </c>
      <c r="B2783" s="9">
        <v>43</v>
      </c>
      <c r="C2783" s="9">
        <v>43</v>
      </c>
      <c r="D2783" s="9">
        <v>42.01</v>
      </c>
      <c r="E2783" s="9">
        <v>42.98</v>
      </c>
      <c r="F2783" s="9">
        <v>15672800</v>
      </c>
      <c r="G2783" s="9">
        <v>21.49</v>
      </c>
    </row>
    <row r="2784" spans="1:7" x14ac:dyDescent="0.25">
      <c r="A2784" s="101">
        <v>37966</v>
      </c>
      <c r="B2784" s="9">
        <v>41.07</v>
      </c>
      <c r="C2784" s="9">
        <v>43.04</v>
      </c>
      <c r="D2784" s="9">
        <v>41.07</v>
      </c>
      <c r="E2784" s="9">
        <v>42.78</v>
      </c>
      <c r="F2784" s="9">
        <v>18270000</v>
      </c>
      <c r="G2784" s="9">
        <v>21.39</v>
      </c>
    </row>
    <row r="2785" spans="1:7" x14ac:dyDescent="0.25">
      <c r="A2785" s="101">
        <v>37965</v>
      </c>
      <c r="B2785" s="9">
        <v>41.56</v>
      </c>
      <c r="C2785" s="9">
        <v>42.09</v>
      </c>
      <c r="D2785" s="9">
        <v>40.53</v>
      </c>
      <c r="E2785" s="9">
        <v>41.16</v>
      </c>
      <c r="F2785" s="9">
        <v>20578400</v>
      </c>
      <c r="G2785" s="9">
        <v>20.58</v>
      </c>
    </row>
    <row r="2786" spans="1:7" x14ac:dyDescent="0.25">
      <c r="A2786" s="101">
        <v>37964</v>
      </c>
      <c r="B2786" s="9">
        <v>43.04</v>
      </c>
      <c r="C2786" s="9">
        <v>43.1</v>
      </c>
      <c r="D2786" s="9">
        <v>41.43</v>
      </c>
      <c r="E2786" s="9">
        <v>41.57</v>
      </c>
      <c r="F2786" s="9">
        <v>17286000</v>
      </c>
      <c r="G2786" s="9">
        <v>20.78</v>
      </c>
    </row>
    <row r="2787" spans="1:7" x14ac:dyDescent="0.25">
      <c r="A2787" s="101">
        <v>37963</v>
      </c>
      <c r="B2787" s="9">
        <v>42.78</v>
      </c>
      <c r="C2787" s="9">
        <v>43.07</v>
      </c>
      <c r="D2787" s="9">
        <v>41.61</v>
      </c>
      <c r="E2787" s="9">
        <v>42.78</v>
      </c>
      <c r="F2787" s="9">
        <v>19364600</v>
      </c>
      <c r="G2787" s="9">
        <v>21.39</v>
      </c>
    </row>
    <row r="2788" spans="1:7" x14ac:dyDescent="0.25">
      <c r="A2788" s="101">
        <v>37960</v>
      </c>
      <c r="B2788" s="9">
        <v>42.79</v>
      </c>
      <c r="C2788" s="9">
        <v>43.69</v>
      </c>
      <c r="D2788" s="9">
        <v>42.65</v>
      </c>
      <c r="E2788" s="9">
        <v>42.85</v>
      </c>
      <c r="F2788" s="9">
        <v>16190000</v>
      </c>
      <c r="G2788" s="9">
        <v>21.42</v>
      </c>
    </row>
    <row r="2789" spans="1:7" x14ac:dyDescent="0.25">
      <c r="A2789" s="101">
        <v>37959</v>
      </c>
      <c r="B2789" s="9">
        <v>42.95</v>
      </c>
      <c r="C2789" s="9">
        <v>43.61</v>
      </c>
      <c r="D2789" s="9">
        <v>42.1</v>
      </c>
      <c r="E2789" s="9">
        <v>43.13</v>
      </c>
      <c r="F2789" s="9">
        <v>20857800</v>
      </c>
      <c r="G2789" s="9">
        <v>21.57</v>
      </c>
    </row>
    <row r="2790" spans="1:7" x14ac:dyDescent="0.25">
      <c r="A2790" s="101">
        <v>37958</v>
      </c>
      <c r="B2790" s="9">
        <v>43.67</v>
      </c>
      <c r="C2790" s="9">
        <v>43.98</v>
      </c>
      <c r="D2790" s="9">
        <v>42.35</v>
      </c>
      <c r="E2790" s="9">
        <v>42.5</v>
      </c>
      <c r="F2790" s="9">
        <v>18848400</v>
      </c>
      <c r="G2790" s="9">
        <v>21.25</v>
      </c>
    </row>
    <row r="2791" spans="1:7" x14ac:dyDescent="0.25">
      <c r="A2791" s="101">
        <v>37957</v>
      </c>
      <c r="B2791" s="9">
        <v>43.86</v>
      </c>
      <c r="C2791" s="9">
        <v>44.18</v>
      </c>
      <c r="D2791" s="9">
        <v>43.47</v>
      </c>
      <c r="E2791" s="9">
        <v>43.51</v>
      </c>
      <c r="F2791" s="9">
        <v>17536400</v>
      </c>
      <c r="G2791" s="9">
        <v>21.75</v>
      </c>
    </row>
    <row r="2792" spans="1:7" x14ac:dyDescent="0.25">
      <c r="A2792" s="101">
        <v>37956</v>
      </c>
      <c r="B2792" s="9">
        <v>43.42</v>
      </c>
      <c r="C2792" s="9">
        <v>44.29</v>
      </c>
      <c r="D2792" s="9">
        <v>43.32</v>
      </c>
      <c r="E2792" s="9">
        <v>44.21</v>
      </c>
      <c r="F2792" s="9">
        <v>20852000</v>
      </c>
      <c r="G2792" s="9">
        <v>22.1</v>
      </c>
    </row>
    <row r="2793" spans="1:7" x14ac:dyDescent="0.25">
      <c r="A2793" s="101">
        <v>37953</v>
      </c>
      <c r="B2793" s="9">
        <v>42.85</v>
      </c>
      <c r="C2793" s="9">
        <v>43.25</v>
      </c>
      <c r="D2793" s="9">
        <v>42.69</v>
      </c>
      <c r="E2793" s="9">
        <v>42.99</v>
      </c>
      <c r="F2793" s="9">
        <v>6470200</v>
      </c>
      <c r="G2793" s="9">
        <v>21.5</v>
      </c>
    </row>
    <row r="2794" spans="1:7" x14ac:dyDescent="0.25">
      <c r="A2794" s="101">
        <v>37951</v>
      </c>
      <c r="B2794" s="9">
        <v>42.77</v>
      </c>
      <c r="C2794" s="9">
        <v>43.45</v>
      </c>
      <c r="D2794" s="9">
        <v>41.94</v>
      </c>
      <c r="E2794" s="9">
        <v>43.08</v>
      </c>
      <c r="F2794" s="9">
        <v>25370600</v>
      </c>
      <c r="G2794" s="9">
        <v>21.54</v>
      </c>
    </row>
    <row r="2795" spans="1:7" x14ac:dyDescent="0.25">
      <c r="A2795" s="101">
        <v>37950</v>
      </c>
      <c r="B2795" s="9">
        <v>41.86</v>
      </c>
      <c r="C2795" s="9">
        <v>42.7</v>
      </c>
      <c r="D2795" s="9">
        <v>41.77</v>
      </c>
      <c r="E2795" s="9">
        <v>42.05</v>
      </c>
      <c r="F2795" s="9">
        <v>22863800</v>
      </c>
      <c r="G2795" s="9">
        <v>21.02</v>
      </c>
    </row>
    <row r="2796" spans="1:7" x14ac:dyDescent="0.25">
      <c r="A2796" s="101">
        <v>37949</v>
      </c>
      <c r="B2796" s="9">
        <v>40.200000000000003</v>
      </c>
      <c r="C2796" s="9">
        <v>41.87</v>
      </c>
      <c r="D2796" s="9">
        <v>40.200000000000003</v>
      </c>
      <c r="E2796" s="9">
        <v>41.78</v>
      </c>
      <c r="F2796" s="9">
        <v>24679000</v>
      </c>
      <c r="G2796" s="9">
        <v>20.89</v>
      </c>
    </row>
    <row r="2797" spans="1:7" x14ac:dyDescent="0.25">
      <c r="A2797" s="101">
        <v>37946</v>
      </c>
      <c r="B2797" s="9">
        <v>39.29</v>
      </c>
      <c r="C2797" s="9">
        <v>39.72</v>
      </c>
      <c r="D2797" s="9">
        <v>38.700000000000003</v>
      </c>
      <c r="E2797" s="9">
        <v>39.479999999999997</v>
      </c>
      <c r="F2797" s="9">
        <v>20227200</v>
      </c>
      <c r="G2797" s="9">
        <v>19.739999999999998</v>
      </c>
    </row>
    <row r="2798" spans="1:7" x14ac:dyDescent="0.25">
      <c r="A2798" s="101">
        <v>37945</v>
      </c>
      <c r="B2798" s="9">
        <v>38.909999999999997</v>
      </c>
      <c r="C2798" s="9">
        <v>39.96</v>
      </c>
      <c r="D2798" s="9">
        <v>38.630000000000003</v>
      </c>
      <c r="E2798" s="9">
        <v>38.69</v>
      </c>
      <c r="F2798" s="9">
        <v>21760400</v>
      </c>
      <c r="G2798" s="9">
        <v>19.34</v>
      </c>
    </row>
    <row r="2799" spans="1:7" x14ac:dyDescent="0.25">
      <c r="A2799" s="101">
        <v>37944</v>
      </c>
      <c r="B2799" s="9">
        <v>38.479999999999997</v>
      </c>
      <c r="C2799" s="9">
        <v>39.61</v>
      </c>
      <c r="D2799" s="9">
        <v>38.200000000000003</v>
      </c>
      <c r="E2799" s="9">
        <v>39.270000000000003</v>
      </c>
      <c r="F2799" s="9">
        <v>37942000</v>
      </c>
      <c r="G2799" s="9">
        <v>19.64</v>
      </c>
    </row>
    <row r="2800" spans="1:7" x14ac:dyDescent="0.25">
      <c r="A2800" s="101">
        <v>37943</v>
      </c>
      <c r="B2800" s="9">
        <v>40.75</v>
      </c>
      <c r="C2800" s="9">
        <v>40.99</v>
      </c>
      <c r="D2800" s="9">
        <v>37.950000000000003</v>
      </c>
      <c r="E2800" s="9">
        <v>38.01</v>
      </c>
      <c r="F2800" s="9">
        <v>35245800</v>
      </c>
      <c r="G2800" s="9">
        <v>19</v>
      </c>
    </row>
    <row r="2801" spans="1:7" x14ac:dyDescent="0.25">
      <c r="A2801" s="101">
        <v>37942</v>
      </c>
      <c r="B2801" s="9">
        <v>40.92</v>
      </c>
      <c r="C2801" s="9">
        <v>41.08</v>
      </c>
      <c r="D2801" s="9">
        <v>38.68</v>
      </c>
      <c r="E2801" s="9">
        <v>40.36</v>
      </c>
      <c r="F2801" s="9">
        <v>42204400</v>
      </c>
      <c r="G2801" s="9">
        <v>20.18</v>
      </c>
    </row>
    <row r="2802" spans="1:7" x14ac:dyDescent="0.25">
      <c r="A2802" s="101">
        <v>37939</v>
      </c>
      <c r="B2802" s="9">
        <v>42.88</v>
      </c>
      <c r="C2802" s="9">
        <v>43.37</v>
      </c>
      <c r="D2802" s="9">
        <v>41.52</v>
      </c>
      <c r="E2802" s="9">
        <v>41.63</v>
      </c>
      <c r="F2802" s="9">
        <v>18739600</v>
      </c>
      <c r="G2802" s="9">
        <v>20.82</v>
      </c>
    </row>
    <row r="2803" spans="1:7" x14ac:dyDescent="0.25">
      <c r="A2803" s="101">
        <v>37938</v>
      </c>
      <c r="B2803" s="9">
        <v>42.36</v>
      </c>
      <c r="C2803" s="9">
        <v>43.59</v>
      </c>
      <c r="D2803" s="9">
        <v>42.06</v>
      </c>
      <c r="E2803" s="9">
        <v>43.3</v>
      </c>
      <c r="F2803" s="9">
        <v>19295200</v>
      </c>
      <c r="G2803" s="9">
        <v>21.65</v>
      </c>
    </row>
    <row r="2804" spans="1:7" x14ac:dyDescent="0.25">
      <c r="A2804" s="101">
        <v>37937</v>
      </c>
      <c r="B2804" s="9">
        <v>40.57</v>
      </c>
      <c r="C2804" s="9">
        <v>42.58</v>
      </c>
      <c r="D2804" s="9">
        <v>40.53</v>
      </c>
      <c r="E2804" s="9">
        <v>42.53</v>
      </c>
      <c r="F2804" s="9">
        <v>21975800</v>
      </c>
      <c r="G2804" s="9">
        <v>21.26</v>
      </c>
    </row>
    <row r="2805" spans="1:7" x14ac:dyDescent="0.25">
      <c r="A2805" s="101">
        <v>37936</v>
      </c>
      <c r="B2805" s="9">
        <v>41.25</v>
      </c>
      <c r="C2805" s="9">
        <v>41.63</v>
      </c>
      <c r="D2805" s="9">
        <v>40.22</v>
      </c>
      <c r="E2805" s="9">
        <v>40.619999999999997</v>
      </c>
      <c r="F2805" s="9">
        <v>19698600</v>
      </c>
      <c r="G2805" s="9">
        <v>20.309999999999999</v>
      </c>
    </row>
    <row r="2806" spans="1:7" x14ac:dyDescent="0.25">
      <c r="A2806" s="101">
        <v>37935</v>
      </c>
      <c r="B2806" s="9">
        <v>42.3</v>
      </c>
      <c r="C2806" s="9">
        <v>42.5</v>
      </c>
      <c r="D2806" s="9">
        <v>41.2</v>
      </c>
      <c r="E2806" s="9">
        <v>41.24</v>
      </c>
      <c r="F2806" s="9">
        <v>17051200</v>
      </c>
      <c r="G2806" s="9">
        <v>20.62</v>
      </c>
    </row>
    <row r="2807" spans="1:7" x14ac:dyDescent="0.25">
      <c r="A2807" s="101">
        <v>37932</v>
      </c>
      <c r="B2807" s="9">
        <v>43.19</v>
      </c>
      <c r="C2807" s="9">
        <v>43.35</v>
      </c>
      <c r="D2807" s="9">
        <v>42.23</v>
      </c>
      <c r="E2807" s="9">
        <v>42.35</v>
      </c>
      <c r="F2807" s="9">
        <v>18215600</v>
      </c>
      <c r="G2807" s="9">
        <v>21.17</v>
      </c>
    </row>
    <row r="2808" spans="1:7" x14ac:dyDescent="0.25">
      <c r="A2808" s="101">
        <v>37931</v>
      </c>
      <c r="B2808" s="9">
        <v>43</v>
      </c>
      <c r="C2808" s="9">
        <v>43.72</v>
      </c>
      <c r="D2808" s="9">
        <v>42.55</v>
      </c>
      <c r="E2808" s="9">
        <v>42.97</v>
      </c>
      <c r="F2808" s="9">
        <v>23257200</v>
      </c>
      <c r="G2808" s="9">
        <v>21.49</v>
      </c>
    </row>
    <row r="2809" spans="1:7" x14ac:dyDescent="0.25">
      <c r="A2809" s="101">
        <v>37930</v>
      </c>
      <c r="B2809" s="9">
        <v>43</v>
      </c>
      <c r="C2809" s="9">
        <v>44.26</v>
      </c>
      <c r="D2809" s="9">
        <v>42.9</v>
      </c>
      <c r="E2809" s="9">
        <v>44.04</v>
      </c>
      <c r="F2809" s="9">
        <v>15054200</v>
      </c>
      <c r="G2809" s="9">
        <v>22.02</v>
      </c>
    </row>
    <row r="2810" spans="1:7" x14ac:dyDescent="0.25">
      <c r="A2810" s="101">
        <v>37929</v>
      </c>
      <c r="B2810" s="9">
        <v>43.9</v>
      </c>
      <c r="C2810" s="9">
        <v>44.03</v>
      </c>
      <c r="D2810" s="9">
        <v>43.3</v>
      </c>
      <c r="E2810" s="9">
        <v>43.43</v>
      </c>
      <c r="F2810" s="9">
        <v>17291800</v>
      </c>
      <c r="G2810" s="9">
        <v>21.72</v>
      </c>
    </row>
    <row r="2811" spans="1:7" x14ac:dyDescent="0.25">
      <c r="A2811" s="101">
        <v>37928</v>
      </c>
      <c r="B2811" s="9">
        <v>43.74</v>
      </c>
      <c r="C2811" s="9">
        <v>44.77</v>
      </c>
      <c r="D2811" s="9">
        <v>43.6</v>
      </c>
      <c r="E2811" s="9">
        <v>43.93</v>
      </c>
      <c r="F2811" s="9">
        <v>21367400</v>
      </c>
      <c r="G2811" s="9">
        <v>21.97</v>
      </c>
    </row>
    <row r="2812" spans="1:7" x14ac:dyDescent="0.25">
      <c r="A2812" s="101">
        <v>37925</v>
      </c>
      <c r="B2812" s="9">
        <v>43.46</v>
      </c>
      <c r="C2812" s="9">
        <v>44</v>
      </c>
      <c r="D2812" s="9">
        <v>43.19</v>
      </c>
      <c r="E2812" s="9">
        <v>43.71</v>
      </c>
      <c r="F2812" s="9">
        <v>19394000</v>
      </c>
      <c r="G2812" s="9">
        <v>21.85</v>
      </c>
    </row>
    <row r="2813" spans="1:7" x14ac:dyDescent="0.25">
      <c r="A2813" s="101">
        <v>37924</v>
      </c>
      <c r="B2813" s="9">
        <v>43.8</v>
      </c>
      <c r="C2813" s="9">
        <v>44.55</v>
      </c>
      <c r="D2813" s="9">
        <v>43.26</v>
      </c>
      <c r="E2813" s="9">
        <v>43.72</v>
      </c>
      <c r="F2813" s="9">
        <v>33259800</v>
      </c>
      <c r="G2813" s="9">
        <v>21.86</v>
      </c>
    </row>
    <row r="2814" spans="1:7" x14ac:dyDescent="0.25">
      <c r="A2814" s="101">
        <v>37923</v>
      </c>
      <c r="B2814" s="9">
        <v>42.94</v>
      </c>
      <c r="C2814" s="9">
        <v>43.98</v>
      </c>
      <c r="D2814" s="9">
        <v>42.72</v>
      </c>
      <c r="E2814" s="9">
        <v>43.08</v>
      </c>
      <c r="F2814" s="9">
        <v>27784800</v>
      </c>
      <c r="G2814" s="9">
        <v>21.54</v>
      </c>
    </row>
    <row r="2815" spans="1:7" x14ac:dyDescent="0.25">
      <c r="A2815" s="101">
        <v>37922</v>
      </c>
      <c r="B2815" s="9">
        <v>41.49</v>
      </c>
      <c r="C2815" s="9">
        <v>43.07</v>
      </c>
      <c r="D2815" s="9">
        <v>41.4</v>
      </c>
      <c r="E2815" s="9">
        <v>43.02</v>
      </c>
      <c r="F2815" s="9">
        <v>25868600</v>
      </c>
      <c r="G2815" s="9">
        <v>21.51</v>
      </c>
    </row>
    <row r="2816" spans="1:7" x14ac:dyDescent="0.25">
      <c r="A2816" s="101">
        <v>37921</v>
      </c>
      <c r="B2816" s="9">
        <v>40.799999999999997</v>
      </c>
      <c r="C2816" s="9">
        <v>41.46</v>
      </c>
      <c r="D2816" s="9">
        <v>40.61</v>
      </c>
      <c r="E2816" s="9">
        <v>41.17</v>
      </c>
      <c r="F2816" s="9">
        <v>17490000</v>
      </c>
      <c r="G2816" s="9">
        <v>20.58</v>
      </c>
    </row>
    <row r="2817" spans="1:7" x14ac:dyDescent="0.25">
      <c r="A2817" s="101">
        <v>37918</v>
      </c>
      <c r="B2817" s="9">
        <v>39.96</v>
      </c>
      <c r="C2817" s="9">
        <v>40.78</v>
      </c>
      <c r="D2817" s="9">
        <v>39.36</v>
      </c>
      <c r="E2817" s="9">
        <v>40.53</v>
      </c>
      <c r="F2817" s="9">
        <v>28786600</v>
      </c>
      <c r="G2817" s="9">
        <v>20.260000000000002</v>
      </c>
    </row>
    <row r="2818" spans="1:7" x14ac:dyDescent="0.25">
      <c r="A2818" s="101">
        <v>37917</v>
      </c>
      <c r="B2818" s="9">
        <v>41.01</v>
      </c>
      <c r="C2818" s="9">
        <v>41.25</v>
      </c>
      <c r="D2818" s="9">
        <v>39.86</v>
      </c>
      <c r="E2818" s="9">
        <v>40.4</v>
      </c>
      <c r="F2818" s="9">
        <v>34960400</v>
      </c>
      <c r="G2818" s="9">
        <v>20.2</v>
      </c>
    </row>
    <row r="2819" spans="1:7" x14ac:dyDescent="0.25">
      <c r="A2819" s="101">
        <v>37916</v>
      </c>
      <c r="B2819" s="9">
        <v>42.15</v>
      </c>
      <c r="C2819" s="9">
        <v>42.59</v>
      </c>
      <c r="D2819" s="9">
        <v>41.56</v>
      </c>
      <c r="E2819" s="9">
        <v>41.77</v>
      </c>
      <c r="F2819" s="9">
        <v>23981000</v>
      </c>
      <c r="G2819" s="9">
        <v>20.89</v>
      </c>
    </row>
    <row r="2820" spans="1:7" x14ac:dyDescent="0.25">
      <c r="A2820" s="101">
        <v>37915</v>
      </c>
      <c r="B2820" s="9">
        <v>42.1</v>
      </c>
      <c r="C2820" s="9">
        <v>43.29</v>
      </c>
      <c r="D2820" s="9">
        <v>42</v>
      </c>
      <c r="E2820" s="9">
        <v>42.82</v>
      </c>
      <c r="F2820" s="9">
        <v>22456400</v>
      </c>
      <c r="G2820" s="9">
        <v>21.41</v>
      </c>
    </row>
    <row r="2821" spans="1:7" x14ac:dyDescent="0.25">
      <c r="A2821" s="101">
        <v>37914</v>
      </c>
      <c r="B2821" s="9">
        <v>42.5</v>
      </c>
      <c r="C2821" s="9">
        <v>42.74</v>
      </c>
      <c r="D2821" s="9">
        <v>41.81</v>
      </c>
      <c r="E2821" s="9">
        <v>42.37</v>
      </c>
      <c r="F2821" s="9">
        <v>17092600</v>
      </c>
      <c r="G2821" s="9">
        <v>21.18</v>
      </c>
    </row>
    <row r="2822" spans="1:7" x14ac:dyDescent="0.25">
      <c r="A2822" s="101">
        <v>37911</v>
      </c>
      <c r="B2822" s="9">
        <v>42.53</v>
      </c>
      <c r="C2822" s="9">
        <v>42.9</v>
      </c>
      <c r="D2822" s="9">
        <v>41.61</v>
      </c>
      <c r="E2822" s="9">
        <v>42.24</v>
      </c>
      <c r="F2822" s="9">
        <v>26315000</v>
      </c>
      <c r="G2822" s="9">
        <v>21.12</v>
      </c>
    </row>
    <row r="2823" spans="1:7" x14ac:dyDescent="0.25">
      <c r="A2823" s="101">
        <v>37910</v>
      </c>
      <c r="B2823" s="9">
        <v>41.63</v>
      </c>
      <c r="C2823" s="9">
        <v>42.5</v>
      </c>
      <c r="D2823" s="9">
        <v>41.55</v>
      </c>
      <c r="E2823" s="9">
        <v>42.21</v>
      </c>
      <c r="F2823" s="9">
        <v>19299800</v>
      </c>
      <c r="G2823" s="9">
        <v>21.1</v>
      </c>
    </row>
    <row r="2824" spans="1:7" x14ac:dyDescent="0.25">
      <c r="A2824" s="101">
        <v>37909</v>
      </c>
      <c r="B2824" s="9">
        <v>42.81</v>
      </c>
      <c r="C2824" s="9">
        <v>42.81</v>
      </c>
      <c r="D2824" s="9">
        <v>41.33</v>
      </c>
      <c r="E2824" s="9">
        <v>41.43</v>
      </c>
      <c r="F2824" s="9">
        <v>23228600</v>
      </c>
      <c r="G2824" s="9">
        <v>20.72</v>
      </c>
    </row>
    <row r="2825" spans="1:7" x14ac:dyDescent="0.25">
      <c r="A2825" s="101">
        <v>37908</v>
      </c>
      <c r="B2825" s="9">
        <v>42.3</v>
      </c>
      <c r="C2825" s="9">
        <v>42.85</v>
      </c>
      <c r="D2825" s="9">
        <v>42.25</v>
      </c>
      <c r="E2825" s="9">
        <v>42.3</v>
      </c>
      <c r="F2825" s="9">
        <v>21432800</v>
      </c>
      <c r="G2825" s="9">
        <v>21.15</v>
      </c>
    </row>
    <row r="2826" spans="1:7" x14ac:dyDescent="0.25">
      <c r="A2826" s="101">
        <v>37907</v>
      </c>
      <c r="B2826" s="9">
        <v>42.9</v>
      </c>
      <c r="C2826" s="9">
        <v>43</v>
      </c>
      <c r="D2826" s="9">
        <v>42.09</v>
      </c>
      <c r="E2826" s="9">
        <v>42.9</v>
      </c>
      <c r="F2826" s="9">
        <v>25207800</v>
      </c>
      <c r="G2826" s="9">
        <v>21.45</v>
      </c>
    </row>
    <row r="2827" spans="1:7" x14ac:dyDescent="0.25">
      <c r="A2827" s="101">
        <v>37904</v>
      </c>
      <c r="B2827" s="9">
        <v>42.6</v>
      </c>
      <c r="C2827" s="9">
        <v>43.31</v>
      </c>
      <c r="D2827" s="9">
        <v>42.29</v>
      </c>
      <c r="E2827" s="9">
        <v>43.16</v>
      </c>
      <c r="F2827" s="9">
        <v>36079200</v>
      </c>
      <c r="G2827" s="9">
        <v>21.58</v>
      </c>
    </row>
    <row r="2828" spans="1:7" x14ac:dyDescent="0.25">
      <c r="A2828" s="101">
        <v>37903</v>
      </c>
      <c r="B2828" s="9">
        <v>41.4</v>
      </c>
      <c r="C2828" s="9">
        <v>43.72</v>
      </c>
      <c r="D2828" s="9">
        <v>41.2</v>
      </c>
      <c r="E2828" s="9">
        <v>42.75</v>
      </c>
      <c r="F2828" s="9">
        <v>110624800</v>
      </c>
      <c r="G2828" s="9">
        <v>21.38</v>
      </c>
    </row>
    <row r="2829" spans="1:7" x14ac:dyDescent="0.25">
      <c r="A2829" s="101">
        <v>37902</v>
      </c>
      <c r="B2829" s="9">
        <v>39.06</v>
      </c>
      <c r="C2829" s="9">
        <v>39.44</v>
      </c>
      <c r="D2829" s="9">
        <v>38.409999999999997</v>
      </c>
      <c r="E2829" s="9">
        <v>38.79</v>
      </c>
      <c r="F2829" s="9">
        <v>46509600</v>
      </c>
      <c r="G2829" s="9">
        <v>19.399999999999999</v>
      </c>
    </row>
    <row r="2830" spans="1:7" x14ac:dyDescent="0.25">
      <c r="A2830" s="101">
        <v>37901</v>
      </c>
      <c r="B2830" s="9">
        <v>39.380000000000003</v>
      </c>
      <c r="C2830" s="9">
        <v>39.9</v>
      </c>
      <c r="D2830" s="9">
        <v>38.380000000000003</v>
      </c>
      <c r="E2830" s="9">
        <v>38.93</v>
      </c>
      <c r="F2830" s="9">
        <v>43982000</v>
      </c>
      <c r="G2830" s="9">
        <v>19.47</v>
      </c>
    </row>
    <row r="2831" spans="1:7" x14ac:dyDescent="0.25">
      <c r="A2831" s="101">
        <v>37900</v>
      </c>
      <c r="B2831" s="9">
        <v>39.35</v>
      </c>
      <c r="C2831" s="9">
        <v>39.880000000000003</v>
      </c>
      <c r="D2831" s="9">
        <v>38.9</v>
      </c>
      <c r="E2831" s="9">
        <v>39.78</v>
      </c>
      <c r="F2831" s="9">
        <v>20135400</v>
      </c>
      <c r="G2831" s="9">
        <v>19.89</v>
      </c>
    </row>
    <row r="2832" spans="1:7" x14ac:dyDescent="0.25">
      <c r="A2832" s="101">
        <v>37897</v>
      </c>
      <c r="B2832" s="9">
        <v>38.96</v>
      </c>
      <c r="C2832" s="9">
        <v>39.549999999999997</v>
      </c>
      <c r="D2832" s="9">
        <v>38.49</v>
      </c>
      <c r="E2832" s="9">
        <v>39.24</v>
      </c>
      <c r="F2832" s="9">
        <v>33854800</v>
      </c>
      <c r="G2832" s="9">
        <v>19.62</v>
      </c>
    </row>
    <row r="2833" spans="1:7" x14ac:dyDescent="0.25">
      <c r="A2833" s="101">
        <v>37896</v>
      </c>
      <c r="B2833" s="9">
        <v>36.51</v>
      </c>
      <c r="C2833" s="9">
        <v>38</v>
      </c>
      <c r="D2833" s="9">
        <v>36.33</v>
      </c>
      <c r="E2833" s="9">
        <v>37.909999999999997</v>
      </c>
      <c r="F2833" s="9">
        <v>30040000</v>
      </c>
      <c r="G2833" s="9">
        <v>18.95</v>
      </c>
    </row>
    <row r="2834" spans="1:7" x14ac:dyDescent="0.25">
      <c r="A2834" s="101">
        <v>37895</v>
      </c>
      <c r="B2834" s="9">
        <v>36.1</v>
      </c>
      <c r="C2834" s="9">
        <v>36.72</v>
      </c>
      <c r="D2834" s="9">
        <v>35</v>
      </c>
      <c r="E2834" s="9">
        <v>36.4</v>
      </c>
      <c r="F2834" s="9">
        <v>35383400</v>
      </c>
      <c r="G2834" s="9">
        <v>18.2</v>
      </c>
    </row>
    <row r="2835" spans="1:7" x14ac:dyDescent="0.25">
      <c r="A2835" s="101">
        <v>37894</v>
      </c>
      <c r="B2835" s="9">
        <v>36.03</v>
      </c>
      <c r="C2835" s="9">
        <v>36.25</v>
      </c>
      <c r="D2835" s="9">
        <v>35.31</v>
      </c>
      <c r="E2835" s="9">
        <v>35.39</v>
      </c>
      <c r="F2835" s="9">
        <v>21203000</v>
      </c>
      <c r="G2835" s="9">
        <v>17.690000000000001</v>
      </c>
    </row>
    <row r="2836" spans="1:7" x14ac:dyDescent="0.25">
      <c r="A2836" s="101">
        <v>37893</v>
      </c>
      <c r="B2836" s="9">
        <v>35.42</v>
      </c>
      <c r="C2836" s="9">
        <v>36.25</v>
      </c>
      <c r="D2836" s="9">
        <v>34.96</v>
      </c>
      <c r="E2836" s="9">
        <v>36.19</v>
      </c>
      <c r="F2836" s="9">
        <v>23433600</v>
      </c>
      <c r="G2836" s="9">
        <v>18.09</v>
      </c>
    </row>
    <row r="2837" spans="1:7" x14ac:dyDescent="0.25">
      <c r="A2837" s="101">
        <v>37890</v>
      </c>
      <c r="B2837" s="9">
        <v>36.58</v>
      </c>
      <c r="C2837" s="9">
        <v>36.840000000000003</v>
      </c>
      <c r="D2837" s="9">
        <v>34.909999999999997</v>
      </c>
      <c r="E2837" s="9">
        <v>35.08</v>
      </c>
      <c r="F2837" s="9">
        <v>24548000</v>
      </c>
      <c r="G2837" s="9">
        <v>17.54</v>
      </c>
    </row>
    <row r="2838" spans="1:7" x14ac:dyDescent="0.25">
      <c r="A2838" s="101">
        <v>37889</v>
      </c>
      <c r="B2838" s="9">
        <v>36.119999999999997</v>
      </c>
      <c r="C2838" s="9">
        <v>37.450000000000003</v>
      </c>
      <c r="D2838" s="9">
        <v>35.72</v>
      </c>
      <c r="E2838" s="9">
        <v>36.53</v>
      </c>
      <c r="F2838" s="9">
        <v>27535000</v>
      </c>
      <c r="G2838" s="9">
        <v>18.260000000000002</v>
      </c>
    </row>
    <row r="2839" spans="1:7" x14ac:dyDescent="0.25">
      <c r="A2839" s="101">
        <v>37888</v>
      </c>
      <c r="B2839" s="9">
        <v>37.840000000000003</v>
      </c>
      <c r="C2839" s="9">
        <v>38.25</v>
      </c>
      <c r="D2839" s="9">
        <v>36.61</v>
      </c>
      <c r="E2839" s="9">
        <v>36.61</v>
      </c>
      <c r="F2839" s="9">
        <v>31594000</v>
      </c>
      <c r="G2839" s="9">
        <v>18.309999999999999</v>
      </c>
    </row>
    <row r="2840" spans="1:7" x14ac:dyDescent="0.25">
      <c r="A2840" s="101">
        <v>37887</v>
      </c>
      <c r="B2840" s="9">
        <v>36.700000000000003</v>
      </c>
      <c r="C2840" s="9">
        <v>38.06</v>
      </c>
      <c r="D2840" s="9">
        <v>36.65</v>
      </c>
      <c r="E2840" s="9">
        <v>37.82</v>
      </c>
      <c r="F2840" s="9">
        <v>31720600</v>
      </c>
      <c r="G2840" s="9">
        <v>18.91</v>
      </c>
    </row>
    <row r="2841" spans="1:7" x14ac:dyDescent="0.25">
      <c r="A2841" s="101">
        <v>37886</v>
      </c>
      <c r="B2841" s="9">
        <v>36.69</v>
      </c>
      <c r="C2841" s="9">
        <v>36.909999999999997</v>
      </c>
      <c r="D2841" s="9">
        <v>36.020000000000003</v>
      </c>
      <c r="E2841" s="9">
        <v>36.58</v>
      </c>
      <c r="F2841" s="9">
        <v>23126000</v>
      </c>
      <c r="G2841" s="9">
        <v>18.29</v>
      </c>
    </row>
    <row r="2842" spans="1:7" x14ac:dyDescent="0.25">
      <c r="A2842" s="101">
        <v>37883</v>
      </c>
      <c r="B2842" s="9">
        <v>37.15</v>
      </c>
      <c r="C2842" s="9">
        <v>37.799999999999997</v>
      </c>
      <c r="D2842" s="9">
        <v>36.799999999999997</v>
      </c>
      <c r="E2842" s="9">
        <v>37.24</v>
      </c>
      <c r="F2842" s="9">
        <v>23608800</v>
      </c>
      <c r="G2842" s="9">
        <v>18.62</v>
      </c>
    </row>
    <row r="2843" spans="1:7" x14ac:dyDescent="0.25">
      <c r="A2843" s="101">
        <v>37882</v>
      </c>
      <c r="B2843" s="9">
        <v>35.799999999999997</v>
      </c>
      <c r="C2843" s="9">
        <v>37.83</v>
      </c>
      <c r="D2843" s="9">
        <v>35.72</v>
      </c>
      <c r="E2843" s="9">
        <v>37.58</v>
      </c>
      <c r="F2843" s="9">
        <v>35570800</v>
      </c>
      <c r="G2843" s="9">
        <v>18.79</v>
      </c>
    </row>
    <row r="2844" spans="1:7" x14ac:dyDescent="0.25">
      <c r="A2844" s="101">
        <v>37881</v>
      </c>
      <c r="B2844" s="9">
        <v>35.71</v>
      </c>
      <c r="C2844" s="9">
        <v>36.479999999999997</v>
      </c>
      <c r="D2844" s="9">
        <v>35.36</v>
      </c>
      <c r="E2844" s="9">
        <v>36</v>
      </c>
      <c r="F2844" s="9">
        <v>25265000</v>
      </c>
      <c r="G2844" s="9">
        <v>18</v>
      </c>
    </row>
    <row r="2845" spans="1:7" x14ac:dyDescent="0.25">
      <c r="A2845" s="101">
        <v>37880</v>
      </c>
      <c r="B2845" s="9">
        <v>34.75</v>
      </c>
      <c r="C2845" s="9">
        <v>35.869999999999997</v>
      </c>
      <c r="D2845" s="9">
        <v>34.700000000000003</v>
      </c>
      <c r="E2845" s="9">
        <v>35.82</v>
      </c>
      <c r="F2845" s="9">
        <v>24541600</v>
      </c>
      <c r="G2845" s="9">
        <v>17.91</v>
      </c>
    </row>
    <row r="2846" spans="1:7" x14ac:dyDescent="0.25">
      <c r="A2846" s="101">
        <v>37879</v>
      </c>
      <c r="B2846" s="9">
        <v>34.9</v>
      </c>
      <c r="C2846" s="9">
        <v>35.07</v>
      </c>
      <c r="D2846" s="9">
        <v>34.58</v>
      </c>
      <c r="E2846" s="9">
        <v>34.630000000000003</v>
      </c>
      <c r="F2846" s="9">
        <v>12989400</v>
      </c>
      <c r="G2846" s="9">
        <v>17.32</v>
      </c>
    </row>
    <row r="2847" spans="1:7" x14ac:dyDescent="0.25">
      <c r="A2847" s="101">
        <v>37876</v>
      </c>
      <c r="B2847" s="9">
        <v>34.39</v>
      </c>
      <c r="C2847" s="9">
        <v>35.25</v>
      </c>
      <c r="D2847" s="9">
        <v>33.9</v>
      </c>
      <c r="E2847" s="9">
        <v>34.82</v>
      </c>
      <c r="F2847" s="9">
        <v>22852400</v>
      </c>
      <c r="G2847" s="9">
        <v>17.41</v>
      </c>
    </row>
    <row r="2848" spans="1:7" x14ac:dyDescent="0.25">
      <c r="A2848" s="101">
        <v>37875</v>
      </c>
      <c r="B2848" s="9">
        <v>34.75</v>
      </c>
      <c r="C2848" s="9">
        <v>34.97</v>
      </c>
      <c r="D2848" s="9">
        <v>34.06</v>
      </c>
      <c r="E2848" s="9">
        <v>34.590000000000003</v>
      </c>
      <c r="F2848" s="9">
        <v>26116000</v>
      </c>
      <c r="G2848" s="9">
        <v>17.3</v>
      </c>
    </row>
    <row r="2849" spans="1:7" x14ac:dyDescent="0.25">
      <c r="A2849" s="101">
        <v>37874</v>
      </c>
      <c r="B2849" s="9">
        <v>34.49</v>
      </c>
      <c r="C2849" s="9">
        <v>35.200000000000003</v>
      </c>
      <c r="D2849" s="9">
        <v>34.130000000000003</v>
      </c>
      <c r="E2849" s="9">
        <v>34.43</v>
      </c>
      <c r="F2849" s="9">
        <v>28382200</v>
      </c>
      <c r="G2849" s="9">
        <v>17.22</v>
      </c>
    </row>
    <row r="2850" spans="1:7" x14ac:dyDescent="0.25">
      <c r="A2850" s="101">
        <v>37873</v>
      </c>
      <c r="B2850" s="9">
        <v>35.26</v>
      </c>
      <c r="C2850" s="9">
        <v>36.799999999999997</v>
      </c>
      <c r="D2850" s="9">
        <v>34.770000000000003</v>
      </c>
      <c r="E2850" s="9">
        <v>34.99</v>
      </c>
      <c r="F2850" s="9">
        <v>47070200</v>
      </c>
      <c r="G2850" s="9">
        <v>17.5</v>
      </c>
    </row>
    <row r="2851" spans="1:7" x14ac:dyDescent="0.25">
      <c r="A2851" s="101">
        <v>37872</v>
      </c>
      <c r="B2851" s="9">
        <v>34.65</v>
      </c>
      <c r="C2851" s="9">
        <v>35.67</v>
      </c>
      <c r="D2851" s="9">
        <v>34.58</v>
      </c>
      <c r="E2851" s="9">
        <v>35.54</v>
      </c>
      <c r="F2851" s="9">
        <v>22017600</v>
      </c>
      <c r="G2851" s="9">
        <v>17.77</v>
      </c>
    </row>
    <row r="2852" spans="1:7" x14ac:dyDescent="0.25">
      <c r="A2852" s="101">
        <v>37869</v>
      </c>
      <c r="B2852" s="9">
        <v>34.35</v>
      </c>
      <c r="C2852" s="9">
        <v>35.950000000000003</v>
      </c>
      <c r="D2852" s="9">
        <v>34.299999999999997</v>
      </c>
      <c r="E2852" s="9">
        <v>34.89</v>
      </c>
      <c r="F2852" s="9">
        <v>33720800</v>
      </c>
      <c r="G2852" s="9">
        <v>17.440000000000001</v>
      </c>
    </row>
    <row r="2853" spans="1:7" x14ac:dyDescent="0.25">
      <c r="A2853" s="101">
        <v>37868</v>
      </c>
      <c r="B2853" s="9">
        <v>33.61</v>
      </c>
      <c r="C2853" s="9">
        <v>35.21</v>
      </c>
      <c r="D2853" s="9">
        <v>33.53</v>
      </c>
      <c r="E2853" s="9">
        <v>34.83</v>
      </c>
      <c r="F2853" s="9">
        <v>30600200</v>
      </c>
      <c r="G2853" s="9">
        <v>17.420000000000002</v>
      </c>
    </row>
    <row r="2854" spans="1:7" x14ac:dyDescent="0.25">
      <c r="A2854" s="101">
        <v>37867</v>
      </c>
      <c r="B2854" s="9">
        <v>34</v>
      </c>
      <c r="C2854" s="9">
        <v>34.4</v>
      </c>
      <c r="D2854" s="9">
        <v>33.43</v>
      </c>
      <c r="E2854" s="9">
        <v>33.57</v>
      </c>
      <c r="F2854" s="9">
        <v>22407600</v>
      </c>
      <c r="G2854" s="9">
        <v>16.78</v>
      </c>
    </row>
    <row r="2855" spans="1:7" x14ac:dyDescent="0.25">
      <c r="A2855" s="101">
        <v>37866</v>
      </c>
      <c r="B2855" s="9">
        <v>33.340000000000003</v>
      </c>
      <c r="C2855" s="9">
        <v>34.24</v>
      </c>
      <c r="D2855" s="9">
        <v>33.119999999999997</v>
      </c>
      <c r="E2855" s="9">
        <v>34.19</v>
      </c>
      <c r="F2855" s="9">
        <v>27526000</v>
      </c>
      <c r="G2855" s="9">
        <v>17.09</v>
      </c>
    </row>
    <row r="2856" spans="1:7" x14ac:dyDescent="0.25">
      <c r="A2856" s="101">
        <v>37862</v>
      </c>
      <c r="B2856" s="9">
        <v>32.4</v>
      </c>
      <c r="C2856" s="9">
        <v>33.4</v>
      </c>
      <c r="D2856" s="9">
        <v>32.340000000000003</v>
      </c>
      <c r="E2856" s="9">
        <v>33.39</v>
      </c>
      <c r="F2856" s="9">
        <v>16074400</v>
      </c>
      <c r="G2856" s="9">
        <v>16.690000000000001</v>
      </c>
    </row>
    <row r="2857" spans="1:7" x14ac:dyDescent="0.25">
      <c r="A2857" s="101">
        <v>37861</v>
      </c>
      <c r="B2857" s="9">
        <v>32.4</v>
      </c>
      <c r="C2857" s="9">
        <v>32.6</v>
      </c>
      <c r="D2857" s="9">
        <v>31.83</v>
      </c>
      <c r="E2857" s="9">
        <v>32.35</v>
      </c>
      <c r="F2857" s="9">
        <v>10648400</v>
      </c>
      <c r="G2857" s="9">
        <v>16.170000000000002</v>
      </c>
    </row>
    <row r="2858" spans="1:7" x14ac:dyDescent="0.25">
      <c r="A2858" s="101">
        <v>37860</v>
      </c>
      <c r="B2858" s="9">
        <v>31.89</v>
      </c>
      <c r="C2858" s="9">
        <v>32.43</v>
      </c>
      <c r="D2858" s="9">
        <v>31.83</v>
      </c>
      <c r="E2858" s="9">
        <v>32.4</v>
      </c>
      <c r="F2858" s="9">
        <v>11914800</v>
      </c>
      <c r="G2858" s="9">
        <v>16.2</v>
      </c>
    </row>
    <row r="2859" spans="1:7" x14ac:dyDescent="0.25">
      <c r="A2859" s="101">
        <v>37859</v>
      </c>
      <c r="B2859" s="9">
        <v>31.84</v>
      </c>
      <c r="C2859" s="9">
        <v>32.15</v>
      </c>
      <c r="D2859" s="9">
        <v>31.34</v>
      </c>
      <c r="E2859" s="9">
        <v>32.06</v>
      </c>
      <c r="F2859" s="9">
        <v>10715400</v>
      </c>
      <c r="G2859" s="9">
        <v>16.03</v>
      </c>
    </row>
    <row r="2860" spans="1:7" x14ac:dyDescent="0.25">
      <c r="A2860" s="101">
        <v>37858</v>
      </c>
      <c r="B2860" s="9">
        <v>31.89</v>
      </c>
      <c r="C2860" s="9">
        <v>32.08</v>
      </c>
      <c r="D2860" s="9">
        <v>31.27</v>
      </c>
      <c r="E2860" s="9">
        <v>32.06</v>
      </c>
      <c r="F2860" s="9">
        <v>10210800</v>
      </c>
      <c r="G2860" s="9">
        <v>16.03</v>
      </c>
    </row>
    <row r="2861" spans="1:7" x14ac:dyDescent="0.25">
      <c r="A2861" s="101">
        <v>37855</v>
      </c>
      <c r="B2861" s="9">
        <v>33.020000000000003</v>
      </c>
      <c r="C2861" s="9">
        <v>33.35</v>
      </c>
      <c r="D2861" s="9">
        <v>31.75</v>
      </c>
      <c r="E2861" s="9">
        <v>31.82</v>
      </c>
      <c r="F2861" s="9">
        <v>20877000</v>
      </c>
      <c r="G2861" s="9">
        <v>15.91</v>
      </c>
    </row>
    <row r="2862" spans="1:7" x14ac:dyDescent="0.25">
      <c r="A2862" s="101">
        <v>37854</v>
      </c>
      <c r="B2862" s="9">
        <v>32.299999999999997</v>
      </c>
      <c r="C2862" s="9">
        <v>32.99</v>
      </c>
      <c r="D2862" s="9">
        <v>31.98</v>
      </c>
      <c r="E2862" s="9">
        <v>32.82</v>
      </c>
      <c r="F2862" s="9">
        <v>25279000</v>
      </c>
      <c r="G2862" s="9">
        <v>16.41</v>
      </c>
    </row>
    <row r="2863" spans="1:7" x14ac:dyDescent="0.25">
      <c r="A2863" s="101">
        <v>37853</v>
      </c>
      <c r="B2863" s="9">
        <v>31.49</v>
      </c>
      <c r="C2863" s="9">
        <v>32.340000000000003</v>
      </c>
      <c r="D2863" s="9">
        <v>31.48</v>
      </c>
      <c r="E2863" s="9">
        <v>31.99</v>
      </c>
      <c r="F2863" s="9">
        <v>15894200</v>
      </c>
      <c r="G2863" s="9">
        <v>15.99</v>
      </c>
    </row>
    <row r="2864" spans="1:7" x14ac:dyDescent="0.25">
      <c r="A2864" s="101">
        <v>37852</v>
      </c>
      <c r="B2864" s="9">
        <v>31.55</v>
      </c>
      <c r="C2864" s="9">
        <v>32.29</v>
      </c>
      <c r="D2864" s="9">
        <v>31.35</v>
      </c>
      <c r="E2864" s="9">
        <v>32.03</v>
      </c>
      <c r="F2864" s="9">
        <v>27413600</v>
      </c>
      <c r="G2864" s="9">
        <v>16.010000000000002</v>
      </c>
    </row>
    <row r="2865" spans="1:7" x14ac:dyDescent="0.25">
      <c r="A2865" s="101">
        <v>37851</v>
      </c>
      <c r="B2865" s="9">
        <v>29.97</v>
      </c>
      <c r="C2865" s="9">
        <v>31.37</v>
      </c>
      <c r="D2865" s="9">
        <v>29.94</v>
      </c>
      <c r="E2865" s="9">
        <v>31.29</v>
      </c>
      <c r="F2865" s="9">
        <v>20156800</v>
      </c>
      <c r="G2865" s="9">
        <v>15.65</v>
      </c>
    </row>
    <row r="2866" spans="1:7" x14ac:dyDescent="0.25">
      <c r="A2866" s="101">
        <v>37848</v>
      </c>
      <c r="B2866" s="9">
        <v>29.89</v>
      </c>
      <c r="C2866" s="9">
        <v>30.12</v>
      </c>
      <c r="D2866" s="9">
        <v>29.58</v>
      </c>
      <c r="E2866" s="9">
        <v>29.88</v>
      </c>
      <c r="F2866" s="9">
        <v>9426000</v>
      </c>
      <c r="G2866" s="9">
        <v>14.94</v>
      </c>
    </row>
    <row r="2867" spans="1:7" x14ac:dyDescent="0.25">
      <c r="A2867" s="101">
        <v>37847</v>
      </c>
      <c r="B2867" s="9">
        <v>29.75</v>
      </c>
      <c r="C2867" s="9">
        <v>29.85</v>
      </c>
      <c r="D2867" s="9">
        <v>29.3</v>
      </c>
      <c r="E2867" s="9">
        <v>29.77</v>
      </c>
      <c r="F2867" s="9">
        <v>12646400</v>
      </c>
      <c r="G2867" s="9">
        <v>14.89</v>
      </c>
    </row>
    <row r="2868" spans="1:7" x14ac:dyDescent="0.25">
      <c r="A2868" s="101">
        <v>37846</v>
      </c>
      <c r="B2868" s="9">
        <v>29.93</v>
      </c>
      <c r="C2868" s="9">
        <v>30</v>
      </c>
      <c r="D2868" s="9">
        <v>29.32</v>
      </c>
      <c r="E2868" s="9">
        <v>29.53</v>
      </c>
      <c r="F2868" s="9">
        <v>18916400</v>
      </c>
      <c r="G2868" s="9">
        <v>14.77</v>
      </c>
    </row>
    <row r="2869" spans="1:7" x14ac:dyDescent="0.25">
      <c r="A2869" s="101">
        <v>37845</v>
      </c>
      <c r="B2869" s="9">
        <v>29.15</v>
      </c>
      <c r="C2869" s="9">
        <v>29.95</v>
      </c>
      <c r="D2869" s="9">
        <v>28.88</v>
      </c>
      <c r="E2869" s="9">
        <v>29.85</v>
      </c>
      <c r="F2869" s="9">
        <v>21168200</v>
      </c>
      <c r="G2869" s="9">
        <v>14.93</v>
      </c>
    </row>
    <row r="2870" spans="1:7" x14ac:dyDescent="0.25">
      <c r="A2870" s="101">
        <v>37844</v>
      </c>
      <c r="B2870" s="9">
        <v>28.9</v>
      </c>
      <c r="C2870" s="9">
        <v>29.2</v>
      </c>
      <c r="D2870" s="9">
        <v>28.1</v>
      </c>
      <c r="E2870" s="9">
        <v>28.9</v>
      </c>
      <c r="F2870" s="9">
        <v>17036400</v>
      </c>
      <c r="G2870" s="9">
        <v>14.45</v>
      </c>
    </row>
    <row r="2871" spans="1:7" x14ac:dyDescent="0.25">
      <c r="A2871" s="101">
        <v>37841</v>
      </c>
      <c r="B2871" s="9">
        <v>29.12</v>
      </c>
      <c r="C2871" s="9">
        <v>29.33</v>
      </c>
      <c r="D2871" s="9">
        <v>28.67</v>
      </c>
      <c r="E2871" s="9">
        <v>29</v>
      </c>
      <c r="F2871" s="9">
        <v>17129000</v>
      </c>
      <c r="G2871" s="9">
        <v>14.5</v>
      </c>
    </row>
    <row r="2872" spans="1:7" x14ac:dyDescent="0.25">
      <c r="A2872" s="101">
        <v>37840</v>
      </c>
      <c r="B2872" s="9">
        <v>29.3</v>
      </c>
      <c r="C2872" s="9">
        <v>29.4</v>
      </c>
      <c r="D2872" s="9">
        <v>28.76</v>
      </c>
      <c r="E2872" s="9">
        <v>28.87</v>
      </c>
      <c r="F2872" s="9">
        <v>20955600</v>
      </c>
      <c r="G2872" s="9">
        <v>14.44</v>
      </c>
    </row>
    <row r="2873" spans="1:7" x14ac:dyDescent="0.25">
      <c r="A2873" s="101">
        <v>37839</v>
      </c>
      <c r="B2873" s="9">
        <v>29.64</v>
      </c>
      <c r="C2873" s="9">
        <v>30.05</v>
      </c>
      <c r="D2873" s="9">
        <v>28.65</v>
      </c>
      <c r="E2873" s="9">
        <v>29.46</v>
      </c>
      <c r="F2873" s="9">
        <v>32332000</v>
      </c>
      <c r="G2873" s="9">
        <v>14.73</v>
      </c>
    </row>
    <row r="2874" spans="1:7" x14ac:dyDescent="0.25">
      <c r="A2874" s="101">
        <v>37838</v>
      </c>
      <c r="B2874" s="9">
        <v>30.66</v>
      </c>
      <c r="C2874" s="9">
        <v>31.14</v>
      </c>
      <c r="D2874" s="9">
        <v>29.71</v>
      </c>
      <c r="E2874" s="9">
        <v>29.82</v>
      </c>
      <c r="F2874" s="9">
        <v>16673200</v>
      </c>
      <c r="G2874" s="9">
        <v>14.91</v>
      </c>
    </row>
    <row r="2875" spans="1:7" x14ac:dyDescent="0.25">
      <c r="A2875" s="101">
        <v>37837</v>
      </c>
      <c r="B2875" s="9">
        <v>31.09</v>
      </c>
      <c r="C2875" s="9">
        <v>31.22</v>
      </c>
      <c r="D2875" s="9">
        <v>30.08</v>
      </c>
      <c r="E2875" s="9">
        <v>30.78</v>
      </c>
      <c r="F2875" s="9">
        <v>18394200</v>
      </c>
      <c r="G2875" s="9">
        <v>15.39</v>
      </c>
    </row>
    <row r="2876" spans="1:7" x14ac:dyDescent="0.25">
      <c r="A2876" s="101">
        <v>37834</v>
      </c>
      <c r="B2876" s="9">
        <v>31.63</v>
      </c>
      <c r="C2876" s="9">
        <v>31.8</v>
      </c>
      <c r="D2876" s="9">
        <v>31.01</v>
      </c>
      <c r="E2876" s="9">
        <v>31.46</v>
      </c>
      <c r="F2876" s="9">
        <v>15927200</v>
      </c>
      <c r="G2876" s="9">
        <v>15.73</v>
      </c>
    </row>
    <row r="2877" spans="1:7" x14ac:dyDescent="0.25">
      <c r="A2877" s="101">
        <v>37833</v>
      </c>
      <c r="B2877" s="9">
        <v>31.19</v>
      </c>
      <c r="C2877" s="9">
        <v>31.88</v>
      </c>
      <c r="D2877" s="9">
        <v>30.85</v>
      </c>
      <c r="E2877" s="9">
        <v>31.13</v>
      </c>
      <c r="F2877" s="9">
        <v>17567000</v>
      </c>
      <c r="G2877" s="9">
        <v>15.56</v>
      </c>
    </row>
    <row r="2878" spans="1:7" x14ac:dyDescent="0.25">
      <c r="A2878" s="101">
        <v>37832</v>
      </c>
      <c r="B2878" s="9">
        <v>31.71</v>
      </c>
      <c r="C2878" s="9">
        <v>31.95</v>
      </c>
      <c r="D2878" s="9">
        <v>30.61</v>
      </c>
      <c r="E2878" s="9">
        <v>30.79</v>
      </c>
      <c r="F2878" s="9">
        <v>17340800</v>
      </c>
      <c r="G2878" s="9">
        <v>15.4</v>
      </c>
    </row>
    <row r="2879" spans="1:7" x14ac:dyDescent="0.25">
      <c r="A2879" s="101">
        <v>37831</v>
      </c>
      <c r="B2879" s="9">
        <v>32.57</v>
      </c>
      <c r="C2879" s="9">
        <v>32.69</v>
      </c>
      <c r="D2879" s="9">
        <v>31.5</v>
      </c>
      <c r="E2879" s="9">
        <v>31.56</v>
      </c>
      <c r="F2879" s="9">
        <v>16949200</v>
      </c>
      <c r="G2879" s="9">
        <v>15.78</v>
      </c>
    </row>
    <row r="2880" spans="1:7" x14ac:dyDescent="0.25">
      <c r="A2880" s="101">
        <v>37830</v>
      </c>
      <c r="B2880" s="9">
        <v>32.92</v>
      </c>
      <c r="C2880" s="9">
        <v>32.979999999999997</v>
      </c>
      <c r="D2880" s="9">
        <v>32.15</v>
      </c>
      <c r="E2880" s="9">
        <v>32.56</v>
      </c>
      <c r="F2880" s="9">
        <v>13811800</v>
      </c>
      <c r="G2880" s="9">
        <v>16.28</v>
      </c>
    </row>
    <row r="2881" spans="1:7" x14ac:dyDescent="0.25">
      <c r="A2881" s="101">
        <v>37827</v>
      </c>
      <c r="B2881" s="9">
        <v>32.549999999999997</v>
      </c>
      <c r="C2881" s="9">
        <v>32.94</v>
      </c>
      <c r="D2881" s="9">
        <v>31.86</v>
      </c>
      <c r="E2881" s="9">
        <v>32.799999999999997</v>
      </c>
      <c r="F2881" s="9">
        <v>24687800</v>
      </c>
      <c r="G2881" s="9">
        <v>16.399999999999999</v>
      </c>
    </row>
    <row r="2882" spans="1:7" x14ac:dyDescent="0.25">
      <c r="A2882" s="101">
        <v>37826</v>
      </c>
      <c r="B2882" s="9">
        <v>32.65</v>
      </c>
      <c r="C2882" s="9">
        <v>33.869999999999997</v>
      </c>
      <c r="D2882" s="9">
        <v>32.409999999999997</v>
      </c>
      <c r="E2882" s="9">
        <v>33.200000000000003</v>
      </c>
      <c r="F2882" s="9">
        <v>35844000</v>
      </c>
      <c r="G2882" s="9">
        <v>16.600000000000001</v>
      </c>
    </row>
    <row r="2883" spans="1:7" x14ac:dyDescent="0.25">
      <c r="A2883" s="101">
        <v>37825</v>
      </c>
      <c r="B2883" s="9">
        <v>31.86</v>
      </c>
      <c r="C2883" s="9">
        <v>32.15</v>
      </c>
      <c r="D2883" s="9">
        <v>31.22</v>
      </c>
      <c r="E2883" s="9">
        <v>32.119999999999997</v>
      </c>
      <c r="F2883" s="9">
        <v>20317400</v>
      </c>
      <c r="G2883" s="9">
        <v>16.059999999999999</v>
      </c>
    </row>
    <row r="2884" spans="1:7" x14ac:dyDescent="0.25">
      <c r="A2884" s="101">
        <v>37824</v>
      </c>
      <c r="B2884" s="9">
        <v>31.28</v>
      </c>
      <c r="C2884" s="9">
        <v>31.4</v>
      </c>
      <c r="D2884" s="9">
        <v>30.22</v>
      </c>
      <c r="E2884" s="9">
        <v>31.25</v>
      </c>
      <c r="F2884" s="9">
        <v>25113400</v>
      </c>
      <c r="G2884" s="9">
        <v>15.62</v>
      </c>
    </row>
    <row r="2885" spans="1:7" x14ac:dyDescent="0.25">
      <c r="A2885" s="101">
        <v>37823</v>
      </c>
      <c r="B2885" s="9">
        <v>30.7</v>
      </c>
      <c r="C2885" s="9">
        <v>31.54</v>
      </c>
      <c r="D2885" s="9">
        <v>30.3</v>
      </c>
      <c r="E2885" s="9">
        <v>31.05</v>
      </c>
      <c r="F2885" s="9">
        <v>32138800</v>
      </c>
      <c r="G2885" s="9">
        <v>15.52</v>
      </c>
    </row>
    <row r="2886" spans="1:7" x14ac:dyDescent="0.25">
      <c r="A2886" s="101">
        <v>37820</v>
      </c>
      <c r="B2886" s="9">
        <v>30.99</v>
      </c>
      <c r="C2886" s="9">
        <v>31.05</v>
      </c>
      <c r="D2886" s="9">
        <v>29.56</v>
      </c>
      <c r="E2886" s="9">
        <v>29.9</v>
      </c>
      <c r="F2886" s="9">
        <v>26502200</v>
      </c>
      <c r="G2886" s="9">
        <v>14.95</v>
      </c>
    </row>
    <row r="2887" spans="1:7" x14ac:dyDescent="0.25">
      <c r="A2887" s="101">
        <v>37819</v>
      </c>
      <c r="B2887" s="9">
        <v>31.65</v>
      </c>
      <c r="C2887" s="9">
        <v>31.65</v>
      </c>
      <c r="D2887" s="9">
        <v>30.33</v>
      </c>
      <c r="E2887" s="9">
        <v>30.61</v>
      </c>
      <c r="F2887" s="9">
        <v>26308600</v>
      </c>
      <c r="G2887" s="9">
        <v>15.31</v>
      </c>
    </row>
    <row r="2888" spans="1:7" x14ac:dyDescent="0.25">
      <c r="A2888" s="101">
        <v>37818</v>
      </c>
      <c r="B2888" s="9">
        <v>32.75</v>
      </c>
      <c r="C2888" s="9">
        <v>32.799999999999997</v>
      </c>
      <c r="D2888" s="9">
        <v>31.55</v>
      </c>
      <c r="E2888" s="9">
        <v>31.85</v>
      </c>
      <c r="F2888" s="9">
        <v>19096000</v>
      </c>
      <c r="G2888" s="9">
        <v>15.93</v>
      </c>
    </row>
    <row r="2889" spans="1:7" x14ac:dyDescent="0.25">
      <c r="A2889" s="101">
        <v>37817</v>
      </c>
      <c r="B2889" s="9">
        <v>32.32</v>
      </c>
      <c r="C2889" s="9">
        <v>32.770000000000003</v>
      </c>
      <c r="D2889" s="9">
        <v>32.119999999999997</v>
      </c>
      <c r="E2889" s="9">
        <v>32.36</v>
      </c>
      <c r="F2889" s="9">
        <v>26509200</v>
      </c>
      <c r="G2889" s="9">
        <v>16.18</v>
      </c>
    </row>
    <row r="2890" spans="1:7" x14ac:dyDescent="0.25">
      <c r="A2890" s="101">
        <v>37816</v>
      </c>
      <c r="B2890" s="9">
        <v>32.9</v>
      </c>
      <c r="C2890" s="9">
        <v>33.049999999999997</v>
      </c>
      <c r="D2890" s="9">
        <v>31.51</v>
      </c>
      <c r="E2890" s="9">
        <v>32.200000000000003</v>
      </c>
      <c r="F2890" s="9">
        <v>59770600</v>
      </c>
      <c r="G2890" s="9">
        <v>16.100000000000001</v>
      </c>
    </row>
    <row r="2891" spans="1:7" x14ac:dyDescent="0.25">
      <c r="A2891" s="101">
        <v>37813</v>
      </c>
      <c r="B2891" s="9">
        <v>32.840000000000003</v>
      </c>
      <c r="C2891" s="9">
        <v>32.92</v>
      </c>
      <c r="D2891" s="9">
        <v>31.6</v>
      </c>
      <c r="E2891" s="9">
        <v>32.19</v>
      </c>
      <c r="F2891" s="9">
        <v>37147000</v>
      </c>
      <c r="G2891" s="9">
        <v>16.09</v>
      </c>
    </row>
    <row r="2892" spans="1:7" x14ac:dyDescent="0.25">
      <c r="A2892" s="101">
        <v>37812</v>
      </c>
      <c r="B2892" s="9">
        <v>32.47</v>
      </c>
      <c r="C2892" s="9">
        <v>33</v>
      </c>
      <c r="D2892" s="9">
        <v>32.15</v>
      </c>
      <c r="E2892" s="9">
        <v>32.56</v>
      </c>
      <c r="F2892" s="9">
        <v>68416800</v>
      </c>
      <c r="G2892" s="9">
        <v>16.28</v>
      </c>
    </row>
    <row r="2893" spans="1:7" x14ac:dyDescent="0.25">
      <c r="A2893" s="101">
        <v>37811</v>
      </c>
      <c r="B2893" s="9">
        <v>35.07</v>
      </c>
      <c r="C2893" s="9">
        <v>35.79</v>
      </c>
      <c r="D2893" s="9">
        <v>34.01</v>
      </c>
      <c r="E2893" s="9">
        <v>35.29</v>
      </c>
      <c r="F2893" s="9">
        <v>45663200</v>
      </c>
      <c r="G2893" s="9">
        <v>17.649999999999999</v>
      </c>
    </row>
    <row r="2894" spans="1:7" x14ac:dyDescent="0.25">
      <c r="A2894" s="101">
        <v>37810</v>
      </c>
      <c r="B2894" s="9">
        <v>35.24</v>
      </c>
      <c r="C2894" s="9">
        <v>35.44</v>
      </c>
      <c r="D2894" s="9">
        <v>34.11</v>
      </c>
      <c r="E2894" s="9">
        <v>35.1</v>
      </c>
      <c r="F2894" s="9">
        <v>32377200</v>
      </c>
      <c r="G2894" s="9">
        <v>17.55</v>
      </c>
    </row>
    <row r="2895" spans="1:7" x14ac:dyDescent="0.25">
      <c r="A2895" s="101">
        <v>37809</v>
      </c>
      <c r="B2895" s="9">
        <v>35.5</v>
      </c>
      <c r="C2895" s="9">
        <v>35.72</v>
      </c>
      <c r="D2895" s="9">
        <v>35</v>
      </c>
      <c r="E2895" s="9">
        <v>35.270000000000003</v>
      </c>
      <c r="F2895" s="9">
        <v>25475200</v>
      </c>
      <c r="G2895" s="9">
        <v>17.64</v>
      </c>
    </row>
    <row r="2896" spans="1:7" x14ac:dyDescent="0.25">
      <c r="A2896" s="101">
        <v>37805</v>
      </c>
      <c r="B2896" s="9">
        <v>33.6</v>
      </c>
      <c r="C2896" s="9">
        <v>35</v>
      </c>
      <c r="D2896" s="9">
        <v>33.6</v>
      </c>
      <c r="E2896" s="9">
        <v>34.700000000000003</v>
      </c>
      <c r="F2896" s="9">
        <v>15900600</v>
      </c>
      <c r="G2896" s="9">
        <v>17.350000000000001</v>
      </c>
    </row>
    <row r="2897" spans="1:7" x14ac:dyDescent="0.25">
      <c r="A2897" s="101">
        <v>37804</v>
      </c>
      <c r="B2897" s="9">
        <v>33.72</v>
      </c>
      <c r="C2897" s="9">
        <v>34.409999999999997</v>
      </c>
      <c r="D2897" s="9">
        <v>33.6</v>
      </c>
      <c r="E2897" s="9">
        <v>34.35</v>
      </c>
      <c r="F2897" s="9">
        <v>19565800</v>
      </c>
      <c r="G2897" s="9">
        <v>17.170000000000002</v>
      </c>
    </row>
    <row r="2898" spans="1:7" x14ac:dyDescent="0.25">
      <c r="A2898" s="101">
        <v>37803</v>
      </c>
      <c r="B2898" s="9">
        <v>32.86</v>
      </c>
      <c r="C2898" s="9">
        <v>33.65</v>
      </c>
      <c r="D2898" s="9">
        <v>32.200000000000003</v>
      </c>
      <c r="E2898" s="9">
        <v>33.64</v>
      </c>
      <c r="F2898" s="9">
        <v>20227600</v>
      </c>
      <c r="G2898" s="9">
        <v>16.82</v>
      </c>
    </row>
    <row r="2899" spans="1:7" x14ac:dyDescent="0.25">
      <c r="A2899" s="101">
        <v>37802</v>
      </c>
      <c r="B2899" s="9">
        <v>32.659999999999997</v>
      </c>
      <c r="C2899" s="9">
        <v>33.36</v>
      </c>
      <c r="D2899" s="9">
        <v>31.75</v>
      </c>
      <c r="E2899" s="9">
        <v>32.700000000000003</v>
      </c>
      <c r="F2899" s="9">
        <v>21051200</v>
      </c>
      <c r="G2899" s="9">
        <v>16.350000000000001</v>
      </c>
    </row>
    <row r="2900" spans="1:7" x14ac:dyDescent="0.25">
      <c r="A2900" s="101">
        <v>37799</v>
      </c>
      <c r="B2900" s="9">
        <v>33.1</v>
      </c>
      <c r="C2900" s="9">
        <v>33.49</v>
      </c>
      <c r="D2900" s="9">
        <v>32.18</v>
      </c>
      <c r="E2900" s="9">
        <v>32.22</v>
      </c>
      <c r="F2900" s="9">
        <v>25943200</v>
      </c>
      <c r="G2900" s="9">
        <v>16.11</v>
      </c>
    </row>
    <row r="2901" spans="1:7" x14ac:dyDescent="0.25">
      <c r="A2901" s="101">
        <v>37798</v>
      </c>
      <c r="B2901" s="9">
        <v>31.7</v>
      </c>
      <c r="C2901" s="9">
        <v>33</v>
      </c>
      <c r="D2901" s="9">
        <v>31.41</v>
      </c>
      <c r="E2901" s="9">
        <v>32.9</v>
      </c>
      <c r="F2901" s="9">
        <v>28344600</v>
      </c>
      <c r="G2901" s="9">
        <v>16.45</v>
      </c>
    </row>
    <row r="2902" spans="1:7" x14ac:dyDescent="0.25">
      <c r="A2902" s="101">
        <v>37797</v>
      </c>
      <c r="B2902" s="9">
        <v>31.2</v>
      </c>
      <c r="C2902" s="9">
        <v>32.1</v>
      </c>
      <c r="D2902" s="9">
        <v>31.17</v>
      </c>
      <c r="E2902" s="9">
        <v>31.35</v>
      </c>
      <c r="F2902" s="9">
        <v>20055600</v>
      </c>
      <c r="G2902" s="9">
        <v>15.68</v>
      </c>
    </row>
    <row r="2903" spans="1:7" x14ac:dyDescent="0.25">
      <c r="A2903" s="101">
        <v>37796</v>
      </c>
      <c r="B2903" s="9">
        <v>31.44</v>
      </c>
      <c r="C2903" s="9">
        <v>31.94</v>
      </c>
      <c r="D2903" s="9">
        <v>30.57</v>
      </c>
      <c r="E2903" s="9">
        <v>31.36</v>
      </c>
      <c r="F2903" s="9">
        <v>21847600</v>
      </c>
      <c r="G2903" s="9">
        <v>15.68</v>
      </c>
    </row>
    <row r="2904" spans="1:7" x14ac:dyDescent="0.25">
      <c r="A2904" s="101">
        <v>37795</v>
      </c>
      <c r="B2904" s="9">
        <v>31.9</v>
      </c>
      <c r="C2904" s="9">
        <v>32.15</v>
      </c>
      <c r="D2904" s="9">
        <v>31.12</v>
      </c>
      <c r="E2904" s="9">
        <v>31.52</v>
      </c>
      <c r="F2904" s="9">
        <v>17155200</v>
      </c>
      <c r="G2904" s="9">
        <v>15.76</v>
      </c>
    </row>
    <row r="2905" spans="1:7" x14ac:dyDescent="0.25">
      <c r="A2905" s="101">
        <v>37792</v>
      </c>
      <c r="B2905" s="9">
        <v>32.299999999999997</v>
      </c>
      <c r="C2905" s="9">
        <v>32.49</v>
      </c>
      <c r="D2905" s="9">
        <v>31.63</v>
      </c>
      <c r="E2905" s="9">
        <v>32.14</v>
      </c>
      <c r="F2905" s="9">
        <v>25535800</v>
      </c>
      <c r="G2905" s="9">
        <v>16.07</v>
      </c>
    </row>
    <row r="2906" spans="1:7" x14ac:dyDescent="0.25">
      <c r="A2906" s="101">
        <v>37791</v>
      </c>
      <c r="B2906" s="9">
        <v>32.11</v>
      </c>
      <c r="C2906" s="9">
        <v>33.19</v>
      </c>
      <c r="D2906" s="9">
        <v>31.5</v>
      </c>
      <c r="E2906" s="9">
        <v>31.63</v>
      </c>
      <c r="F2906" s="9">
        <v>27878200</v>
      </c>
      <c r="G2906" s="9">
        <v>15.81</v>
      </c>
    </row>
    <row r="2907" spans="1:7" x14ac:dyDescent="0.25">
      <c r="A2907" s="101">
        <v>37790</v>
      </c>
      <c r="B2907" s="9">
        <v>30.99</v>
      </c>
      <c r="C2907" s="9">
        <v>32.82</v>
      </c>
      <c r="D2907" s="9">
        <v>30.94</v>
      </c>
      <c r="E2907" s="9">
        <v>32.299999999999997</v>
      </c>
      <c r="F2907" s="9">
        <v>32913800</v>
      </c>
      <c r="G2907" s="9">
        <v>16.149999999999999</v>
      </c>
    </row>
    <row r="2908" spans="1:7" x14ac:dyDescent="0.25">
      <c r="A2908" s="101">
        <v>37789</v>
      </c>
      <c r="B2908" s="9">
        <v>30.95</v>
      </c>
      <c r="C2908" s="9">
        <v>31.62</v>
      </c>
      <c r="D2908" s="9">
        <v>30.67</v>
      </c>
      <c r="E2908" s="9">
        <v>31.42</v>
      </c>
      <c r="F2908" s="9">
        <v>27192600</v>
      </c>
      <c r="G2908" s="9">
        <v>15.71</v>
      </c>
    </row>
    <row r="2909" spans="1:7" x14ac:dyDescent="0.25">
      <c r="A2909" s="101">
        <v>37788</v>
      </c>
      <c r="B2909" s="9">
        <v>29.85</v>
      </c>
      <c r="C2909" s="9">
        <v>30.79</v>
      </c>
      <c r="D2909" s="9">
        <v>29.6</v>
      </c>
      <c r="E2909" s="9">
        <v>30.66</v>
      </c>
      <c r="F2909" s="9">
        <v>38891000</v>
      </c>
      <c r="G2909" s="9">
        <v>15.33</v>
      </c>
    </row>
    <row r="2910" spans="1:7" x14ac:dyDescent="0.25">
      <c r="A2910" s="101">
        <v>37785</v>
      </c>
      <c r="B2910" s="9">
        <v>29.63</v>
      </c>
      <c r="C2910" s="9">
        <v>29.75</v>
      </c>
      <c r="D2910" s="9">
        <v>28.56</v>
      </c>
      <c r="E2910" s="9">
        <v>28.72</v>
      </c>
      <c r="F2910" s="9">
        <v>21168000</v>
      </c>
      <c r="G2910" s="9">
        <v>14.36</v>
      </c>
    </row>
    <row r="2911" spans="1:7" x14ac:dyDescent="0.25">
      <c r="A2911" s="101">
        <v>37784</v>
      </c>
      <c r="B2911" s="9">
        <v>29.73</v>
      </c>
      <c r="C2911" s="9">
        <v>29.89</v>
      </c>
      <c r="D2911" s="9">
        <v>29.16</v>
      </c>
      <c r="E2911" s="9">
        <v>29.7</v>
      </c>
      <c r="F2911" s="9">
        <v>26566000</v>
      </c>
      <c r="G2911" s="9">
        <v>14.85</v>
      </c>
    </row>
    <row r="2912" spans="1:7" x14ac:dyDescent="0.25">
      <c r="A2912" s="101">
        <v>37783</v>
      </c>
      <c r="B2912" s="9">
        <v>28.32</v>
      </c>
      <c r="C2912" s="9">
        <v>29.95</v>
      </c>
      <c r="D2912" s="9">
        <v>28.2</v>
      </c>
      <c r="E2912" s="9">
        <v>29.6</v>
      </c>
      <c r="F2912" s="9">
        <v>39347800</v>
      </c>
      <c r="G2912" s="9">
        <v>14.8</v>
      </c>
    </row>
    <row r="2913" spans="1:7" x14ac:dyDescent="0.25">
      <c r="A2913" s="101">
        <v>37782</v>
      </c>
      <c r="B2913" s="9">
        <v>27.6</v>
      </c>
      <c r="C2913" s="9">
        <v>27.99</v>
      </c>
      <c r="D2913" s="9">
        <v>27.05</v>
      </c>
      <c r="E2913" s="9">
        <v>27.9</v>
      </c>
      <c r="F2913" s="9">
        <v>20410600</v>
      </c>
      <c r="G2913" s="9">
        <v>13.95</v>
      </c>
    </row>
    <row r="2914" spans="1:7" x14ac:dyDescent="0.25">
      <c r="A2914" s="101">
        <v>37781</v>
      </c>
      <c r="B2914" s="9">
        <v>28.55</v>
      </c>
      <c r="C2914" s="9">
        <v>28.66</v>
      </c>
      <c r="D2914" s="9">
        <v>27.35</v>
      </c>
      <c r="E2914" s="9">
        <v>27.5</v>
      </c>
      <c r="F2914" s="9">
        <v>36217400</v>
      </c>
      <c r="G2914" s="9">
        <v>13.75</v>
      </c>
    </row>
    <row r="2915" spans="1:7" x14ac:dyDescent="0.25">
      <c r="A2915" s="101">
        <v>37778</v>
      </c>
      <c r="B2915" s="9">
        <v>30.01</v>
      </c>
      <c r="C2915" s="9">
        <v>30.2</v>
      </c>
      <c r="D2915" s="9">
        <v>27.5</v>
      </c>
      <c r="E2915" s="9">
        <v>27.95</v>
      </c>
      <c r="F2915" s="9">
        <v>42757200</v>
      </c>
      <c r="G2915" s="9">
        <v>13.98</v>
      </c>
    </row>
    <row r="2916" spans="1:7" x14ac:dyDescent="0.25">
      <c r="A2916" s="101">
        <v>37777</v>
      </c>
      <c r="B2916" s="9">
        <v>29.5</v>
      </c>
      <c r="C2916" s="9">
        <v>29.53</v>
      </c>
      <c r="D2916" s="9">
        <v>28.98</v>
      </c>
      <c r="E2916" s="9">
        <v>29.39</v>
      </c>
      <c r="F2916" s="9">
        <v>19126800</v>
      </c>
      <c r="G2916" s="9">
        <v>14.69</v>
      </c>
    </row>
    <row r="2917" spans="1:7" x14ac:dyDescent="0.25">
      <c r="A2917" s="101">
        <v>37776</v>
      </c>
      <c r="B2917" s="9">
        <v>28.45</v>
      </c>
      <c r="C2917" s="9">
        <v>29.66</v>
      </c>
      <c r="D2917" s="9">
        <v>28.39</v>
      </c>
      <c r="E2917" s="9">
        <v>29.59</v>
      </c>
      <c r="F2917" s="9">
        <v>42710000</v>
      </c>
      <c r="G2917" s="9">
        <v>14.8</v>
      </c>
    </row>
    <row r="2918" spans="1:7" x14ac:dyDescent="0.25">
      <c r="A2918" s="101">
        <v>37775</v>
      </c>
      <c r="B2918" s="9">
        <v>28.93</v>
      </c>
      <c r="C2918" s="9">
        <v>28.98</v>
      </c>
      <c r="D2918" s="9">
        <v>28.23</v>
      </c>
      <c r="E2918" s="9">
        <v>28.55</v>
      </c>
      <c r="F2918" s="9">
        <v>42024400</v>
      </c>
      <c r="G2918" s="9">
        <v>14.27</v>
      </c>
    </row>
    <row r="2919" spans="1:7" x14ac:dyDescent="0.25">
      <c r="A2919" s="101">
        <v>37774</v>
      </c>
      <c r="B2919" s="9">
        <v>30.31</v>
      </c>
      <c r="C2919" s="9">
        <v>30.4</v>
      </c>
      <c r="D2919" s="9">
        <v>28.55</v>
      </c>
      <c r="E2919" s="9">
        <v>28.66</v>
      </c>
      <c r="F2919" s="9">
        <v>34546600</v>
      </c>
      <c r="G2919" s="9">
        <v>14.33</v>
      </c>
    </row>
    <row r="2920" spans="1:7" x14ac:dyDescent="0.25">
      <c r="A2920" s="101">
        <v>37771</v>
      </c>
      <c r="B2920" s="9">
        <v>30.3</v>
      </c>
      <c r="C2920" s="9">
        <v>30.36</v>
      </c>
      <c r="D2920" s="9">
        <v>29.51</v>
      </c>
      <c r="E2920" s="9">
        <v>29.84</v>
      </c>
      <c r="F2920" s="9">
        <v>32082800</v>
      </c>
      <c r="G2920" s="9">
        <v>14.92</v>
      </c>
    </row>
    <row r="2921" spans="1:7" x14ac:dyDescent="0.25">
      <c r="A2921" s="101">
        <v>37770</v>
      </c>
      <c r="B2921" s="9">
        <v>29.95</v>
      </c>
      <c r="C2921" s="9">
        <v>30.72</v>
      </c>
      <c r="D2921" s="9">
        <v>29.75</v>
      </c>
      <c r="E2921" s="9">
        <v>30.15</v>
      </c>
      <c r="F2921" s="9">
        <v>22298800</v>
      </c>
      <c r="G2921" s="9">
        <v>15.07</v>
      </c>
    </row>
    <row r="2922" spans="1:7" x14ac:dyDescent="0.25">
      <c r="A2922" s="101">
        <v>37769</v>
      </c>
      <c r="B2922" s="9">
        <v>30.01</v>
      </c>
      <c r="C2922" s="9">
        <v>30.29</v>
      </c>
      <c r="D2922" s="9">
        <v>29.58</v>
      </c>
      <c r="E2922" s="9">
        <v>29.9</v>
      </c>
      <c r="F2922" s="9">
        <v>26365200</v>
      </c>
      <c r="G2922" s="9">
        <v>14.95</v>
      </c>
    </row>
    <row r="2923" spans="1:7" x14ac:dyDescent="0.25">
      <c r="A2923" s="101">
        <v>37768</v>
      </c>
      <c r="B2923" s="9">
        <v>27.88</v>
      </c>
      <c r="C2923" s="9">
        <v>30.19</v>
      </c>
      <c r="D2923" s="9">
        <v>27.52</v>
      </c>
      <c r="E2923" s="9">
        <v>29.97</v>
      </c>
      <c r="F2923" s="9">
        <v>44754600</v>
      </c>
      <c r="G2923" s="9">
        <v>14.98</v>
      </c>
    </row>
    <row r="2924" spans="1:7" x14ac:dyDescent="0.25">
      <c r="A2924" s="101">
        <v>37764</v>
      </c>
      <c r="B2924" s="9">
        <v>27</v>
      </c>
      <c r="C2924" s="9">
        <v>28.51</v>
      </c>
      <c r="D2924" s="9">
        <v>26.9</v>
      </c>
      <c r="E2924" s="9">
        <v>28.49</v>
      </c>
      <c r="F2924" s="9">
        <v>30364200</v>
      </c>
      <c r="G2924" s="9">
        <v>14.24</v>
      </c>
    </row>
    <row r="2925" spans="1:7" x14ac:dyDescent="0.25">
      <c r="A2925" s="101">
        <v>37763</v>
      </c>
      <c r="B2925" s="9">
        <v>26.3</v>
      </c>
      <c r="C2925" s="9">
        <v>27.01</v>
      </c>
      <c r="D2925" s="9">
        <v>26.03</v>
      </c>
      <c r="E2925" s="9">
        <v>26.9</v>
      </c>
      <c r="F2925" s="9">
        <v>16879600</v>
      </c>
      <c r="G2925" s="9">
        <v>13.45</v>
      </c>
    </row>
    <row r="2926" spans="1:7" x14ac:dyDescent="0.25">
      <c r="A2926" s="101">
        <v>37762</v>
      </c>
      <c r="B2926" s="9">
        <v>26.58</v>
      </c>
      <c r="C2926" s="9">
        <v>26.65</v>
      </c>
      <c r="D2926" s="9">
        <v>25.99</v>
      </c>
      <c r="E2926" s="9">
        <v>26.18</v>
      </c>
      <c r="F2926" s="9">
        <v>19526400</v>
      </c>
      <c r="G2926" s="9">
        <v>13.09</v>
      </c>
    </row>
    <row r="2927" spans="1:7" x14ac:dyDescent="0.25">
      <c r="A2927" s="101">
        <v>37761</v>
      </c>
      <c r="B2927" s="9">
        <v>26.34</v>
      </c>
      <c r="C2927" s="9">
        <v>26.91</v>
      </c>
      <c r="D2927" s="9">
        <v>26.1</v>
      </c>
      <c r="E2927" s="9">
        <v>26.58</v>
      </c>
      <c r="F2927" s="9">
        <v>34828400</v>
      </c>
      <c r="G2927" s="9">
        <v>13.29</v>
      </c>
    </row>
    <row r="2928" spans="1:7" x14ac:dyDescent="0.25">
      <c r="A2928" s="101">
        <v>37760</v>
      </c>
      <c r="B2928" s="9">
        <v>27.47</v>
      </c>
      <c r="C2928" s="9">
        <v>27.61</v>
      </c>
      <c r="D2928" s="9">
        <v>25.75</v>
      </c>
      <c r="E2928" s="9">
        <v>25.95</v>
      </c>
      <c r="F2928" s="9">
        <v>31976400</v>
      </c>
      <c r="G2928" s="9">
        <v>12.98</v>
      </c>
    </row>
    <row r="2929" spans="1:7" x14ac:dyDescent="0.25">
      <c r="A2929" s="101">
        <v>37757</v>
      </c>
      <c r="B2929" s="9">
        <v>27.42</v>
      </c>
      <c r="C2929" s="9">
        <v>28</v>
      </c>
      <c r="D2929" s="9">
        <v>27.31</v>
      </c>
      <c r="E2929" s="9">
        <v>27.75</v>
      </c>
      <c r="F2929" s="9">
        <v>20265200</v>
      </c>
      <c r="G2929" s="9">
        <v>13.88</v>
      </c>
    </row>
    <row r="2930" spans="1:7" x14ac:dyDescent="0.25">
      <c r="A2930" s="101">
        <v>37756</v>
      </c>
      <c r="B2930" s="9">
        <v>27.08</v>
      </c>
      <c r="C2930" s="9">
        <v>27.63</v>
      </c>
      <c r="D2930" s="9">
        <v>26.78</v>
      </c>
      <c r="E2930" s="9">
        <v>27.51</v>
      </c>
      <c r="F2930" s="9">
        <v>19305400</v>
      </c>
      <c r="G2930" s="9">
        <v>13.76</v>
      </c>
    </row>
    <row r="2931" spans="1:7" x14ac:dyDescent="0.25">
      <c r="A2931" s="101">
        <v>37755</v>
      </c>
      <c r="B2931" s="9">
        <v>27.21</v>
      </c>
      <c r="C2931" s="9">
        <v>27.55</v>
      </c>
      <c r="D2931" s="9">
        <v>26.98</v>
      </c>
      <c r="E2931" s="9">
        <v>27.09</v>
      </c>
      <c r="F2931" s="9">
        <v>24530400</v>
      </c>
      <c r="G2931" s="9">
        <v>13.55</v>
      </c>
    </row>
    <row r="2932" spans="1:7" x14ac:dyDescent="0.25">
      <c r="A2932" s="101">
        <v>37754</v>
      </c>
      <c r="B2932" s="9">
        <v>25.96</v>
      </c>
      <c r="C2932" s="9">
        <v>27.68</v>
      </c>
      <c r="D2932" s="9">
        <v>25.87</v>
      </c>
      <c r="E2932" s="9">
        <v>27.22</v>
      </c>
      <c r="F2932" s="9">
        <v>40806200</v>
      </c>
      <c r="G2932" s="9">
        <v>13.61</v>
      </c>
    </row>
    <row r="2933" spans="1:7" x14ac:dyDescent="0.25">
      <c r="A2933" s="101">
        <v>37753</v>
      </c>
      <c r="B2933" s="9">
        <v>24.98</v>
      </c>
      <c r="C2933" s="9">
        <v>26.23</v>
      </c>
      <c r="D2933" s="9">
        <v>24.9</v>
      </c>
      <c r="E2933" s="9">
        <v>26.17</v>
      </c>
      <c r="F2933" s="9">
        <v>22603200</v>
      </c>
      <c r="G2933" s="9">
        <v>13.09</v>
      </c>
    </row>
    <row r="2934" spans="1:7" x14ac:dyDescent="0.25">
      <c r="A2934" s="101">
        <v>37750</v>
      </c>
      <c r="B2934" s="9">
        <v>25.13</v>
      </c>
      <c r="C2934" s="9">
        <v>25.36</v>
      </c>
      <c r="D2934" s="9">
        <v>24.73</v>
      </c>
      <c r="E2934" s="9">
        <v>25.04</v>
      </c>
      <c r="F2934" s="9">
        <v>14930000</v>
      </c>
      <c r="G2934" s="9">
        <v>12.52</v>
      </c>
    </row>
    <row r="2935" spans="1:7" x14ac:dyDescent="0.25">
      <c r="A2935" s="101">
        <v>37749</v>
      </c>
      <c r="B2935" s="9">
        <v>24.65</v>
      </c>
      <c r="C2935" s="9">
        <v>25.34</v>
      </c>
      <c r="D2935" s="9">
        <v>24.47</v>
      </c>
      <c r="E2935" s="9">
        <v>25.08</v>
      </c>
      <c r="F2935" s="9">
        <v>16335200</v>
      </c>
      <c r="G2935" s="9">
        <v>12.54</v>
      </c>
    </row>
    <row r="2936" spans="1:7" x14ac:dyDescent="0.25">
      <c r="A2936" s="101">
        <v>37748</v>
      </c>
      <c r="B2936" s="9">
        <v>25.01</v>
      </c>
      <c r="C2936" s="9">
        <v>25.07</v>
      </c>
      <c r="D2936" s="9">
        <v>24.61</v>
      </c>
      <c r="E2936" s="9">
        <v>24.76</v>
      </c>
      <c r="F2936" s="9">
        <v>14273200</v>
      </c>
      <c r="G2936" s="9">
        <v>12.38</v>
      </c>
    </row>
    <row r="2937" spans="1:7" x14ac:dyDescent="0.25">
      <c r="A2937" s="101">
        <v>37747</v>
      </c>
      <c r="B2937" s="9">
        <v>25.08</v>
      </c>
      <c r="C2937" s="9">
        <v>25.5</v>
      </c>
      <c r="D2937" s="9">
        <v>24.88</v>
      </c>
      <c r="E2937" s="9">
        <v>25.15</v>
      </c>
      <c r="F2937" s="9">
        <v>19928600</v>
      </c>
      <c r="G2937" s="9">
        <v>12.57</v>
      </c>
    </row>
    <row r="2938" spans="1:7" x14ac:dyDescent="0.25">
      <c r="A2938" s="101">
        <v>37746</v>
      </c>
      <c r="B2938" s="9">
        <v>25.34</v>
      </c>
      <c r="C2938" s="9">
        <v>25.52</v>
      </c>
      <c r="D2938" s="9">
        <v>24.89</v>
      </c>
      <c r="E2938" s="9">
        <v>25.03</v>
      </c>
      <c r="F2938" s="9">
        <v>17909600</v>
      </c>
      <c r="G2938" s="9">
        <v>12.52</v>
      </c>
    </row>
    <row r="2939" spans="1:7" x14ac:dyDescent="0.25">
      <c r="A2939" s="101">
        <v>37743</v>
      </c>
      <c r="B2939" s="9">
        <v>24.75</v>
      </c>
      <c r="C2939" s="9">
        <v>25.27</v>
      </c>
      <c r="D2939" s="9">
        <v>24.58</v>
      </c>
      <c r="E2939" s="9">
        <v>25.15</v>
      </c>
      <c r="F2939" s="9">
        <v>17471000</v>
      </c>
      <c r="G2939" s="9">
        <v>12.57</v>
      </c>
    </row>
    <row r="2940" spans="1:7" x14ac:dyDescent="0.25">
      <c r="A2940" s="101">
        <v>37742</v>
      </c>
      <c r="B2940" s="9">
        <v>24.79</v>
      </c>
      <c r="C2940" s="9">
        <v>24.79</v>
      </c>
      <c r="D2940" s="9">
        <v>24.04</v>
      </c>
      <c r="E2940" s="9">
        <v>24.55</v>
      </c>
      <c r="F2940" s="9">
        <v>17440600</v>
      </c>
      <c r="G2940" s="9">
        <v>12.27</v>
      </c>
    </row>
    <row r="2941" spans="1:7" x14ac:dyDescent="0.25">
      <c r="A2941" s="101">
        <v>37741</v>
      </c>
      <c r="B2941" s="9">
        <v>24.92</v>
      </c>
      <c r="C2941" s="9">
        <v>25.25</v>
      </c>
      <c r="D2941" s="9">
        <v>24.63</v>
      </c>
      <c r="E2941" s="9">
        <v>24.77</v>
      </c>
      <c r="F2941" s="9">
        <v>16177800</v>
      </c>
      <c r="G2941" s="9">
        <v>12.39</v>
      </c>
    </row>
    <row r="2942" spans="1:7" x14ac:dyDescent="0.25">
      <c r="A2942" s="101">
        <v>37740</v>
      </c>
      <c r="B2942" s="9">
        <v>25.22</v>
      </c>
      <c r="C2942" s="9">
        <v>25.57</v>
      </c>
      <c r="D2942" s="9">
        <v>24.76</v>
      </c>
      <c r="E2942" s="9">
        <v>25.01</v>
      </c>
      <c r="F2942" s="9">
        <v>15976400</v>
      </c>
      <c r="G2942" s="9">
        <v>12.51</v>
      </c>
    </row>
    <row r="2943" spans="1:7" x14ac:dyDescent="0.25">
      <c r="A2943" s="101">
        <v>37739</v>
      </c>
      <c r="B2943" s="9">
        <v>25.2</v>
      </c>
      <c r="C2943" s="9">
        <v>25.43</v>
      </c>
      <c r="D2943" s="9">
        <v>24.55</v>
      </c>
      <c r="E2943" s="9">
        <v>25.29</v>
      </c>
      <c r="F2943" s="9">
        <v>19463400</v>
      </c>
      <c r="G2943" s="9">
        <v>12.65</v>
      </c>
    </row>
    <row r="2944" spans="1:7" x14ac:dyDescent="0.25">
      <c r="A2944" s="101">
        <v>37736</v>
      </c>
      <c r="B2944" s="9">
        <v>25.8</v>
      </c>
      <c r="C2944" s="9">
        <v>25.83</v>
      </c>
      <c r="D2944" s="9">
        <v>24.84</v>
      </c>
      <c r="E2944" s="9">
        <v>24.96</v>
      </c>
      <c r="F2944" s="9">
        <v>23921800</v>
      </c>
      <c r="G2944" s="9">
        <v>12.48</v>
      </c>
    </row>
    <row r="2945" spans="1:7" x14ac:dyDescent="0.25">
      <c r="A2945" s="101">
        <v>37735</v>
      </c>
      <c r="B2945" s="9">
        <v>25.19</v>
      </c>
      <c r="C2945" s="9">
        <v>25.7</v>
      </c>
      <c r="D2945" s="9">
        <v>25.07</v>
      </c>
      <c r="E2945" s="9">
        <v>25.45</v>
      </c>
      <c r="F2945" s="9">
        <v>18209600</v>
      </c>
      <c r="G2945" s="9">
        <v>12.73</v>
      </c>
    </row>
    <row r="2946" spans="1:7" x14ac:dyDescent="0.25">
      <c r="A2946" s="101">
        <v>37734</v>
      </c>
      <c r="B2946" s="9">
        <v>25.76</v>
      </c>
      <c r="C2946" s="9">
        <v>26.25</v>
      </c>
      <c r="D2946" s="9">
        <v>25.42</v>
      </c>
      <c r="E2946" s="9">
        <v>25.6</v>
      </c>
      <c r="F2946" s="9">
        <v>24810000</v>
      </c>
      <c r="G2946" s="9">
        <v>12.8</v>
      </c>
    </row>
    <row r="2947" spans="1:7" x14ac:dyDescent="0.25">
      <c r="A2947" s="101">
        <v>37733</v>
      </c>
      <c r="B2947" s="9">
        <v>25.12</v>
      </c>
      <c r="C2947" s="9">
        <v>25.74</v>
      </c>
      <c r="D2947" s="9">
        <v>24.95</v>
      </c>
      <c r="E2947" s="9">
        <v>25.66</v>
      </c>
      <c r="F2947" s="9">
        <v>22454200</v>
      </c>
      <c r="G2947" s="9">
        <v>12.83</v>
      </c>
    </row>
    <row r="2948" spans="1:7" x14ac:dyDescent="0.25">
      <c r="A2948" s="101">
        <v>37732</v>
      </c>
      <c r="B2948" s="9">
        <v>25</v>
      </c>
      <c r="C2948" s="9">
        <v>25.67</v>
      </c>
      <c r="D2948" s="9">
        <v>24.85</v>
      </c>
      <c r="E2948" s="9">
        <v>25.41</v>
      </c>
      <c r="F2948" s="9">
        <v>22762800</v>
      </c>
      <c r="G2948" s="9">
        <v>12.7</v>
      </c>
    </row>
    <row r="2949" spans="1:7" x14ac:dyDescent="0.25">
      <c r="A2949" s="101">
        <v>37728</v>
      </c>
      <c r="B2949" s="9">
        <v>24.71</v>
      </c>
      <c r="C2949" s="9">
        <v>25.1</v>
      </c>
      <c r="D2949" s="9">
        <v>24.55</v>
      </c>
      <c r="E2949" s="9">
        <v>25.09</v>
      </c>
      <c r="F2949" s="9">
        <v>22127000</v>
      </c>
      <c r="G2949" s="9">
        <v>12.55</v>
      </c>
    </row>
    <row r="2950" spans="1:7" x14ac:dyDescent="0.25">
      <c r="A2950" s="101">
        <v>37727</v>
      </c>
      <c r="B2950" s="9">
        <v>25.01</v>
      </c>
      <c r="C2950" s="9">
        <v>25.25</v>
      </c>
      <c r="D2950" s="9">
        <v>24.47</v>
      </c>
      <c r="E2950" s="9">
        <v>24.67</v>
      </c>
      <c r="F2950" s="9">
        <v>27588600</v>
      </c>
      <c r="G2950" s="9">
        <v>12.34</v>
      </c>
    </row>
    <row r="2951" spans="1:7" x14ac:dyDescent="0.25">
      <c r="A2951" s="101">
        <v>37726</v>
      </c>
      <c r="B2951" s="9">
        <v>24.12</v>
      </c>
      <c r="C2951" s="9">
        <v>25</v>
      </c>
      <c r="D2951" s="9">
        <v>24.08</v>
      </c>
      <c r="E2951" s="9">
        <v>24.81</v>
      </c>
      <c r="F2951" s="9">
        <v>27799400</v>
      </c>
      <c r="G2951" s="9">
        <v>12.4</v>
      </c>
    </row>
    <row r="2952" spans="1:7" x14ac:dyDescent="0.25">
      <c r="A2952" s="101">
        <v>37725</v>
      </c>
      <c r="B2952" s="9">
        <v>23.79</v>
      </c>
      <c r="C2952" s="9">
        <v>24.45</v>
      </c>
      <c r="D2952" s="9">
        <v>23.66</v>
      </c>
      <c r="E2952" s="9">
        <v>24.35</v>
      </c>
      <c r="F2952" s="9">
        <v>30561000</v>
      </c>
      <c r="G2952" s="9">
        <v>12.18</v>
      </c>
    </row>
    <row r="2953" spans="1:7" x14ac:dyDescent="0.25">
      <c r="A2953" s="101">
        <v>37722</v>
      </c>
      <c r="B2953" s="9">
        <v>24.35</v>
      </c>
      <c r="C2953" s="9">
        <v>24.93</v>
      </c>
      <c r="D2953" s="9">
        <v>23.55</v>
      </c>
      <c r="E2953" s="9">
        <v>24.43</v>
      </c>
      <c r="F2953" s="9">
        <v>44018000</v>
      </c>
      <c r="G2953" s="9">
        <v>12.22</v>
      </c>
    </row>
    <row r="2954" spans="1:7" x14ac:dyDescent="0.25">
      <c r="A2954" s="101">
        <v>37721</v>
      </c>
      <c r="B2954" s="9">
        <v>23.72</v>
      </c>
      <c r="C2954" s="9">
        <v>24.37</v>
      </c>
      <c r="D2954" s="9">
        <v>23.13</v>
      </c>
      <c r="E2954" s="9">
        <v>24.27</v>
      </c>
      <c r="F2954" s="9">
        <v>72957000</v>
      </c>
      <c r="G2954" s="9">
        <v>12.14</v>
      </c>
    </row>
    <row r="2955" spans="1:7" x14ac:dyDescent="0.25">
      <c r="A2955" s="101">
        <v>37720</v>
      </c>
      <c r="B2955" s="9">
        <v>23.81</v>
      </c>
      <c r="C2955" s="9">
        <v>23.91</v>
      </c>
      <c r="D2955" s="9">
        <v>22.64</v>
      </c>
      <c r="E2955" s="9">
        <v>22.87</v>
      </c>
      <c r="F2955" s="9">
        <v>48223400</v>
      </c>
      <c r="G2955" s="9">
        <v>11.44</v>
      </c>
    </row>
    <row r="2956" spans="1:7" x14ac:dyDescent="0.25">
      <c r="A2956" s="101">
        <v>37719</v>
      </c>
      <c r="B2956" s="9">
        <v>24.18</v>
      </c>
      <c r="C2956" s="9">
        <v>24.23</v>
      </c>
      <c r="D2956" s="9">
        <v>23.64</v>
      </c>
      <c r="E2956" s="9">
        <v>23.81</v>
      </c>
      <c r="F2956" s="9">
        <v>25371000</v>
      </c>
      <c r="G2956" s="9">
        <v>11.9</v>
      </c>
    </row>
    <row r="2957" spans="1:7" x14ac:dyDescent="0.25">
      <c r="A2957" s="101">
        <v>37718</v>
      </c>
      <c r="B2957" s="9">
        <v>25.02</v>
      </c>
      <c r="C2957" s="9">
        <v>25.25</v>
      </c>
      <c r="D2957" s="9">
        <v>23.94</v>
      </c>
      <c r="E2957" s="9">
        <v>24</v>
      </c>
      <c r="F2957" s="9">
        <v>35569400</v>
      </c>
      <c r="G2957" s="9">
        <v>12</v>
      </c>
    </row>
    <row r="2958" spans="1:7" x14ac:dyDescent="0.25">
      <c r="A2958" s="101">
        <v>37715</v>
      </c>
      <c r="B2958" s="9">
        <v>24.05</v>
      </c>
      <c r="C2958" s="9">
        <v>24.19</v>
      </c>
      <c r="D2958" s="9">
        <v>23.11</v>
      </c>
      <c r="E2958" s="9">
        <v>24.05</v>
      </c>
      <c r="F2958" s="9">
        <v>49753200</v>
      </c>
      <c r="G2958" s="9">
        <v>12.02</v>
      </c>
    </row>
    <row r="2959" spans="1:7" x14ac:dyDescent="0.25">
      <c r="A2959" s="101">
        <v>37714</v>
      </c>
      <c r="B2959" s="9">
        <v>24.05</v>
      </c>
      <c r="C2959" s="9">
        <v>24.78</v>
      </c>
      <c r="D2959" s="9">
        <v>23.32</v>
      </c>
      <c r="E2959" s="9">
        <v>24.34</v>
      </c>
      <c r="F2959" s="9">
        <v>27701400</v>
      </c>
      <c r="G2959" s="9">
        <v>12.17</v>
      </c>
    </row>
    <row r="2960" spans="1:7" x14ac:dyDescent="0.25">
      <c r="A2960" s="101">
        <v>37713</v>
      </c>
      <c r="B2960" s="9">
        <v>23.04</v>
      </c>
      <c r="C2960" s="9">
        <v>23.91</v>
      </c>
      <c r="D2960" s="9">
        <v>22.67</v>
      </c>
      <c r="E2960" s="9">
        <v>23.74</v>
      </c>
      <c r="F2960" s="9">
        <v>37083400</v>
      </c>
      <c r="G2960" s="9">
        <v>11.87</v>
      </c>
    </row>
    <row r="2961" spans="1:7" x14ac:dyDescent="0.25">
      <c r="A2961" s="101">
        <v>37712</v>
      </c>
      <c r="B2961" s="9">
        <v>23.3</v>
      </c>
      <c r="C2961" s="9">
        <v>23.6</v>
      </c>
      <c r="D2961" s="9">
        <v>22.52</v>
      </c>
      <c r="E2961" s="9">
        <v>22.79</v>
      </c>
      <c r="F2961" s="9">
        <v>47505200</v>
      </c>
      <c r="G2961" s="9">
        <v>11.4</v>
      </c>
    </row>
    <row r="2962" spans="1:7" x14ac:dyDescent="0.25">
      <c r="A2962" s="101">
        <v>37711</v>
      </c>
      <c r="B2962" s="9">
        <v>23.82</v>
      </c>
      <c r="C2962" s="9">
        <v>24.39</v>
      </c>
      <c r="D2962" s="9">
        <v>23.65</v>
      </c>
      <c r="E2962" s="9">
        <v>24.02</v>
      </c>
      <c r="F2962" s="9">
        <v>27397200</v>
      </c>
      <c r="G2962" s="9">
        <v>12.01</v>
      </c>
    </row>
    <row r="2963" spans="1:7" x14ac:dyDescent="0.25">
      <c r="A2963" s="101">
        <v>37708</v>
      </c>
      <c r="B2963" s="9">
        <v>24.28</v>
      </c>
      <c r="C2963" s="9">
        <v>24.75</v>
      </c>
      <c r="D2963" s="9">
        <v>24.23</v>
      </c>
      <c r="E2963" s="9">
        <v>24.38</v>
      </c>
      <c r="F2963" s="9">
        <v>21920600</v>
      </c>
      <c r="G2963" s="9">
        <v>12.19</v>
      </c>
    </row>
    <row r="2964" spans="1:7" x14ac:dyDescent="0.25">
      <c r="A2964" s="101">
        <v>37707</v>
      </c>
      <c r="B2964" s="9">
        <v>24.7</v>
      </c>
      <c r="C2964" s="9">
        <v>24.99</v>
      </c>
      <c r="D2964" s="9">
        <v>24.25</v>
      </c>
      <c r="E2964" s="9">
        <v>24.41</v>
      </c>
      <c r="F2964" s="9">
        <v>36248400</v>
      </c>
      <c r="G2964" s="9">
        <v>12.2</v>
      </c>
    </row>
    <row r="2965" spans="1:7" x14ac:dyDescent="0.25">
      <c r="A2965" s="101">
        <v>37706</v>
      </c>
      <c r="B2965" s="9">
        <v>24.49</v>
      </c>
      <c r="C2965" s="9">
        <v>24.99</v>
      </c>
      <c r="D2965" s="9">
        <v>23.55</v>
      </c>
      <c r="E2965" s="9">
        <v>24.76</v>
      </c>
      <c r="F2965" s="9">
        <v>37575800</v>
      </c>
      <c r="G2965" s="9">
        <v>12.38</v>
      </c>
    </row>
    <row r="2966" spans="1:7" x14ac:dyDescent="0.25">
      <c r="A2966" s="101">
        <v>37705</v>
      </c>
      <c r="B2966" s="9">
        <v>23.36</v>
      </c>
      <c r="C2966" s="9">
        <v>24.54</v>
      </c>
      <c r="D2966" s="9">
        <v>23.29</v>
      </c>
      <c r="E2966" s="9">
        <v>23.62</v>
      </c>
      <c r="F2966" s="9">
        <v>35374400</v>
      </c>
      <c r="G2966" s="9">
        <v>11.81</v>
      </c>
    </row>
    <row r="2967" spans="1:7" x14ac:dyDescent="0.25">
      <c r="A2967" s="101">
        <v>37704</v>
      </c>
      <c r="B2967" s="9">
        <v>22.83</v>
      </c>
      <c r="C2967" s="9">
        <v>23.72</v>
      </c>
      <c r="D2967" s="9">
        <v>22.53</v>
      </c>
      <c r="E2967" s="9">
        <v>23.35</v>
      </c>
      <c r="F2967" s="9">
        <v>33779000</v>
      </c>
      <c r="G2967" s="9">
        <v>11.68</v>
      </c>
    </row>
    <row r="2968" spans="1:7" x14ac:dyDescent="0.25">
      <c r="A2968" s="101">
        <v>37701</v>
      </c>
      <c r="B2968" s="9">
        <v>23.58</v>
      </c>
      <c r="C2968" s="9">
        <v>24.19</v>
      </c>
      <c r="D2968" s="9">
        <v>22.93</v>
      </c>
      <c r="E2968" s="9">
        <v>23.97</v>
      </c>
      <c r="F2968" s="9">
        <v>36211200</v>
      </c>
      <c r="G2968" s="9">
        <v>11.98</v>
      </c>
    </row>
    <row r="2969" spans="1:7" x14ac:dyDescent="0.25">
      <c r="A2969" s="101">
        <v>37700</v>
      </c>
      <c r="B2969" s="9">
        <v>22.03</v>
      </c>
      <c r="C2969" s="9">
        <v>23.26</v>
      </c>
      <c r="D2969" s="9">
        <v>21.8</v>
      </c>
      <c r="E2969" s="9">
        <v>22.85</v>
      </c>
      <c r="F2969" s="9">
        <v>29435600</v>
      </c>
      <c r="G2969" s="9">
        <v>11.43</v>
      </c>
    </row>
    <row r="2970" spans="1:7" x14ac:dyDescent="0.25">
      <c r="A2970" s="101">
        <v>37699</v>
      </c>
      <c r="B2970" s="9">
        <v>22.05</v>
      </c>
      <c r="C2970" s="9">
        <v>22.37</v>
      </c>
      <c r="D2970" s="9">
        <v>21.4</v>
      </c>
      <c r="E2970" s="9">
        <v>22.21</v>
      </c>
      <c r="F2970" s="9">
        <v>24803000</v>
      </c>
      <c r="G2970" s="9">
        <v>11.1</v>
      </c>
    </row>
    <row r="2971" spans="1:7" x14ac:dyDescent="0.25">
      <c r="A2971" s="101">
        <v>37698</v>
      </c>
      <c r="B2971" s="9">
        <v>21.85</v>
      </c>
      <c r="C2971" s="9">
        <v>22.1</v>
      </c>
      <c r="D2971" s="9">
        <v>21.5</v>
      </c>
      <c r="E2971" s="9">
        <v>21.97</v>
      </c>
      <c r="F2971" s="9">
        <v>25790000</v>
      </c>
      <c r="G2971" s="9">
        <v>10.98</v>
      </c>
    </row>
    <row r="2972" spans="1:7" x14ac:dyDescent="0.25">
      <c r="A2972" s="101">
        <v>37697</v>
      </c>
      <c r="B2972" s="9">
        <v>20.12</v>
      </c>
      <c r="C2972" s="9">
        <v>22.4</v>
      </c>
      <c r="D2972" s="9">
        <v>20.09</v>
      </c>
      <c r="E2972" s="9">
        <v>22.38</v>
      </c>
      <c r="F2972" s="9">
        <v>42114000</v>
      </c>
      <c r="G2972" s="9">
        <v>11.19</v>
      </c>
    </row>
    <row r="2973" spans="1:7" x14ac:dyDescent="0.25">
      <c r="A2973" s="101">
        <v>37694</v>
      </c>
      <c r="B2973" s="9">
        <v>20.5</v>
      </c>
      <c r="C2973" s="9">
        <v>20.83</v>
      </c>
      <c r="D2973" s="9">
        <v>20.05</v>
      </c>
      <c r="E2973" s="9">
        <v>20.69</v>
      </c>
      <c r="F2973" s="9">
        <v>18290000</v>
      </c>
      <c r="G2973" s="9">
        <v>10.35</v>
      </c>
    </row>
    <row r="2974" spans="1:7" x14ac:dyDescent="0.25">
      <c r="A2974" s="101">
        <v>37693</v>
      </c>
      <c r="B2974" s="9">
        <v>19.690000000000001</v>
      </c>
      <c r="C2974" s="9">
        <v>20.48</v>
      </c>
      <c r="D2974" s="9">
        <v>19.45</v>
      </c>
      <c r="E2974" s="9">
        <v>20.25</v>
      </c>
      <c r="F2974" s="9">
        <v>23618400</v>
      </c>
      <c r="G2974" s="9">
        <v>10.119999999999999</v>
      </c>
    </row>
    <row r="2975" spans="1:7" x14ac:dyDescent="0.25">
      <c r="A2975" s="101">
        <v>37692</v>
      </c>
      <c r="B2975" s="9">
        <v>18.940000000000001</v>
      </c>
      <c r="C2975" s="9">
        <v>19.22</v>
      </c>
      <c r="D2975" s="9">
        <v>18.47</v>
      </c>
      <c r="E2975" s="9">
        <v>19.190000000000001</v>
      </c>
      <c r="F2975" s="9">
        <v>13683400</v>
      </c>
      <c r="G2975" s="9">
        <v>9.6</v>
      </c>
    </row>
    <row r="2976" spans="1:7" x14ac:dyDescent="0.25">
      <c r="A2976" s="101">
        <v>37691</v>
      </c>
      <c r="B2976" s="9">
        <v>19.260000000000002</v>
      </c>
      <c r="C2976" s="9">
        <v>19.34</v>
      </c>
      <c r="D2976" s="9">
        <v>18.82</v>
      </c>
      <c r="E2976" s="9">
        <v>18.96</v>
      </c>
      <c r="F2976" s="9">
        <v>12019800</v>
      </c>
      <c r="G2976" s="9">
        <v>9.48</v>
      </c>
    </row>
    <row r="2977" spans="1:7" x14ac:dyDescent="0.25">
      <c r="A2977" s="101">
        <v>37690</v>
      </c>
      <c r="B2977" s="9">
        <v>19.39</v>
      </c>
      <c r="C2977" s="9">
        <v>19.649999999999999</v>
      </c>
      <c r="D2977" s="9">
        <v>19.09</v>
      </c>
      <c r="E2977" s="9">
        <v>19.190000000000001</v>
      </c>
      <c r="F2977" s="9">
        <v>11862800</v>
      </c>
      <c r="G2977" s="9">
        <v>9.6</v>
      </c>
    </row>
    <row r="2978" spans="1:7" x14ac:dyDescent="0.25">
      <c r="A2978" s="101">
        <v>37687</v>
      </c>
      <c r="B2978" s="9">
        <v>19.25</v>
      </c>
      <c r="C2978" s="9">
        <v>19.670000000000002</v>
      </c>
      <c r="D2978" s="9">
        <v>18.8</v>
      </c>
      <c r="E2978" s="9">
        <v>19.62</v>
      </c>
      <c r="F2978" s="9">
        <v>20720200</v>
      </c>
      <c r="G2978" s="9">
        <v>9.81</v>
      </c>
    </row>
    <row r="2979" spans="1:7" x14ac:dyDescent="0.25">
      <c r="A2979" s="101">
        <v>37686</v>
      </c>
      <c r="B2979" s="9">
        <v>19.829999999999998</v>
      </c>
      <c r="C2979" s="9">
        <v>19.829999999999998</v>
      </c>
      <c r="D2979" s="9">
        <v>19.2</v>
      </c>
      <c r="E2979" s="9">
        <v>19.440000000000001</v>
      </c>
      <c r="F2979" s="9">
        <v>21565200</v>
      </c>
      <c r="G2979" s="9">
        <v>9.7200000000000006</v>
      </c>
    </row>
    <row r="2980" spans="1:7" x14ac:dyDescent="0.25">
      <c r="A2980" s="101">
        <v>37685</v>
      </c>
      <c r="B2980" s="9">
        <v>19.98</v>
      </c>
      <c r="C2980" s="9">
        <v>20.12</v>
      </c>
      <c r="D2980" s="9">
        <v>19.73</v>
      </c>
      <c r="E2980" s="9">
        <v>19.899999999999999</v>
      </c>
      <c r="F2980" s="9">
        <v>12279000</v>
      </c>
      <c r="G2980" s="9">
        <v>9.9499999999999993</v>
      </c>
    </row>
    <row r="2981" spans="1:7" x14ac:dyDescent="0.25">
      <c r="A2981" s="101">
        <v>37684</v>
      </c>
      <c r="B2981" s="9">
        <v>19.920000000000002</v>
      </c>
      <c r="C2981" s="9">
        <v>20.16</v>
      </c>
      <c r="D2981" s="9">
        <v>19.75</v>
      </c>
      <c r="E2981" s="9">
        <v>19.87</v>
      </c>
      <c r="F2981" s="9">
        <v>20929000</v>
      </c>
      <c r="G2981" s="9">
        <v>9.94</v>
      </c>
    </row>
    <row r="2982" spans="1:7" x14ac:dyDescent="0.25">
      <c r="A2982" s="101">
        <v>37683</v>
      </c>
      <c r="B2982" s="9">
        <v>20.79</v>
      </c>
      <c r="C2982" s="9">
        <v>21</v>
      </c>
      <c r="D2982" s="9">
        <v>19.899999999999999</v>
      </c>
      <c r="E2982" s="9">
        <v>19.920000000000002</v>
      </c>
      <c r="F2982" s="9">
        <v>26211600</v>
      </c>
      <c r="G2982" s="9">
        <v>9.9600000000000009</v>
      </c>
    </row>
    <row r="2983" spans="1:7" x14ac:dyDescent="0.25">
      <c r="A2983" s="101">
        <v>37680</v>
      </c>
      <c r="B2983" s="9">
        <v>20.03</v>
      </c>
      <c r="C2983" s="9">
        <v>20.95</v>
      </c>
      <c r="D2983" s="9">
        <v>19.98</v>
      </c>
      <c r="E2983" s="9">
        <v>20.85</v>
      </c>
      <c r="F2983" s="9">
        <v>23457000</v>
      </c>
      <c r="G2983" s="9">
        <v>10.43</v>
      </c>
    </row>
    <row r="2984" spans="1:7" x14ac:dyDescent="0.25">
      <c r="A2984" s="101">
        <v>37679</v>
      </c>
      <c r="B2984" s="9">
        <v>19.809999999999999</v>
      </c>
      <c r="C2984" s="9">
        <v>20.170000000000002</v>
      </c>
      <c r="D2984" s="9">
        <v>19.61</v>
      </c>
      <c r="E2984" s="9">
        <v>20.079999999999998</v>
      </c>
      <c r="F2984" s="9">
        <v>14893600</v>
      </c>
      <c r="G2984" s="9">
        <v>10.039999999999999</v>
      </c>
    </row>
    <row r="2985" spans="1:7" x14ac:dyDescent="0.25">
      <c r="A2985" s="101">
        <v>37678</v>
      </c>
      <c r="B2985" s="9">
        <v>19.579999999999998</v>
      </c>
      <c r="C2985" s="9">
        <v>19.96</v>
      </c>
      <c r="D2985" s="9">
        <v>19.579999999999998</v>
      </c>
      <c r="E2985" s="9">
        <v>19.71</v>
      </c>
      <c r="F2985" s="9">
        <v>15627400</v>
      </c>
      <c r="G2985" s="9">
        <v>9.85</v>
      </c>
    </row>
    <row r="2986" spans="1:7" x14ac:dyDescent="0.25">
      <c r="A2986" s="101">
        <v>37677</v>
      </c>
      <c r="B2986" s="9">
        <v>19.45</v>
      </c>
      <c r="C2986" s="9">
        <v>20</v>
      </c>
      <c r="D2986" s="9">
        <v>19.309999999999999</v>
      </c>
      <c r="E2986" s="9">
        <v>20</v>
      </c>
      <c r="F2986" s="9">
        <v>11824200</v>
      </c>
      <c r="G2986" s="9">
        <v>10</v>
      </c>
    </row>
    <row r="2987" spans="1:7" x14ac:dyDescent="0.25">
      <c r="A2987" s="101">
        <v>37676</v>
      </c>
      <c r="B2987" s="9">
        <v>19.52</v>
      </c>
      <c r="C2987" s="9">
        <v>19.96</v>
      </c>
      <c r="D2987" s="9">
        <v>19.52</v>
      </c>
      <c r="E2987" s="9">
        <v>19.670000000000002</v>
      </c>
      <c r="F2987" s="9">
        <v>9690400</v>
      </c>
      <c r="G2987" s="9">
        <v>9.84</v>
      </c>
    </row>
    <row r="2988" spans="1:7" x14ac:dyDescent="0.25">
      <c r="A2988" s="101">
        <v>37673</v>
      </c>
      <c r="B2988" s="9">
        <v>19.5</v>
      </c>
      <c r="C2988" s="9">
        <v>19.899999999999999</v>
      </c>
      <c r="D2988" s="9">
        <v>19.21</v>
      </c>
      <c r="E2988" s="9">
        <v>19.829999999999998</v>
      </c>
      <c r="F2988" s="9">
        <v>12717200</v>
      </c>
      <c r="G2988" s="9">
        <v>9.91</v>
      </c>
    </row>
    <row r="2989" spans="1:7" x14ac:dyDescent="0.25">
      <c r="A2989" s="101">
        <v>37672</v>
      </c>
      <c r="B2989" s="9">
        <v>19.41</v>
      </c>
      <c r="C2989" s="9">
        <v>19.75</v>
      </c>
      <c r="D2989" s="9">
        <v>19.309999999999999</v>
      </c>
      <c r="E2989" s="9">
        <v>19.72</v>
      </c>
      <c r="F2989" s="9">
        <v>13858000</v>
      </c>
      <c r="G2989" s="9">
        <v>9.86</v>
      </c>
    </row>
    <row r="2990" spans="1:7" x14ac:dyDescent="0.25">
      <c r="A2990" s="101">
        <v>37671</v>
      </c>
      <c r="B2990" s="9">
        <v>19.100000000000001</v>
      </c>
      <c r="C2990" s="9">
        <v>19.59</v>
      </c>
      <c r="D2990" s="9">
        <v>19.03</v>
      </c>
      <c r="E2990" s="9">
        <v>19.38</v>
      </c>
      <c r="F2990" s="9">
        <v>12852400</v>
      </c>
      <c r="G2990" s="9">
        <v>9.69</v>
      </c>
    </row>
    <row r="2991" spans="1:7" x14ac:dyDescent="0.25">
      <c r="A2991" s="101">
        <v>37670</v>
      </c>
      <c r="B2991" s="9">
        <v>18.850000000000001</v>
      </c>
      <c r="C2991" s="9">
        <v>19.600000000000001</v>
      </c>
      <c r="D2991" s="9">
        <v>18.829999999999998</v>
      </c>
      <c r="E2991" s="9">
        <v>19.489999999999998</v>
      </c>
      <c r="F2991" s="9">
        <v>17076400</v>
      </c>
      <c r="G2991" s="9">
        <v>9.74</v>
      </c>
    </row>
    <row r="2992" spans="1:7" x14ac:dyDescent="0.25">
      <c r="A2992" s="101">
        <v>37666</v>
      </c>
      <c r="B2992" s="9">
        <v>18.309999999999999</v>
      </c>
      <c r="C2992" s="9">
        <v>18.91</v>
      </c>
      <c r="D2992" s="9">
        <v>18.09</v>
      </c>
      <c r="E2992" s="9">
        <v>18.899999999999999</v>
      </c>
      <c r="F2992" s="9">
        <v>15901600</v>
      </c>
      <c r="G2992" s="9">
        <v>9.4499999999999993</v>
      </c>
    </row>
    <row r="2993" spans="1:7" x14ac:dyDescent="0.25">
      <c r="A2993" s="101">
        <v>37665</v>
      </c>
      <c r="B2993" s="9">
        <v>18.690000000000001</v>
      </c>
      <c r="C2993" s="9">
        <v>18.73</v>
      </c>
      <c r="D2993" s="9">
        <v>17.559999999999999</v>
      </c>
      <c r="E2993" s="9">
        <v>18.05</v>
      </c>
      <c r="F2993" s="9">
        <v>26697800</v>
      </c>
      <c r="G2993" s="9">
        <v>9.02</v>
      </c>
    </row>
    <row r="2994" spans="1:7" x14ac:dyDescent="0.25">
      <c r="A2994" s="101">
        <v>37664</v>
      </c>
      <c r="B2994" s="9">
        <v>18.2</v>
      </c>
      <c r="C2994" s="9">
        <v>18.600000000000001</v>
      </c>
      <c r="D2994" s="9">
        <v>18</v>
      </c>
      <c r="E2994" s="9">
        <v>18.170000000000002</v>
      </c>
      <c r="F2994" s="9">
        <v>12368000</v>
      </c>
      <c r="G2994" s="9">
        <v>9.09</v>
      </c>
    </row>
    <row r="2995" spans="1:7" x14ac:dyDescent="0.25">
      <c r="A2995" s="101">
        <v>37663</v>
      </c>
      <c r="B2995" s="9">
        <v>18</v>
      </c>
      <c r="C2995" s="9">
        <v>18.489999999999998</v>
      </c>
      <c r="D2995" s="9">
        <v>17.98</v>
      </c>
      <c r="E2995" s="9">
        <v>18.29</v>
      </c>
      <c r="F2995" s="9">
        <v>14895800</v>
      </c>
      <c r="G2995" s="9">
        <v>9.15</v>
      </c>
    </row>
    <row r="2996" spans="1:7" x14ac:dyDescent="0.25">
      <c r="A2996" s="101">
        <v>37662</v>
      </c>
      <c r="B2996" s="9">
        <v>17.57</v>
      </c>
      <c r="C2996" s="9">
        <v>17.97</v>
      </c>
      <c r="D2996" s="9">
        <v>17.46</v>
      </c>
      <c r="E2996" s="9">
        <v>17.920000000000002</v>
      </c>
      <c r="F2996" s="9">
        <v>10486400</v>
      </c>
      <c r="G2996" s="9">
        <v>8.9600000000000009</v>
      </c>
    </row>
    <row r="2997" spans="1:7" x14ac:dyDescent="0.25">
      <c r="A2997" s="101">
        <v>37659</v>
      </c>
      <c r="B2997" s="9">
        <v>17.77</v>
      </c>
      <c r="C2997" s="9">
        <v>17.850000000000001</v>
      </c>
      <c r="D2997" s="9">
        <v>17.3</v>
      </c>
      <c r="E2997" s="9">
        <v>17.54</v>
      </c>
      <c r="F2997" s="9">
        <v>14120200</v>
      </c>
      <c r="G2997" s="9">
        <v>8.77</v>
      </c>
    </row>
    <row r="2998" spans="1:7" x14ac:dyDescent="0.25">
      <c r="A2998" s="101">
        <v>37658</v>
      </c>
      <c r="B2998" s="9">
        <v>17.72</v>
      </c>
      <c r="C2998" s="9">
        <v>18.18</v>
      </c>
      <c r="D2998" s="9">
        <v>17.55</v>
      </c>
      <c r="E2998" s="9">
        <v>17.93</v>
      </c>
      <c r="F2998" s="9">
        <v>10670000</v>
      </c>
      <c r="G2998" s="9">
        <v>8.9700000000000006</v>
      </c>
    </row>
    <row r="2999" spans="1:7" x14ac:dyDescent="0.25">
      <c r="A2999" s="101">
        <v>37657</v>
      </c>
      <c r="B2999" s="9">
        <v>17.829999999999998</v>
      </c>
      <c r="C2999" s="9">
        <v>18.149999999999999</v>
      </c>
      <c r="D2999" s="9">
        <v>17.649999999999999</v>
      </c>
      <c r="E2999" s="9">
        <v>17.79</v>
      </c>
      <c r="F2999" s="9">
        <v>12986800</v>
      </c>
      <c r="G2999" s="9">
        <v>8.9</v>
      </c>
    </row>
    <row r="3000" spans="1:7" x14ac:dyDescent="0.25">
      <c r="A3000" s="101">
        <v>37656</v>
      </c>
      <c r="B3000" s="9">
        <v>17.829999999999998</v>
      </c>
      <c r="C3000" s="9">
        <v>17.86</v>
      </c>
      <c r="D3000" s="9">
        <v>17.5</v>
      </c>
      <c r="E3000" s="9">
        <v>17.75</v>
      </c>
      <c r="F3000" s="9">
        <v>11921400</v>
      </c>
      <c r="G3000" s="9">
        <v>8.8800000000000008</v>
      </c>
    </row>
    <row r="3001" spans="1:7" x14ac:dyDescent="0.25">
      <c r="A3001" s="101">
        <v>37655</v>
      </c>
      <c r="B3001" s="9">
        <v>18.05</v>
      </c>
      <c r="C3001" s="9">
        <v>18.399999999999999</v>
      </c>
      <c r="D3001" s="9">
        <v>17.93</v>
      </c>
      <c r="E3001" s="9">
        <v>17.97</v>
      </c>
      <c r="F3001" s="9">
        <v>9586600</v>
      </c>
      <c r="G3001" s="9">
        <v>8.98</v>
      </c>
    </row>
    <row r="3002" spans="1:7" x14ac:dyDescent="0.25">
      <c r="A3002" s="101">
        <v>37652</v>
      </c>
      <c r="B3002" s="9">
        <v>17.82</v>
      </c>
      <c r="C3002" s="9">
        <v>18.38</v>
      </c>
      <c r="D3002" s="9">
        <v>17.8</v>
      </c>
      <c r="E3002" s="9">
        <v>18.2</v>
      </c>
      <c r="F3002" s="9">
        <v>13286000</v>
      </c>
      <c r="G3002" s="9">
        <v>9.1</v>
      </c>
    </row>
    <row r="3003" spans="1:7" x14ac:dyDescent="0.25">
      <c r="A3003" s="101">
        <v>37651</v>
      </c>
      <c r="B3003" s="9">
        <v>18.670000000000002</v>
      </c>
      <c r="C3003" s="9">
        <v>18.850000000000001</v>
      </c>
      <c r="D3003" s="9">
        <v>18.079999999999998</v>
      </c>
      <c r="E3003" s="9">
        <v>18.09</v>
      </c>
      <c r="F3003" s="9">
        <v>10401000</v>
      </c>
      <c r="G3003" s="9">
        <v>9.0500000000000007</v>
      </c>
    </row>
    <row r="3004" spans="1:7" x14ac:dyDescent="0.25">
      <c r="A3004" s="101">
        <v>37650</v>
      </c>
      <c r="B3004" s="9">
        <v>18.41</v>
      </c>
      <c r="C3004" s="9">
        <v>18.97</v>
      </c>
      <c r="D3004" s="9">
        <v>18.16</v>
      </c>
      <c r="E3004" s="9">
        <v>18.829999999999998</v>
      </c>
      <c r="F3004" s="9">
        <v>16126800</v>
      </c>
      <c r="G3004" s="9">
        <v>9.41</v>
      </c>
    </row>
    <row r="3005" spans="1:7" x14ac:dyDescent="0.25">
      <c r="A3005" s="101">
        <v>37649</v>
      </c>
      <c r="B3005" s="9">
        <v>18.350000000000001</v>
      </c>
      <c r="C3005" s="9">
        <v>18.72</v>
      </c>
      <c r="D3005" s="9">
        <v>18.03</v>
      </c>
      <c r="E3005" s="9">
        <v>18.62</v>
      </c>
      <c r="F3005" s="9">
        <v>17630800</v>
      </c>
      <c r="G3005" s="9">
        <v>9.31</v>
      </c>
    </row>
    <row r="3006" spans="1:7" x14ac:dyDescent="0.25">
      <c r="A3006" s="101">
        <v>37648</v>
      </c>
      <c r="B3006" s="9">
        <v>18.18</v>
      </c>
      <c r="C3006" s="9">
        <v>18.77</v>
      </c>
      <c r="D3006" s="9">
        <v>18.04</v>
      </c>
      <c r="E3006" s="9">
        <v>18.11</v>
      </c>
      <c r="F3006" s="9">
        <v>18864600</v>
      </c>
      <c r="G3006" s="9">
        <v>9.06</v>
      </c>
    </row>
    <row r="3007" spans="1:7" x14ac:dyDescent="0.25">
      <c r="A3007" s="101">
        <v>37645</v>
      </c>
      <c r="B3007" s="9">
        <v>19.059999999999999</v>
      </c>
      <c r="C3007" s="9">
        <v>19.170000000000002</v>
      </c>
      <c r="D3007" s="9">
        <v>18.649999999999999</v>
      </c>
      <c r="E3007" s="9">
        <v>18.78</v>
      </c>
      <c r="F3007" s="9">
        <v>23468400</v>
      </c>
      <c r="G3007" s="9">
        <v>9.39</v>
      </c>
    </row>
    <row r="3008" spans="1:7" x14ac:dyDescent="0.25">
      <c r="A3008" s="101">
        <v>37644</v>
      </c>
      <c r="B3008" s="9">
        <v>18.850000000000001</v>
      </c>
      <c r="C3008" s="9">
        <v>19.13</v>
      </c>
      <c r="D3008" s="9">
        <v>18.559999999999999</v>
      </c>
      <c r="E3008" s="9">
        <v>19.079999999999998</v>
      </c>
      <c r="F3008" s="9">
        <v>18093400</v>
      </c>
      <c r="G3008" s="9">
        <v>9.5399999999999991</v>
      </c>
    </row>
    <row r="3009" spans="1:7" x14ac:dyDescent="0.25">
      <c r="A3009" s="101">
        <v>37643</v>
      </c>
      <c r="B3009" s="9">
        <v>17.89</v>
      </c>
      <c r="C3009" s="9">
        <v>18.75</v>
      </c>
      <c r="D3009" s="9">
        <v>17.71</v>
      </c>
      <c r="E3009" s="9">
        <v>18.48</v>
      </c>
      <c r="F3009" s="9">
        <v>23056600</v>
      </c>
      <c r="G3009" s="9">
        <v>9.24</v>
      </c>
    </row>
    <row r="3010" spans="1:7" x14ac:dyDescent="0.25">
      <c r="A3010" s="101">
        <v>37642</v>
      </c>
      <c r="B3010" s="9">
        <v>18.21</v>
      </c>
      <c r="C3010" s="9">
        <v>18.440000000000001</v>
      </c>
      <c r="D3010" s="9">
        <v>17.75</v>
      </c>
      <c r="E3010" s="9">
        <v>17.920000000000002</v>
      </c>
      <c r="F3010" s="9">
        <v>20121600</v>
      </c>
      <c r="G3010" s="9">
        <v>8.9600000000000009</v>
      </c>
    </row>
    <row r="3011" spans="1:7" x14ac:dyDescent="0.25">
      <c r="A3011" s="101">
        <v>37638</v>
      </c>
      <c r="B3011" s="9">
        <v>18.600000000000001</v>
      </c>
      <c r="C3011" s="9">
        <v>18.98</v>
      </c>
      <c r="D3011" s="9">
        <v>18.36</v>
      </c>
      <c r="E3011" s="9">
        <v>18.37</v>
      </c>
      <c r="F3011" s="9">
        <v>22038600</v>
      </c>
      <c r="G3011" s="9">
        <v>9.19</v>
      </c>
    </row>
    <row r="3012" spans="1:7" x14ac:dyDescent="0.25">
      <c r="A3012" s="101">
        <v>37637</v>
      </c>
      <c r="B3012" s="9">
        <v>18.3</v>
      </c>
      <c r="C3012" s="9">
        <v>19.489999999999998</v>
      </c>
      <c r="D3012" s="9">
        <v>18.11</v>
      </c>
      <c r="E3012" s="9">
        <v>18.75</v>
      </c>
      <c r="F3012" s="9">
        <v>58419400</v>
      </c>
      <c r="G3012" s="9">
        <v>9.3800000000000008</v>
      </c>
    </row>
    <row r="3013" spans="1:7" x14ac:dyDescent="0.25">
      <c r="A3013" s="101">
        <v>37636</v>
      </c>
      <c r="B3013" s="9">
        <v>19.97</v>
      </c>
      <c r="C3013" s="9">
        <v>20.18</v>
      </c>
      <c r="D3013" s="9">
        <v>19.489999999999998</v>
      </c>
      <c r="E3013" s="9">
        <v>19.579999999999998</v>
      </c>
      <c r="F3013" s="9">
        <v>44611000</v>
      </c>
      <c r="G3013" s="9">
        <v>9.7899999999999991</v>
      </c>
    </row>
    <row r="3014" spans="1:7" x14ac:dyDescent="0.25">
      <c r="A3014" s="101">
        <v>37635</v>
      </c>
      <c r="B3014" s="9">
        <v>19.559999999999999</v>
      </c>
      <c r="C3014" s="9">
        <v>19.84</v>
      </c>
      <c r="D3014" s="9">
        <v>19.3</v>
      </c>
      <c r="E3014" s="9">
        <v>19.7</v>
      </c>
      <c r="F3014" s="9">
        <v>16060600</v>
      </c>
      <c r="G3014" s="9">
        <v>9.85</v>
      </c>
    </row>
    <row r="3015" spans="1:7" x14ac:dyDescent="0.25">
      <c r="A3015" s="101">
        <v>37634</v>
      </c>
      <c r="B3015" s="9">
        <v>20.329999999999998</v>
      </c>
      <c r="C3015" s="9">
        <v>20.39</v>
      </c>
      <c r="D3015" s="9">
        <v>19.350000000000001</v>
      </c>
      <c r="E3015" s="9">
        <v>19.670000000000002</v>
      </c>
      <c r="F3015" s="9">
        <v>27927600</v>
      </c>
      <c r="G3015" s="9">
        <v>9.84</v>
      </c>
    </row>
    <row r="3016" spans="1:7" x14ac:dyDescent="0.25">
      <c r="A3016" s="101">
        <v>37631</v>
      </c>
      <c r="B3016" s="9">
        <v>18.8</v>
      </c>
      <c r="C3016" s="9">
        <v>20</v>
      </c>
      <c r="D3016" s="9">
        <v>18.8</v>
      </c>
      <c r="E3016" s="9">
        <v>20</v>
      </c>
      <c r="F3016" s="9">
        <v>26122600</v>
      </c>
      <c r="G3016" s="9">
        <v>10</v>
      </c>
    </row>
    <row r="3017" spans="1:7" x14ac:dyDescent="0.25">
      <c r="A3017" s="101">
        <v>37630</v>
      </c>
      <c r="B3017" s="9">
        <v>18.920000000000002</v>
      </c>
      <c r="C3017" s="9">
        <v>19.489999999999998</v>
      </c>
      <c r="D3017" s="9">
        <v>18.8</v>
      </c>
      <c r="E3017" s="9">
        <v>19.440000000000001</v>
      </c>
      <c r="F3017" s="9">
        <v>15946400</v>
      </c>
      <c r="G3017" s="9">
        <v>9.7200000000000006</v>
      </c>
    </row>
    <row r="3018" spans="1:7" x14ac:dyDescent="0.25">
      <c r="A3018" s="101">
        <v>37629</v>
      </c>
      <c r="B3018" s="9">
        <v>18.87</v>
      </c>
      <c r="C3018" s="9">
        <v>19.3</v>
      </c>
      <c r="D3018" s="9">
        <v>18.559999999999999</v>
      </c>
      <c r="E3018" s="9">
        <v>18.75</v>
      </c>
      <c r="F3018" s="9">
        <v>19244600</v>
      </c>
      <c r="G3018" s="9">
        <v>9.3800000000000008</v>
      </c>
    </row>
    <row r="3019" spans="1:7" x14ac:dyDescent="0.25">
      <c r="A3019" s="101">
        <v>37628</v>
      </c>
      <c r="B3019" s="9">
        <v>17.87</v>
      </c>
      <c r="C3019" s="9">
        <v>19.3</v>
      </c>
      <c r="D3019" s="9">
        <v>17.86</v>
      </c>
      <c r="E3019" s="9">
        <v>19.149999999999999</v>
      </c>
      <c r="F3019" s="9">
        <v>28092600</v>
      </c>
      <c r="G3019" s="9">
        <v>9.57</v>
      </c>
    </row>
    <row r="3020" spans="1:7" x14ac:dyDescent="0.25">
      <c r="A3020" s="101">
        <v>37627</v>
      </c>
      <c r="B3020" s="9">
        <v>17.850000000000001</v>
      </c>
      <c r="C3020" s="9">
        <v>19.190000000000001</v>
      </c>
      <c r="D3020" s="9">
        <v>17.78</v>
      </c>
      <c r="E3020" s="9">
        <v>18.940000000000001</v>
      </c>
      <c r="F3020" s="9">
        <v>21209400</v>
      </c>
      <c r="G3020" s="9">
        <v>9.4700000000000006</v>
      </c>
    </row>
    <row r="3021" spans="1:7" x14ac:dyDescent="0.25">
      <c r="A3021" s="101">
        <v>37624</v>
      </c>
      <c r="B3021" s="9">
        <v>17.5</v>
      </c>
      <c r="C3021" s="9">
        <v>18.350000000000001</v>
      </c>
      <c r="D3021" s="9">
        <v>17.350000000000001</v>
      </c>
      <c r="E3021" s="9">
        <v>18.100000000000001</v>
      </c>
      <c r="F3021" s="9">
        <v>15090600</v>
      </c>
      <c r="G3021" s="9">
        <v>9.0500000000000007</v>
      </c>
    </row>
    <row r="3022" spans="1:7" x14ac:dyDescent="0.25">
      <c r="A3022" s="101">
        <v>37623</v>
      </c>
      <c r="B3022" s="9">
        <v>16.59</v>
      </c>
      <c r="C3022" s="9">
        <v>17.66</v>
      </c>
      <c r="D3022" s="9">
        <v>16.5</v>
      </c>
      <c r="E3022" s="9">
        <v>17.600000000000001</v>
      </c>
      <c r="F3022" s="9">
        <v>19640400</v>
      </c>
      <c r="G3022" s="9">
        <v>8.8000000000000007</v>
      </c>
    </row>
    <row r="3023" spans="1:7" x14ac:dyDescent="0.25">
      <c r="A3023" s="101">
        <v>37621</v>
      </c>
      <c r="B3023" s="9">
        <v>16.350000000000001</v>
      </c>
      <c r="C3023" s="9">
        <v>16.62</v>
      </c>
      <c r="D3023" s="9">
        <v>16.18</v>
      </c>
      <c r="E3023" s="9">
        <v>16.350000000000001</v>
      </c>
      <c r="F3023" s="9">
        <v>8761000</v>
      </c>
      <c r="G3023" s="9">
        <v>8.18</v>
      </c>
    </row>
    <row r="3024" spans="1:7" x14ac:dyDescent="0.25">
      <c r="A3024" s="101">
        <v>37620</v>
      </c>
      <c r="B3024" s="9">
        <v>16.45</v>
      </c>
      <c r="C3024" s="9">
        <v>16.809999999999999</v>
      </c>
      <c r="D3024" s="9">
        <v>16.18</v>
      </c>
      <c r="E3024" s="9">
        <v>16.48</v>
      </c>
      <c r="F3024" s="9">
        <v>11204800</v>
      </c>
      <c r="G3024" s="9">
        <v>8.24</v>
      </c>
    </row>
    <row r="3025" spans="1:7" x14ac:dyDescent="0.25">
      <c r="A3025" s="101">
        <v>37617</v>
      </c>
      <c r="B3025" s="9">
        <v>16.86</v>
      </c>
      <c r="C3025" s="9">
        <v>17.38</v>
      </c>
      <c r="D3025" s="9">
        <v>16.43</v>
      </c>
      <c r="E3025" s="9">
        <v>16.579999999999998</v>
      </c>
      <c r="F3025" s="9">
        <v>9223400</v>
      </c>
      <c r="G3025" s="9">
        <v>8.2899999999999991</v>
      </c>
    </row>
    <row r="3026" spans="1:7" x14ac:dyDescent="0.25">
      <c r="A3026" s="101">
        <v>37616</v>
      </c>
      <c r="B3026" s="9">
        <v>17.32</v>
      </c>
      <c r="C3026" s="9">
        <v>17.54</v>
      </c>
      <c r="D3026" s="9">
        <v>16.850000000000001</v>
      </c>
      <c r="E3026" s="9">
        <v>16.95</v>
      </c>
      <c r="F3026" s="9">
        <v>9446200</v>
      </c>
      <c r="G3026" s="9">
        <v>8.48</v>
      </c>
    </row>
    <row r="3027" spans="1:7" x14ac:dyDescent="0.25">
      <c r="A3027" s="101">
        <v>37614</v>
      </c>
      <c r="B3027" s="9">
        <v>17.329999999999998</v>
      </c>
      <c r="C3027" s="9">
        <v>17.8</v>
      </c>
      <c r="D3027" s="9">
        <v>17.32</v>
      </c>
      <c r="E3027" s="9">
        <v>17.37</v>
      </c>
      <c r="F3027" s="9">
        <v>6323400</v>
      </c>
      <c r="G3027" s="9">
        <v>8.69</v>
      </c>
    </row>
    <row r="3028" spans="1:7" x14ac:dyDescent="0.25">
      <c r="A3028" s="101">
        <v>37613</v>
      </c>
      <c r="B3028" s="9">
        <v>16.8</v>
      </c>
      <c r="C3028" s="9">
        <v>17.78</v>
      </c>
      <c r="D3028" s="9">
        <v>16.57</v>
      </c>
      <c r="E3028" s="9">
        <v>17.72</v>
      </c>
      <c r="F3028" s="9">
        <v>14434400</v>
      </c>
      <c r="G3028" s="9">
        <v>8.86</v>
      </c>
    </row>
    <row r="3029" spans="1:7" x14ac:dyDescent="0.25">
      <c r="A3029" s="101">
        <v>37610</v>
      </c>
      <c r="B3029" s="9">
        <v>17.010000000000002</v>
      </c>
      <c r="C3029" s="9">
        <v>17.149999999999999</v>
      </c>
      <c r="D3029" s="9">
        <v>16.7</v>
      </c>
      <c r="E3029" s="9">
        <v>17.079999999999998</v>
      </c>
      <c r="F3029" s="9">
        <v>18247400</v>
      </c>
      <c r="G3029" s="9">
        <v>8.5399999999999991</v>
      </c>
    </row>
    <row r="3030" spans="1:7" x14ac:dyDescent="0.25">
      <c r="A3030" s="101">
        <v>37609</v>
      </c>
      <c r="B3030" s="9">
        <v>16.57</v>
      </c>
      <c r="C3030" s="9">
        <v>17.12</v>
      </c>
      <c r="D3030" s="9">
        <v>16.100000000000001</v>
      </c>
      <c r="E3030" s="9">
        <v>16.71</v>
      </c>
      <c r="F3030" s="9">
        <v>21200200</v>
      </c>
      <c r="G3030" s="9">
        <v>8.35</v>
      </c>
    </row>
    <row r="3031" spans="1:7" x14ac:dyDescent="0.25">
      <c r="A3031" s="101">
        <v>37608</v>
      </c>
      <c r="B3031" s="9">
        <v>17.22</v>
      </c>
      <c r="C3031" s="9">
        <v>17.350000000000001</v>
      </c>
      <c r="D3031" s="9">
        <v>16.59</v>
      </c>
      <c r="E3031" s="9">
        <v>16.8</v>
      </c>
      <c r="F3031" s="9">
        <v>13168600</v>
      </c>
      <c r="G3031" s="9">
        <v>8.4</v>
      </c>
    </row>
    <row r="3032" spans="1:7" x14ac:dyDescent="0.25">
      <c r="A3032" s="101">
        <v>37607</v>
      </c>
      <c r="B3032" s="9">
        <v>17.100000000000001</v>
      </c>
      <c r="C3032" s="9">
        <v>17.75</v>
      </c>
      <c r="D3032" s="9">
        <v>17.09</v>
      </c>
      <c r="E3032" s="9">
        <v>17.52</v>
      </c>
      <c r="F3032" s="9">
        <v>15719400</v>
      </c>
      <c r="G3032" s="9">
        <v>8.76</v>
      </c>
    </row>
    <row r="3033" spans="1:7" x14ac:dyDescent="0.25">
      <c r="A3033" s="101">
        <v>37606</v>
      </c>
      <c r="B3033" s="9">
        <v>17.38</v>
      </c>
      <c r="C3033" s="9">
        <v>17.600000000000001</v>
      </c>
      <c r="D3033" s="9">
        <v>17.04</v>
      </c>
      <c r="E3033" s="9">
        <v>17.3</v>
      </c>
      <c r="F3033" s="9">
        <v>18587400</v>
      </c>
      <c r="G3033" s="9">
        <v>8.65</v>
      </c>
    </row>
    <row r="3034" spans="1:7" x14ac:dyDescent="0.25">
      <c r="A3034" s="101">
        <v>37603</v>
      </c>
      <c r="B3034" s="9">
        <v>17.399999999999999</v>
      </c>
      <c r="C3034" s="9">
        <v>18.190000000000001</v>
      </c>
      <c r="D3034" s="9">
        <v>17.28</v>
      </c>
      <c r="E3034" s="9">
        <v>17.399999999999999</v>
      </c>
      <c r="F3034" s="9">
        <v>31478800</v>
      </c>
      <c r="G3034" s="9">
        <v>8.6999999999999993</v>
      </c>
    </row>
    <row r="3035" spans="1:7" x14ac:dyDescent="0.25">
      <c r="A3035" s="101">
        <v>37602</v>
      </c>
      <c r="B3035" s="9">
        <v>16.8</v>
      </c>
      <c r="C3035" s="9">
        <v>17.850000000000001</v>
      </c>
      <c r="D3035" s="9">
        <v>16.36</v>
      </c>
      <c r="E3035" s="9">
        <v>17.68</v>
      </c>
      <c r="F3035" s="9">
        <v>25788000</v>
      </c>
      <c r="G3035" s="9">
        <v>8.84</v>
      </c>
    </row>
    <row r="3036" spans="1:7" x14ac:dyDescent="0.25">
      <c r="A3036" s="101">
        <v>37601</v>
      </c>
      <c r="B3036" s="9">
        <v>16.3</v>
      </c>
      <c r="C3036" s="9">
        <v>16.78</v>
      </c>
      <c r="D3036" s="9">
        <v>16.09</v>
      </c>
      <c r="E3036" s="9">
        <v>16.46</v>
      </c>
      <c r="F3036" s="9">
        <v>10198600</v>
      </c>
      <c r="G3036" s="9">
        <v>8.23</v>
      </c>
    </row>
    <row r="3037" spans="1:7" x14ac:dyDescent="0.25">
      <c r="A3037" s="101">
        <v>37600</v>
      </c>
      <c r="B3037" s="9">
        <v>15.87</v>
      </c>
      <c r="C3037" s="9">
        <v>16.690000000000001</v>
      </c>
      <c r="D3037" s="9">
        <v>15.87</v>
      </c>
      <c r="E3037" s="9">
        <v>16.27</v>
      </c>
      <c r="F3037" s="9">
        <v>16256400</v>
      </c>
      <c r="G3037" s="9">
        <v>8.14</v>
      </c>
    </row>
    <row r="3038" spans="1:7" x14ac:dyDescent="0.25">
      <c r="A3038" s="101">
        <v>37599</v>
      </c>
      <c r="B3038" s="9">
        <v>16.600000000000001</v>
      </c>
      <c r="C3038" s="9">
        <v>16.66</v>
      </c>
      <c r="D3038" s="9">
        <v>15.71</v>
      </c>
      <c r="E3038" s="9">
        <v>15.74</v>
      </c>
      <c r="F3038" s="9">
        <v>12543800</v>
      </c>
      <c r="G3038" s="9">
        <v>7.87</v>
      </c>
    </row>
    <row r="3039" spans="1:7" x14ac:dyDescent="0.25">
      <c r="A3039" s="101">
        <v>37596</v>
      </c>
      <c r="B3039" s="9">
        <v>16.32</v>
      </c>
      <c r="C3039" s="9">
        <v>16.940000000000001</v>
      </c>
      <c r="D3039" s="9">
        <v>16.170000000000002</v>
      </c>
      <c r="E3039" s="9">
        <v>16.739999999999998</v>
      </c>
      <c r="F3039" s="9">
        <v>9903400</v>
      </c>
      <c r="G3039" s="9">
        <v>8.3699999999999992</v>
      </c>
    </row>
    <row r="3040" spans="1:7" x14ac:dyDescent="0.25">
      <c r="A3040" s="101">
        <v>37595</v>
      </c>
      <c r="B3040" s="9">
        <v>17.059999999999999</v>
      </c>
      <c r="C3040" s="9">
        <v>17.12</v>
      </c>
      <c r="D3040" s="9">
        <v>16.5</v>
      </c>
      <c r="E3040" s="9">
        <v>16.55</v>
      </c>
      <c r="F3040" s="9">
        <v>10059200</v>
      </c>
      <c r="G3040" s="9">
        <v>8.27</v>
      </c>
    </row>
    <row r="3041" spans="1:7" x14ac:dyDescent="0.25">
      <c r="A3041" s="101">
        <v>37594</v>
      </c>
      <c r="B3041" s="9">
        <v>17.16</v>
      </c>
      <c r="C3041" s="9">
        <v>17.25</v>
      </c>
      <c r="D3041" s="9">
        <v>16.57</v>
      </c>
      <c r="E3041" s="9">
        <v>16.739999999999998</v>
      </c>
      <c r="F3041" s="9">
        <v>21054800</v>
      </c>
      <c r="G3041" s="9">
        <v>8.3699999999999992</v>
      </c>
    </row>
    <row r="3042" spans="1:7" x14ac:dyDescent="0.25">
      <c r="A3042" s="101">
        <v>37593</v>
      </c>
      <c r="B3042" s="9">
        <v>17.36</v>
      </c>
      <c r="C3042" s="9">
        <v>17.62</v>
      </c>
      <c r="D3042" s="9">
        <v>17.22</v>
      </c>
      <c r="E3042" s="9">
        <v>17.36</v>
      </c>
      <c r="F3042" s="9">
        <v>14968400</v>
      </c>
      <c r="G3042" s="9">
        <v>8.68</v>
      </c>
    </row>
    <row r="3043" spans="1:7" x14ac:dyDescent="0.25">
      <c r="A3043" s="101">
        <v>37592</v>
      </c>
      <c r="B3043" s="9">
        <v>18.7</v>
      </c>
      <c r="C3043" s="9">
        <v>18.97</v>
      </c>
      <c r="D3043" s="9">
        <v>17.920000000000002</v>
      </c>
      <c r="E3043" s="9">
        <v>18.04</v>
      </c>
      <c r="F3043" s="9">
        <v>15975200</v>
      </c>
      <c r="G3043" s="9">
        <v>9.02</v>
      </c>
    </row>
    <row r="3044" spans="1:7" x14ac:dyDescent="0.25">
      <c r="A3044" s="101">
        <v>37589</v>
      </c>
      <c r="B3044" s="9">
        <v>18.489999999999998</v>
      </c>
      <c r="C3044" s="9">
        <v>18.600000000000001</v>
      </c>
      <c r="D3044" s="9">
        <v>18.09</v>
      </c>
      <c r="E3044" s="9">
        <v>18.27</v>
      </c>
      <c r="F3044" s="9">
        <v>8669600</v>
      </c>
      <c r="G3044" s="9">
        <v>9.14</v>
      </c>
    </row>
    <row r="3045" spans="1:7" x14ac:dyDescent="0.25">
      <c r="A3045" s="101">
        <v>37587</v>
      </c>
      <c r="B3045" s="9">
        <v>18.329999999999998</v>
      </c>
      <c r="C3045" s="9">
        <v>18.59</v>
      </c>
      <c r="D3045" s="9">
        <v>18.170000000000002</v>
      </c>
      <c r="E3045" s="9">
        <v>18.39</v>
      </c>
      <c r="F3045" s="9">
        <v>12832400</v>
      </c>
      <c r="G3045" s="9">
        <v>9.19</v>
      </c>
    </row>
    <row r="3046" spans="1:7" x14ac:dyDescent="0.25">
      <c r="A3046" s="101">
        <v>37586</v>
      </c>
      <c r="B3046" s="9">
        <v>18.420000000000002</v>
      </c>
      <c r="C3046" s="9">
        <v>18.5</v>
      </c>
      <c r="D3046" s="9">
        <v>17.899999999999999</v>
      </c>
      <c r="E3046" s="9">
        <v>18.13</v>
      </c>
      <c r="F3046" s="9">
        <v>18048200</v>
      </c>
      <c r="G3046" s="9">
        <v>9.06</v>
      </c>
    </row>
    <row r="3047" spans="1:7" x14ac:dyDescent="0.25">
      <c r="A3047" s="101">
        <v>37585</v>
      </c>
      <c r="B3047" s="9">
        <v>18.5</v>
      </c>
      <c r="C3047" s="9">
        <v>18.600000000000001</v>
      </c>
      <c r="D3047" s="9">
        <v>17.850000000000001</v>
      </c>
      <c r="E3047" s="9">
        <v>18.39</v>
      </c>
      <c r="F3047" s="9">
        <v>15369200</v>
      </c>
      <c r="G3047" s="9">
        <v>9.19</v>
      </c>
    </row>
    <row r="3048" spans="1:7" x14ac:dyDescent="0.25">
      <c r="A3048" s="101">
        <v>37582</v>
      </c>
      <c r="B3048" s="9">
        <v>18.7</v>
      </c>
      <c r="C3048" s="9">
        <v>18.760000000000002</v>
      </c>
      <c r="D3048" s="9">
        <v>18.11</v>
      </c>
      <c r="E3048" s="9">
        <v>18.399999999999999</v>
      </c>
      <c r="F3048" s="9">
        <v>16801400</v>
      </c>
      <c r="G3048" s="9">
        <v>9.1999999999999993</v>
      </c>
    </row>
    <row r="3049" spans="1:7" x14ac:dyDescent="0.25">
      <c r="A3049" s="101">
        <v>37581</v>
      </c>
      <c r="B3049" s="9">
        <v>17.989999999999998</v>
      </c>
      <c r="C3049" s="9">
        <v>18.8</v>
      </c>
      <c r="D3049" s="9">
        <v>17.93</v>
      </c>
      <c r="E3049" s="9">
        <v>18.309999999999999</v>
      </c>
      <c r="F3049" s="9">
        <v>27018400</v>
      </c>
      <c r="G3049" s="9">
        <v>9.15</v>
      </c>
    </row>
    <row r="3050" spans="1:7" x14ac:dyDescent="0.25">
      <c r="A3050" s="101">
        <v>37580</v>
      </c>
      <c r="B3050" s="9">
        <v>17.170000000000002</v>
      </c>
      <c r="C3050" s="9">
        <v>18.010000000000002</v>
      </c>
      <c r="D3050" s="9">
        <v>16.850000000000001</v>
      </c>
      <c r="E3050" s="9">
        <v>18</v>
      </c>
      <c r="F3050" s="9">
        <v>21584600</v>
      </c>
      <c r="G3050" s="9">
        <v>9</v>
      </c>
    </row>
    <row r="3051" spans="1:7" x14ac:dyDescent="0.25">
      <c r="A3051" s="101">
        <v>37579</v>
      </c>
      <c r="B3051" s="9">
        <v>17.260000000000002</v>
      </c>
      <c r="C3051" s="9">
        <v>17.59</v>
      </c>
      <c r="D3051" s="9">
        <v>16.57</v>
      </c>
      <c r="E3051" s="9">
        <v>16.75</v>
      </c>
      <c r="F3051" s="9">
        <v>21809200</v>
      </c>
      <c r="G3051" s="9">
        <v>8.3800000000000008</v>
      </c>
    </row>
    <row r="3052" spans="1:7" x14ac:dyDescent="0.25">
      <c r="A3052" s="101">
        <v>37578</v>
      </c>
      <c r="B3052" s="9">
        <v>17.399999999999999</v>
      </c>
      <c r="C3052" s="9">
        <v>18</v>
      </c>
      <c r="D3052" s="9">
        <v>17.39</v>
      </c>
      <c r="E3052" s="9">
        <v>17.760000000000002</v>
      </c>
      <c r="F3052" s="9">
        <v>19682600</v>
      </c>
      <c r="G3052" s="9">
        <v>8.8800000000000008</v>
      </c>
    </row>
    <row r="3053" spans="1:7" x14ac:dyDescent="0.25">
      <c r="A3053" s="101">
        <v>37575</v>
      </c>
      <c r="B3053" s="9">
        <v>16.38</v>
      </c>
      <c r="C3053" s="9">
        <v>17.510000000000002</v>
      </c>
      <c r="D3053" s="9">
        <v>16</v>
      </c>
      <c r="E3053" s="9">
        <v>17.45</v>
      </c>
      <c r="F3053" s="9">
        <v>29216000</v>
      </c>
      <c r="G3053" s="9">
        <v>8.73</v>
      </c>
    </row>
    <row r="3054" spans="1:7" x14ac:dyDescent="0.25">
      <c r="A3054" s="101">
        <v>37574</v>
      </c>
      <c r="B3054" s="9">
        <v>15.96</v>
      </c>
      <c r="C3054" s="9">
        <v>16.75</v>
      </c>
      <c r="D3054" s="9">
        <v>15.85</v>
      </c>
      <c r="E3054" s="9">
        <v>16.7</v>
      </c>
      <c r="F3054" s="9">
        <v>21356200</v>
      </c>
      <c r="G3054" s="9">
        <v>8.35</v>
      </c>
    </row>
    <row r="3055" spans="1:7" x14ac:dyDescent="0.25">
      <c r="A3055" s="101">
        <v>37573</v>
      </c>
      <c r="B3055" s="9">
        <v>15.39</v>
      </c>
      <c r="C3055" s="9">
        <v>15.9</v>
      </c>
      <c r="D3055" s="9">
        <v>15.08</v>
      </c>
      <c r="E3055" s="9">
        <v>15.44</v>
      </c>
      <c r="F3055" s="9">
        <v>21902200</v>
      </c>
      <c r="G3055" s="9">
        <v>7.72</v>
      </c>
    </row>
    <row r="3056" spans="1:7" x14ac:dyDescent="0.25">
      <c r="A3056" s="101">
        <v>37572</v>
      </c>
      <c r="B3056" s="9">
        <v>15.09</v>
      </c>
      <c r="C3056" s="9">
        <v>15.73</v>
      </c>
      <c r="D3056" s="9">
        <v>14.84</v>
      </c>
      <c r="E3056" s="9">
        <v>15.48</v>
      </c>
      <c r="F3056" s="9">
        <v>16587000</v>
      </c>
      <c r="G3056" s="9">
        <v>7.74</v>
      </c>
    </row>
    <row r="3057" spans="1:7" x14ac:dyDescent="0.25">
      <c r="A3057" s="101">
        <v>37571</v>
      </c>
      <c r="B3057" s="9">
        <v>15.53</v>
      </c>
      <c r="C3057" s="9">
        <v>15.7</v>
      </c>
      <c r="D3057" s="9">
        <v>14.85</v>
      </c>
      <c r="E3057" s="9">
        <v>14.92</v>
      </c>
      <c r="F3057" s="9">
        <v>15788200</v>
      </c>
      <c r="G3057" s="9">
        <v>7.46</v>
      </c>
    </row>
    <row r="3058" spans="1:7" x14ac:dyDescent="0.25">
      <c r="A3058" s="101">
        <v>37568</v>
      </c>
      <c r="B3058" s="9">
        <v>15.48</v>
      </c>
      <c r="C3058" s="9">
        <v>15.94</v>
      </c>
      <c r="D3058" s="9">
        <v>15.36</v>
      </c>
      <c r="E3058" s="9">
        <v>15.68</v>
      </c>
      <c r="F3058" s="9">
        <v>18175400</v>
      </c>
      <c r="G3058" s="9">
        <v>7.84</v>
      </c>
    </row>
    <row r="3059" spans="1:7" x14ac:dyDescent="0.25">
      <c r="A3059" s="101">
        <v>37567</v>
      </c>
      <c r="B3059" s="9">
        <v>16.149999999999999</v>
      </c>
      <c r="C3059" s="9">
        <v>16.18</v>
      </c>
      <c r="D3059" s="9">
        <v>15.33</v>
      </c>
      <c r="E3059" s="9">
        <v>15.6</v>
      </c>
      <c r="F3059" s="9">
        <v>45190000</v>
      </c>
      <c r="G3059" s="9">
        <v>7.8</v>
      </c>
    </row>
    <row r="3060" spans="1:7" x14ac:dyDescent="0.25">
      <c r="A3060" s="101">
        <v>37566</v>
      </c>
      <c r="B3060" s="9">
        <v>17.09</v>
      </c>
      <c r="C3060" s="9">
        <v>17.440000000000001</v>
      </c>
      <c r="D3060" s="9">
        <v>16.62</v>
      </c>
      <c r="E3060" s="9">
        <v>17.38</v>
      </c>
      <c r="F3060" s="9">
        <v>50040000</v>
      </c>
      <c r="G3060" s="9">
        <v>8.69</v>
      </c>
    </row>
    <row r="3061" spans="1:7" x14ac:dyDescent="0.25">
      <c r="A3061" s="101">
        <v>37565</v>
      </c>
      <c r="B3061" s="9">
        <v>16.3</v>
      </c>
      <c r="C3061" s="9">
        <v>17.09</v>
      </c>
      <c r="D3061" s="9">
        <v>16.260000000000002</v>
      </c>
      <c r="E3061" s="9">
        <v>17.03</v>
      </c>
      <c r="F3061" s="9">
        <v>24968000</v>
      </c>
      <c r="G3061" s="9">
        <v>8.52</v>
      </c>
    </row>
    <row r="3062" spans="1:7" x14ac:dyDescent="0.25">
      <c r="A3062" s="101">
        <v>37564</v>
      </c>
      <c r="B3062" s="9">
        <v>15.51</v>
      </c>
      <c r="C3062" s="9">
        <v>17.489999999999998</v>
      </c>
      <c r="D3062" s="9">
        <v>15.5</v>
      </c>
      <c r="E3062" s="9">
        <v>16.77</v>
      </c>
      <c r="F3062" s="9">
        <v>45498600</v>
      </c>
      <c r="G3062" s="9">
        <v>8.39</v>
      </c>
    </row>
    <row r="3063" spans="1:7" x14ac:dyDescent="0.25">
      <c r="A3063" s="101">
        <v>37561</v>
      </c>
      <c r="B3063" s="9">
        <v>14.7</v>
      </c>
      <c r="C3063" s="9">
        <v>15.23</v>
      </c>
      <c r="D3063" s="9">
        <v>14.5</v>
      </c>
      <c r="E3063" s="9">
        <v>15.15</v>
      </c>
      <c r="F3063" s="9">
        <v>19034000</v>
      </c>
      <c r="G3063" s="9">
        <v>7.57</v>
      </c>
    </row>
    <row r="3064" spans="1:7" x14ac:dyDescent="0.25">
      <c r="A3064" s="101">
        <v>37560</v>
      </c>
      <c r="B3064" s="9">
        <v>15.02</v>
      </c>
      <c r="C3064" s="9">
        <v>15.32</v>
      </c>
      <c r="D3064" s="9">
        <v>14.71</v>
      </c>
      <c r="E3064" s="9">
        <v>14.92</v>
      </c>
      <c r="F3064" s="9">
        <v>20530800</v>
      </c>
      <c r="G3064" s="9">
        <v>7.46</v>
      </c>
    </row>
    <row r="3065" spans="1:7" x14ac:dyDescent="0.25">
      <c r="A3065" s="101">
        <v>37559</v>
      </c>
      <c r="B3065" s="9">
        <v>14.29</v>
      </c>
      <c r="C3065" s="9">
        <v>15.06</v>
      </c>
      <c r="D3065" s="9">
        <v>14.1</v>
      </c>
      <c r="E3065" s="9">
        <v>14.98</v>
      </c>
      <c r="F3065" s="9">
        <v>18673200</v>
      </c>
      <c r="G3065" s="9">
        <v>7.49</v>
      </c>
    </row>
    <row r="3066" spans="1:7" x14ac:dyDescent="0.25">
      <c r="A3066" s="101">
        <v>37558</v>
      </c>
      <c r="B3066" s="9">
        <v>14.51</v>
      </c>
      <c r="C3066" s="9">
        <v>14.8</v>
      </c>
      <c r="D3066" s="9">
        <v>14.22</v>
      </c>
      <c r="E3066" s="9">
        <v>14.3</v>
      </c>
      <c r="F3066" s="9">
        <v>19701000</v>
      </c>
      <c r="G3066" s="9">
        <v>7.15</v>
      </c>
    </row>
    <row r="3067" spans="1:7" x14ac:dyDescent="0.25">
      <c r="A3067" s="101">
        <v>37557</v>
      </c>
      <c r="B3067" s="9">
        <v>15.35</v>
      </c>
      <c r="C3067" s="9">
        <v>15.35</v>
      </c>
      <c r="D3067" s="9">
        <v>14.53</v>
      </c>
      <c r="E3067" s="9">
        <v>14.66</v>
      </c>
      <c r="F3067" s="9">
        <v>20800000</v>
      </c>
      <c r="G3067" s="9">
        <v>7.33</v>
      </c>
    </row>
    <row r="3068" spans="1:7" x14ac:dyDescent="0.25">
      <c r="A3068" s="101">
        <v>37554</v>
      </c>
      <c r="B3068" s="9">
        <v>14.85</v>
      </c>
      <c r="C3068" s="9">
        <v>15.04</v>
      </c>
      <c r="D3068" s="9">
        <v>14.7</v>
      </c>
      <c r="E3068" s="9">
        <v>14.92</v>
      </c>
      <c r="F3068" s="9">
        <v>24087400</v>
      </c>
      <c r="G3068" s="9">
        <v>7.46</v>
      </c>
    </row>
    <row r="3069" spans="1:7" x14ac:dyDescent="0.25">
      <c r="A3069" s="101">
        <v>37553</v>
      </c>
      <c r="B3069" s="9">
        <v>15.4</v>
      </c>
      <c r="C3069" s="9">
        <v>15.59</v>
      </c>
      <c r="D3069" s="9">
        <v>14.85</v>
      </c>
      <c r="E3069" s="9">
        <v>15.06</v>
      </c>
      <c r="F3069" s="9">
        <v>35035000</v>
      </c>
      <c r="G3069" s="9">
        <v>7.53</v>
      </c>
    </row>
    <row r="3070" spans="1:7" x14ac:dyDescent="0.25">
      <c r="A3070" s="101">
        <v>37552</v>
      </c>
      <c r="B3070" s="9">
        <v>14.56</v>
      </c>
      <c r="C3070" s="9">
        <v>15.07</v>
      </c>
      <c r="D3070" s="9">
        <v>14.35</v>
      </c>
      <c r="E3070" s="9">
        <v>15.07</v>
      </c>
      <c r="F3070" s="9">
        <v>29811600</v>
      </c>
      <c r="G3070" s="9">
        <v>7.53</v>
      </c>
    </row>
    <row r="3071" spans="1:7" x14ac:dyDescent="0.25">
      <c r="A3071" s="101">
        <v>37551</v>
      </c>
      <c r="B3071" s="9">
        <v>14.51</v>
      </c>
      <c r="C3071" s="9">
        <v>14.91</v>
      </c>
      <c r="D3071" s="9">
        <v>14.31</v>
      </c>
      <c r="E3071" s="9">
        <v>14.85</v>
      </c>
      <c r="F3071" s="9">
        <v>29231800</v>
      </c>
      <c r="G3071" s="9">
        <v>7.43</v>
      </c>
    </row>
    <row r="3072" spans="1:7" x14ac:dyDescent="0.25">
      <c r="A3072" s="101">
        <v>37550</v>
      </c>
      <c r="B3072" s="9">
        <v>14.61</v>
      </c>
      <c r="C3072" s="9">
        <v>15.1</v>
      </c>
      <c r="D3072" s="9">
        <v>14.25</v>
      </c>
      <c r="E3072" s="9">
        <v>14.96</v>
      </c>
      <c r="F3072" s="9">
        <v>35637800</v>
      </c>
      <c r="G3072" s="9">
        <v>7.48</v>
      </c>
    </row>
    <row r="3073" spans="1:7" x14ac:dyDescent="0.25">
      <c r="A3073" s="101">
        <v>37547</v>
      </c>
      <c r="B3073" s="9">
        <v>14.41</v>
      </c>
      <c r="C3073" s="9">
        <v>15.05</v>
      </c>
      <c r="D3073" s="9">
        <v>14.29</v>
      </c>
      <c r="E3073" s="9">
        <v>15.03</v>
      </c>
      <c r="F3073" s="9">
        <v>30130400</v>
      </c>
      <c r="G3073" s="9">
        <v>7.51</v>
      </c>
    </row>
    <row r="3074" spans="1:7" x14ac:dyDescent="0.25">
      <c r="A3074" s="101">
        <v>37546</v>
      </c>
      <c r="B3074" s="9">
        <v>14.74</v>
      </c>
      <c r="C3074" s="9">
        <v>14.98</v>
      </c>
      <c r="D3074" s="9">
        <v>13.91</v>
      </c>
      <c r="E3074" s="9">
        <v>14.67</v>
      </c>
      <c r="F3074" s="9">
        <v>45500400</v>
      </c>
      <c r="G3074" s="9">
        <v>7.34</v>
      </c>
    </row>
    <row r="3075" spans="1:7" x14ac:dyDescent="0.25">
      <c r="A3075" s="101">
        <v>37545</v>
      </c>
      <c r="B3075" s="9">
        <v>13.8</v>
      </c>
      <c r="C3075" s="9">
        <v>14.83</v>
      </c>
      <c r="D3075" s="9">
        <v>13.72</v>
      </c>
      <c r="E3075" s="9">
        <v>14.68</v>
      </c>
      <c r="F3075" s="9">
        <v>45494600</v>
      </c>
      <c r="G3075" s="9">
        <v>7.34</v>
      </c>
    </row>
    <row r="3076" spans="1:7" x14ac:dyDescent="0.25">
      <c r="A3076" s="101">
        <v>37544</v>
      </c>
      <c r="B3076" s="9">
        <v>14.98</v>
      </c>
      <c r="C3076" s="9">
        <v>15.23</v>
      </c>
      <c r="D3076" s="9">
        <v>14.14</v>
      </c>
      <c r="E3076" s="9">
        <v>14.42</v>
      </c>
      <c r="F3076" s="9">
        <v>75204200</v>
      </c>
      <c r="G3076" s="9">
        <v>7.21</v>
      </c>
    </row>
    <row r="3077" spans="1:7" x14ac:dyDescent="0.25">
      <c r="A3077" s="101">
        <v>37543</v>
      </c>
      <c r="B3077" s="9">
        <v>12.89</v>
      </c>
      <c r="C3077" s="9">
        <v>14.7</v>
      </c>
      <c r="D3077" s="9">
        <v>12.88</v>
      </c>
      <c r="E3077" s="9">
        <v>14.26</v>
      </c>
      <c r="F3077" s="9">
        <v>65224200</v>
      </c>
      <c r="G3077" s="9">
        <v>7.13</v>
      </c>
    </row>
    <row r="3078" spans="1:7" x14ac:dyDescent="0.25">
      <c r="A3078" s="101">
        <v>37540</v>
      </c>
      <c r="B3078" s="9">
        <v>12.25</v>
      </c>
      <c r="C3078" s="9">
        <v>13.5</v>
      </c>
      <c r="D3078" s="9">
        <v>12.25</v>
      </c>
      <c r="E3078" s="9">
        <v>13.36</v>
      </c>
      <c r="F3078" s="9">
        <v>65590000</v>
      </c>
      <c r="G3078" s="9">
        <v>6.68</v>
      </c>
    </row>
    <row r="3079" spans="1:7" x14ac:dyDescent="0.25">
      <c r="A3079" s="101">
        <v>37539</v>
      </c>
      <c r="B3079" s="9">
        <v>11.36</v>
      </c>
      <c r="C3079" s="9">
        <v>12.3</v>
      </c>
      <c r="D3079" s="9">
        <v>11.3</v>
      </c>
      <c r="E3079" s="9">
        <v>12.27</v>
      </c>
      <c r="F3079" s="9">
        <v>125565800</v>
      </c>
      <c r="G3079" s="9">
        <v>6.14</v>
      </c>
    </row>
    <row r="3080" spans="1:7" x14ac:dyDescent="0.25">
      <c r="A3080" s="101">
        <v>37538</v>
      </c>
      <c r="B3080" s="9">
        <v>9.44</v>
      </c>
      <c r="C3080" s="9">
        <v>10.09</v>
      </c>
      <c r="D3080" s="9">
        <v>9.2799999999999994</v>
      </c>
      <c r="E3080" s="9">
        <v>9.98</v>
      </c>
      <c r="F3080" s="9">
        <v>38622600</v>
      </c>
      <c r="G3080" s="9">
        <v>4.99</v>
      </c>
    </row>
    <row r="3081" spans="1:7" x14ac:dyDescent="0.25">
      <c r="A3081" s="101">
        <v>37537</v>
      </c>
      <c r="B3081" s="9">
        <v>9.3800000000000008</v>
      </c>
      <c r="C3081" s="9">
        <v>9.58</v>
      </c>
      <c r="D3081" s="9">
        <v>9.06</v>
      </c>
      <c r="E3081" s="9">
        <v>9.5</v>
      </c>
      <c r="F3081" s="9">
        <v>16115000</v>
      </c>
      <c r="G3081" s="9">
        <v>4.75</v>
      </c>
    </row>
    <row r="3082" spans="1:7" x14ac:dyDescent="0.25">
      <c r="A3082" s="101">
        <v>37536</v>
      </c>
      <c r="B3082" s="9">
        <v>9.25</v>
      </c>
      <c r="C3082" s="9">
        <v>9.49</v>
      </c>
      <c r="D3082" s="9">
        <v>9.01</v>
      </c>
      <c r="E3082" s="9">
        <v>9.08</v>
      </c>
      <c r="F3082" s="9">
        <v>10617800</v>
      </c>
      <c r="G3082" s="9">
        <v>4.54</v>
      </c>
    </row>
    <row r="3083" spans="1:7" x14ac:dyDescent="0.25">
      <c r="A3083" s="101">
        <v>37533</v>
      </c>
      <c r="B3083" s="9">
        <v>9.5399999999999991</v>
      </c>
      <c r="C3083" s="9">
        <v>9.57</v>
      </c>
      <c r="D3083" s="9">
        <v>9.25</v>
      </c>
      <c r="E3083" s="9">
        <v>9.34</v>
      </c>
      <c r="F3083" s="9">
        <v>11016800</v>
      </c>
      <c r="G3083" s="9">
        <v>4.67</v>
      </c>
    </row>
    <row r="3084" spans="1:7" x14ac:dyDescent="0.25">
      <c r="A3084" s="101">
        <v>37532</v>
      </c>
      <c r="B3084" s="9">
        <v>9.56</v>
      </c>
      <c r="C3084" s="9">
        <v>10</v>
      </c>
      <c r="D3084" s="9">
        <v>9.3000000000000007</v>
      </c>
      <c r="E3084" s="9">
        <v>9.39</v>
      </c>
      <c r="F3084" s="9">
        <v>12065600</v>
      </c>
      <c r="G3084" s="9">
        <v>4.7</v>
      </c>
    </row>
    <row r="3085" spans="1:7" x14ac:dyDescent="0.25">
      <c r="A3085" s="101">
        <v>37531</v>
      </c>
      <c r="B3085" s="9">
        <v>9.67</v>
      </c>
      <c r="C3085" s="9">
        <v>10.28</v>
      </c>
      <c r="D3085" s="9">
        <v>9.4</v>
      </c>
      <c r="E3085" s="9">
        <v>9.48</v>
      </c>
      <c r="F3085" s="9">
        <v>17789000</v>
      </c>
      <c r="G3085" s="9">
        <v>4.74</v>
      </c>
    </row>
    <row r="3086" spans="1:7" x14ac:dyDescent="0.25">
      <c r="A3086" s="101">
        <v>37530</v>
      </c>
      <c r="B3086" s="9">
        <v>9.9</v>
      </c>
      <c r="C3086" s="9">
        <v>9.94</v>
      </c>
      <c r="D3086" s="9">
        <v>9.32</v>
      </c>
      <c r="E3086" s="9">
        <v>9.6999999999999993</v>
      </c>
      <c r="F3086" s="9">
        <v>18278800</v>
      </c>
      <c r="G3086" s="9">
        <v>4.8499999999999996</v>
      </c>
    </row>
    <row r="3087" spans="1:7" x14ac:dyDescent="0.25">
      <c r="A3087" s="101">
        <v>37529</v>
      </c>
      <c r="B3087" s="9">
        <v>10.38</v>
      </c>
      <c r="C3087" s="9">
        <v>10.38</v>
      </c>
      <c r="D3087" s="9">
        <v>9.5399999999999991</v>
      </c>
      <c r="E3087" s="9">
        <v>9.57</v>
      </c>
      <c r="F3087" s="9">
        <v>21264200</v>
      </c>
      <c r="G3087" s="9">
        <v>4.78</v>
      </c>
    </row>
    <row r="3088" spans="1:7" x14ac:dyDescent="0.25">
      <c r="A3088" s="101">
        <v>37526</v>
      </c>
      <c r="B3088" s="9">
        <v>10.199999999999999</v>
      </c>
      <c r="C3088" s="9">
        <v>10.82</v>
      </c>
      <c r="D3088" s="9">
        <v>10.15</v>
      </c>
      <c r="E3088" s="9">
        <v>10.58</v>
      </c>
      <c r="F3088" s="9">
        <v>14591000</v>
      </c>
      <c r="G3088" s="9">
        <v>5.29</v>
      </c>
    </row>
    <row r="3089" spans="1:7" x14ac:dyDescent="0.25">
      <c r="A3089" s="101">
        <v>37525</v>
      </c>
      <c r="B3089" s="9">
        <v>10.23</v>
      </c>
      <c r="C3089" s="9">
        <v>10.71</v>
      </c>
      <c r="D3089" s="9">
        <v>10.119999999999999</v>
      </c>
      <c r="E3089" s="9">
        <v>10.59</v>
      </c>
      <c r="F3089" s="9">
        <v>36120400</v>
      </c>
      <c r="G3089" s="9">
        <v>5.3</v>
      </c>
    </row>
    <row r="3090" spans="1:7" x14ac:dyDescent="0.25">
      <c r="A3090" s="101">
        <v>37524</v>
      </c>
      <c r="B3090" s="9">
        <v>9.25</v>
      </c>
      <c r="C3090" s="9">
        <v>10.06</v>
      </c>
      <c r="D3090" s="9">
        <v>9.0500000000000007</v>
      </c>
      <c r="E3090" s="9">
        <v>9.91</v>
      </c>
      <c r="F3090" s="9">
        <v>24466200</v>
      </c>
      <c r="G3090" s="9">
        <v>4.95</v>
      </c>
    </row>
    <row r="3091" spans="1:7" x14ac:dyDescent="0.25">
      <c r="A3091" s="101">
        <v>37523</v>
      </c>
      <c r="B3091" s="9">
        <v>8.9499999999999993</v>
      </c>
      <c r="C3091" s="9">
        <v>9.4600000000000009</v>
      </c>
      <c r="D3091" s="9">
        <v>8.94</v>
      </c>
      <c r="E3091" s="9">
        <v>9</v>
      </c>
      <c r="F3091" s="9">
        <v>18029000</v>
      </c>
      <c r="G3091" s="9">
        <v>4.5</v>
      </c>
    </row>
    <row r="3092" spans="1:7" x14ac:dyDescent="0.25">
      <c r="A3092" s="101">
        <v>37522</v>
      </c>
      <c r="B3092" s="9">
        <v>9.58</v>
      </c>
      <c r="C3092" s="9">
        <v>9.65</v>
      </c>
      <c r="D3092" s="9">
        <v>9</v>
      </c>
      <c r="E3092" s="9">
        <v>9.08</v>
      </c>
      <c r="F3092" s="9">
        <v>16616400</v>
      </c>
      <c r="G3092" s="9">
        <v>4.54</v>
      </c>
    </row>
    <row r="3093" spans="1:7" x14ac:dyDescent="0.25">
      <c r="A3093" s="101">
        <v>37519</v>
      </c>
      <c r="B3093" s="9">
        <v>9.6999999999999993</v>
      </c>
      <c r="C3093" s="9">
        <v>9.77</v>
      </c>
      <c r="D3093" s="9">
        <v>9.4</v>
      </c>
      <c r="E3093" s="9">
        <v>9.75</v>
      </c>
      <c r="F3093" s="9">
        <v>12771200</v>
      </c>
      <c r="G3093" s="9">
        <v>4.88</v>
      </c>
    </row>
    <row r="3094" spans="1:7" x14ac:dyDescent="0.25">
      <c r="A3094" s="101">
        <v>37518</v>
      </c>
      <c r="B3094" s="9">
        <v>9.56</v>
      </c>
      <c r="C3094" s="9">
        <v>9.9</v>
      </c>
      <c r="D3094" s="9">
        <v>9.5</v>
      </c>
      <c r="E3094" s="9">
        <v>9.5</v>
      </c>
      <c r="F3094" s="9">
        <v>9647400</v>
      </c>
      <c r="G3094" s="9">
        <v>4.75</v>
      </c>
    </row>
    <row r="3095" spans="1:7" x14ac:dyDescent="0.25">
      <c r="A3095" s="101">
        <v>37517</v>
      </c>
      <c r="B3095" s="9">
        <v>10</v>
      </c>
      <c r="C3095" s="9">
        <v>10.119999999999999</v>
      </c>
      <c r="D3095" s="9">
        <v>9.67</v>
      </c>
      <c r="E3095" s="9">
        <v>10</v>
      </c>
      <c r="F3095" s="9">
        <v>9826200</v>
      </c>
      <c r="G3095" s="9">
        <v>5</v>
      </c>
    </row>
    <row r="3096" spans="1:7" x14ac:dyDescent="0.25">
      <c r="A3096" s="101">
        <v>37516</v>
      </c>
      <c r="B3096" s="9">
        <v>10.65</v>
      </c>
      <c r="C3096" s="9">
        <v>10.68</v>
      </c>
      <c r="D3096" s="9">
        <v>10</v>
      </c>
      <c r="E3096" s="9">
        <v>10.01</v>
      </c>
      <c r="F3096" s="9">
        <v>10153200</v>
      </c>
      <c r="G3096" s="9">
        <v>5.01</v>
      </c>
    </row>
    <row r="3097" spans="1:7" x14ac:dyDescent="0.25">
      <c r="A3097" s="101">
        <v>37515</v>
      </c>
      <c r="B3097" s="9">
        <v>10.46</v>
      </c>
      <c r="C3097" s="9">
        <v>10.59</v>
      </c>
      <c r="D3097" s="9">
        <v>10.18</v>
      </c>
      <c r="E3097" s="9">
        <v>10.18</v>
      </c>
      <c r="F3097" s="9">
        <v>9599200</v>
      </c>
      <c r="G3097" s="9">
        <v>5.09</v>
      </c>
    </row>
    <row r="3098" spans="1:7" x14ac:dyDescent="0.25">
      <c r="A3098" s="101">
        <v>37512</v>
      </c>
      <c r="B3098" s="9">
        <v>10.199999999999999</v>
      </c>
      <c r="C3098" s="9">
        <v>10.65</v>
      </c>
      <c r="D3098" s="9">
        <v>10.029999999999999</v>
      </c>
      <c r="E3098" s="9">
        <v>10.46</v>
      </c>
      <c r="F3098" s="9">
        <v>13731400</v>
      </c>
      <c r="G3098" s="9">
        <v>5.23</v>
      </c>
    </row>
    <row r="3099" spans="1:7" x14ac:dyDescent="0.25">
      <c r="A3099" s="101">
        <v>37511</v>
      </c>
      <c r="B3099" s="9">
        <v>10.48</v>
      </c>
      <c r="C3099" s="9">
        <v>10.62</v>
      </c>
      <c r="D3099" s="9">
        <v>10.25</v>
      </c>
      <c r="E3099" s="9">
        <v>10.35</v>
      </c>
      <c r="F3099" s="9">
        <v>20129400</v>
      </c>
      <c r="G3099" s="9">
        <v>5.18</v>
      </c>
    </row>
    <row r="3100" spans="1:7" x14ac:dyDescent="0.25">
      <c r="A3100" s="101">
        <v>37510</v>
      </c>
      <c r="B3100" s="9">
        <v>10.43</v>
      </c>
      <c r="C3100" s="9">
        <v>11.1</v>
      </c>
      <c r="D3100" s="9">
        <v>10.43</v>
      </c>
      <c r="E3100" s="9">
        <v>10.72</v>
      </c>
      <c r="F3100" s="9">
        <v>15065800</v>
      </c>
      <c r="G3100" s="9">
        <v>5.36</v>
      </c>
    </row>
    <row r="3101" spans="1:7" x14ac:dyDescent="0.25">
      <c r="A3101" s="101">
        <v>37509</v>
      </c>
      <c r="B3101" s="9">
        <v>10.15</v>
      </c>
      <c r="C3101" s="9">
        <v>10.68</v>
      </c>
      <c r="D3101" s="9">
        <v>10.130000000000001</v>
      </c>
      <c r="E3101" s="9">
        <v>10.46</v>
      </c>
      <c r="F3101" s="9">
        <v>19370400</v>
      </c>
      <c r="G3101" s="9">
        <v>5.23</v>
      </c>
    </row>
    <row r="3102" spans="1:7" x14ac:dyDescent="0.25">
      <c r="A3102" s="101">
        <v>37508</v>
      </c>
      <c r="B3102" s="9">
        <v>9.6300000000000008</v>
      </c>
      <c r="C3102" s="9">
        <v>10.36</v>
      </c>
      <c r="D3102" s="9">
        <v>9.52</v>
      </c>
      <c r="E3102" s="9">
        <v>10.15</v>
      </c>
      <c r="F3102" s="9">
        <v>18977400</v>
      </c>
      <c r="G3102" s="9">
        <v>5.07</v>
      </c>
    </row>
    <row r="3103" spans="1:7" x14ac:dyDescent="0.25">
      <c r="A3103" s="101">
        <v>37505</v>
      </c>
      <c r="B3103" s="9">
        <v>9.56</v>
      </c>
      <c r="C3103" s="9">
        <v>10.02</v>
      </c>
      <c r="D3103" s="9">
        <v>9.51</v>
      </c>
      <c r="E3103" s="9">
        <v>9.94</v>
      </c>
      <c r="F3103" s="9">
        <v>17477400</v>
      </c>
      <c r="G3103" s="9">
        <v>4.97</v>
      </c>
    </row>
    <row r="3104" spans="1:7" x14ac:dyDescent="0.25">
      <c r="A3104" s="101">
        <v>37504</v>
      </c>
      <c r="B3104" s="9">
        <v>9.6300000000000008</v>
      </c>
      <c r="C3104" s="9">
        <v>9.6300000000000008</v>
      </c>
      <c r="D3104" s="9">
        <v>9.14</v>
      </c>
      <c r="E3104" s="9">
        <v>9.19</v>
      </c>
      <c r="F3104" s="9">
        <v>19218400</v>
      </c>
      <c r="G3104" s="9">
        <v>4.59</v>
      </c>
    </row>
    <row r="3105" spans="1:7" x14ac:dyDescent="0.25">
      <c r="A3105" s="101">
        <v>37503</v>
      </c>
      <c r="B3105" s="9">
        <v>9.7799999999999994</v>
      </c>
      <c r="C3105" s="9">
        <v>9.9499999999999993</v>
      </c>
      <c r="D3105" s="9">
        <v>9.43</v>
      </c>
      <c r="E3105" s="9">
        <v>9.77</v>
      </c>
      <c r="F3105" s="9">
        <v>26636600</v>
      </c>
      <c r="G3105" s="9">
        <v>4.8899999999999997</v>
      </c>
    </row>
    <row r="3106" spans="1:7" x14ac:dyDescent="0.25">
      <c r="A3106" s="101">
        <v>37502</v>
      </c>
      <c r="B3106" s="9">
        <v>10.039999999999999</v>
      </c>
      <c r="C3106" s="9">
        <v>10.08</v>
      </c>
      <c r="D3106" s="9">
        <v>9.61</v>
      </c>
      <c r="E3106" s="9">
        <v>9.7100000000000009</v>
      </c>
      <c r="F3106" s="9">
        <v>26393200</v>
      </c>
      <c r="G3106" s="9">
        <v>4.8600000000000003</v>
      </c>
    </row>
    <row r="3107" spans="1:7" x14ac:dyDescent="0.25">
      <c r="A3107" s="101">
        <v>37498</v>
      </c>
      <c r="B3107" s="9">
        <v>10.17</v>
      </c>
      <c r="C3107" s="9">
        <v>10.45</v>
      </c>
      <c r="D3107" s="9">
        <v>10.01</v>
      </c>
      <c r="E3107" s="9">
        <v>10.29</v>
      </c>
      <c r="F3107" s="9">
        <v>23827400</v>
      </c>
      <c r="G3107" s="9">
        <v>5.14</v>
      </c>
    </row>
    <row r="3108" spans="1:7" x14ac:dyDescent="0.25">
      <c r="A3108" s="101">
        <v>37497</v>
      </c>
      <c r="B3108" s="9">
        <v>9.74</v>
      </c>
      <c r="C3108" s="9">
        <v>10.41</v>
      </c>
      <c r="D3108" s="9">
        <v>9.7200000000000006</v>
      </c>
      <c r="E3108" s="9">
        <v>10.25</v>
      </c>
      <c r="F3108" s="9">
        <v>70994200</v>
      </c>
      <c r="G3108" s="9">
        <v>5.12</v>
      </c>
    </row>
    <row r="3109" spans="1:7" x14ac:dyDescent="0.25">
      <c r="A3109" s="101">
        <v>37496</v>
      </c>
      <c r="B3109" s="9">
        <v>10.64</v>
      </c>
      <c r="C3109" s="9">
        <v>10.65</v>
      </c>
      <c r="D3109" s="9">
        <v>9.1300000000000008</v>
      </c>
      <c r="E3109" s="9">
        <v>9.1300000000000008</v>
      </c>
      <c r="F3109" s="9">
        <v>55790200</v>
      </c>
      <c r="G3109" s="9">
        <v>4.57</v>
      </c>
    </row>
    <row r="3110" spans="1:7" x14ac:dyDescent="0.25">
      <c r="A3110" s="101">
        <v>37495</v>
      </c>
      <c r="B3110" s="9">
        <v>11.53</v>
      </c>
      <c r="C3110" s="9">
        <v>11.53</v>
      </c>
      <c r="D3110" s="9">
        <v>10.56</v>
      </c>
      <c r="E3110" s="9">
        <v>10.7</v>
      </c>
      <c r="F3110" s="9">
        <v>25004800</v>
      </c>
      <c r="G3110" s="9">
        <v>5.35</v>
      </c>
    </row>
    <row r="3111" spans="1:7" x14ac:dyDescent="0.25">
      <c r="A3111" s="101">
        <v>37494</v>
      </c>
      <c r="B3111" s="9">
        <v>12.16</v>
      </c>
      <c r="C3111" s="9">
        <v>12.17</v>
      </c>
      <c r="D3111" s="9">
        <v>11.14</v>
      </c>
      <c r="E3111" s="9">
        <v>11.31</v>
      </c>
      <c r="F3111" s="9">
        <v>22961600</v>
      </c>
      <c r="G3111" s="9">
        <v>5.66</v>
      </c>
    </row>
    <row r="3112" spans="1:7" x14ac:dyDescent="0.25">
      <c r="A3112" s="101">
        <v>37491</v>
      </c>
      <c r="B3112" s="9">
        <v>12.75</v>
      </c>
      <c r="C3112" s="9">
        <v>12.77</v>
      </c>
      <c r="D3112" s="9">
        <v>11.8</v>
      </c>
      <c r="E3112" s="9">
        <v>12.02</v>
      </c>
      <c r="F3112" s="9">
        <v>17538200</v>
      </c>
      <c r="G3112" s="9">
        <v>6.01</v>
      </c>
    </row>
    <row r="3113" spans="1:7" x14ac:dyDescent="0.25">
      <c r="A3113" s="101">
        <v>37490</v>
      </c>
      <c r="B3113" s="9">
        <v>13.02</v>
      </c>
      <c r="C3113" s="9">
        <v>13.1</v>
      </c>
      <c r="D3113" s="9">
        <v>12.53</v>
      </c>
      <c r="E3113" s="9">
        <v>12.8</v>
      </c>
      <c r="F3113" s="9">
        <v>21010800</v>
      </c>
      <c r="G3113" s="9">
        <v>6.4</v>
      </c>
    </row>
    <row r="3114" spans="1:7" x14ac:dyDescent="0.25">
      <c r="A3114" s="101">
        <v>37489</v>
      </c>
      <c r="B3114" s="9">
        <v>13.35</v>
      </c>
      <c r="C3114" s="9">
        <v>13.48</v>
      </c>
      <c r="D3114" s="9">
        <v>12.7</v>
      </c>
      <c r="E3114" s="9">
        <v>12.9</v>
      </c>
      <c r="F3114" s="9">
        <v>20940400</v>
      </c>
      <c r="G3114" s="9">
        <v>6.45</v>
      </c>
    </row>
    <row r="3115" spans="1:7" x14ac:dyDescent="0.25">
      <c r="A3115" s="101">
        <v>37488</v>
      </c>
      <c r="B3115" s="9">
        <v>13.17</v>
      </c>
      <c r="C3115" s="9">
        <v>13.46</v>
      </c>
      <c r="D3115" s="9">
        <v>12.9</v>
      </c>
      <c r="E3115" s="9">
        <v>13.09</v>
      </c>
      <c r="F3115" s="9">
        <v>16508200</v>
      </c>
      <c r="G3115" s="9">
        <v>6.55</v>
      </c>
    </row>
    <row r="3116" spans="1:7" x14ac:dyDescent="0.25">
      <c r="A3116" s="101">
        <v>37487</v>
      </c>
      <c r="B3116" s="9">
        <v>12.05</v>
      </c>
      <c r="C3116" s="9">
        <v>13.55</v>
      </c>
      <c r="D3116" s="9">
        <v>12.04</v>
      </c>
      <c r="E3116" s="9">
        <v>13.47</v>
      </c>
      <c r="F3116" s="9">
        <v>25111800</v>
      </c>
      <c r="G3116" s="9">
        <v>6.74</v>
      </c>
    </row>
    <row r="3117" spans="1:7" x14ac:dyDescent="0.25">
      <c r="A3117" s="101">
        <v>37484</v>
      </c>
      <c r="B3117" s="9">
        <v>12.12</v>
      </c>
      <c r="C3117" s="9">
        <v>12.27</v>
      </c>
      <c r="D3117" s="9">
        <v>11.66</v>
      </c>
      <c r="E3117" s="9">
        <v>12.1</v>
      </c>
      <c r="F3117" s="9">
        <v>14823000</v>
      </c>
      <c r="G3117" s="9">
        <v>6.05</v>
      </c>
    </row>
    <row r="3118" spans="1:7" x14ac:dyDescent="0.25">
      <c r="A3118" s="101">
        <v>37483</v>
      </c>
      <c r="B3118" s="9">
        <v>11.9</v>
      </c>
      <c r="C3118" s="9">
        <v>12.29</v>
      </c>
      <c r="D3118" s="9">
        <v>11.76</v>
      </c>
      <c r="E3118" s="9">
        <v>12.22</v>
      </c>
      <c r="F3118" s="9">
        <v>13778400</v>
      </c>
      <c r="G3118" s="9">
        <v>6.11</v>
      </c>
    </row>
    <row r="3119" spans="1:7" x14ac:dyDescent="0.25">
      <c r="A3119" s="101">
        <v>37482</v>
      </c>
      <c r="B3119" s="9">
        <v>11.13</v>
      </c>
      <c r="C3119" s="9">
        <v>11.97</v>
      </c>
      <c r="D3119" s="9">
        <v>10.93</v>
      </c>
      <c r="E3119" s="9">
        <v>11.71</v>
      </c>
      <c r="F3119" s="9">
        <v>19843800</v>
      </c>
      <c r="G3119" s="9">
        <v>5.86</v>
      </c>
    </row>
    <row r="3120" spans="1:7" x14ac:dyDescent="0.25">
      <c r="A3120" s="101">
        <v>37481</v>
      </c>
      <c r="B3120" s="9">
        <v>11.89</v>
      </c>
      <c r="C3120" s="9">
        <v>12.45</v>
      </c>
      <c r="D3120" s="9">
        <v>11.16</v>
      </c>
      <c r="E3120" s="9">
        <v>11.19</v>
      </c>
      <c r="F3120" s="9">
        <v>20229400</v>
      </c>
      <c r="G3120" s="9">
        <v>5.59</v>
      </c>
    </row>
    <row r="3121" spans="1:7" x14ac:dyDescent="0.25">
      <c r="A3121" s="101">
        <v>37480</v>
      </c>
      <c r="B3121" s="9">
        <v>11.68</v>
      </c>
      <c r="C3121" s="9">
        <v>11.98</v>
      </c>
      <c r="D3121" s="9">
        <v>11.49</v>
      </c>
      <c r="E3121" s="9">
        <v>11.97</v>
      </c>
      <c r="F3121" s="9">
        <v>9145000</v>
      </c>
      <c r="G3121" s="9">
        <v>5.99</v>
      </c>
    </row>
    <row r="3122" spans="1:7" x14ac:dyDescent="0.25">
      <c r="A3122" s="101">
        <v>37477</v>
      </c>
      <c r="B3122" s="9">
        <v>11.75</v>
      </c>
      <c r="C3122" s="9">
        <v>12.19</v>
      </c>
      <c r="D3122" s="9">
        <v>11.63</v>
      </c>
      <c r="E3122" s="9">
        <v>11.96</v>
      </c>
      <c r="F3122" s="9">
        <v>9686400</v>
      </c>
      <c r="G3122" s="9">
        <v>5.98</v>
      </c>
    </row>
    <row r="3123" spans="1:7" x14ac:dyDescent="0.25">
      <c r="A3123" s="101">
        <v>37476</v>
      </c>
      <c r="B3123" s="9">
        <v>11.39</v>
      </c>
      <c r="C3123" s="9">
        <v>12.1</v>
      </c>
      <c r="D3123" s="9">
        <v>11.3</v>
      </c>
      <c r="E3123" s="9">
        <v>11.96</v>
      </c>
      <c r="F3123" s="9">
        <v>13103000</v>
      </c>
      <c r="G3123" s="9">
        <v>5.98</v>
      </c>
    </row>
    <row r="3124" spans="1:7" x14ac:dyDescent="0.25">
      <c r="A3124" s="101">
        <v>37475</v>
      </c>
      <c r="B3124" s="9">
        <v>12.01</v>
      </c>
      <c r="C3124" s="9">
        <v>12.19</v>
      </c>
      <c r="D3124" s="9">
        <v>10.75</v>
      </c>
      <c r="E3124" s="9">
        <v>11.43</v>
      </c>
      <c r="F3124" s="9">
        <v>16859000</v>
      </c>
      <c r="G3124" s="9">
        <v>5.72</v>
      </c>
    </row>
    <row r="3125" spans="1:7" x14ac:dyDescent="0.25">
      <c r="A3125" s="101">
        <v>37474</v>
      </c>
      <c r="B3125" s="9">
        <v>11.24</v>
      </c>
      <c r="C3125" s="9">
        <v>11.94</v>
      </c>
      <c r="D3125" s="9">
        <v>11.11</v>
      </c>
      <c r="E3125" s="9">
        <v>11.5</v>
      </c>
      <c r="F3125" s="9">
        <v>15271000</v>
      </c>
      <c r="G3125" s="9">
        <v>5.75</v>
      </c>
    </row>
    <row r="3126" spans="1:7" x14ac:dyDescent="0.25">
      <c r="A3126" s="101">
        <v>37473</v>
      </c>
      <c r="B3126" s="9">
        <v>11.59</v>
      </c>
      <c r="C3126" s="9">
        <v>11.63</v>
      </c>
      <c r="D3126" s="9">
        <v>10.75</v>
      </c>
      <c r="E3126" s="9">
        <v>10.89</v>
      </c>
      <c r="F3126" s="9">
        <v>16354600</v>
      </c>
      <c r="G3126" s="9">
        <v>5.45</v>
      </c>
    </row>
    <row r="3127" spans="1:7" x14ac:dyDescent="0.25">
      <c r="A3127" s="101">
        <v>37470</v>
      </c>
      <c r="B3127" s="9">
        <v>12.17</v>
      </c>
      <c r="C3127" s="9">
        <v>12.18</v>
      </c>
      <c r="D3127" s="9">
        <v>11.32</v>
      </c>
      <c r="E3127" s="9">
        <v>11.58</v>
      </c>
      <c r="F3127" s="9">
        <v>17923400</v>
      </c>
      <c r="G3127" s="9">
        <v>5.79</v>
      </c>
    </row>
    <row r="3128" spans="1:7" x14ac:dyDescent="0.25">
      <c r="A3128" s="101">
        <v>37469</v>
      </c>
      <c r="B3128" s="9">
        <v>13.06</v>
      </c>
      <c r="C3128" s="9">
        <v>13.07</v>
      </c>
      <c r="D3128" s="9">
        <v>12.11</v>
      </c>
      <c r="E3128" s="9">
        <v>12.16</v>
      </c>
      <c r="F3128" s="9">
        <v>16597800</v>
      </c>
      <c r="G3128" s="9">
        <v>6.08</v>
      </c>
    </row>
    <row r="3129" spans="1:7" x14ac:dyDescent="0.25">
      <c r="A3129" s="101">
        <v>37468</v>
      </c>
      <c r="B3129" s="9">
        <v>13.16</v>
      </c>
      <c r="C3129" s="9">
        <v>13.48</v>
      </c>
      <c r="D3129" s="9">
        <v>12.93</v>
      </c>
      <c r="E3129" s="9">
        <v>13.17</v>
      </c>
      <c r="F3129" s="9">
        <v>14406800</v>
      </c>
      <c r="G3129" s="9">
        <v>6.59</v>
      </c>
    </row>
    <row r="3130" spans="1:7" x14ac:dyDescent="0.25">
      <c r="A3130" s="101">
        <v>37467</v>
      </c>
      <c r="B3130" s="9">
        <v>12.92</v>
      </c>
      <c r="C3130" s="9">
        <v>13.89</v>
      </c>
      <c r="D3130" s="9">
        <v>12.87</v>
      </c>
      <c r="E3130" s="9">
        <v>13.39</v>
      </c>
      <c r="F3130" s="9">
        <v>19163200</v>
      </c>
      <c r="G3130" s="9">
        <v>6.7</v>
      </c>
    </row>
    <row r="3131" spans="1:7" x14ac:dyDescent="0.25">
      <c r="A3131" s="101">
        <v>37466</v>
      </c>
      <c r="B3131" s="9">
        <v>12.95</v>
      </c>
      <c r="C3131" s="9">
        <v>13.27</v>
      </c>
      <c r="D3131" s="9">
        <v>12.84</v>
      </c>
      <c r="E3131" s="9">
        <v>13.19</v>
      </c>
      <c r="F3131" s="9">
        <v>17167200</v>
      </c>
      <c r="G3131" s="9">
        <v>6.59</v>
      </c>
    </row>
    <row r="3132" spans="1:7" x14ac:dyDescent="0.25">
      <c r="A3132" s="101">
        <v>37463</v>
      </c>
      <c r="B3132" s="9">
        <v>12.47</v>
      </c>
      <c r="C3132" s="9">
        <v>12.85</v>
      </c>
      <c r="D3132" s="9">
        <v>12.19</v>
      </c>
      <c r="E3132" s="9">
        <v>12.7</v>
      </c>
      <c r="F3132" s="9">
        <v>24620400</v>
      </c>
      <c r="G3132" s="9">
        <v>6.35</v>
      </c>
    </row>
    <row r="3133" spans="1:7" x14ac:dyDescent="0.25">
      <c r="A3133" s="101">
        <v>37462</v>
      </c>
      <c r="B3133" s="9">
        <v>13.06</v>
      </c>
      <c r="C3133" s="9">
        <v>13.14</v>
      </c>
      <c r="D3133" s="9">
        <v>11.91</v>
      </c>
      <c r="E3133" s="9">
        <v>12.16</v>
      </c>
      <c r="F3133" s="9">
        <v>39191600</v>
      </c>
      <c r="G3133" s="9">
        <v>6.08</v>
      </c>
    </row>
    <row r="3134" spans="1:7" x14ac:dyDescent="0.25">
      <c r="A3134" s="101">
        <v>37461</v>
      </c>
      <c r="B3134" s="9">
        <v>12.3</v>
      </c>
      <c r="C3134" s="9">
        <v>13.59</v>
      </c>
      <c r="D3134" s="9">
        <v>11.9</v>
      </c>
      <c r="E3134" s="9">
        <v>13.58</v>
      </c>
      <c r="F3134" s="9">
        <v>30755600</v>
      </c>
      <c r="G3134" s="9">
        <v>6.79</v>
      </c>
    </row>
    <row r="3135" spans="1:7" x14ac:dyDescent="0.25">
      <c r="A3135" s="101">
        <v>37460</v>
      </c>
      <c r="B3135" s="9">
        <v>13.54</v>
      </c>
      <c r="C3135" s="9">
        <v>13.69</v>
      </c>
      <c r="D3135" s="9">
        <v>12.65</v>
      </c>
      <c r="E3135" s="9">
        <v>12.66</v>
      </c>
      <c r="F3135" s="9">
        <v>24089400</v>
      </c>
      <c r="G3135" s="9">
        <v>6.33</v>
      </c>
    </row>
    <row r="3136" spans="1:7" x14ac:dyDescent="0.25">
      <c r="A3136" s="101">
        <v>37459</v>
      </c>
      <c r="B3136" s="9">
        <v>13.16</v>
      </c>
      <c r="C3136" s="9">
        <v>13.97</v>
      </c>
      <c r="D3136" s="9">
        <v>12.84</v>
      </c>
      <c r="E3136" s="9">
        <v>13.32</v>
      </c>
      <c r="F3136" s="9">
        <v>26279400</v>
      </c>
      <c r="G3136" s="9">
        <v>6.66</v>
      </c>
    </row>
    <row r="3137" spans="1:7" x14ac:dyDescent="0.25">
      <c r="A3137" s="101">
        <v>37456</v>
      </c>
      <c r="B3137" s="9">
        <v>13.34</v>
      </c>
      <c r="C3137" s="9">
        <v>13.48</v>
      </c>
      <c r="D3137" s="9">
        <v>12.98</v>
      </c>
      <c r="E3137" s="9">
        <v>13.37</v>
      </c>
      <c r="F3137" s="9">
        <v>19755600</v>
      </c>
      <c r="G3137" s="9">
        <v>6.68</v>
      </c>
    </row>
    <row r="3138" spans="1:7" x14ac:dyDescent="0.25">
      <c r="A3138" s="101">
        <v>37455</v>
      </c>
      <c r="B3138" s="9">
        <v>14.07</v>
      </c>
      <c r="C3138" s="9">
        <v>14.25</v>
      </c>
      <c r="D3138" s="9">
        <v>13.53</v>
      </c>
      <c r="E3138" s="9">
        <v>13.58</v>
      </c>
      <c r="F3138" s="9">
        <v>21366600</v>
      </c>
      <c r="G3138" s="9">
        <v>6.79</v>
      </c>
    </row>
    <row r="3139" spans="1:7" x14ac:dyDescent="0.25">
      <c r="A3139" s="101">
        <v>37454</v>
      </c>
      <c r="B3139" s="9">
        <v>14.24</v>
      </c>
      <c r="C3139" s="9">
        <v>14.8</v>
      </c>
      <c r="D3139" s="9">
        <v>13.92</v>
      </c>
      <c r="E3139" s="9">
        <v>14.26</v>
      </c>
      <c r="F3139" s="9">
        <v>31584000</v>
      </c>
      <c r="G3139" s="9">
        <v>7.13</v>
      </c>
    </row>
    <row r="3140" spans="1:7" x14ac:dyDescent="0.25">
      <c r="A3140" s="101">
        <v>37453</v>
      </c>
      <c r="B3140" s="9">
        <v>12.86</v>
      </c>
      <c r="C3140" s="9">
        <v>14.33</v>
      </c>
      <c r="D3140" s="9">
        <v>12.82</v>
      </c>
      <c r="E3140" s="9">
        <v>13.76</v>
      </c>
      <c r="F3140" s="9">
        <v>34376200</v>
      </c>
      <c r="G3140" s="9">
        <v>6.88</v>
      </c>
    </row>
    <row r="3141" spans="1:7" x14ac:dyDescent="0.25">
      <c r="A3141" s="101">
        <v>37452</v>
      </c>
      <c r="B3141" s="9">
        <v>12.81</v>
      </c>
      <c r="C3141" s="9">
        <v>13.67</v>
      </c>
      <c r="D3141" s="9">
        <v>12.36</v>
      </c>
      <c r="E3141" s="9">
        <v>13.06</v>
      </c>
      <c r="F3141" s="9">
        <v>39270800</v>
      </c>
      <c r="G3141" s="9">
        <v>6.53</v>
      </c>
    </row>
    <row r="3142" spans="1:7" x14ac:dyDescent="0.25">
      <c r="A3142" s="101">
        <v>37449</v>
      </c>
      <c r="B3142" s="9">
        <v>12.79</v>
      </c>
      <c r="C3142" s="9">
        <v>13.33</v>
      </c>
      <c r="D3142" s="9">
        <v>12.62</v>
      </c>
      <c r="E3142" s="9">
        <v>12.94</v>
      </c>
      <c r="F3142" s="9">
        <v>35516000</v>
      </c>
      <c r="G3142" s="9">
        <v>6.47</v>
      </c>
    </row>
    <row r="3143" spans="1:7" x14ac:dyDescent="0.25">
      <c r="A3143" s="101">
        <v>37448</v>
      </c>
      <c r="B3143" s="9">
        <v>11.15</v>
      </c>
      <c r="C3143" s="9">
        <v>13.16</v>
      </c>
      <c r="D3143" s="9">
        <v>11.11</v>
      </c>
      <c r="E3143" s="9">
        <v>12.92</v>
      </c>
      <c r="F3143" s="9">
        <v>80174600</v>
      </c>
      <c r="G3143" s="9">
        <v>6.46</v>
      </c>
    </row>
    <row r="3144" spans="1:7" x14ac:dyDescent="0.25">
      <c r="A3144" s="101">
        <v>37447</v>
      </c>
      <c r="B3144" s="9">
        <v>12.92</v>
      </c>
      <c r="C3144" s="9">
        <v>13.07</v>
      </c>
      <c r="D3144" s="9">
        <v>12.06</v>
      </c>
      <c r="E3144" s="9">
        <v>12.19</v>
      </c>
      <c r="F3144" s="9">
        <v>43756600</v>
      </c>
      <c r="G3144" s="9">
        <v>6.09</v>
      </c>
    </row>
    <row r="3145" spans="1:7" x14ac:dyDescent="0.25">
      <c r="A3145" s="101">
        <v>37446</v>
      </c>
      <c r="B3145" s="9">
        <v>12.98</v>
      </c>
      <c r="C3145" s="9">
        <v>13.12</v>
      </c>
      <c r="D3145" s="9">
        <v>12.55</v>
      </c>
      <c r="E3145" s="9">
        <v>12.7</v>
      </c>
      <c r="F3145" s="9">
        <v>18565400</v>
      </c>
      <c r="G3145" s="9">
        <v>6.35</v>
      </c>
    </row>
    <row r="3146" spans="1:7" x14ac:dyDescent="0.25">
      <c r="A3146" s="101">
        <v>37445</v>
      </c>
      <c r="B3146" s="9">
        <v>13.3</v>
      </c>
      <c r="C3146" s="9">
        <v>13.8</v>
      </c>
      <c r="D3146" s="9">
        <v>12.85</v>
      </c>
      <c r="E3146" s="9">
        <v>12.89</v>
      </c>
      <c r="F3146" s="9">
        <v>21260400</v>
      </c>
      <c r="G3146" s="9">
        <v>6.45</v>
      </c>
    </row>
    <row r="3147" spans="1:7" x14ac:dyDescent="0.25">
      <c r="A3147" s="101">
        <v>37442</v>
      </c>
      <c r="B3147" s="9">
        <v>13.18</v>
      </c>
      <c r="C3147" s="9">
        <v>13.65</v>
      </c>
      <c r="D3147" s="9">
        <v>13</v>
      </c>
      <c r="E3147" s="9">
        <v>13.62</v>
      </c>
      <c r="F3147" s="9">
        <v>9540600</v>
      </c>
      <c r="G3147" s="9">
        <v>6.81</v>
      </c>
    </row>
    <row r="3148" spans="1:7" x14ac:dyDescent="0.25">
      <c r="A3148" s="101">
        <v>37440</v>
      </c>
      <c r="B3148" s="9">
        <v>11.95</v>
      </c>
      <c r="C3148" s="9">
        <v>12.98</v>
      </c>
      <c r="D3148" s="9">
        <v>11.87</v>
      </c>
      <c r="E3148" s="9">
        <v>12.78</v>
      </c>
      <c r="F3148" s="9">
        <v>25270400</v>
      </c>
      <c r="G3148" s="9">
        <v>6.39</v>
      </c>
    </row>
    <row r="3149" spans="1:7" x14ac:dyDescent="0.25">
      <c r="A3149" s="101">
        <v>37439</v>
      </c>
      <c r="B3149" s="9">
        <v>13.58</v>
      </c>
      <c r="C3149" s="9">
        <v>13.59</v>
      </c>
      <c r="D3149" s="9">
        <v>11.66</v>
      </c>
      <c r="E3149" s="9">
        <v>11.88</v>
      </c>
      <c r="F3149" s="9">
        <v>34056000</v>
      </c>
      <c r="G3149" s="9">
        <v>5.94</v>
      </c>
    </row>
    <row r="3150" spans="1:7" x14ac:dyDescent="0.25">
      <c r="A3150" s="101">
        <v>37438</v>
      </c>
      <c r="B3150" s="9">
        <v>14.76</v>
      </c>
      <c r="C3150" s="9">
        <v>14.86</v>
      </c>
      <c r="D3150" s="9">
        <v>13.55</v>
      </c>
      <c r="E3150" s="9">
        <v>13.63</v>
      </c>
      <c r="F3150" s="9">
        <v>15985000</v>
      </c>
      <c r="G3150" s="9">
        <v>6.82</v>
      </c>
    </row>
    <row r="3151" spans="1:7" x14ac:dyDescent="0.25">
      <c r="A3151" s="101">
        <v>37435</v>
      </c>
      <c r="B3151" s="9">
        <v>14.1</v>
      </c>
      <c r="C3151" s="9">
        <v>14.87</v>
      </c>
      <c r="D3151" s="9">
        <v>13.92</v>
      </c>
      <c r="E3151" s="9">
        <v>14.76</v>
      </c>
      <c r="F3151" s="9">
        <v>13724200</v>
      </c>
      <c r="G3151" s="9">
        <v>7.38</v>
      </c>
    </row>
    <row r="3152" spans="1:7" x14ac:dyDescent="0.25">
      <c r="A3152" s="101">
        <v>37434</v>
      </c>
      <c r="B3152" s="9">
        <v>14.43</v>
      </c>
      <c r="C3152" s="9">
        <v>14.7</v>
      </c>
      <c r="D3152" s="9">
        <v>13.24</v>
      </c>
      <c r="E3152" s="9">
        <v>14.18</v>
      </c>
      <c r="F3152" s="9">
        <v>23792600</v>
      </c>
      <c r="G3152" s="9">
        <v>7.09</v>
      </c>
    </row>
    <row r="3153" spans="1:7" x14ac:dyDescent="0.25">
      <c r="A3153" s="101">
        <v>37433</v>
      </c>
      <c r="B3153" s="9">
        <v>13.03</v>
      </c>
      <c r="C3153" s="9">
        <v>14.7</v>
      </c>
      <c r="D3153" s="9">
        <v>12.82</v>
      </c>
      <c r="E3153" s="9">
        <v>14.18</v>
      </c>
      <c r="F3153" s="9">
        <v>27075400</v>
      </c>
      <c r="G3153" s="9">
        <v>7.09</v>
      </c>
    </row>
    <row r="3154" spans="1:7" x14ac:dyDescent="0.25">
      <c r="A3154" s="101">
        <v>37432</v>
      </c>
      <c r="B3154" s="9">
        <v>15.2</v>
      </c>
      <c r="C3154" s="9">
        <v>15.37</v>
      </c>
      <c r="D3154" s="9">
        <v>13.47</v>
      </c>
      <c r="E3154" s="9">
        <v>13.72</v>
      </c>
      <c r="F3154" s="9">
        <v>29930600</v>
      </c>
      <c r="G3154" s="9">
        <v>6.86</v>
      </c>
    </row>
    <row r="3155" spans="1:7" x14ac:dyDescent="0.25">
      <c r="A3155" s="101">
        <v>37431</v>
      </c>
      <c r="B3155" s="9">
        <v>15.39</v>
      </c>
      <c r="C3155" s="9">
        <v>15.4</v>
      </c>
      <c r="D3155" s="9">
        <v>14.53</v>
      </c>
      <c r="E3155" s="9">
        <v>15.08</v>
      </c>
      <c r="F3155" s="9">
        <v>19801800</v>
      </c>
      <c r="G3155" s="9">
        <v>7.54</v>
      </c>
    </row>
    <row r="3156" spans="1:7" x14ac:dyDescent="0.25">
      <c r="A3156" s="101">
        <v>37428</v>
      </c>
      <c r="B3156" s="9">
        <v>15.06</v>
      </c>
      <c r="C3156" s="9">
        <v>15.6</v>
      </c>
      <c r="D3156" s="9">
        <v>14.9</v>
      </c>
      <c r="E3156" s="9">
        <v>15.49</v>
      </c>
      <c r="F3156" s="9">
        <v>17888200</v>
      </c>
      <c r="G3156" s="9">
        <v>7.74</v>
      </c>
    </row>
    <row r="3157" spans="1:7" x14ac:dyDescent="0.25">
      <c r="A3157" s="101">
        <v>37427</v>
      </c>
      <c r="B3157" s="9">
        <v>16.03</v>
      </c>
      <c r="C3157" s="9">
        <v>16.22</v>
      </c>
      <c r="D3157" s="9">
        <v>15.47</v>
      </c>
      <c r="E3157" s="9">
        <v>15.65</v>
      </c>
      <c r="F3157" s="9">
        <v>14256800</v>
      </c>
      <c r="G3157" s="9">
        <v>7.82</v>
      </c>
    </row>
    <row r="3158" spans="1:7" x14ac:dyDescent="0.25">
      <c r="A3158" s="101">
        <v>37426</v>
      </c>
      <c r="B3158" s="9">
        <v>16.46</v>
      </c>
      <c r="C3158" s="9">
        <v>16.87</v>
      </c>
      <c r="D3158" s="9">
        <v>16.010000000000002</v>
      </c>
      <c r="E3158" s="9">
        <v>16.02</v>
      </c>
      <c r="F3158" s="9">
        <v>13765800</v>
      </c>
      <c r="G3158" s="9">
        <v>8.01</v>
      </c>
    </row>
    <row r="3159" spans="1:7" x14ac:dyDescent="0.25">
      <c r="A3159" s="101">
        <v>37425</v>
      </c>
      <c r="B3159" s="9">
        <v>16.52</v>
      </c>
      <c r="C3159" s="9">
        <v>17.05</v>
      </c>
      <c r="D3159" s="9">
        <v>16.45</v>
      </c>
      <c r="E3159" s="9">
        <v>16.649999999999999</v>
      </c>
      <c r="F3159" s="9">
        <v>11408600</v>
      </c>
      <c r="G3159" s="9">
        <v>8.32</v>
      </c>
    </row>
    <row r="3160" spans="1:7" x14ac:dyDescent="0.25">
      <c r="A3160" s="101">
        <v>37424</v>
      </c>
      <c r="B3160" s="9">
        <v>15.91</v>
      </c>
      <c r="C3160" s="9">
        <v>17.07</v>
      </c>
      <c r="D3160" s="9">
        <v>15.77</v>
      </c>
      <c r="E3160" s="9">
        <v>16.78</v>
      </c>
      <c r="F3160" s="9">
        <v>14372200</v>
      </c>
      <c r="G3160" s="9">
        <v>8.39</v>
      </c>
    </row>
    <row r="3161" spans="1:7" x14ac:dyDescent="0.25">
      <c r="A3161" s="101">
        <v>37421</v>
      </c>
      <c r="B3161" s="9">
        <v>15.5</v>
      </c>
      <c r="C3161" s="9">
        <v>16.07</v>
      </c>
      <c r="D3161" s="9">
        <v>15.02</v>
      </c>
      <c r="E3161" s="9">
        <v>15.96</v>
      </c>
      <c r="F3161" s="9">
        <v>13859800</v>
      </c>
      <c r="G3161" s="9">
        <v>7.98</v>
      </c>
    </row>
    <row r="3162" spans="1:7" x14ac:dyDescent="0.25">
      <c r="A3162" s="101">
        <v>37420</v>
      </c>
      <c r="B3162" s="9">
        <v>15.63</v>
      </c>
      <c r="C3162" s="9">
        <v>16.2</v>
      </c>
      <c r="D3162" s="9">
        <v>15.5</v>
      </c>
      <c r="E3162" s="9">
        <v>15.97</v>
      </c>
      <c r="F3162" s="9">
        <v>10379800</v>
      </c>
      <c r="G3162" s="9">
        <v>7.99</v>
      </c>
    </row>
    <row r="3163" spans="1:7" x14ac:dyDescent="0.25">
      <c r="A3163" s="101">
        <v>37419</v>
      </c>
      <c r="B3163" s="9">
        <v>15.63</v>
      </c>
      <c r="C3163" s="9">
        <v>16.05</v>
      </c>
      <c r="D3163" s="9">
        <v>15.08</v>
      </c>
      <c r="E3163" s="9">
        <v>15.83</v>
      </c>
      <c r="F3163" s="9">
        <v>17325200</v>
      </c>
      <c r="G3163" s="9">
        <v>7.91</v>
      </c>
    </row>
    <row r="3164" spans="1:7" x14ac:dyDescent="0.25">
      <c r="A3164" s="101">
        <v>37418</v>
      </c>
      <c r="B3164" s="9">
        <v>15.97</v>
      </c>
      <c r="C3164" s="9">
        <v>16.39</v>
      </c>
      <c r="D3164" s="9">
        <v>15.76</v>
      </c>
      <c r="E3164" s="9">
        <v>15.86</v>
      </c>
      <c r="F3164" s="9">
        <v>10988400</v>
      </c>
      <c r="G3164" s="9">
        <v>7.93</v>
      </c>
    </row>
    <row r="3165" spans="1:7" x14ac:dyDescent="0.25">
      <c r="A3165" s="101">
        <v>37417</v>
      </c>
      <c r="B3165" s="9">
        <v>15.87</v>
      </c>
      <c r="C3165" s="9">
        <v>16.21</v>
      </c>
      <c r="D3165" s="9">
        <v>15.55</v>
      </c>
      <c r="E3165" s="9">
        <v>15.84</v>
      </c>
      <c r="F3165" s="9">
        <v>9751200</v>
      </c>
      <c r="G3165" s="9">
        <v>7.92</v>
      </c>
    </row>
    <row r="3166" spans="1:7" x14ac:dyDescent="0.25">
      <c r="A3166" s="101">
        <v>37414</v>
      </c>
      <c r="B3166" s="9">
        <v>15.5</v>
      </c>
      <c r="C3166" s="9">
        <v>16.23</v>
      </c>
      <c r="D3166" s="9">
        <v>15.45</v>
      </c>
      <c r="E3166" s="9">
        <v>15.86</v>
      </c>
      <c r="F3166" s="9">
        <v>15696600</v>
      </c>
      <c r="G3166" s="9">
        <v>7.93</v>
      </c>
    </row>
    <row r="3167" spans="1:7" x14ac:dyDescent="0.25">
      <c r="A3167" s="101">
        <v>37413</v>
      </c>
      <c r="B3167" s="9">
        <v>15.97</v>
      </c>
      <c r="C3167" s="9">
        <v>16.420000000000002</v>
      </c>
      <c r="D3167" s="9">
        <v>15.71</v>
      </c>
      <c r="E3167" s="9">
        <v>15.99</v>
      </c>
      <c r="F3167" s="9">
        <v>13621000</v>
      </c>
      <c r="G3167" s="9">
        <v>7.99</v>
      </c>
    </row>
    <row r="3168" spans="1:7" x14ac:dyDescent="0.25">
      <c r="A3168" s="101">
        <v>37412</v>
      </c>
      <c r="B3168" s="9">
        <v>16.059999999999999</v>
      </c>
      <c r="C3168" s="9">
        <v>16.09</v>
      </c>
      <c r="D3168" s="9">
        <v>15.49</v>
      </c>
      <c r="E3168" s="9">
        <v>16.010000000000002</v>
      </c>
      <c r="F3168" s="9">
        <v>11977400</v>
      </c>
      <c r="G3168" s="9">
        <v>8.01</v>
      </c>
    </row>
    <row r="3169" spans="1:7" x14ac:dyDescent="0.25">
      <c r="A3169" s="101">
        <v>37411</v>
      </c>
      <c r="B3169" s="9">
        <v>15.51</v>
      </c>
      <c r="C3169" s="9">
        <v>16.3</v>
      </c>
      <c r="D3169" s="9">
        <v>15.15</v>
      </c>
      <c r="E3169" s="9">
        <v>16</v>
      </c>
      <c r="F3169" s="9">
        <v>15346800</v>
      </c>
      <c r="G3169" s="9">
        <v>8</v>
      </c>
    </row>
    <row r="3170" spans="1:7" x14ac:dyDescent="0.25">
      <c r="A3170" s="101">
        <v>37410</v>
      </c>
      <c r="B3170" s="9">
        <v>16.12</v>
      </c>
      <c r="C3170" s="9">
        <v>16.399999999999999</v>
      </c>
      <c r="D3170" s="9">
        <v>15.65</v>
      </c>
      <c r="E3170" s="9">
        <v>15.68</v>
      </c>
      <c r="F3170" s="9">
        <v>12299800</v>
      </c>
      <c r="G3170" s="9">
        <v>7.84</v>
      </c>
    </row>
    <row r="3171" spans="1:7" x14ac:dyDescent="0.25">
      <c r="A3171" s="101">
        <v>37407</v>
      </c>
      <c r="B3171" s="9">
        <v>16.63</v>
      </c>
      <c r="C3171" s="9">
        <v>16.7</v>
      </c>
      <c r="D3171" s="9">
        <v>15.95</v>
      </c>
      <c r="E3171" s="9">
        <v>16.02</v>
      </c>
      <c r="F3171" s="9">
        <v>11485200</v>
      </c>
      <c r="G3171" s="9">
        <v>8.01</v>
      </c>
    </row>
    <row r="3172" spans="1:7" x14ac:dyDescent="0.25">
      <c r="A3172" s="101">
        <v>37406</v>
      </c>
      <c r="B3172" s="9">
        <v>16.36</v>
      </c>
      <c r="C3172" s="9">
        <v>16.66</v>
      </c>
      <c r="D3172" s="9">
        <v>16.05</v>
      </c>
      <c r="E3172" s="9">
        <v>16.420000000000002</v>
      </c>
      <c r="F3172" s="9">
        <v>9002800</v>
      </c>
      <c r="G3172" s="9">
        <v>8.2100000000000009</v>
      </c>
    </row>
    <row r="3173" spans="1:7" x14ac:dyDescent="0.25">
      <c r="A3173" s="101">
        <v>37405</v>
      </c>
      <c r="B3173" s="9">
        <v>16.489999999999998</v>
      </c>
      <c r="C3173" s="9">
        <v>16.88</v>
      </c>
      <c r="D3173" s="9">
        <v>16.23</v>
      </c>
      <c r="E3173" s="9">
        <v>16.579999999999998</v>
      </c>
      <c r="F3173" s="9">
        <v>10859600</v>
      </c>
      <c r="G3173" s="9">
        <v>8.2899999999999991</v>
      </c>
    </row>
    <row r="3174" spans="1:7" x14ac:dyDescent="0.25">
      <c r="A3174" s="101">
        <v>37404</v>
      </c>
      <c r="B3174" s="9">
        <v>17.149999999999999</v>
      </c>
      <c r="C3174" s="9">
        <v>17.16</v>
      </c>
      <c r="D3174" s="9">
        <v>16.16</v>
      </c>
      <c r="E3174" s="9">
        <v>16.55</v>
      </c>
      <c r="F3174" s="9">
        <v>9969600</v>
      </c>
      <c r="G3174" s="9">
        <v>8.27</v>
      </c>
    </row>
    <row r="3175" spans="1:7" x14ac:dyDescent="0.25">
      <c r="A3175" s="101">
        <v>37400</v>
      </c>
      <c r="B3175" s="9">
        <v>16.87</v>
      </c>
      <c r="C3175" s="9">
        <v>17.100000000000001</v>
      </c>
      <c r="D3175" s="9">
        <v>16.5</v>
      </c>
      <c r="E3175" s="9">
        <v>17.010000000000002</v>
      </c>
      <c r="F3175" s="9">
        <v>8892600</v>
      </c>
      <c r="G3175" s="9">
        <v>8.51</v>
      </c>
    </row>
    <row r="3176" spans="1:7" x14ac:dyDescent="0.25">
      <c r="A3176" s="101">
        <v>37399</v>
      </c>
      <c r="B3176" s="9">
        <v>16.53</v>
      </c>
      <c r="C3176" s="9">
        <v>17.13</v>
      </c>
      <c r="D3176" s="9">
        <v>16.25</v>
      </c>
      <c r="E3176" s="9">
        <v>17.09</v>
      </c>
      <c r="F3176" s="9">
        <v>14567800</v>
      </c>
      <c r="G3176" s="9">
        <v>8.5500000000000007</v>
      </c>
    </row>
    <row r="3177" spans="1:7" x14ac:dyDescent="0.25">
      <c r="A3177" s="101">
        <v>37398</v>
      </c>
      <c r="B3177" s="9">
        <v>16.59</v>
      </c>
      <c r="C3177" s="9">
        <v>17.14</v>
      </c>
      <c r="D3177" s="9">
        <v>15.93</v>
      </c>
      <c r="E3177" s="9">
        <v>16.27</v>
      </c>
      <c r="F3177" s="9">
        <v>16974200</v>
      </c>
      <c r="G3177" s="9">
        <v>8.14</v>
      </c>
    </row>
    <row r="3178" spans="1:7" x14ac:dyDescent="0.25">
      <c r="A3178" s="101">
        <v>37397</v>
      </c>
      <c r="B3178" s="9">
        <v>17.22</v>
      </c>
      <c r="C3178" s="9">
        <v>17.27</v>
      </c>
      <c r="D3178" s="9">
        <v>16.5</v>
      </c>
      <c r="E3178" s="9">
        <v>16.73</v>
      </c>
      <c r="F3178" s="9">
        <v>9908600</v>
      </c>
      <c r="G3178" s="9">
        <v>8.36</v>
      </c>
    </row>
    <row r="3179" spans="1:7" x14ac:dyDescent="0.25">
      <c r="A3179" s="101">
        <v>37396</v>
      </c>
      <c r="B3179" s="9">
        <v>17.71</v>
      </c>
      <c r="C3179" s="9">
        <v>17.72</v>
      </c>
      <c r="D3179" s="9">
        <v>16.89</v>
      </c>
      <c r="E3179" s="9">
        <v>17.170000000000002</v>
      </c>
      <c r="F3179" s="9">
        <v>14262800</v>
      </c>
      <c r="G3179" s="9">
        <v>8.59</v>
      </c>
    </row>
    <row r="3180" spans="1:7" x14ac:dyDescent="0.25">
      <c r="A3180" s="101">
        <v>37393</v>
      </c>
      <c r="B3180" s="9">
        <v>18.190000000000001</v>
      </c>
      <c r="C3180" s="9">
        <v>18.45</v>
      </c>
      <c r="D3180" s="9">
        <v>17.670000000000002</v>
      </c>
      <c r="E3180" s="9">
        <v>18</v>
      </c>
      <c r="F3180" s="9">
        <v>12264200</v>
      </c>
      <c r="G3180" s="9">
        <v>9</v>
      </c>
    </row>
    <row r="3181" spans="1:7" x14ac:dyDescent="0.25">
      <c r="A3181" s="101">
        <v>37392</v>
      </c>
      <c r="B3181" s="9">
        <v>17.66</v>
      </c>
      <c r="C3181" s="9">
        <v>18.2</v>
      </c>
      <c r="D3181" s="9">
        <v>17.55</v>
      </c>
      <c r="E3181" s="9">
        <v>18.03</v>
      </c>
      <c r="F3181" s="9">
        <v>14107400</v>
      </c>
      <c r="G3181" s="9">
        <v>9.02</v>
      </c>
    </row>
    <row r="3182" spans="1:7" x14ac:dyDescent="0.25">
      <c r="A3182" s="101">
        <v>37391</v>
      </c>
      <c r="B3182" s="9">
        <v>17.170000000000002</v>
      </c>
      <c r="C3182" s="9">
        <v>17.98</v>
      </c>
      <c r="D3182" s="9">
        <v>17.05</v>
      </c>
      <c r="E3182" s="9">
        <v>17.78</v>
      </c>
      <c r="F3182" s="9">
        <v>21283600</v>
      </c>
      <c r="G3182" s="9">
        <v>8.89</v>
      </c>
    </row>
    <row r="3183" spans="1:7" x14ac:dyDescent="0.25">
      <c r="A3183" s="101">
        <v>37390</v>
      </c>
      <c r="B3183" s="9">
        <v>16.690000000000001</v>
      </c>
      <c r="C3183" s="9">
        <v>17.82</v>
      </c>
      <c r="D3183" s="9">
        <v>16.649999999999999</v>
      </c>
      <c r="E3183" s="9">
        <v>17.55</v>
      </c>
      <c r="F3183" s="9">
        <v>24921600</v>
      </c>
      <c r="G3183" s="9">
        <v>8.77</v>
      </c>
    </row>
    <row r="3184" spans="1:7" x14ac:dyDescent="0.25">
      <c r="A3184" s="101">
        <v>37389</v>
      </c>
      <c r="B3184" s="9">
        <v>15.66</v>
      </c>
      <c r="C3184" s="9">
        <v>16.23</v>
      </c>
      <c r="D3184" s="9">
        <v>15.65</v>
      </c>
      <c r="E3184" s="9">
        <v>15.98</v>
      </c>
      <c r="F3184" s="9">
        <v>14218400</v>
      </c>
      <c r="G3184" s="9">
        <v>7.99</v>
      </c>
    </row>
    <row r="3185" spans="1:7" x14ac:dyDescent="0.25">
      <c r="A3185" s="101">
        <v>37386</v>
      </c>
      <c r="B3185" s="9">
        <v>16.2</v>
      </c>
      <c r="C3185" s="9">
        <v>16.45</v>
      </c>
      <c r="D3185" s="9">
        <v>15.4</v>
      </c>
      <c r="E3185" s="9">
        <v>15.46</v>
      </c>
      <c r="F3185" s="9">
        <v>17620000</v>
      </c>
      <c r="G3185" s="9">
        <v>7.73</v>
      </c>
    </row>
    <row r="3186" spans="1:7" x14ac:dyDescent="0.25">
      <c r="A3186" s="101">
        <v>37385</v>
      </c>
      <c r="B3186" s="9">
        <v>15.65</v>
      </c>
      <c r="C3186" s="9">
        <v>16.649999999999999</v>
      </c>
      <c r="D3186" s="9">
        <v>15.59</v>
      </c>
      <c r="E3186" s="9">
        <v>16.37</v>
      </c>
      <c r="F3186" s="9">
        <v>22037600</v>
      </c>
      <c r="G3186" s="9">
        <v>8.19</v>
      </c>
    </row>
    <row r="3187" spans="1:7" x14ac:dyDescent="0.25">
      <c r="A3187" s="101">
        <v>37384</v>
      </c>
      <c r="B3187" s="9">
        <v>15.23</v>
      </c>
      <c r="C3187" s="9">
        <v>16.37</v>
      </c>
      <c r="D3187" s="9">
        <v>15.1</v>
      </c>
      <c r="E3187" s="9">
        <v>16.32</v>
      </c>
      <c r="F3187" s="9">
        <v>21358200</v>
      </c>
      <c r="G3187" s="9">
        <v>8.16</v>
      </c>
    </row>
    <row r="3188" spans="1:7" x14ac:dyDescent="0.25">
      <c r="A3188" s="101">
        <v>37383</v>
      </c>
      <c r="B3188" s="9">
        <v>14.78</v>
      </c>
      <c r="C3188" s="9">
        <v>15.05</v>
      </c>
      <c r="D3188" s="9">
        <v>14.56</v>
      </c>
      <c r="E3188" s="9">
        <v>14.74</v>
      </c>
      <c r="F3188" s="9">
        <v>12768800</v>
      </c>
      <c r="G3188" s="9">
        <v>7.37</v>
      </c>
    </row>
    <row r="3189" spans="1:7" x14ac:dyDescent="0.25">
      <c r="A3189" s="101">
        <v>37382</v>
      </c>
      <c r="B3189" s="9">
        <v>14.64</v>
      </c>
      <c r="C3189" s="9">
        <v>15.26</v>
      </c>
      <c r="D3189" s="9">
        <v>14.39</v>
      </c>
      <c r="E3189" s="9">
        <v>14.6</v>
      </c>
      <c r="F3189" s="9">
        <v>15049000</v>
      </c>
      <c r="G3189" s="9">
        <v>7.3</v>
      </c>
    </row>
    <row r="3190" spans="1:7" x14ac:dyDescent="0.25">
      <c r="A3190" s="101">
        <v>37379</v>
      </c>
      <c r="B3190" s="9">
        <v>15.02</v>
      </c>
      <c r="C3190" s="9">
        <v>15.1</v>
      </c>
      <c r="D3190" s="9">
        <v>14.47</v>
      </c>
      <c r="E3190" s="9">
        <v>14.77</v>
      </c>
      <c r="F3190" s="9">
        <v>12639200</v>
      </c>
      <c r="G3190" s="9">
        <v>7.39</v>
      </c>
    </row>
    <row r="3191" spans="1:7" x14ac:dyDescent="0.25">
      <c r="A3191" s="101">
        <v>37378</v>
      </c>
      <c r="B3191" s="9">
        <v>15.19</v>
      </c>
      <c r="C3191" s="9">
        <v>15.77</v>
      </c>
      <c r="D3191" s="9">
        <v>14.8</v>
      </c>
      <c r="E3191" s="9">
        <v>15</v>
      </c>
      <c r="F3191" s="9">
        <v>21428600</v>
      </c>
      <c r="G3191" s="9">
        <v>7.5</v>
      </c>
    </row>
    <row r="3192" spans="1:7" x14ac:dyDescent="0.25">
      <c r="A3192" s="101">
        <v>37377</v>
      </c>
      <c r="B3192" s="9">
        <v>14.79</v>
      </c>
      <c r="C3192" s="9">
        <v>15.85</v>
      </c>
      <c r="D3192" s="9">
        <v>14.12</v>
      </c>
      <c r="E3192" s="9">
        <v>15.64</v>
      </c>
      <c r="F3192" s="9">
        <v>26775600</v>
      </c>
      <c r="G3192" s="9">
        <v>7.82</v>
      </c>
    </row>
    <row r="3193" spans="1:7" x14ac:dyDescent="0.25">
      <c r="A3193" s="101">
        <v>37376</v>
      </c>
      <c r="B3193" s="9">
        <v>14.22</v>
      </c>
      <c r="C3193" s="9">
        <v>15.05</v>
      </c>
      <c r="D3193" s="9">
        <v>14.16</v>
      </c>
      <c r="E3193" s="9">
        <v>14.76</v>
      </c>
      <c r="F3193" s="9">
        <v>21189800</v>
      </c>
      <c r="G3193" s="9">
        <v>7.38</v>
      </c>
    </row>
    <row r="3194" spans="1:7" x14ac:dyDescent="0.25">
      <c r="A3194" s="101">
        <v>37375</v>
      </c>
      <c r="B3194" s="9">
        <v>14.47</v>
      </c>
      <c r="C3194" s="9">
        <v>14.7</v>
      </c>
      <c r="D3194" s="9">
        <v>13.97</v>
      </c>
      <c r="E3194" s="9">
        <v>14.21</v>
      </c>
      <c r="F3194" s="9">
        <v>15803200</v>
      </c>
      <c r="G3194" s="9">
        <v>7.11</v>
      </c>
    </row>
    <row r="3195" spans="1:7" x14ac:dyDescent="0.25">
      <c r="A3195" s="101">
        <v>37372</v>
      </c>
      <c r="B3195" s="9">
        <v>14.91</v>
      </c>
      <c r="C3195" s="9">
        <v>14.95</v>
      </c>
      <c r="D3195" s="9">
        <v>14.35</v>
      </c>
      <c r="E3195" s="9">
        <v>14.5</v>
      </c>
      <c r="F3195" s="9">
        <v>19087600</v>
      </c>
      <c r="G3195" s="9">
        <v>7.25</v>
      </c>
    </row>
    <row r="3196" spans="1:7" x14ac:dyDescent="0.25">
      <c r="A3196" s="101">
        <v>37371</v>
      </c>
      <c r="B3196" s="9">
        <v>14.24</v>
      </c>
      <c r="C3196" s="9">
        <v>14.77</v>
      </c>
      <c r="D3196" s="9">
        <v>14.17</v>
      </c>
      <c r="E3196" s="9">
        <v>14.35</v>
      </c>
      <c r="F3196" s="9">
        <v>16614200</v>
      </c>
      <c r="G3196" s="9">
        <v>7.18</v>
      </c>
    </row>
    <row r="3197" spans="1:7" x14ac:dyDescent="0.25">
      <c r="A3197" s="101">
        <v>37370</v>
      </c>
      <c r="B3197" s="9">
        <v>14.68</v>
      </c>
      <c r="C3197" s="9">
        <v>15.09</v>
      </c>
      <c r="D3197" s="9">
        <v>14.5</v>
      </c>
      <c r="E3197" s="9">
        <v>14.61</v>
      </c>
      <c r="F3197" s="9">
        <v>26954000</v>
      </c>
      <c r="G3197" s="9">
        <v>7.3</v>
      </c>
    </row>
    <row r="3198" spans="1:7" x14ac:dyDescent="0.25">
      <c r="A3198" s="101">
        <v>37369</v>
      </c>
      <c r="B3198" s="9">
        <v>14.11</v>
      </c>
      <c r="C3198" s="9">
        <v>14.28</v>
      </c>
      <c r="D3198" s="9">
        <v>13.87</v>
      </c>
      <c r="E3198" s="9">
        <v>14.17</v>
      </c>
      <c r="F3198" s="9">
        <v>14515400</v>
      </c>
      <c r="G3198" s="9">
        <v>7.09</v>
      </c>
    </row>
    <row r="3199" spans="1:7" x14ac:dyDescent="0.25">
      <c r="A3199" s="101">
        <v>37368</v>
      </c>
      <c r="B3199" s="9">
        <v>14.73</v>
      </c>
      <c r="C3199" s="9">
        <v>14.73</v>
      </c>
      <c r="D3199" s="9">
        <v>13.88</v>
      </c>
      <c r="E3199" s="9">
        <v>14.14</v>
      </c>
      <c r="F3199" s="9">
        <v>19980800</v>
      </c>
      <c r="G3199" s="9">
        <v>7.07</v>
      </c>
    </row>
    <row r="3200" spans="1:7" x14ac:dyDescent="0.25">
      <c r="A3200" s="101">
        <v>37365</v>
      </c>
      <c r="B3200" s="9">
        <v>15.2</v>
      </c>
      <c r="C3200" s="9">
        <v>15.25</v>
      </c>
      <c r="D3200" s="9">
        <v>14.75</v>
      </c>
      <c r="E3200" s="9">
        <v>14.76</v>
      </c>
      <c r="F3200" s="9">
        <v>18159800</v>
      </c>
      <c r="G3200" s="9">
        <v>7.38</v>
      </c>
    </row>
    <row r="3201" spans="1:7" x14ac:dyDescent="0.25">
      <c r="A3201" s="101">
        <v>37364</v>
      </c>
      <c r="B3201" s="9">
        <v>15.77</v>
      </c>
      <c r="C3201" s="9">
        <v>15.84</v>
      </c>
      <c r="D3201" s="9">
        <v>15</v>
      </c>
      <c r="E3201" s="9">
        <v>15.06</v>
      </c>
      <c r="F3201" s="9">
        <v>16957400</v>
      </c>
      <c r="G3201" s="9">
        <v>7.53</v>
      </c>
    </row>
    <row r="3202" spans="1:7" x14ac:dyDescent="0.25">
      <c r="A3202" s="101">
        <v>37363</v>
      </c>
      <c r="B3202" s="9">
        <v>15.58</v>
      </c>
      <c r="C3202" s="9">
        <v>15.9</v>
      </c>
      <c r="D3202" s="9">
        <v>15.48</v>
      </c>
      <c r="E3202" s="9">
        <v>15.89</v>
      </c>
      <c r="F3202" s="9">
        <v>22728800</v>
      </c>
      <c r="G3202" s="9">
        <v>7.95</v>
      </c>
    </row>
    <row r="3203" spans="1:7" x14ac:dyDescent="0.25">
      <c r="A3203" s="101">
        <v>37362</v>
      </c>
      <c r="B3203" s="9">
        <v>15.53</v>
      </c>
      <c r="C3203" s="9">
        <v>15.55</v>
      </c>
      <c r="D3203" s="9">
        <v>15.05</v>
      </c>
      <c r="E3203" s="9">
        <v>15.39</v>
      </c>
      <c r="F3203" s="9">
        <v>29637400</v>
      </c>
      <c r="G3203" s="9">
        <v>7.7</v>
      </c>
    </row>
    <row r="3204" spans="1:7" x14ac:dyDescent="0.25">
      <c r="A3204" s="101">
        <v>37361</v>
      </c>
      <c r="B3204" s="9">
        <v>15.9</v>
      </c>
      <c r="C3204" s="9">
        <v>16.07</v>
      </c>
      <c r="D3204" s="9">
        <v>15.32</v>
      </c>
      <c r="E3204" s="9">
        <v>15.41</v>
      </c>
      <c r="F3204" s="9">
        <v>18348600</v>
      </c>
      <c r="G3204" s="9">
        <v>7.7</v>
      </c>
    </row>
    <row r="3205" spans="1:7" x14ac:dyDescent="0.25">
      <c r="A3205" s="101">
        <v>37358</v>
      </c>
      <c r="B3205" s="9">
        <v>15.82</v>
      </c>
      <c r="C3205" s="9">
        <v>15.99</v>
      </c>
      <c r="D3205" s="9">
        <v>15.5</v>
      </c>
      <c r="E3205" s="9">
        <v>15.72</v>
      </c>
      <c r="F3205" s="9">
        <v>23181000</v>
      </c>
      <c r="G3205" s="9">
        <v>7.86</v>
      </c>
    </row>
    <row r="3206" spans="1:7" x14ac:dyDescent="0.25">
      <c r="A3206" s="101">
        <v>37357</v>
      </c>
      <c r="B3206" s="9">
        <v>16.86</v>
      </c>
      <c r="C3206" s="9">
        <v>16.87</v>
      </c>
      <c r="D3206" s="9">
        <v>15.26</v>
      </c>
      <c r="E3206" s="9">
        <v>15.45</v>
      </c>
      <c r="F3206" s="9">
        <v>68269000</v>
      </c>
      <c r="G3206" s="9">
        <v>7.72</v>
      </c>
    </row>
    <row r="3207" spans="1:7" x14ac:dyDescent="0.25">
      <c r="A3207" s="101">
        <v>37356</v>
      </c>
      <c r="B3207" s="9">
        <v>18.7</v>
      </c>
      <c r="C3207" s="9">
        <v>18.809999999999999</v>
      </c>
      <c r="D3207" s="9">
        <v>17.5</v>
      </c>
      <c r="E3207" s="9">
        <v>18.440000000000001</v>
      </c>
      <c r="F3207" s="9">
        <v>33023200</v>
      </c>
      <c r="G3207" s="9">
        <v>9.2200000000000006</v>
      </c>
    </row>
    <row r="3208" spans="1:7" x14ac:dyDescent="0.25">
      <c r="A3208" s="101">
        <v>37355</v>
      </c>
      <c r="B3208" s="9">
        <v>18.95</v>
      </c>
      <c r="C3208" s="9">
        <v>19.149999999999999</v>
      </c>
      <c r="D3208" s="9">
        <v>18.39</v>
      </c>
      <c r="E3208" s="9">
        <v>18.46</v>
      </c>
      <c r="F3208" s="9">
        <v>21637800</v>
      </c>
      <c r="G3208" s="9">
        <v>9.23</v>
      </c>
    </row>
    <row r="3209" spans="1:7" x14ac:dyDescent="0.25">
      <c r="A3209" s="101">
        <v>37354</v>
      </c>
      <c r="B3209" s="9">
        <v>17.600000000000001</v>
      </c>
      <c r="C3209" s="9">
        <v>18.850000000000001</v>
      </c>
      <c r="D3209" s="9">
        <v>17.350000000000001</v>
      </c>
      <c r="E3209" s="9">
        <v>18.84</v>
      </c>
      <c r="F3209" s="9">
        <v>26425800</v>
      </c>
      <c r="G3209" s="9">
        <v>9.42</v>
      </c>
    </row>
    <row r="3210" spans="1:7" x14ac:dyDescent="0.25">
      <c r="A3210" s="101">
        <v>37351</v>
      </c>
      <c r="B3210" s="9">
        <v>17.739999999999998</v>
      </c>
      <c r="C3210" s="9">
        <v>18.48</v>
      </c>
      <c r="D3210" s="9">
        <v>17.71</v>
      </c>
      <c r="E3210" s="9">
        <v>18.170000000000002</v>
      </c>
      <c r="F3210" s="9">
        <v>18153400</v>
      </c>
      <c r="G3210" s="9">
        <v>9.09</v>
      </c>
    </row>
    <row r="3211" spans="1:7" x14ac:dyDescent="0.25">
      <c r="A3211" s="101">
        <v>37350</v>
      </c>
      <c r="B3211" s="9">
        <v>17.809999999999999</v>
      </c>
      <c r="C3211" s="9">
        <v>17.82</v>
      </c>
      <c r="D3211" s="9">
        <v>17.100000000000001</v>
      </c>
      <c r="E3211" s="9">
        <v>17.66</v>
      </c>
      <c r="F3211" s="9">
        <v>15151200</v>
      </c>
      <c r="G3211" s="9">
        <v>8.83</v>
      </c>
    </row>
    <row r="3212" spans="1:7" x14ac:dyDescent="0.25">
      <c r="A3212" s="101">
        <v>37349</v>
      </c>
      <c r="B3212" s="9">
        <v>18.23</v>
      </c>
      <c r="C3212" s="9">
        <v>18.28</v>
      </c>
      <c r="D3212" s="9">
        <v>17.510000000000002</v>
      </c>
      <c r="E3212" s="9">
        <v>17.82</v>
      </c>
      <c r="F3212" s="9">
        <v>14094000</v>
      </c>
      <c r="G3212" s="9">
        <v>8.91</v>
      </c>
    </row>
    <row r="3213" spans="1:7" x14ac:dyDescent="0.25">
      <c r="A3213" s="101">
        <v>37348</v>
      </c>
      <c r="B3213" s="9">
        <v>18.440000000000001</v>
      </c>
      <c r="C3213" s="9">
        <v>18.5</v>
      </c>
      <c r="D3213" s="9">
        <v>17.850000000000001</v>
      </c>
      <c r="E3213" s="9">
        <v>18.05</v>
      </c>
      <c r="F3213" s="9">
        <v>14504000</v>
      </c>
      <c r="G3213" s="9">
        <v>9.02</v>
      </c>
    </row>
    <row r="3214" spans="1:7" x14ac:dyDescent="0.25">
      <c r="A3214" s="101">
        <v>37347</v>
      </c>
      <c r="B3214" s="9">
        <v>18.75</v>
      </c>
      <c r="C3214" s="9">
        <v>18.850000000000001</v>
      </c>
      <c r="D3214" s="9">
        <v>18</v>
      </c>
      <c r="E3214" s="9">
        <v>18.68</v>
      </c>
      <c r="F3214" s="9">
        <v>12873600</v>
      </c>
      <c r="G3214" s="9">
        <v>9.34</v>
      </c>
    </row>
    <row r="3215" spans="1:7" x14ac:dyDescent="0.25">
      <c r="A3215" s="101">
        <v>37343</v>
      </c>
      <c r="B3215" s="9">
        <v>18.03</v>
      </c>
      <c r="C3215" s="9">
        <v>18.489999999999998</v>
      </c>
      <c r="D3215" s="9">
        <v>17.87</v>
      </c>
      <c r="E3215" s="9">
        <v>18.47</v>
      </c>
      <c r="F3215" s="9">
        <v>10132400</v>
      </c>
      <c r="G3215" s="9">
        <v>9.23</v>
      </c>
    </row>
    <row r="3216" spans="1:7" x14ac:dyDescent="0.25">
      <c r="A3216" s="101">
        <v>37342</v>
      </c>
      <c r="B3216" s="9">
        <v>17.71</v>
      </c>
      <c r="C3216" s="9">
        <v>17.95</v>
      </c>
      <c r="D3216" s="9">
        <v>17.29</v>
      </c>
      <c r="E3216" s="9">
        <v>17.850000000000001</v>
      </c>
      <c r="F3216" s="9">
        <v>11252400</v>
      </c>
      <c r="G3216" s="9">
        <v>8.93</v>
      </c>
    </row>
    <row r="3217" spans="1:7" x14ac:dyDescent="0.25">
      <c r="A3217" s="101">
        <v>37341</v>
      </c>
      <c r="B3217" s="9">
        <v>17.62</v>
      </c>
      <c r="C3217" s="9">
        <v>18.45</v>
      </c>
      <c r="D3217" s="9">
        <v>17.57</v>
      </c>
      <c r="E3217" s="9">
        <v>17.690000000000001</v>
      </c>
      <c r="F3217" s="9">
        <v>16236600</v>
      </c>
      <c r="G3217" s="9">
        <v>8.85</v>
      </c>
    </row>
    <row r="3218" spans="1:7" x14ac:dyDescent="0.25">
      <c r="A3218" s="101">
        <v>37340</v>
      </c>
      <c r="B3218" s="9">
        <v>18.399999999999999</v>
      </c>
      <c r="C3218" s="9">
        <v>18.88</v>
      </c>
      <c r="D3218" s="9">
        <v>17.72</v>
      </c>
      <c r="E3218" s="9">
        <v>17.829999999999998</v>
      </c>
      <c r="F3218" s="9">
        <v>10465600</v>
      </c>
      <c r="G3218" s="9">
        <v>8.91</v>
      </c>
    </row>
    <row r="3219" spans="1:7" x14ac:dyDescent="0.25">
      <c r="A3219" s="101">
        <v>37337</v>
      </c>
      <c r="B3219" s="9">
        <v>18.420000000000002</v>
      </c>
      <c r="C3219" s="9">
        <v>18.760000000000002</v>
      </c>
      <c r="D3219" s="9">
        <v>18.18</v>
      </c>
      <c r="E3219" s="9">
        <v>18.43</v>
      </c>
      <c r="F3219" s="9">
        <v>13243400</v>
      </c>
      <c r="G3219" s="9">
        <v>9.2200000000000006</v>
      </c>
    </row>
    <row r="3220" spans="1:7" x14ac:dyDescent="0.25">
      <c r="A3220" s="101">
        <v>37336</v>
      </c>
      <c r="B3220" s="9">
        <v>18.350000000000001</v>
      </c>
      <c r="C3220" s="9">
        <v>18.75</v>
      </c>
      <c r="D3220" s="9">
        <v>17.600000000000001</v>
      </c>
      <c r="E3220" s="9">
        <v>18.59</v>
      </c>
      <c r="F3220" s="9">
        <v>20458800</v>
      </c>
      <c r="G3220" s="9">
        <v>9.3000000000000007</v>
      </c>
    </row>
    <row r="3221" spans="1:7" x14ac:dyDescent="0.25">
      <c r="A3221" s="101">
        <v>37335</v>
      </c>
      <c r="B3221" s="9">
        <v>18.670000000000002</v>
      </c>
      <c r="C3221" s="9">
        <v>19.09</v>
      </c>
      <c r="D3221" s="9">
        <v>18.16</v>
      </c>
      <c r="E3221" s="9">
        <v>18.2</v>
      </c>
      <c r="F3221" s="9">
        <v>10253600</v>
      </c>
      <c r="G3221" s="9">
        <v>9.1</v>
      </c>
    </row>
    <row r="3222" spans="1:7" x14ac:dyDescent="0.25">
      <c r="A3222" s="101">
        <v>37334</v>
      </c>
      <c r="B3222" s="9">
        <v>19.170000000000002</v>
      </c>
      <c r="C3222" s="9">
        <v>19.45</v>
      </c>
      <c r="D3222" s="9">
        <v>18.989999999999998</v>
      </c>
      <c r="E3222" s="9">
        <v>19.09</v>
      </c>
      <c r="F3222" s="9">
        <v>10785200</v>
      </c>
      <c r="G3222" s="9">
        <v>9.5500000000000007</v>
      </c>
    </row>
    <row r="3223" spans="1:7" x14ac:dyDescent="0.25">
      <c r="A3223" s="101">
        <v>37333</v>
      </c>
      <c r="B3223" s="9">
        <v>18.739999999999998</v>
      </c>
      <c r="C3223" s="9">
        <v>19.260000000000002</v>
      </c>
      <c r="D3223" s="9">
        <v>18.66</v>
      </c>
      <c r="E3223" s="9">
        <v>19.21</v>
      </c>
      <c r="F3223" s="9">
        <v>15079000</v>
      </c>
      <c r="G3223" s="9">
        <v>9.6</v>
      </c>
    </row>
    <row r="3224" spans="1:7" x14ac:dyDescent="0.25">
      <c r="A3224" s="101">
        <v>37330</v>
      </c>
      <c r="B3224" s="9">
        <v>19.5</v>
      </c>
      <c r="C3224" s="9">
        <v>19.600000000000001</v>
      </c>
      <c r="D3224" s="9">
        <v>18.13</v>
      </c>
      <c r="E3224" s="9">
        <v>18.72</v>
      </c>
      <c r="F3224" s="9">
        <v>26581200</v>
      </c>
      <c r="G3224" s="9">
        <v>9.36</v>
      </c>
    </row>
    <row r="3225" spans="1:7" x14ac:dyDescent="0.25">
      <c r="A3225" s="101">
        <v>37329</v>
      </c>
      <c r="B3225" s="9">
        <v>19.04</v>
      </c>
      <c r="C3225" s="9">
        <v>19.39</v>
      </c>
      <c r="D3225" s="9">
        <v>18.899999999999999</v>
      </c>
      <c r="E3225" s="9">
        <v>19.23</v>
      </c>
      <c r="F3225" s="9">
        <v>11820400</v>
      </c>
      <c r="G3225" s="9">
        <v>9.61</v>
      </c>
    </row>
    <row r="3226" spans="1:7" x14ac:dyDescent="0.25">
      <c r="A3226" s="101">
        <v>37328</v>
      </c>
      <c r="B3226" s="9">
        <v>18.75</v>
      </c>
      <c r="C3226" s="9">
        <v>19.600000000000001</v>
      </c>
      <c r="D3226" s="9">
        <v>18.75</v>
      </c>
      <c r="E3226" s="9">
        <v>19.22</v>
      </c>
      <c r="F3226" s="9">
        <v>16346600</v>
      </c>
      <c r="G3226" s="9">
        <v>9.61</v>
      </c>
    </row>
    <row r="3227" spans="1:7" x14ac:dyDescent="0.25">
      <c r="A3227" s="101">
        <v>37327</v>
      </c>
      <c r="B3227" s="9">
        <v>19.350000000000001</v>
      </c>
      <c r="C3227" s="9">
        <v>19.809999999999999</v>
      </c>
      <c r="D3227" s="9">
        <v>18.899999999999999</v>
      </c>
      <c r="E3227" s="9">
        <v>19.36</v>
      </c>
      <c r="F3227" s="9">
        <v>29150400</v>
      </c>
      <c r="G3227" s="9">
        <v>9.68</v>
      </c>
    </row>
    <row r="3228" spans="1:7" x14ac:dyDescent="0.25">
      <c r="A3228" s="101">
        <v>37326</v>
      </c>
      <c r="B3228" s="9">
        <v>18.510000000000002</v>
      </c>
      <c r="C3228" s="9">
        <v>20.54</v>
      </c>
      <c r="D3228" s="9">
        <v>18.510000000000002</v>
      </c>
      <c r="E3228" s="9">
        <v>20.5</v>
      </c>
      <c r="F3228" s="9">
        <v>34095200</v>
      </c>
      <c r="G3228" s="9">
        <v>10.25</v>
      </c>
    </row>
    <row r="3229" spans="1:7" x14ac:dyDescent="0.25">
      <c r="A3229" s="101">
        <v>37323</v>
      </c>
      <c r="B3229" s="9">
        <v>18.440000000000001</v>
      </c>
      <c r="C3229" s="9">
        <v>18.98</v>
      </c>
      <c r="D3229" s="9">
        <v>18.05</v>
      </c>
      <c r="E3229" s="9">
        <v>18.93</v>
      </c>
      <c r="F3229" s="9">
        <v>19056800</v>
      </c>
      <c r="G3229" s="9">
        <v>9.4700000000000006</v>
      </c>
    </row>
    <row r="3230" spans="1:7" x14ac:dyDescent="0.25">
      <c r="A3230" s="101">
        <v>37322</v>
      </c>
      <c r="B3230" s="9">
        <v>18.309999999999999</v>
      </c>
      <c r="C3230" s="9">
        <v>18.5</v>
      </c>
      <c r="D3230" s="9">
        <v>17.62</v>
      </c>
      <c r="E3230" s="9">
        <v>17.940000000000001</v>
      </c>
      <c r="F3230" s="9">
        <v>16618600</v>
      </c>
      <c r="G3230" s="9">
        <v>8.9700000000000006</v>
      </c>
    </row>
    <row r="3231" spans="1:7" x14ac:dyDescent="0.25">
      <c r="A3231" s="101">
        <v>37321</v>
      </c>
      <c r="B3231" s="9">
        <v>17.850000000000001</v>
      </c>
      <c r="C3231" s="9">
        <v>18.5</v>
      </c>
      <c r="D3231" s="9">
        <v>17.63</v>
      </c>
      <c r="E3231" s="9">
        <v>18.260000000000002</v>
      </c>
      <c r="F3231" s="9">
        <v>23403200</v>
      </c>
      <c r="G3231" s="9">
        <v>9.1300000000000008</v>
      </c>
    </row>
    <row r="3232" spans="1:7" x14ac:dyDescent="0.25">
      <c r="A3232" s="101">
        <v>37320</v>
      </c>
      <c r="B3232" s="9">
        <v>17.29</v>
      </c>
      <c r="C3232" s="9">
        <v>18.260000000000002</v>
      </c>
      <c r="D3232" s="9">
        <v>17.170000000000002</v>
      </c>
      <c r="E3232" s="9">
        <v>18.190000000000001</v>
      </c>
      <c r="F3232" s="9">
        <v>28806400</v>
      </c>
      <c r="G3232" s="9">
        <v>9.1</v>
      </c>
    </row>
    <row r="3233" spans="1:7" x14ac:dyDescent="0.25">
      <c r="A3233" s="101">
        <v>37319</v>
      </c>
      <c r="B3233" s="9">
        <v>17.13</v>
      </c>
      <c r="C3233" s="9">
        <v>18.07</v>
      </c>
      <c r="D3233" s="9">
        <v>16.95</v>
      </c>
      <c r="E3233" s="9">
        <v>17.809999999999999</v>
      </c>
      <c r="F3233" s="9">
        <v>32436200</v>
      </c>
      <c r="G3233" s="9">
        <v>8.9</v>
      </c>
    </row>
    <row r="3234" spans="1:7" x14ac:dyDescent="0.25">
      <c r="A3234" s="101">
        <v>37316</v>
      </c>
      <c r="B3234" s="9">
        <v>14.93</v>
      </c>
      <c r="C3234" s="9">
        <v>16.690000000000001</v>
      </c>
      <c r="D3234" s="9">
        <v>14.93</v>
      </c>
      <c r="E3234" s="9">
        <v>16.61</v>
      </c>
      <c r="F3234" s="9">
        <v>33485400</v>
      </c>
      <c r="G3234" s="9">
        <v>8.31</v>
      </c>
    </row>
    <row r="3235" spans="1:7" x14ac:dyDescent="0.25">
      <c r="A3235" s="101">
        <v>37315</v>
      </c>
      <c r="B3235" s="9">
        <v>14.63</v>
      </c>
      <c r="C3235" s="9">
        <v>15.01</v>
      </c>
      <c r="D3235" s="9">
        <v>14.25</v>
      </c>
      <c r="E3235" s="9">
        <v>14.46</v>
      </c>
      <c r="F3235" s="9">
        <v>16732200</v>
      </c>
      <c r="G3235" s="9">
        <v>7.23</v>
      </c>
    </row>
    <row r="3236" spans="1:7" x14ac:dyDescent="0.25">
      <c r="A3236" s="101">
        <v>37314</v>
      </c>
      <c r="B3236" s="9">
        <v>15.09</v>
      </c>
      <c r="C3236" s="9">
        <v>15.38</v>
      </c>
      <c r="D3236" s="9">
        <v>14.45</v>
      </c>
      <c r="E3236" s="9">
        <v>14.55</v>
      </c>
      <c r="F3236" s="9">
        <v>16609200</v>
      </c>
      <c r="G3236" s="9">
        <v>7.28</v>
      </c>
    </row>
    <row r="3237" spans="1:7" x14ac:dyDescent="0.25">
      <c r="A3237" s="101">
        <v>37313</v>
      </c>
      <c r="B3237" s="9">
        <v>15.11</v>
      </c>
      <c r="C3237" s="9">
        <v>15.13</v>
      </c>
      <c r="D3237" s="9">
        <v>14.16</v>
      </c>
      <c r="E3237" s="9">
        <v>14.93</v>
      </c>
      <c r="F3237" s="9">
        <v>16967000</v>
      </c>
      <c r="G3237" s="9">
        <v>7.47</v>
      </c>
    </row>
    <row r="3238" spans="1:7" x14ac:dyDescent="0.25">
      <c r="A3238" s="101">
        <v>37312</v>
      </c>
      <c r="B3238" s="9">
        <v>14.42</v>
      </c>
      <c r="C3238" s="9">
        <v>15.25</v>
      </c>
      <c r="D3238" s="9">
        <v>14.09</v>
      </c>
      <c r="E3238" s="9">
        <v>15</v>
      </c>
      <c r="F3238" s="9">
        <v>19819800</v>
      </c>
      <c r="G3238" s="9">
        <v>7.5</v>
      </c>
    </row>
    <row r="3239" spans="1:7" x14ac:dyDescent="0.25">
      <c r="A3239" s="101">
        <v>37309</v>
      </c>
      <c r="B3239" s="9">
        <v>14.3</v>
      </c>
      <c r="C3239" s="9">
        <v>14.66</v>
      </c>
      <c r="D3239" s="9">
        <v>13.41</v>
      </c>
      <c r="E3239" s="9">
        <v>14.46</v>
      </c>
      <c r="F3239" s="9">
        <v>18192000</v>
      </c>
      <c r="G3239" s="9">
        <v>7.23</v>
      </c>
    </row>
    <row r="3240" spans="1:7" x14ac:dyDescent="0.25">
      <c r="A3240" s="101">
        <v>37308</v>
      </c>
      <c r="B3240" s="9">
        <v>15.15</v>
      </c>
      <c r="C3240" s="9">
        <v>15.35</v>
      </c>
      <c r="D3240" s="9">
        <v>14.35</v>
      </c>
      <c r="E3240" s="9">
        <v>14.44</v>
      </c>
      <c r="F3240" s="9">
        <v>20302000</v>
      </c>
      <c r="G3240" s="9">
        <v>7.22</v>
      </c>
    </row>
    <row r="3241" spans="1:7" x14ac:dyDescent="0.25">
      <c r="A3241" s="101">
        <v>37307</v>
      </c>
      <c r="B3241" s="9">
        <v>14.74</v>
      </c>
      <c r="C3241" s="9">
        <v>15.43</v>
      </c>
      <c r="D3241" s="9">
        <v>14.01</v>
      </c>
      <c r="E3241" s="9">
        <v>15.29</v>
      </c>
      <c r="F3241" s="9">
        <v>25165200</v>
      </c>
      <c r="G3241" s="9">
        <v>7.64</v>
      </c>
    </row>
    <row r="3242" spans="1:7" x14ac:dyDescent="0.25">
      <c r="A3242" s="101">
        <v>37306</v>
      </c>
      <c r="B3242" s="9">
        <v>15.12</v>
      </c>
      <c r="C3242" s="9">
        <v>15.15</v>
      </c>
      <c r="D3242" s="9">
        <v>14.25</v>
      </c>
      <c r="E3242" s="9">
        <v>14.44</v>
      </c>
      <c r="F3242" s="9">
        <v>24867000</v>
      </c>
      <c r="G3242" s="9">
        <v>7.22</v>
      </c>
    </row>
    <row r="3243" spans="1:7" x14ac:dyDescent="0.25">
      <c r="A3243" s="101">
        <v>37302</v>
      </c>
      <c r="B3243" s="9">
        <v>16.7</v>
      </c>
      <c r="C3243" s="9">
        <v>16.71</v>
      </c>
      <c r="D3243" s="9">
        <v>15.49</v>
      </c>
      <c r="E3243" s="9">
        <v>15.67</v>
      </c>
      <c r="F3243" s="9">
        <v>15085000</v>
      </c>
      <c r="G3243" s="9">
        <v>7.84</v>
      </c>
    </row>
    <row r="3244" spans="1:7" x14ac:dyDescent="0.25">
      <c r="A3244" s="101">
        <v>37301</v>
      </c>
      <c r="B3244" s="9">
        <v>16.920000000000002</v>
      </c>
      <c r="C3244" s="9">
        <v>17.350000000000001</v>
      </c>
      <c r="D3244" s="9">
        <v>16.5</v>
      </c>
      <c r="E3244" s="9">
        <v>16.57</v>
      </c>
      <c r="F3244" s="9">
        <v>13740600</v>
      </c>
      <c r="G3244" s="9">
        <v>8.2799999999999994</v>
      </c>
    </row>
    <row r="3245" spans="1:7" x14ac:dyDescent="0.25">
      <c r="A3245" s="101">
        <v>37300</v>
      </c>
      <c r="B3245" s="9">
        <v>16.68</v>
      </c>
      <c r="C3245" s="9">
        <v>17.18</v>
      </c>
      <c r="D3245" s="9">
        <v>16.41</v>
      </c>
      <c r="E3245" s="9">
        <v>16.79</v>
      </c>
      <c r="F3245" s="9">
        <v>24922800</v>
      </c>
      <c r="G3245" s="9">
        <v>8.4</v>
      </c>
    </row>
    <row r="3246" spans="1:7" x14ac:dyDescent="0.25">
      <c r="A3246" s="101">
        <v>37299</v>
      </c>
      <c r="B3246" s="9">
        <v>16.38</v>
      </c>
      <c r="C3246" s="9">
        <v>16.53</v>
      </c>
      <c r="D3246" s="9">
        <v>16.12</v>
      </c>
      <c r="E3246" s="9">
        <v>16.329999999999998</v>
      </c>
      <c r="F3246" s="9">
        <v>9701200</v>
      </c>
      <c r="G3246" s="9">
        <v>8.16</v>
      </c>
    </row>
    <row r="3247" spans="1:7" x14ac:dyDescent="0.25">
      <c r="A3247" s="101">
        <v>37298</v>
      </c>
      <c r="B3247" s="9">
        <v>16.399999999999999</v>
      </c>
      <c r="C3247" s="9">
        <v>16.82</v>
      </c>
      <c r="D3247" s="9">
        <v>16.12</v>
      </c>
      <c r="E3247" s="9">
        <v>16.55</v>
      </c>
      <c r="F3247" s="9">
        <v>12847800</v>
      </c>
      <c r="G3247" s="9">
        <v>8.27</v>
      </c>
    </row>
    <row r="3248" spans="1:7" x14ac:dyDescent="0.25">
      <c r="A3248" s="101">
        <v>37295</v>
      </c>
      <c r="B3248" s="9">
        <v>15.41</v>
      </c>
      <c r="C3248" s="9">
        <v>16.72</v>
      </c>
      <c r="D3248" s="9">
        <v>15.33</v>
      </c>
      <c r="E3248" s="9">
        <v>16.649999999999999</v>
      </c>
      <c r="F3248" s="9">
        <v>18556800</v>
      </c>
      <c r="G3248" s="9">
        <v>8.32</v>
      </c>
    </row>
    <row r="3249" spans="1:7" x14ac:dyDescent="0.25">
      <c r="A3249" s="101">
        <v>37294</v>
      </c>
      <c r="B3249" s="9">
        <v>15.66</v>
      </c>
      <c r="C3249" s="9">
        <v>15.75</v>
      </c>
      <c r="D3249" s="9">
        <v>14.95</v>
      </c>
      <c r="E3249" s="9">
        <v>15.35</v>
      </c>
      <c r="F3249" s="9">
        <v>21492200</v>
      </c>
      <c r="G3249" s="9">
        <v>7.68</v>
      </c>
    </row>
    <row r="3250" spans="1:7" x14ac:dyDescent="0.25">
      <c r="A3250" s="101">
        <v>37293</v>
      </c>
      <c r="B3250" s="9">
        <v>16.09</v>
      </c>
      <c r="C3250" s="9">
        <v>16.100000000000001</v>
      </c>
      <c r="D3250" s="9">
        <v>15.5</v>
      </c>
      <c r="E3250" s="9">
        <v>15.89</v>
      </c>
      <c r="F3250" s="9">
        <v>25175200</v>
      </c>
      <c r="G3250" s="9">
        <v>7.95</v>
      </c>
    </row>
    <row r="3251" spans="1:7" x14ac:dyDescent="0.25">
      <c r="A3251" s="101">
        <v>37292</v>
      </c>
      <c r="B3251" s="9">
        <v>15.56</v>
      </c>
      <c r="C3251" s="9">
        <v>16.16</v>
      </c>
      <c r="D3251" s="9">
        <v>15.23</v>
      </c>
      <c r="E3251" s="9">
        <v>15.77</v>
      </c>
      <c r="F3251" s="9">
        <v>21340200</v>
      </c>
      <c r="G3251" s="9">
        <v>7.89</v>
      </c>
    </row>
    <row r="3252" spans="1:7" x14ac:dyDescent="0.25">
      <c r="A3252" s="101">
        <v>37291</v>
      </c>
      <c r="B3252" s="9">
        <v>16.55</v>
      </c>
      <c r="C3252" s="9">
        <v>16.600000000000001</v>
      </c>
      <c r="D3252" s="9">
        <v>15.6</v>
      </c>
      <c r="E3252" s="9">
        <v>15.75</v>
      </c>
      <c r="F3252" s="9">
        <v>17827400</v>
      </c>
      <c r="G3252" s="9">
        <v>7.88</v>
      </c>
    </row>
    <row r="3253" spans="1:7" x14ac:dyDescent="0.25">
      <c r="A3253" s="101">
        <v>37288</v>
      </c>
      <c r="B3253" s="9">
        <v>17.260000000000002</v>
      </c>
      <c r="C3253" s="9">
        <v>17.3</v>
      </c>
      <c r="D3253" s="9">
        <v>16.350000000000001</v>
      </c>
      <c r="E3253" s="9">
        <v>16.68</v>
      </c>
      <c r="F3253" s="9">
        <v>13860200</v>
      </c>
      <c r="G3253" s="9">
        <v>8.34</v>
      </c>
    </row>
    <row r="3254" spans="1:7" x14ac:dyDescent="0.25">
      <c r="A3254" s="101">
        <v>37287</v>
      </c>
      <c r="B3254" s="9">
        <v>17.7</v>
      </c>
      <c r="C3254" s="9">
        <v>17.8</v>
      </c>
      <c r="D3254" s="9">
        <v>16.79</v>
      </c>
      <c r="E3254" s="9">
        <v>17.239999999999998</v>
      </c>
      <c r="F3254" s="9">
        <v>15431600</v>
      </c>
      <c r="G3254" s="9">
        <v>8.6199999999999992</v>
      </c>
    </row>
    <row r="3255" spans="1:7" x14ac:dyDescent="0.25">
      <c r="A3255" s="101">
        <v>37286</v>
      </c>
      <c r="B3255" s="9">
        <v>18.190000000000001</v>
      </c>
      <c r="C3255" s="9">
        <v>18.2</v>
      </c>
      <c r="D3255" s="9">
        <v>16.18</v>
      </c>
      <c r="E3255" s="9">
        <v>17.190000000000001</v>
      </c>
      <c r="F3255" s="9">
        <v>37318600</v>
      </c>
      <c r="G3255" s="9">
        <v>8.6</v>
      </c>
    </row>
    <row r="3256" spans="1:7" x14ac:dyDescent="0.25">
      <c r="A3256" s="101">
        <v>37285</v>
      </c>
      <c r="B3256" s="9">
        <v>18.809999999999999</v>
      </c>
      <c r="C3256" s="9">
        <v>18.809999999999999</v>
      </c>
      <c r="D3256" s="9">
        <v>17.71</v>
      </c>
      <c r="E3256" s="9">
        <v>18.18</v>
      </c>
      <c r="F3256" s="9">
        <v>20109600</v>
      </c>
      <c r="G3256" s="9">
        <v>9.09</v>
      </c>
    </row>
    <row r="3257" spans="1:7" x14ac:dyDescent="0.25">
      <c r="A3257" s="101">
        <v>37284</v>
      </c>
      <c r="B3257" s="9">
        <v>18.829999999999998</v>
      </c>
      <c r="C3257" s="9">
        <v>18.91</v>
      </c>
      <c r="D3257" s="9">
        <v>18.399999999999999</v>
      </c>
      <c r="E3257" s="9">
        <v>18.7</v>
      </c>
      <c r="F3257" s="9">
        <v>12314400</v>
      </c>
      <c r="G3257" s="9">
        <v>9.35</v>
      </c>
    </row>
    <row r="3258" spans="1:7" x14ac:dyDescent="0.25">
      <c r="A3258" s="101">
        <v>37281</v>
      </c>
      <c r="B3258" s="9">
        <v>18.32</v>
      </c>
      <c r="C3258" s="9">
        <v>18.850000000000001</v>
      </c>
      <c r="D3258" s="9">
        <v>18.059999999999999</v>
      </c>
      <c r="E3258" s="9">
        <v>18.68</v>
      </c>
      <c r="F3258" s="9">
        <v>20250600</v>
      </c>
      <c r="G3258" s="9">
        <v>9.34</v>
      </c>
    </row>
    <row r="3259" spans="1:7" x14ac:dyDescent="0.25">
      <c r="A3259" s="101">
        <v>37280</v>
      </c>
      <c r="B3259" s="9">
        <v>18.93</v>
      </c>
      <c r="C3259" s="9">
        <v>19.399999999999999</v>
      </c>
      <c r="D3259" s="9">
        <v>18.02</v>
      </c>
      <c r="E3259" s="9">
        <v>18.190000000000001</v>
      </c>
      <c r="F3259" s="9">
        <v>29277400</v>
      </c>
      <c r="G3259" s="9">
        <v>9.1</v>
      </c>
    </row>
    <row r="3260" spans="1:7" x14ac:dyDescent="0.25">
      <c r="A3260" s="101">
        <v>37279</v>
      </c>
      <c r="B3260" s="9">
        <v>18.8</v>
      </c>
      <c r="C3260" s="9">
        <v>18.850000000000001</v>
      </c>
      <c r="D3260" s="9">
        <v>17.97</v>
      </c>
      <c r="E3260" s="9">
        <v>18.440000000000001</v>
      </c>
      <c r="F3260" s="9">
        <v>21565200</v>
      </c>
      <c r="G3260" s="9">
        <v>9.2200000000000006</v>
      </c>
    </row>
    <row r="3261" spans="1:7" x14ac:dyDescent="0.25">
      <c r="A3261" s="101">
        <v>37278</v>
      </c>
      <c r="B3261" s="9">
        <v>19.899999999999999</v>
      </c>
      <c r="C3261" s="9">
        <v>20.05</v>
      </c>
      <c r="D3261" s="9">
        <v>18.399999999999999</v>
      </c>
      <c r="E3261" s="9">
        <v>18.420000000000002</v>
      </c>
      <c r="F3261" s="9">
        <v>28990600</v>
      </c>
      <c r="G3261" s="9">
        <v>9.2100000000000009</v>
      </c>
    </row>
    <row r="3262" spans="1:7" x14ac:dyDescent="0.25">
      <c r="A3262" s="101">
        <v>37274</v>
      </c>
      <c r="B3262" s="9">
        <v>19.66</v>
      </c>
      <c r="C3262" s="9">
        <v>19.98</v>
      </c>
      <c r="D3262" s="9">
        <v>18.95</v>
      </c>
      <c r="E3262" s="9">
        <v>19.2</v>
      </c>
      <c r="F3262" s="9">
        <v>35842800</v>
      </c>
      <c r="G3262" s="9">
        <v>9.6</v>
      </c>
    </row>
    <row r="3263" spans="1:7" x14ac:dyDescent="0.25">
      <c r="A3263" s="101">
        <v>37273</v>
      </c>
      <c r="B3263" s="9">
        <v>19.37</v>
      </c>
      <c r="C3263" s="9">
        <v>20.38</v>
      </c>
      <c r="D3263" s="9">
        <v>19.25</v>
      </c>
      <c r="E3263" s="9">
        <v>20.12</v>
      </c>
      <c r="F3263" s="9">
        <v>59843400</v>
      </c>
      <c r="G3263" s="9">
        <v>10.06</v>
      </c>
    </row>
    <row r="3264" spans="1:7" x14ac:dyDescent="0.25">
      <c r="A3264" s="101">
        <v>37272</v>
      </c>
      <c r="B3264" s="9">
        <v>18.920000000000002</v>
      </c>
      <c r="C3264" s="9">
        <v>19.079999999999998</v>
      </c>
      <c r="D3264" s="9">
        <v>17.8</v>
      </c>
      <c r="E3264" s="9">
        <v>17.87</v>
      </c>
      <c r="F3264" s="9">
        <v>39965800</v>
      </c>
      <c r="G3264" s="9">
        <v>8.94</v>
      </c>
    </row>
    <row r="3265" spans="1:7" x14ac:dyDescent="0.25">
      <c r="A3265" s="101">
        <v>37271</v>
      </c>
      <c r="B3265" s="9">
        <v>19.22</v>
      </c>
      <c r="C3265" s="9">
        <v>19.48</v>
      </c>
      <c r="D3265" s="9">
        <v>18.82</v>
      </c>
      <c r="E3265" s="9">
        <v>19.47</v>
      </c>
      <c r="F3265" s="9">
        <v>16099200</v>
      </c>
      <c r="G3265" s="9">
        <v>9.73</v>
      </c>
    </row>
    <row r="3266" spans="1:7" x14ac:dyDescent="0.25">
      <c r="A3266" s="101">
        <v>37270</v>
      </c>
      <c r="B3266" s="9">
        <v>19.71</v>
      </c>
      <c r="C3266" s="9">
        <v>19.920000000000002</v>
      </c>
      <c r="D3266" s="9">
        <v>18.87</v>
      </c>
      <c r="E3266" s="9">
        <v>19.010000000000002</v>
      </c>
      <c r="F3266" s="9">
        <v>21948400</v>
      </c>
      <c r="G3266" s="9">
        <v>9.51</v>
      </c>
    </row>
    <row r="3267" spans="1:7" x14ac:dyDescent="0.25">
      <c r="A3267" s="101">
        <v>37267</v>
      </c>
      <c r="B3267" s="9">
        <v>20.52</v>
      </c>
      <c r="C3267" s="9">
        <v>20.9</v>
      </c>
      <c r="D3267" s="9">
        <v>20.02</v>
      </c>
      <c r="E3267" s="9">
        <v>20.16</v>
      </c>
      <c r="F3267" s="9">
        <v>14488200</v>
      </c>
      <c r="G3267" s="9">
        <v>10.08</v>
      </c>
    </row>
    <row r="3268" spans="1:7" x14ac:dyDescent="0.25">
      <c r="A3268" s="101">
        <v>37266</v>
      </c>
      <c r="B3268" s="9">
        <v>20.059999999999999</v>
      </c>
      <c r="C3268" s="9">
        <v>20.71</v>
      </c>
      <c r="D3268" s="9">
        <v>19.95</v>
      </c>
      <c r="E3268" s="9">
        <v>20.49</v>
      </c>
      <c r="F3268" s="9">
        <v>21084800</v>
      </c>
      <c r="G3268" s="9">
        <v>10.24</v>
      </c>
    </row>
    <row r="3269" spans="1:7" x14ac:dyDescent="0.25">
      <c r="A3269" s="101">
        <v>37265</v>
      </c>
      <c r="B3269" s="9">
        <v>19.8</v>
      </c>
      <c r="C3269" s="9">
        <v>21.35</v>
      </c>
      <c r="D3269" s="9">
        <v>19.77</v>
      </c>
      <c r="E3269" s="9">
        <v>20.25</v>
      </c>
      <c r="F3269" s="9">
        <v>38134400</v>
      </c>
      <c r="G3269" s="9">
        <v>10.119999999999999</v>
      </c>
    </row>
    <row r="3270" spans="1:7" x14ac:dyDescent="0.25">
      <c r="A3270" s="101">
        <v>37264</v>
      </c>
      <c r="B3270" s="9">
        <v>19.399999999999999</v>
      </c>
      <c r="C3270" s="9">
        <v>19.73</v>
      </c>
      <c r="D3270" s="9">
        <v>19.25</v>
      </c>
      <c r="E3270" s="9">
        <v>19.53</v>
      </c>
      <c r="F3270" s="9">
        <v>19021200</v>
      </c>
      <c r="G3270" s="9">
        <v>9.77</v>
      </c>
    </row>
    <row r="3271" spans="1:7" x14ac:dyDescent="0.25">
      <c r="A3271" s="101">
        <v>37263</v>
      </c>
      <c r="B3271" s="9">
        <v>18.7</v>
      </c>
      <c r="C3271" s="9">
        <v>19.940000000000001</v>
      </c>
      <c r="D3271" s="9">
        <v>18.649999999999999</v>
      </c>
      <c r="E3271" s="9">
        <v>19.73</v>
      </c>
      <c r="F3271" s="9">
        <v>29516400</v>
      </c>
      <c r="G3271" s="9">
        <v>9.86</v>
      </c>
    </row>
    <row r="3272" spans="1:7" x14ac:dyDescent="0.25">
      <c r="A3272" s="101">
        <v>37260</v>
      </c>
      <c r="B3272" s="9">
        <v>19</v>
      </c>
      <c r="C3272" s="9">
        <v>19.809999999999999</v>
      </c>
      <c r="D3272" s="9">
        <v>18.53</v>
      </c>
      <c r="E3272" s="9">
        <v>18.899999999999999</v>
      </c>
      <c r="F3272" s="9">
        <v>24050200</v>
      </c>
      <c r="G3272" s="9">
        <v>9.4499999999999993</v>
      </c>
    </row>
    <row r="3273" spans="1:7" x14ac:dyDescent="0.25">
      <c r="A3273" s="101">
        <v>37259</v>
      </c>
      <c r="B3273" s="9">
        <v>18.7</v>
      </c>
      <c r="C3273" s="9">
        <v>19.29</v>
      </c>
      <c r="D3273" s="9">
        <v>18.54</v>
      </c>
      <c r="E3273" s="9">
        <v>19.13</v>
      </c>
      <c r="F3273" s="9">
        <v>23668000</v>
      </c>
      <c r="G3273" s="9">
        <v>9.56</v>
      </c>
    </row>
    <row r="3274" spans="1:7" x14ac:dyDescent="0.25">
      <c r="A3274" s="101">
        <v>37258</v>
      </c>
      <c r="B3274" s="9">
        <v>18.14</v>
      </c>
      <c r="C3274" s="9">
        <v>18.690000000000001</v>
      </c>
      <c r="D3274" s="9">
        <v>17.68</v>
      </c>
      <c r="E3274" s="9">
        <v>18.63</v>
      </c>
      <c r="F3274" s="9">
        <v>21903600</v>
      </c>
      <c r="G3274" s="9">
        <v>9.31</v>
      </c>
    </row>
    <row r="3275" spans="1:7" x14ac:dyDescent="0.25">
      <c r="A3275" s="101">
        <v>37256</v>
      </c>
      <c r="B3275" s="9">
        <v>18.510000000000002</v>
      </c>
      <c r="C3275" s="9">
        <v>18.55</v>
      </c>
      <c r="D3275" s="9">
        <v>17.600000000000001</v>
      </c>
      <c r="E3275" s="9">
        <v>17.739999999999998</v>
      </c>
      <c r="F3275" s="9">
        <v>18827800</v>
      </c>
      <c r="G3275" s="9">
        <v>8.8699999999999992</v>
      </c>
    </row>
    <row r="3276" spans="1:7" x14ac:dyDescent="0.25">
      <c r="A3276" s="101">
        <v>37253</v>
      </c>
      <c r="B3276" s="9">
        <v>18.649999999999999</v>
      </c>
      <c r="C3276" s="9">
        <v>18.88</v>
      </c>
      <c r="D3276" s="9">
        <v>18.29</v>
      </c>
      <c r="E3276" s="9">
        <v>18.3</v>
      </c>
      <c r="F3276" s="9">
        <v>25317400</v>
      </c>
      <c r="G3276" s="9">
        <v>9.15</v>
      </c>
    </row>
    <row r="3277" spans="1:7" x14ac:dyDescent="0.25">
      <c r="A3277" s="101">
        <v>37252</v>
      </c>
      <c r="B3277" s="9">
        <v>17.95</v>
      </c>
      <c r="C3277" s="9">
        <v>18.09</v>
      </c>
      <c r="D3277" s="9">
        <v>17.54</v>
      </c>
      <c r="E3277" s="9">
        <v>17.77</v>
      </c>
      <c r="F3277" s="9">
        <v>15643400</v>
      </c>
      <c r="G3277" s="9">
        <v>8.89</v>
      </c>
    </row>
    <row r="3278" spans="1:7" x14ac:dyDescent="0.25">
      <c r="A3278" s="101">
        <v>37251</v>
      </c>
      <c r="B3278" s="9">
        <v>18.05</v>
      </c>
      <c r="C3278" s="9">
        <v>18.27</v>
      </c>
      <c r="D3278" s="9">
        <v>17.309999999999999</v>
      </c>
      <c r="E3278" s="9">
        <v>17.510000000000002</v>
      </c>
      <c r="F3278" s="9">
        <v>25327400</v>
      </c>
      <c r="G3278" s="9">
        <v>8.76</v>
      </c>
    </row>
    <row r="3279" spans="1:7" x14ac:dyDescent="0.25">
      <c r="A3279" s="101">
        <v>37249</v>
      </c>
      <c r="B3279" s="9">
        <v>16.89</v>
      </c>
      <c r="C3279" s="9">
        <v>17.02</v>
      </c>
      <c r="D3279" s="9">
        <v>16.55</v>
      </c>
      <c r="E3279" s="9">
        <v>16.670000000000002</v>
      </c>
      <c r="F3279" s="9">
        <v>4194400</v>
      </c>
      <c r="G3279" s="9">
        <v>8.34</v>
      </c>
    </row>
    <row r="3280" spans="1:7" x14ac:dyDescent="0.25">
      <c r="A3280" s="101">
        <v>37246</v>
      </c>
      <c r="B3280" s="9">
        <v>16.97</v>
      </c>
      <c r="C3280" s="9">
        <v>17.28</v>
      </c>
      <c r="D3280" s="9">
        <v>16.5</v>
      </c>
      <c r="E3280" s="9">
        <v>16.920000000000002</v>
      </c>
      <c r="F3280" s="9">
        <v>23752600</v>
      </c>
      <c r="G3280" s="9">
        <v>8.4600000000000009</v>
      </c>
    </row>
    <row r="3281" spans="1:7" x14ac:dyDescent="0.25">
      <c r="A3281" s="101">
        <v>37245</v>
      </c>
      <c r="B3281" s="9">
        <v>17.600000000000001</v>
      </c>
      <c r="C3281" s="9">
        <v>18.190000000000001</v>
      </c>
      <c r="D3281" s="9">
        <v>16.149999999999999</v>
      </c>
      <c r="E3281" s="9">
        <v>16.22</v>
      </c>
      <c r="F3281" s="9">
        <v>20588400</v>
      </c>
      <c r="G3281" s="9">
        <v>8.11</v>
      </c>
    </row>
    <row r="3282" spans="1:7" x14ac:dyDescent="0.25">
      <c r="A3282" s="101">
        <v>37244</v>
      </c>
      <c r="B3282" s="9">
        <v>17.95</v>
      </c>
      <c r="C3282" s="9">
        <v>18.3</v>
      </c>
      <c r="D3282" s="9">
        <v>17.43</v>
      </c>
      <c r="E3282" s="9">
        <v>17.71</v>
      </c>
      <c r="F3282" s="9">
        <v>13653200</v>
      </c>
      <c r="G3282" s="9">
        <v>8.85</v>
      </c>
    </row>
    <row r="3283" spans="1:7" x14ac:dyDescent="0.25">
      <c r="A3283" s="101">
        <v>37243</v>
      </c>
      <c r="B3283" s="9">
        <v>18.34</v>
      </c>
      <c r="C3283" s="9">
        <v>18.45</v>
      </c>
      <c r="D3283" s="9">
        <v>17.96</v>
      </c>
      <c r="E3283" s="9">
        <v>18.38</v>
      </c>
      <c r="F3283" s="9">
        <v>15585200</v>
      </c>
      <c r="G3283" s="9">
        <v>9.19</v>
      </c>
    </row>
    <row r="3284" spans="1:7" x14ac:dyDescent="0.25">
      <c r="A3284" s="101">
        <v>37242</v>
      </c>
      <c r="B3284" s="9">
        <v>17.2</v>
      </c>
      <c r="C3284" s="9">
        <v>18.07</v>
      </c>
      <c r="D3284" s="9">
        <v>17.13</v>
      </c>
      <c r="E3284" s="9">
        <v>17.86</v>
      </c>
      <c r="F3284" s="9">
        <v>15448400</v>
      </c>
      <c r="G3284" s="9">
        <v>8.93</v>
      </c>
    </row>
    <row r="3285" spans="1:7" x14ac:dyDescent="0.25">
      <c r="A3285" s="101">
        <v>37239</v>
      </c>
      <c r="B3285" s="9">
        <v>18.04</v>
      </c>
      <c r="C3285" s="9">
        <v>18.04</v>
      </c>
      <c r="D3285" s="9">
        <v>16.54</v>
      </c>
      <c r="E3285" s="9">
        <v>17.21</v>
      </c>
      <c r="F3285" s="9">
        <v>20105600</v>
      </c>
      <c r="G3285" s="9">
        <v>8.6</v>
      </c>
    </row>
    <row r="3286" spans="1:7" x14ac:dyDescent="0.25">
      <c r="A3286" s="101">
        <v>37238</v>
      </c>
      <c r="B3286" s="9">
        <v>18.21</v>
      </c>
      <c r="C3286" s="9">
        <v>18.309999999999999</v>
      </c>
      <c r="D3286" s="9">
        <v>17.579999999999998</v>
      </c>
      <c r="E3286" s="9">
        <v>17.579999999999998</v>
      </c>
      <c r="F3286" s="9">
        <v>22921200</v>
      </c>
      <c r="G3286" s="9">
        <v>8.7899999999999991</v>
      </c>
    </row>
    <row r="3287" spans="1:7" x14ac:dyDescent="0.25">
      <c r="A3287" s="101">
        <v>37237</v>
      </c>
      <c r="B3287" s="9">
        <v>19.03</v>
      </c>
      <c r="C3287" s="9">
        <v>19.329999999999998</v>
      </c>
      <c r="D3287" s="9">
        <v>18.649999999999999</v>
      </c>
      <c r="E3287" s="9">
        <v>19.14</v>
      </c>
      <c r="F3287" s="9">
        <v>31213200</v>
      </c>
      <c r="G3287" s="9">
        <v>9.57</v>
      </c>
    </row>
    <row r="3288" spans="1:7" x14ac:dyDescent="0.25">
      <c r="A3288" s="101">
        <v>37236</v>
      </c>
      <c r="B3288" s="9">
        <v>18.5</v>
      </c>
      <c r="C3288" s="9">
        <v>19</v>
      </c>
      <c r="D3288" s="9">
        <v>18.010000000000002</v>
      </c>
      <c r="E3288" s="9">
        <v>18.420000000000002</v>
      </c>
      <c r="F3288" s="9">
        <v>29282400</v>
      </c>
      <c r="G3288" s="9">
        <v>9.2100000000000009</v>
      </c>
    </row>
    <row r="3289" spans="1:7" x14ac:dyDescent="0.25">
      <c r="A3289" s="101">
        <v>37235</v>
      </c>
      <c r="B3289" s="9">
        <v>17.63</v>
      </c>
      <c r="C3289" s="9">
        <v>18.7</v>
      </c>
      <c r="D3289" s="9">
        <v>17.600000000000001</v>
      </c>
      <c r="E3289" s="9">
        <v>17.82</v>
      </c>
      <c r="F3289" s="9">
        <v>23105800</v>
      </c>
      <c r="G3289" s="9">
        <v>8.91</v>
      </c>
    </row>
    <row r="3290" spans="1:7" x14ac:dyDescent="0.25">
      <c r="A3290" s="101">
        <v>37232</v>
      </c>
      <c r="B3290" s="9">
        <v>17.91</v>
      </c>
      <c r="C3290" s="9">
        <v>18.23</v>
      </c>
      <c r="D3290" s="9">
        <v>17.47</v>
      </c>
      <c r="E3290" s="9">
        <v>17.670000000000002</v>
      </c>
      <c r="F3290" s="9">
        <v>32549200</v>
      </c>
      <c r="G3290" s="9">
        <v>8.84</v>
      </c>
    </row>
    <row r="3291" spans="1:7" x14ac:dyDescent="0.25">
      <c r="A3291" s="101">
        <v>37231</v>
      </c>
      <c r="B3291" s="9">
        <v>17.54</v>
      </c>
      <c r="C3291" s="9">
        <v>19.5</v>
      </c>
      <c r="D3291" s="9">
        <v>17.27</v>
      </c>
      <c r="E3291" s="9">
        <v>19.02</v>
      </c>
      <c r="F3291" s="9">
        <v>61513000</v>
      </c>
      <c r="G3291" s="9">
        <v>9.51</v>
      </c>
    </row>
    <row r="3292" spans="1:7" x14ac:dyDescent="0.25">
      <c r="A3292" s="101">
        <v>37230</v>
      </c>
      <c r="B3292" s="9">
        <v>17.13</v>
      </c>
      <c r="C3292" s="9">
        <v>17.600000000000001</v>
      </c>
      <c r="D3292" s="9">
        <v>16.53</v>
      </c>
      <c r="E3292" s="9">
        <v>17.059999999999999</v>
      </c>
      <c r="F3292" s="9">
        <v>40721000</v>
      </c>
      <c r="G3292" s="9">
        <v>8.5299999999999994</v>
      </c>
    </row>
    <row r="3293" spans="1:7" x14ac:dyDescent="0.25">
      <c r="A3293" s="101">
        <v>37229</v>
      </c>
      <c r="B3293" s="9">
        <v>16.29</v>
      </c>
      <c r="C3293" s="9">
        <v>17.03</v>
      </c>
      <c r="D3293" s="9">
        <v>16.010000000000002</v>
      </c>
      <c r="E3293" s="9">
        <v>16.96</v>
      </c>
      <c r="F3293" s="9">
        <v>22457600</v>
      </c>
      <c r="G3293" s="9">
        <v>8.48</v>
      </c>
    </row>
    <row r="3294" spans="1:7" x14ac:dyDescent="0.25">
      <c r="A3294" s="101">
        <v>37228</v>
      </c>
      <c r="B3294" s="9">
        <v>16.3</v>
      </c>
      <c r="C3294" s="9">
        <v>16.350000000000001</v>
      </c>
      <c r="D3294" s="9">
        <v>15.75</v>
      </c>
      <c r="E3294" s="9">
        <v>15.83</v>
      </c>
      <c r="F3294" s="9">
        <v>22941800</v>
      </c>
      <c r="G3294" s="9">
        <v>7.91</v>
      </c>
    </row>
    <row r="3295" spans="1:7" x14ac:dyDescent="0.25">
      <c r="A3295" s="101">
        <v>37225</v>
      </c>
      <c r="B3295" s="9">
        <v>16.7</v>
      </c>
      <c r="C3295" s="9">
        <v>16.78</v>
      </c>
      <c r="D3295" s="9">
        <v>15.36</v>
      </c>
      <c r="E3295" s="9">
        <v>15.57</v>
      </c>
      <c r="F3295" s="9">
        <v>25159000</v>
      </c>
      <c r="G3295" s="9">
        <v>7.78</v>
      </c>
    </row>
    <row r="3296" spans="1:7" x14ac:dyDescent="0.25">
      <c r="A3296" s="101">
        <v>37224</v>
      </c>
      <c r="B3296" s="9">
        <v>16.600000000000001</v>
      </c>
      <c r="C3296" s="9">
        <v>16.7</v>
      </c>
      <c r="D3296" s="9">
        <v>15.5</v>
      </c>
      <c r="E3296" s="9">
        <v>16.7</v>
      </c>
      <c r="F3296" s="9">
        <v>33130200</v>
      </c>
      <c r="G3296" s="9">
        <v>8.35</v>
      </c>
    </row>
    <row r="3297" spans="1:7" x14ac:dyDescent="0.25">
      <c r="A3297" s="101">
        <v>37223</v>
      </c>
      <c r="B3297" s="9">
        <v>17.04</v>
      </c>
      <c r="C3297" s="9">
        <v>17.45</v>
      </c>
      <c r="D3297" s="9">
        <v>16.100000000000001</v>
      </c>
      <c r="E3297" s="9">
        <v>16.21</v>
      </c>
      <c r="F3297" s="9">
        <v>25570400</v>
      </c>
      <c r="G3297" s="9">
        <v>8.1</v>
      </c>
    </row>
    <row r="3298" spans="1:7" x14ac:dyDescent="0.25">
      <c r="A3298" s="101">
        <v>37222</v>
      </c>
      <c r="B3298" s="9">
        <v>17.399999999999999</v>
      </c>
      <c r="C3298" s="9">
        <v>17.940000000000001</v>
      </c>
      <c r="D3298" s="9">
        <v>16.899999999999999</v>
      </c>
      <c r="E3298" s="9">
        <v>17.399999999999999</v>
      </c>
      <c r="F3298" s="9">
        <v>43562200</v>
      </c>
      <c r="G3298" s="9">
        <v>8.6999999999999993</v>
      </c>
    </row>
    <row r="3299" spans="1:7" x14ac:dyDescent="0.25">
      <c r="A3299" s="101">
        <v>37221</v>
      </c>
      <c r="B3299" s="9">
        <v>16.350000000000001</v>
      </c>
      <c r="C3299" s="9">
        <v>18.09</v>
      </c>
      <c r="D3299" s="9">
        <v>16.2</v>
      </c>
      <c r="E3299" s="9">
        <v>18.07</v>
      </c>
      <c r="F3299" s="9">
        <v>45330600</v>
      </c>
      <c r="G3299" s="9">
        <v>9.0299999999999994</v>
      </c>
    </row>
    <row r="3300" spans="1:7" x14ac:dyDescent="0.25">
      <c r="A3300" s="101">
        <v>37218</v>
      </c>
      <c r="B3300" s="9">
        <v>15.18</v>
      </c>
      <c r="C3300" s="9">
        <v>15.78</v>
      </c>
      <c r="D3300" s="9">
        <v>15.01</v>
      </c>
      <c r="E3300" s="9">
        <v>15.73</v>
      </c>
      <c r="F3300" s="9">
        <v>9200200</v>
      </c>
      <c r="G3300" s="9">
        <v>7.86</v>
      </c>
    </row>
    <row r="3301" spans="1:7" x14ac:dyDescent="0.25">
      <c r="A3301" s="101">
        <v>37216</v>
      </c>
      <c r="B3301" s="9">
        <v>14.98</v>
      </c>
      <c r="C3301" s="9">
        <v>15.26</v>
      </c>
      <c r="D3301" s="9">
        <v>14.22</v>
      </c>
      <c r="E3301" s="9">
        <v>14.93</v>
      </c>
      <c r="F3301" s="9">
        <v>16417400</v>
      </c>
      <c r="G3301" s="9">
        <v>7.47</v>
      </c>
    </row>
    <row r="3302" spans="1:7" x14ac:dyDescent="0.25">
      <c r="A3302" s="101">
        <v>37215</v>
      </c>
      <c r="B3302" s="9">
        <v>15.88</v>
      </c>
      <c r="C3302" s="9">
        <v>16</v>
      </c>
      <c r="D3302" s="9">
        <v>14.88</v>
      </c>
      <c r="E3302" s="9">
        <v>14.89</v>
      </c>
      <c r="F3302" s="9">
        <v>26776200</v>
      </c>
      <c r="G3302" s="9">
        <v>7.45</v>
      </c>
    </row>
    <row r="3303" spans="1:7" x14ac:dyDescent="0.25">
      <c r="A3303" s="101">
        <v>37214</v>
      </c>
      <c r="B3303" s="9">
        <v>16.04</v>
      </c>
      <c r="C3303" s="9">
        <v>16.350000000000001</v>
      </c>
      <c r="D3303" s="9">
        <v>15.62</v>
      </c>
      <c r="E3303" s="9">
        <v>16.28</v>
      </c>
      <c r="F3303" s="9">
        <v>17486200</v>
      </c>
      <c r="G3303" s="9">
        <v>8.14</v>
      </c>
    </row>
    <row r="3304" spans="1:7" x14ac:dyDescent="0.25">
      <c r="A3304" s="101">
        <v>37211</v>
      </c>
      <c r="B3304" s="9">
        <v>15.27</v>
      </c>
      <c r="C3304" s="9">
        <v>16</v>
      </c>
      <c r="D3304" s="9">
        <v>15.05</v>
      </c>
      <c r="E3304" s="9">
        <v>15.47</v>
      </c>
      <c r="F3304" s="9">
        <v>31970800</v>
      </c>
      <c r="G3304" s="9">
        <v>7.74</v>
      </c>
    </row>
    <row r="3305" spans="1:7" x14ac:dyDescent="0.25">
      <c r="A3305" s="101">
        <v>37210</v>
      </c>
      <c r="B3305" s="9">
        <v>14.89</v>
      </c>
      <c r="C3305" s="9">
        <v>15.46</v>
      </c>
      <c r="D3305" s="9">
        <v>14.55</v>
      </c>
      <c r="E3305" s="9">
        <v>14.83</v>
      </c>
      <c r="F3305" s="9">
        <v>30830600</v>
      </c>
      <c r="G3305" s="9">
        <v>7.41</v>
      </c>
    </row>
    <row r="3306" spans="1:7" x14ac:dyDescent="0.25">
      <c r="A3306" s="101">
        <v>37209</v>
      </c>
      <c r="B3306" s="9">
        <v>14.57</v>
      </c>
      <c r="C3306" s="9">
        <v>15.38</v>
      </c>
      <c r="D3306" s="9">
        <v>14.42</v>
      </c>
      <c r="E3306" s="9">
        <v>15.21</v>
      </c>
      <c r="F3306" s="9">
        <v>29540000</v>
      </c>
      <c r="G3306" s="9">
        <v>7.61</v>
      </c>
    </row>
    <row r="3307" spans="1:7" x14ac:dyDescent="0.25">
      <c r="A3307" s="101">
        <v>37208</v>
      </c>
      <c r="B3307" s="9">
        <v>14.26</v>
      </c>
      <c r="C3307" s="9">
        <v>14.29</v>
      </c>
      <c r="D3307" s="9">
        <v>13.8</v>
      </c>
      <c r="E3307" s="9">
        <v>13.97</v>
      </c>
      <c r="F3307" s="9">
        <v>15337600</v>
      </c>
      <c r="G3307" s="9">
        <v>6.99</v>
      </c>
    </row>
    <row r="3308" spans="1:7" x14ac:dyDescent="0.25">
      <c r="A3308" s="101">
        <v>37207</v>
      </c>
      <c r="B3308" s="9">
        <v>13.55</v>
      </c>
      <c r="C3308" s="9">
        <v>13.77</v>
      </c>
      <c r="D3308" s="9">
        <v>12.84</v>
      </c>
      <c r="E3308" s="9">
        <v>13.7</v>
      </c>
      <c r="F3308" s="9">
        <v>15510000</v>
      </c>
      <c r="G3308" s="9">
        <v>6.85</v>
      </c>
    </row>
    <row r="3309" spans="1:7" x14ac:dyDescent="0.25">
      <c r="A3309" s="101">
        <v>37204</v>
      </c>
      <c r="B3309" s="9">
        <v>13.22</v>
      </c>
      <c r="C3309" s="9">
        <v>13.77</v>
      </c>
      <c r="D3309" s="9">
        <v>12.97</v>
      </c>
      <c r="E3309" s="9">
        <v>13.72</v>
      </c>
      <c r="F3309" s="9">
        <v>18362800</v>
      </c>
      <c r="G3309" s="9">
        <v>6.86</v>
      </c>
    </row>
    <row r="3310" spans="1:7" x14ac:dyDescent="0.25">
      <c r="A3310" s="101">
        <v>37203</v>
      </c>
      <c r="B3310" s="9">
        <v>13.78</v>
      </c>
      <c r="C3310" s="9">
        <v>14.28</v>
      </c>
      <c r="D3310" s="9">
        <v>12.97</v>
      </c>
      <c r="E3310" s="9">
        <v>13.12</v>
      </c>
      <c r="F3310" s="9">
        <v>22932000</v>
      </c>
      <c r="G3310" s="9">
        <v>6.56</v>
      </c>
    </row>
    <row r="3311" spans="1:7" x14ac:dyDescent="0.25">
      <c r="A3311" s="101">
        <v>37202</v>
      </c>
      <c r="B3311" s="9">
        <v>12.8</v>
      </c>
      <c r="C3311" s="9">
        <v>14.01</v>
      </c>
      <c r="D3311" s="9">
        <v>12.8</v>
      </c>
      <c r="E3311" s="9">
        <v>13.43</v>
      </c>
      <c r="F3311" s="9">
        <v>29029000</v>
      </c>
      <c r="G3311" s="9">
        <v>6.72</v>
      </c>
    </row>
    <row r="3312" spans="1:7" x14ac:dyDescent="0.25">
      <c r="A3312" s="101">
        <v>37201</v>
      </c>
      <c r="B3312" s="9">
        <v>11.9</v>
      </c>
      <c r="C3312" s="9">
        <v>13.15</v>
      </c>
      <c r="D3312" s="9">
        <v>11.83</v>
      </c>
      <c r="E3312" s="9">
        <v>12.99</v>
      </c>
      <c r="F3312" s="9">
        <v>23447200</v>
      </c>
      <c r="G3312" s="9">
        <v>6.49</v>
      </c>
    </row>
    <row r="3313" spans="1:7" x14ac:dyDescent="0.25">
      <c r="A3313" s="101">
        <v>37200</v>
      </c>
      <c r="B3313" s="9">
        <v>11.26</v>
      </c>
      <c r="C3313" s="9">
        <v>12</v>
      </c>
      <c r="D3313" s="9">
        <v>11.18</v>
      </c>
      <c r="E3313" s="9">
        <v>11.99</v>
      </c>
      <c r="F3313" s="9">
        <v>15136800</v>
      </c>
      <c r="G3313" s="9">
        <v>5.99</v>
      </c>
    </row>
    <row r="3314" spans="1:7" x14ac:dyDescent="0.25">
      <c r="A3314" s="101">
        <v>37197</v>
      </c>
      <c r="B3314" s="9">
        <v>11.13</v>
      </c>
      <c r="C3314" s="9">
        <v>11.25</v>
      </c>
      <c r="D3314" s="9">
        <v>10.83</v>
      </c>
      <c r="E3314" s="9">
        <v>10.96</v>
      </c>
      <c r="F3314" s="9">
        <v>10678000</v>
      </c>
      <c r="G3314" s="9">
        <v>5.48</v>
      </c>
    </row>
    <row r="3315" spans="1:7" x14ac:dyDescent="0.25">
      <c r="A3315" s="101">
        <v>37196</v>
      </c>
      <c r="B3315" s="9">
        <v>11.07</v>
      </c>
      <c r="C3315" s="9">
        <v>11.34</v>
      </c>
      <c r="D3315" s="9">
        <v>10.67</v>
      </c>
      <c r="E3315" s="9">
        <v>11.2</v>
      </c>
      <c r="F3315" s="9">
        <v>14626000</v>
      </c>
      <c r="G3315" s="9">
        <v>5.6</v>
      </c>
    </row>
    <row r="3316" spans="1:7" x14ac:dyDescent="0.25">
      <c r="A3316" s="101">
        <v>37195</v>
      </c>
      <c r="B3316" s="9">
        <v>11.53</v>
      </c>
      <c r="C3316" s="9">
        <v>11.69</v>
      </c>
      <c r="D3316" s="9">
        <v>10.87</v>
      </c>
      <c r="E3316" s="9">
        <v>10.88</v>
      </c>
      <c r="F3316" s="9">
        <v>11277200</v>
      </c>
      <c r="G3316" s="9">
        <v>5.44</v>
      </c>
    </row>
    <row r="3317" spans="1:7" x14ac:dyDescent="0.25">
      <c r="A3317" s="101">
        <v>37194</v>
      </c>
      <c r="B3317" s="9">
        <v>11.04</v>
      </c>
      <c r="C3317" s="9">
        <v>11.42</v>
      </c>
      <c r="D3317" s="9">
        <v>10.62</v>
      </c>
      <c r="E3317" s="9">
        <v>11.09</v>
      </c>
      <c r="F3317" s="9">
        <v>14171600</v>
      </c>
      <c r="G3317" s="9">
        <v>5.55</v>
      </c>
    </row>
    <row r="3318" spans="1:7" x14ac:dyDescent="0.25">
      <c r="A3318" s="101">
        <v>37193</v>
      </c>
      <c r="B3318" s="9">
        <v>11.95</v>
      </c>
      <c r="C3318" s="9">
        <v>12.15</v>
      </c>
      <c r="D3318" s="9">
        <v>11.29</v>
      </c>
      <c r="E3318" s="9">
        <v>11.3</v>
      </c>
      <c r="F3318" s="9">
        <v>14799000</v>
      </c>
      <c r="G3318" s="9">
        <v>5.65</v>
      </c>
    </row>
    <row r="3319" spans="1:7" x14ac:dyDescent="0.25">
      <c r="A3319" s="101">
        <v>37190</v>
      </c>
      <c r="B3319" s="9">
        <v>12.14</v>
      </c>
      <c r="C3319" s="9">
        <v>12.58</v>
      </c>
      <c r="D3319" s="9">
        <v>11.73</v>
      </c>
      <c r="E3319" s="9">
        <v>12.06</v>
      </c>
      <c r="F3319" s="9">
        <v>11832200</v>
      </c>
      <c r="G3319" s="9">
        <v>6.03</v>
      </c>
    </row>
    <row r="3320" spans="1:7" x14ac:dyDescent="0.25">
      <c r="A3320" s="101">
        <v>37189</v>
      </c>
      <c r="B3320" s="9">
        <v>11.47</v>
      </c>
      <c r="C3320" s="9">
        <v>12.32</v>
      </c>
      <c r="D3320" s="9">
        <v>11.17</v>
      </c>
      <c r="E3320" s="9">
        <v>12.25</v>
      </c>
      <c r="F3320" s="9">
        <v>20753600</v>
      </c>
      <c r="G3320" s="9">
        <v>6.12</v>
      </c>
    </row>
    <row r="3321" spans="1:7" x14ac:dyDescent="0.25">
      <c r="A3321" s="101">
        <v>37188</v>
      </c>
      <c r="B3321" s="9">
        <v>11.78</v>
      </c>
      <c r="C3321" s="9">
        <v>12.04</v>
      </c>
      <c r="D3321" s="9">
        <v>11.25</v>
      </c>
      <c r="E3321" s="9">
        <v>11.95</v>
      </c>
      <c r="F3321" s="9">
        <v>12465200</v>
      </c>
      <c r="G3321" s="9">
        <v>5.97</v>
      </c>
    </row>
    <row r="3322" spans="1:7" x14ac:dyDescent="0.25">
      <c r="A3322" s="101">
        <v>37187</v>
      </c>
      <c r="B3322" s="9">
        <v>11.93</v>
      </c>
      <c r="C3322" s="9">
        <v>12.29</v>
      </c>
      <c r="D3322" s="9">
        <v>11.4</v>
      </c>
      <c r="E3322" s="9">
        <v>11.58</v>
      </c>
      <c r="F3322" s="9">
        <v>20593400</v>
      </c>
      <c r="G3322" s="9">
        <v>5.79</v>
      </c>
    </row>
    <row r="3323" spans="1:7" x14ac:dyDescent="0.25">
      <c r="A3323" s="101">
        <v>37186</v>
      </c>
      <c r="B3323" s="9">
        <v>11.4</v>
      </c>
      <c r="C3323" s="9">
        <v>11.88</v>
      </c>
      <c r="D3323" s="9">
        <v>11.07</v>
      </c>
      <c r="E3323" s="9">
        <v>11.78</v>
      </c>
      <c r="F3323" s="9">
        <v>11827000</v>
      </c>
      <c r="G3323" s="9">
        <v>5.89</v>
      </c>
    </row>
    <row r="3324" spans="1:7" x14ac:dyDescent="0.25">
      <c r="A3324" s="101">
        <v>37183</v>
      </c>
      <c r="B3324" s="9">
        <v>11.12</v>
      </c>
      <c r="C3324" s="9">
        <v>11.46</v>
      </c>
      <c r="D3324" s="9">
        <v>10.81</v>
      </c>
      <c r="E3324" s="9">
        <v>11.37</v>
      </c>
      <c r="F3324" s="9">
        <v>13111600</v>
      </c>
      <c r="G3324" s="9">
        <v>5.68</v>
      </c>
    </row>
    <row r="3325" spans="1:7" x14ac:dyDescent="0.25">
      <c r="A3325" s="101">
        <v>37182</v>
      </c>
      <c r="B3325" s="9">
        <v>11.49</v>
      </c>
      <c r="C3325" s="9">
        <v>11.84</v>
      </c>
      <c r="D3325" s="9">
        <v>11.08</v>
      </c>
      <c r="E3325" s="9">
        <v>11.27</v>
      </c>
      <c r="F3325" s="9">
        <v>14633600</v>
      </c>
      <c r="G3325" s="9">
        <v>5.64</v>
      </c>
    </row>
    <row r="3326" spans="1:7" x14ac:dyDescent="0.25">
      <c r="A3326" s="101">
        <v>37181</v>
      </c>
      <c r="B3326" s="9">
        <v>13.03</v>
      </c>
      <c r="C3326" s="9">
        <v>13.18</v>
      </c>
      <c r="D3326" s="9">
        <v>11.31</v>
      </c>
      <c r="E3326" s="9">
        <v>11.36</v>
      </c>
      <c r="F3326" s="9">
        <v>23678200</v>
      </c>
      <c r="G3326" s="9">
        <v>5.68</v>
      </c>
    </row>
    <row r="3327" spans="1:7" x14ac:dyDescent="0.25">
      <c r="A3327" s="101">
        <v>37180</v>
      </c>
      <c r="B3327" s="9">
        <v>12.19</v>
      </c>
      <c r="C3327" s="9">
        <v>12.67</v>
      </c>
      <c r="D3327" s="9">
        <v>12.01</v>
      </c>
      <c r="E3327" s="9">
        <v>12.5</v>
      </c>
      <c r="F3327" s="9">
        <v>13847800</v>
      </c>
      <c r="G3327" s="9">
        <v>6.25</v>
      </c>
    </row>
    <row r="3328" spans="1:7" x14ac:dyDescent="0.25">
      <c r="A3328" s="101">
        <v>37179</v>
      </c>
      <c r="B3328" s="9">
        <v>11.86</v>
      </c>
      <c r="C3328" s="9">
        <v>12.39</v>
      </c>
      <c r="D3328" s="9">
        <v>11.55</v>
      </c>
      <c r="E3328" s="9">
        <v>12.07</v>
      </c>
      <c r="F3328" s="9">
        <v>11493000</v>
      </c>
      <c r="G3328" s="9">
        <v>6.03</v>
      </c>
    </row>
    <row r="3329" spans="1:7" x14ac:dyDescent="0.25">
      <c r="A3329" s="101">
        <v>37176</v>
      </c>
      <c r="B3329" s="9">
        <v>12.21</v>
      </c>
      <c r="C3329" s="9">
        <v>12.26</v>
      </c>
      <c r="D3329" s="9">
        <v>11.46</v>
      </c>
      <c r="E3329" s="9">
        <v>12.08</v>
      </c>
      <c r="F3329" s="9">
        <v>29939200</v>
      </c>
      <c r="G3329" s="9">
        <v>6.04</v>
      </c>
    </row>
    <row r="3330" spans="1:7" x14ac:dyDescent="0.25">
      <c r="A3330" s="101">
        <v>37175</v>
      </c>
      <c r="B3330" s="9">
        <v>11.96</v>
      </c>
      <c r="C3330" s="9">
        <v>12.68</v>
      </c>
      <c r="D3330" s="9">
        <v>11.7</v>
      </c>
      <c r="E3330" s="9">
        <v>12.5</v>
      </c>
      <c r="F3330" s="9">
        <v>58265400</v>
      </c>
      <c r="G3330" s="9">
        <v>6.25</v>
      </c>
    </row>
    <row r="3331" spans="1:7" x14ac:dyDescent="0.25">
      <c r="A3331" s="101">
        <v>37174</v>
      </c>
      <c r="B3331" s="9">
        <v>10.08</v>
      </c>
      <c r="C3331" s="9">
        <v>11.25</v>
      </c>
      <c r="D3331" s="9">
        <v>10.01</v>
      </c>
      <c r="E3331" s="9">
        <v>10.93</v>
      </c>
      <c r="F3331" s="9">
        <v>26617400</v>
      </c>
      <c r="G3331" s="9">
        <v>5.47</v>
      </c>
    </row>
    <row r="3332" spans="1:7" x14ac:dyDescent="0.25">
      <c r="A3332" s="101">
        <v>37173</v>
      </c>
      <c r="B3332" s="9">
        <v>10.41</v>
      </c>
      <c r="C3332" s="9">
        <v>10.6</v>
      </c>
      <c r="D3332" s="9">
        <v>10.01</v>
      </c>
      <c r="E3332" s="9">
        <v>10.16</v>
      </c>
      <c r="F3332" s="9">
        <v>12246400</v>
      </c>
      <c r="G3332" s="9">
        <v>5.08</v>
      </c>
    </row>
    <row r="3333" spans="1:7" x14ac:dyDescent="0.25">
      <c r="A3333" s="101">
        <v>37172</v>
      </c>
      <c r="B3333" s="9">
        <v>10.050000000000001</v>
      </c>
      <c r="C3333" s="9">
        <v>10.89</v>
      </c>
      <c r="D3333" s="9">
        <v>9.91</v>
      </c>
      <c r="E3333" s="9">
        <v>10.49</v>
      </c>
      <c r="F3333" s="9">
        <v>14124400</v>
      </c>
      <c r="G3333" s="9">
        <v>5.24</v>
      </c>
    </row>
    <row r="3334" spans="1:7" x14ac:dyDescent="0.25">
      <c r="A3334" s="101">
        <v>37169</v>
      </c>
      <c r="B3334" s="9">
        <v>10.3</v>
      </c>
      <c r="C3334" s="9">
        <v>10.6</v>
      </c>
      <c r="D3334" s="9">
        <v>10.050000000000001</v>
      </c>
      <c r="E3334" s="9">
        <v>10.35</v>
      </c>
      <c r="F3334" s="9">
        <v>12420400</v>
      </c>
      <c r="G3334" s="9">
        <v>5.18</v>
      </c>
    </row>
    <row r="3335" spans="1:7" x14ac:dyDescent="0.25">
      <c r="A3335" s="101">
        <v>37168</v>
      </c>
      <c r="B3335" s="9">
        <v>10.17</v>
      </c>
      <c r="C3335" s="9">
        <v>11.59</v>
      </c>
      <c r="D3335" s="9">
        <v>9.68</v>
      </c>
      <c r="E3335" s="9">
        <v>10.68</v>
      </c>
      <c r="F3335" s="9">
        <v>35863200</v>
      </c>
      <c r="G3335" s="9">
        <v>5.34</v>
      </c>
    </row>
    <row r="3336" spans="1:7" x14ac:dyDescent="0.25">
      <c r="A3336" s="101">
        <v>37167</v>
      </c>
      <c r="B3336" s="9">
        <v>8.91</v>
      </c>
      <c r="C3336" s="9">
        <v>10</v>
      </c>
      <c r="D3336" s="9">
        <v>8.84</v>
      </c>
      <c r="E3336" s="9">
        <v>9.91</v>
      </c>
      <c r="F3336" s="9">
        <v>23861000</v>
      </c>
      <c r="G3336" s="9">
        <v>4.95</v>
      </c>
    </row>
    <row r="3337" spans="1:7" x14ac:dyDescent="0.25">
      <c r="A3337" s="101">
        <v>37166</v>
      </c>
      <c r="B3337" s="9">
        <v>9.02</v>
      </c>
      <c r="C3337" s="9">
        <v>9.25</v>
      </c>
      <c r="D3337" s="9">
        <v>8.89</v>
      </c>
      <c r="E3337" s="9">
        <v>9.24</v>
      </c>
      <c r="F3337" s="9">
        <v>10246400</v>
      </c>
      <c r="G3337" s="9">
        <v>4.62</v>
      </c>
    </row>
    <row r="3338" spans="1:7" x14ac:dyDescent="0.25">
      <c r="A3338" s="101">
        <v>37165</v>
      </c>
      <c r="B3338" s="9">
        <v>8.6999999999999993</v>
      </c>
      <c r="C3338" s="9">
        <v>9.1999999999999993</v>
      </c>
      <c r="D3338" s="9">
        <v>8.4499999999999993</v>
      </c>
      <c r="E3338" s="9">
        <v>9.09</v>
      </c>
      <c r="F3338" s="9">
        <v>14021600</v>
      </c>
      <c r="G3338" s="9">
        <v>4.55</v>
      </c>
    </row>
    <row r="3339" spans="1:7" x14ac:dyDescent="0.25">
      <c r="A3339" s="101">
        <v>37162</v>
      </c>
      <c r="B3339" s="9">
        <v>9.16</v>
      </c>
      <c r="C3339" s="9">
        <v>9.25</v>
      </c>
      <c r="D3339" s="9">
        <v>8.6</v>
      </c>
      <c r="E3339" s="9">
        <v>8.81</v>
      </c>
      <c r="F3339" s="9">
        <v>13111800</v>
      </c>
      <c r="G3339" s="9">
        <v>4.41</v>
      </c>
    </row>
    <row r="3340" spans="1:7" x14ac:dyDescent="0.25">
      <c r="A3340" s="101">
        <v>37161</v>
      </c>
      <c r="B3340" s="9">
        <v>8.0399999999999991</v>
      </c>
      <c r="C3340" s="9">
        <v>9.25</v>
      </c>
      <c r="D3340" s="9">
        <v>8.02</v>
      </c>
      <c r="E3340" s="9">
        <v>9.11</v>
      </c>
      <c r="F3340" s="9">
        <v>29073200</v>
      </c>
      <c r="G3340" s="9">
        <v>4.55</v>
      </c>
    </row>
    <row r="3341" spans="1:7" x14ac:dyDescent="0.25">
      <c r="A3341" s="101">
        <v>37160</v>
      </c>
      <c r="B3341" s="9">
        <v>9.35</v>
      </c>
      <c r="C3341" s="9">
        <v>9.5</v>
      </c>
      <c r="D3341" s="9">
        <v>8.1</v>
      </c>
      <c r="E3341" s="9">
        <v>8.11</v>
      </c>
      <c r="F3341" s="9">
        <v>15748000</v>
      </c>
      <c r="G3341" s="9">
        <v>4.05</v>
      </c>
    </row>
    <row r="3342" spans="1:7" x14ac:dyDescent="0.25">
      <c r="A3342" s="101">
        <v>37159</v>
      </c>
      <c r="B3342" s="9">
        <v>9.16</v>
      </c>
      <c r="C3342" s="9">
        <v>10.039999999999999</v>
      </c>
      <c r="D3342" s="9">
        <v>9</v>
      </c>
      <c r="E3342" s="9">
        <v>9.2799999999999994</v>
      </c>
      <c r="F3342" s="9">
        <v>23675000</v>
      </c>
      <c r="G3342" s="9">
        <v>4.6399999999999997</v>
      </c>
    </row>
    <row r="3343" spans="1:7" x14ac:dyDescent="0.25">
      <c r="A3343" s="101">
        <v>37158</v>
      </c>
      <c r="B3343" s="9">
        <v>9.09</v>
      </c>
      <c r="C3343" s="9">
        <v>9.4600000000000009</v>
      </c>
      <c r="D3343" s="9">
        <v>8.82</v>
      </c>
      <c r="E3343" s="9">
        <v>9.25</v>
      </c>
      <c r="F3343" s="9">
        <v>15538800</v>
      </c>
      <c r="G3343" s="9">
        <v>4.62</v>
      </c>
    </row>
    <row r="3344" spans="1:7" x14ac:dyDescent="0.25">
      <c r="A3344" s="101">
        <v>37155</v>
      </c>
      <c r="B3344" s="9">
        <v>9.33</v>
      </c>
      <c r="C3344" s="9">
        <v>9.4</v>
      </c>
      <c r="D3344" s="9">
        <v>8.5</v>
      </c>
      <c r="E3344" s="9">
        <v>8.68</v>
      </c>
      <c r="F3344" s="9">
        <v>25924800</v>
      </c>
      <c r="G3344" s="9">
        <v>4.34</v>
      </c>
    </row>
    <row r="3345" spans="1:7" x14ac:dyDescent="0.25">
      <c r="A3345" s="101">
        <v>37154</v>
      </c>
      <c r="B3345" s="9">
        <v>9.9499999999999993</v>
      </c>
      <c r="C3345" s="9">
        <v>10.34</v>
      </c>
      <c r="D3345" s="9">
        <v>9.81</v>
      </c>
      <c r="E3345" s="9">
        <v>9.9700000000000006</v>
      </c>
      <c r="F3345" s="9">
        <v>16103200</v>
      </c>
      <c r="G3345" s="9">
        <v>4.99</v>
      </c>
    </row>
    <row r="3346" spans="1:7" x14ac:dyDescent="0.25">
      <c r="A3346" s="101">
        <v>37153</v>
      </c>
      <c r="B3346" s="9">
        <v>10.19</v>
      </c>
      <c r="C3346" s="9">
        <v>10.4</v>
      </c>
      <c r="D3346" s="9">
        <v>9.8000000000000007</v>
      </c>
      <c r="E3346" s="9">
        <v>10.07</v>
      </c>
      <c r="F3346" s="9">
        <v>24542000</v>
      </c>
      <c r="G3346" s="9">
        <v>5.03</v>
      </c>
    </row>
    <row r="3347" spans="1:7" x14ac:dyDescent="0.25">
      <c r="A3347" s="101">
        <v>37152</v>
      </c>
      <c r="B3347" s="9">
        <v>10.8</v>
      </c>
      <c r="C3347" s="9">
        <v>11.13</v>
      </c>
      <c r="D3347" s="9">
        <v>10.029999999999999</v>
      </c>
      <c r="E3347" s="9">
        <v>10.1</v>
      </c>
      <c r="F3347" s="9">
        <v>20893400</v>
      </c>
      <c r="G3347" s="9">
        <v>5.05</v>
      </c>
    </row>
    <row r="3348" spans="1:7" x14ac:dyDescent="0.25">
      <c r="A3348" s="101">
        <v>37151</v>
      </c>
      <c r="B3348" s="9">
        <v>10.55</v>
      </c>
      <c r="C3348" s="9">
        <v>11.32</v>
      </c>
      <c r="D3348" s="9">
        <v>10.25</v>
      </c>
      <c r="E3348" s="9">
        <v>10.88</v>
      </c>
      <c r="F3348" s="9">
        <v>34958200</v>
      </c>
      <c r="G3348" s="9">
        <v>5.44</v>
      </c>
    </row>
    <row r="3349" spans="1:7" x14ac:dyDescent="0.25">
      <c r="A3349" s="101">
        <v>37144</v>
      </c>
      <c r="B3349" s="9">
        <v>10.73</v>
      </c>
      <c r="C3349" s="9">
        <v>12.35</v>
      </c>
      <c r="D3349" s="9">
        <v>10.71</v>
      </c>
      <c r="E3349" s="9">
        <v>11.74</v>
      </c>
      <c r="F3349" s="9">
        <v>29562800</v>
      </c>
      <c r="G3349" s="9">
        <v>5.87</v>
      </c>
    </row>
    <row r="3350" spans="1:7" x14ac:dyDescent="0.25">
      <c r="A3350" s="101">
        <v>37141</v>
      </c>
      <c r="B3350" s="9">
        <v>10.74</v>
      </c>
      <c r="C3350" s="9">
        <v>11.16</v>
      </c>
      <c r="D3350" s="9">
        <v>10.54</v>
      </c>
      <c r="E3350" s="9">
        <v>10.75</v>
      </c>
      <c r="F3350" s="9">
        <v>17791800</v>
      </c>
      <c r="G3350" s="9">
        <v>5.38</v>
      </c>
    </row>
    <row r="3351" spans="1:7" x14ac:dyDescent="0.25">
      <c r="A3351" s="101">
        <v>37140</v>
      </c>
      <c r="B3351" s="9">
        <v>11.03</v>
      </c>
      <c r="C3351" s="9">
        <v>11.55</v>
      </c>
      <c r="D3351" s="9">
        <v>10.57</v>
      </c>
      <c r="E3351" s="9">
        <v>11.1</v>
      </c>
      <c r="F3351" s="9">
        <v>29971200</v>
      </c>
      <c r="G3351" s="9">
        <v>5.55</v>
      </c>
    </row>
    <row r="3352" spans="1:7" x14ac:dyDescent="0.25">
      <c r="A3352" s="101">
        <v>37139</v>
      </c>
      <c r="B3352" s="9">
        <v>11.69</v>
      </c>
      <c r="C3352" s="9">
        <v>11.69</v>
      </c>
      <c r="D3352" s="9">
        <v>10.45</v>
      </c>
      <c r="E3352" s="9">
        <v>10.64</v>
      </c>
      <c r="F3352" s="9">
        <v>24114600</v>
      </c>
      <c r="G3352" s="9">
        <v>5.32</v>
      </c>
    </row>
    <row r="3353" spans="1:7" x14ac:dyDescent="0.25">
      <c r="A3353" s="101">
        <v>37138</v>
      </c>
      <c r="B3353" s="9">
        <v>11.96</v>
      </c>
      <c r="C3353" s="9">
        <v>12.41</v>
      </c>
      <c r="D3353" s="9">
        <v>11.48</v>
      </c>
      <c r="E3353" s="9">
        <v>11.7</v>
      </c>
      <c r="F3353" s="9">
        <v>18605800</v>
      </c>
      <c r="G3353" s="9">
        <v>5.85</v>
      </c>
    </row>
    <row r="3354" spans="1:7" x14ac:dyDescent="0.25">
      <c r="A3354" s="101">
        <v>37134</v>
      </c>
      <c r="B3354" s="9">
        <v>11.32</v>
      </c>
      <c r="C3354" s="9">
        <v>11.9</v>
      </c>
      <c r="D3354" s="9">
        <v>11.17</v>
      </c>
      <c r="E3354" s="9">
        <v>11.86</v>
      </c>
      <c r="F3354" s="9">
        <v>15667000</v>
      </c>
      <c r="G3354" s="9">
        <v>5.93</v>
      </c>
    </row>
    <row r="3355" spans="1:7" x14ac:dyDescent="0.25">
      <c r="A3355" s="101">
        <v>37133</v>
      </c>
      <c r="B3355" s="9">
        <v>12</v>
      </c>
      <c r="C3355" s="9">
        <v>12</v>
      </c>
      <c r="D3355" s="9">
        <v>11.02</v>
      </c>
      <c r="E3355" s="9">
        <v>11.32</v>
      </c>
      <c r="F3355" s="9">
        <v>23788000</v>
      </c>
      <c r="G3355" s="9">
        <v>5.66</v>
      </c>
    </row>
    <row r="3356" spans="1:7" x14ac:dyDescent="0.25">
      <c r="A3356" s="101">
        <v>37132</v>
      </c>
      <c r="B3356" s="9">
        <v>13.14</v>
      </c>
      <c r="C3356" s="9">
        <v>13.34</v>
      </c>
      <c r="D3356" s="9">
        <v>12</v>
      </c>
      <c r="E3356" s="9">
        <v>12.14</v>
      </c>
      <c r="F3356" s="9">
        <v>21579600</v>
      </c>
      <c r="G3356" s="9">
        <v>6.07</v>
      </c>
    </row>
    <row r="3357" spans="1:7" x14ac:dyDescent="0.25">
      <c r="A3357" s="101">
        <v>37131</v>
      </c>
      <c r="B3357" s="9">
        <v>13.52</v>
      </c>
      <c r="C3357" s="9">
        <v>13.72</v>
      </c>
      <c r="D3357" s="9">
        <v>13</v>
      </c>
      <c r="E3357" s="9">
        <v>13</v>
      </c>
      <c r="F3357" s="9">
        <v>14270400</v>
      </c>
      <c r="G3357" s="9">
        <v>6.5</v>
      </c>
    </row>
    <row r="3358" spans="1:7" x14ac:dyDescent="0.25">
      <c r="A3358" s="101">
        <v>37130</v>
      </c>
      <c r="B3358" s="9">
        <v>14.07</v>
      </c>
      <c r="C3358" s="9">
        <v>14.07</v>
      </c>
      <c r="D3358" s="9">
        <v>13.01</v>
      </c>
      <c r="E3358" s="9">
        <v>13.42</v>
      </c>
      <c r="F3358" s="9">
        <v>15045400</v>
      </c>
      <c r="G3358" s="9">
        <v>6.71</v>
      </c>
    </row>
    <row r="3359" spans="1:7" x14ac:dyDescent="0.25">
      <c r="A3359" s="101">
        <v>37127</v>
      </c>
      <c r="B3359" s="9">
        <v>13.38</v>
      </c>
      <c r="C3359" s="9">
        <v>14.27</v>
      </c>
      <c r="D3359" s="9">
        <v>13.2</v>
      </c>
      <c r="E3359" s="9">
        <v>14.11</v>
      </c>
      <c r="F3359" s="9">
        <v>13311000</v>
      </c>
      <c r="G3359" s="9">
        <v>7.05</v>
      </c>
    </row>
    <row r="3360" spans="1:7" x14ac:dyDescent="0.25">
      <c r="A3360" s="101">
        <v>37126</v>
      </c>
      <c r="B3360" s="9">
        <v>13.29</v>
      </c>
      <c r="C3360" s="9">
        <v>13.85</v>
      </c>
      <c r="D3360" s="9">
        <v>13.13</v>
      </c>
      <c r="E3360" s="9">
        <v>13.26</v>
      </c>
      <c r="F3360" s="9">
        <v>15656400</v>
      </c>
      <c r="G3360" s="9">
        <v>6.63</v>
      </c>
    </row>
    <row r="3361" spans="1:7" x14ac:dyDescent="0.25">
      <c r="A3361" s="101">
        <v>37125</v>
      </c>
      <c r="B3361" s="9">
        <v>13.44</v>
      </c>
      <c r="C3361" s="9">
        <v>13.47</v>
      </c>
      <c r="D3361" s="9">
        <v>12.75</v>
      </c>
      <c r="E3361" s="9">
        <v>13.4</v>
      </c>
      <c r="F3361" s="9">
        <v>18209000</v>
      </c>
      <c r="G3361" s="9">
        <v>6.7</v>
      </c>
    </row>
    <row r="3362" spans="1:7" x14ac:dyDescent="0.25">
      <c r="A3362" s="101">
        <v>37124</v>
      </c>
      <c r="B3362" s="9">
        <v>14.68</v>
      </c>
      <c r="C3362" s="9">
        <v>14.69</v>
      </c>
      <c r="D3362" s="9">
        <v>13</v>
      </c>
      <c r="E3362" s="9">
        <v>13.01</v>
      </c>
      <c r="F3362" s="9">
        <v>12589800</v>
      </c>
      <c r="G3362" s="9">
        <v>6.51</v>
      </c>
    </row>
    <row r="3363" spans="1:7" x14ac:dyDescent="0.25">
      <c r="A3363" s="101">
        <v>37123</v>
      </c>
      <c r="B3363" s="9">
        <v>14.04</v>
      </c>
      <c r="C3363" s="9">
        <v>14.78</v>
      </c>
      <c r="D3363" s="9">
        <v>13.75</v>
      </c>
      <c r="E3363" s="9">
        <v>14.46</v>
      </c>
      <c r="F3363" s="9">
        <v>9762600</v>
      </c>
      <c r="G3363" s="9">
        <v>7.23</v>
      </c>
    </row>
    <row r="3364" spans="1:7" x14ac:dyDescent="0.25">
      <c r="A3364" s="101">
        <v>37120</v>
      </c>
      <c r="B3364" s="9">
        <v>14.5</v>
      </c>
      <c r="C3364" s="9">
        <v>14.62</v>
      </c>
      <c r="D3364" s="9">
        <v>14</v>
      </c>
      <c r="E3364" s="9">
        <v>14.05</v>
      </c>
      <c r="F3364" s="9">
        <v>9049600</v>
      </c>
      <c r="G3364" s="9">
        <v>7.03</v>
      </c>
    </row>
    <row r="3365" spans="1:7" x14ac:dyDescent="0.25">
      <c r="A3365" s="101">
        <v>37119</v>
      </c>
      <c r="B3365" s="9">
        <v>13.96</v>
      </c>
      <c r="C3365" s="9">
        <v>14.94</v>
      </c>
      <c r="D3365" s="9">
        <v>13.95</v>
      </c>
      <c r="E3365" s="9">
        <v>14.79</v>
      </c>
      <c r="F3365" s="9">
        <v>14791200</v>
      </c>
      <c r="G3365" s="9">
        <v>7.39</v>
      </c>
    </row>
    <row r="3366" spans="1:7" x14ac:dyDescent="0.25">
      <c r="A3366" s="101">
        <v>37118</v>
      </c>
      <c r="B3366" s="9">
        <v>15.05</v>
      </c>
      <c r="C3366" s="9">
        <v>15.08</v>
      </c>
      <c r="D3366" s="9">
        <v>13.84</v>
      </c>
      <c r="E3366" s="9">
        <v>14.26</v>
      </c>
      <c r="F3366" s="9">
        <v>21956200</v>
      </c>
      <c r="G3366" s="9">
        <v>7.13</v>
      </c>
    </row>
    <row r="3367" spans="1:7" x14ac:dyDescent="0.25">
      <c r="A3367" s="101">
        <v>37117</v>
      </c>
      <c r="B3367" s="9">
        <v>15.89</v>
      </c>
      <c r="C3367" s="9">
        <v>16.010000000000002</v>
      </c>
      <c r="D3367" s="9">
        <v>14.74</v>
      </c>
      <c r="E3367" s="9">
        <v>14.98</v>
      </c>
      <c r="F3367" s="9">
        <v>17311400</v>
      </c>
      <c r="G3367" s="9">
        <v>7.49</v>
      </c>
    </row>
    <row r="3368" spans="1:7" x14ac:dyDescent="0.25">
      <c r="A3368" s="101">
        <v>37116</v>
      </c>
      <c r="B3368" s="9">
        <v>15.52</v>
      </c>
      <c r="C3368" s="9">
        <v>15.8</v>
      </c>
      <c r="D3368" s="9">
        <v>15.3</v>
      </c>
      <c r="E3368" s="9">
        <v>15.64</v>
      </c>
      <c r="F3368" s="9">
        <v>10381800</v>
      </c>
      <c r="G3368" s="9">
        <v>7.82</v>
      </c>
    </row>
    <row r="3369" spans="1:7" x14ac:dyDescent="0.25">
      <c r="A3369" s="101">
        <v>37113</v>
      </c>
      <c r="B3369" s="9">
        <v>16.09</v>
      </c>
      <c r="C3369" s="9">
        <v>16.260000000000002</v>
      </c>
      <c r="D3369" s="9">
        <v>15.25</v>
      </c>
      <c r="E3369" s="9">
        <v>15.42</v>
      </c>
      <c r="F3369" s="9">
        <v>18642400</v>
      </c>
      <c r="G3369" s="9">
        <v>7.71</v>
      </c>
    </row>
    <row r="3370" spans="1:7" x14ac:dyDescent="0.25">
      <c r="A3370" s="101">
        <v>37112</v>
      </c>
      <c r="B3370" s="9">
        <v>16.559999999999999</v>
      </c>
      <c r="C3370" s="9">
        <v>16.57</v>
      </c>
      <c r="D3370" s="9">
        <v>15.6</v>
      </c>
      <c r="E3370" s="9">
        <v>16.28</v>
      </c>
      <c r="F3370" s="9">
        <v>16024400</v>
      </c>
      <c r="G3370" s="9">
        <v>8.14</v>
      </c>
    </row>
    <row r="3371" spans="1:7" x14ac:dyDescent="0.25">
      <c r="A3371" s="101">
        <v>37111</v>
      </c>
      <c r="B3371" s="9">
        <v>17.23</v>
      </c>
      <c r="C3371" s="9">
        <v>17.5</v>
      </c>
      <c r="D3371" s="9">
        <v>16.440000000000001</v>
      </c>
      <c r="E3371" s="9">
        <v>16.55</v>
      </c>
      <c r="F3371" s="9">
        <v>10008800</v>
      </c>
      <c r="G3371" s="9">
        <v>8.27</v>
      </c>
    </row>
    <row r="3372" spans="1:7" x14ac:dyDescent="0.25">
      <c r="A3372" s="101">
        <v>37110</v>
      </c>
      <c r="B3372" s="9">
        <v>17.350000000000001</v>
      </c>
      <c r="C3372" s="9">
        <v>17.82</v>
      </c>
      <c r="D3372" s="9">
        <v>17.03</v>
      </c>
      <c r="E3372" s="9">
        <v>17.3</v>
      </c>
      <c r="F3372" s="9">
        <v>7591400</v>
      </c>
      <c r="G3372" s="9">
        <v>8.65</v>
      </c>
    </row>
    <row r="3373" spans="1:7" x14ac:dyDescent="0.25">
      <c r="A3373" s="101">
        <v>37109</v>
      </c>
      <c r="B3373" s="9">
        <v>17.75</v>
      </c>
      <c r="C3373" s="9">
        <v>17.84</v>
      </c>
      <c r="D3373" s="9">
        <v>17.260000000000002</v>
      </c>
      <c r="E3373" s="9">
        <v>17.39</v>
      </c>
      <c r="F3373" s="9">
        <v>7260600</v>
      </c>
      <c r="G3373" s="9">
        <v>8.69</v>
      </c>
    </row>
    <row r="3374" spans="1:7" x14ac:dyDescent="0.25">
      <c r="A3374" s="101">
        <v>37106</v>
      </c>
      <c r="B3374" s="9">
        <v>18.489999999999998</v>
      </c>
      <c r="C3374" s="9">
        <v>18.510000000000002</v>
      </c>
      <c r="D3374" s="9">
        <v>17.71</v>
      </c>
      <c r="E3374" s="9">
        <v>17.87</v>
      </c>
      <c r="F3374" s="9">
        <v>7477600</v>
      </c>
      <c r="G3374" s="9">
        <v>8.94</v>
      </c>
    </row>
    <row r="3375" spans="1:7" x14ac:dyDescent="0.25">
      <c r="A3375" s="101">
        <v>37105</v>
      </c>
      <c r="B3375" s="9">
        <v>18.690000000000001</v>
      </c>
      <c r="C3375" s="9">
        <v>18.7</v>
      </c>
      <c r="D3375" s="9">
        <v>18</v>
      </c>
      <c r="E3375" s="9">
        <v>18.45</v>
      </c>
      <c r="F3375" s="9">
        <v>7531600</v>
      </c>
      <c r="G3375" s="9">
        <v>9.23</v>
      </c>
    </row>
    <row r="3376" spans="1:7" x14ac:dyDescent="0.25">
      <c r="A3376" s="101">
        <v>37104</v>
      </c>
      <c r="B3376" s="9">
        <v>18.059999999999999</v>
      </c>
      <c r="C3376" s="9">
        <v>18.59</v>
      </c>
      <c r="D3376" s="9">
        <v>17.87</v>
      </c>
      <c r="E3376" s="9">
        <v>18.29</v>
      </c>
      <c r="F3376" s="9">
        <v>14035200</v>
      </c>
      <c r="G3376" s="9">
        <v>9.15</v>
      </c>
    </row>
    <row r="3377" spans="1:7" x14ac:dyDescent="0.25">
      <c r="A3377" s="101">
        <v>37103</v>
      </c>
      <c r="B3377" s="9">
        <v>17.95</v>
      </c>
      <c r="C3377" s="9">
        <v>18.25</v>
      </c>
      <c r="D3377" s="9">
        <v>17.5</v>
      </c>
      <c r="E3377" s="9">
        <v>17.62</v>
      </c>
      <c r="F3377" s="9">
        <v>9468400</v>
      </c>
      <c r="G3377" s="9">
        <v>8.81</v>
      </c>
    </row>
    <row r="3378" spans="1:7" x14ac:dyDescent="0.25">
      <c r="A3378" s="101">
        <v>37102</v>
      </c>
      <c r="B3378" s="9">
        <v>18.18</v>
      </c>
      <c r="C3378" s="9">
        <v>18.39</v>
      </c>
      <c r="D3378" s="9">
        <v>17.48</v>
      </c>
      <c r="E3378" s="9">
        <v>17.8</v>
      </c>
      <c r="F3378" s="9">
        <v>8501600</v>
      </c>
      <c r="G3378" s="9">
        <v>8.9</v>
      </c>
    </row>
    <row r="3379" spans="1:7" x14ac:dyDescent="0.25">
      <c r="A3379" s="101">
        <v>37099</v>
      </c>
      <c r="B3379" s="9">
        <v>17.420000000000002</v>
      </c>
      <c r="C3379" s="9">
        <v>18.5</v>
      </c>
      <c r="D3379" s="9">
        <v>17.2</v>
      </c>
      <c r="E3379" s="9">
        <v>18.02</v>
      </c>
      <c r="F3379" s="9">
        <v>12615800</v>
      </c>
      <c r="G3379" s="9">
        <v>9.01</v>
      </c>
    </row>
    <row r="3380" spans="1:7" x14ac:dyDescent="0.25">
      <c r="A3380" s="101">
        <v>37098</v>
      </c>
      <c r="B3380" s="9">
        <v>16.88</v>
      </c>
      <c r="C3380" s="9">
        <v>17.7</v>
      </c>
      <c r="D3380" s="9">
        <v>16.600000000000001</v>
      </c>
      <c r="E3380" s="9">
        <v>17.48</v>
      </c>
      <c r="F3380" s="9">
        <v>11784000</v>
      </c>
      <c r="G3380" s="9">
        <v>8.74</v>
      </c>
    </row>
    <row r="3381" spans="1:7" x14ac:dyDescent="0.25">
      <c r="A3381" s="101">
        <v>37097</v>
      </c>
      <c r="B3381" s="9">
        <v>16.989999999999998</v>
      </c>
      <c r="C3381" s="9">
        <v>17.25</v>
      </c>
      <c r="D3381" s="9">
        <v>16.47</v>
      </c>
      <c r="E3381" s="9">
        <v>16.87</v>
      </c>
      <c r="F3381" s="9">
        <v>10177800</v>
      </c>
      <c r="G3381" s="9">
        <v>8.44</v>
      </c>
    </row>
    <row r="3382" spans="1:7" x14ac:dyDescent="0.25">
      <c r="A3382" s="101">
        <v>37096</v>
      </c>
      <c r="B3382" s="9">
        <v>17.079999999999998</v>
      </c>
      <c r="C3382" s="9">
        <v>17.77</v>
      </c>
      <c r="D3382" s="9">
        <v>16.43</v>
      </c>
      <c r="E3382" s="9">
        <v>16.97</v>
      </c>
      <c r="F3382" s="9">
        <v>11831600</v>
      </c>
      <c r="G3382" s="9">
        <v>8.48</v>
      </c>
    </row>
    <row r="3383" spans="1:7" x14ac:dyDescent="0.25">
      <c r="A3383" s="101">
        <v>37095</v>
      </c>
      <c r="B3383" s="9">
        <v>18.23</v>
      </c>
      <c r="C3383" s="9">
        <v>18.29</v>
      </c>
      <c r="D3383" s="9">
        <v>17.420000000000002</v>
      </c>
      <c r="E3383" s="9">
        <v>17.559999999999999</v>
      </c>
      <c r="F3383" s="9">
        <v>11828200</v>
      </c>
      <c r="G3383" s="9">
        <v>8.7799999999999994</v>
      </c>
    </row>
    <row r="3384" spans="1:7" x14ac:dyDescent="0.25">
      <c r="A3384" s="101">
        <v>37092</v>
      </c>
      <c r="B3384" s="9">
        <v>17.28</v>
      </c>
      <c r="C3384" s="9">
        <v>18.05</v>
      </c>
      <c r="D3384" s="9">
        <v>17.27</v>
      </c>
      <c r="E3384" s="9">
        <v>17.940000000000001</v>
      </c>
      <c r="F3384" s="9">
        <v>17394400</v>
      </c>
      <c r="G3384" s="9">
        <v>8.9700000000000006</v>
      </c>
    </row>
    <row r="3385" spans="1:7" x14ac:dyDescent="0.25">
      <c r="A3385" s="101">
        <v>37091</v>
      </c>
      <c r="B3385" s="9">
        <v>17.57</v>
      </c>
      <c r="C3385" s="9">
        <v>17.89</v>
      </c>
      <c r="D3385" s="9">
        <v>16.75</v>
      </c>
      <c r="E3385" s="9">
        <v>17.43</v>
      </c>
      <c r="F3385" s="9">
        <v>16326400</v>
      </c>
      <c r="G3385" s="9">
        <v>8.7200000000000006</v>
      </c>
    </row>
    <row r="3386" spans="1:7" x14ac:dyDescent="0.25">
      <c r="A3386" s="101">
        <v>37090</v>
      </c>
      <c r="B3386" s="9">
        <v>17.95</v>
      </c>
      <c r="C3386" s="9">
        <v>18.25</v>
      </c>
      <c r="D3386" s="9">
        <v>16.8</v>
      </c>
      <c r="E3386" s="9">
        <v>17.03</v>
      </c>
      <c r="F3386" s="9">
        <v>20664000</v>
      </c>
      <c r="G3386" s="9">
        <v>8.52</v>
      </c>
    </row>
    <row r="3387" spans="1:7" x14ac:dyDescent="0.25">
      <c r="A3387" s="101">
        <v>37089</v>
      </c>
      <c r="B3387" s="9">
        <v>17.84</v>
      </c>
      <c r="C3387" s="9">
        <v>18.7</v>
      </c>
      <c r="D3387" s="9">
        <v>17.54</v>
      </c>
      <c r="E3387" s="9">
        <v>18.48</v>
      </c>
      <c r="F3387" s="9">
        <v>15734200</v>
      </c>
      <c r="G3387" s="9">
        <v>9.24</v>
      </c>
    </row>
    <row r="3388" spans="1:7" x14ac:dyDescent="0.25">
      <c r="A3388" s="101">
        <v>37088</v>
      </c>
      <c r="B3388" s="9">
        <v>18.03</v>
      </c>
      <c r="C3388" s="9">
        <v>19.190000000000001</v>
      </c>
      <c r="D3388" s="9">
        <v>17.95</v>
      </c>
      <c r="E3388" s="9">
        <v>18.010000000000002</v>
      </c>
      <c r="F3388" s="9">
        <v>23582200</v>
      </c>
      <c r="G3388" s="9">
        <v>9.01</v>
      </c>
    </row>
    <row r="3389" spans="1:7" x14ac:dyDescent="0.25">
      <c r="A3389" s="101">
        <v>37085</v>
      </c>
      <c r="B3389" s="9">
        <v>18.170000000000002</v>
      </c>
      <c r="C3389" s="9">
        <v>19.059999999999999</v>
      </c>
      <c r="D3389" s="9">
        <v>17.75</v>
      </c>
      <c r="E3389" s="9">
        <v>18.25</v>
      </c>
      <c r="F3389" s="9">
        <v>19426200</v>
      </c>
      <c r="G3389" s="9">
        <v>9.1199999999999992</v>
      </c>
    </row>
    <row r="3390" spans="1:7" x14ac:dyDescent="0.25">
      <c r="A3390" s="101">
        <v>37084</v>
      </c>
      <c r="B3390" s="9">
        <v>18.57</v>
      </c>
      <c r="C3390" s="9">
        <v>18.62</v>
      </c>
      <c r="D3390" s="9">
        <v>17.64</v>
      </c>
      <c r="E3390" s="9">
        <v>18.62</v>
      </c>
      <c r="F3390" s="9">
        <v>31990000</v>
      </c>
      <c r="G3390" s="9">
        <v>9.31</v>
      </c>
    </row>
    <row r="3391" spans="1:7" x14ac:dyDescent="0.25">
      <c r="A3391" s="101">
        <v>37083</v>
      </c>
      <c r="B3391" s="9">
        <v>16.940000000000001</v>
      </c>
      <c r="C3391" s="9">
        <v>17.55</v>
      </c>
      <c r="D3391" s="9">
        <v>15.31</v>
      </c>
      <c r="E3391" s="9">
        <v>17.03</v>
      </c>
      <c r="F3391" s="9">
        <v>50231200</v>
      </c>
      <c r="G3391" s="9">
        <v>8.52</v>
      </c>
    </row>
    <row r="3392" spans="1:7" x14ac:dyDescent="0.25">
      <c r="A3392" s="101">
        <v>37082</v>
      </c>
      <c r="B3392" s="9">
        <v>18.920000000000002</v>
      </c>
      <c r="C3392" s="9">
        <v>19.02</v>
      </c>
      <c r="D3392" s="9">
        <v>17.78</v>
      </c>
      <c r="E3392" s="9">
        <v>17.829999999999998</v>
      </c>
      <c r="F3392" s="9">
        <v>12927200</v>
      </c>
      <c r="G3392" s="9">
        <v>8.91</v>
      </c>
    </row>
    <row r="3393" spans="1:7" x14ac:dyDescent="0.25">
      <c r="A3393" s="101">
        <v>37081</v>
      </c>
      <c r="B3393" s="9">
        <v>18.149999999999999</v>
      </c>
      <c r="C3393" s="9">
        <v>18.87</v>
      </c>
      <c r="D3393" s="9">
        <v>18.02</v>
      </c>
      <c r="E3393" s="9">
        <v>18.57</v>
      </c>
      <c r="F3393" s="9">
        <v>14335000</v>
      </c>
      <c r="G3393" s="9">
        <v>9.2799999999999994</v>
      </c>
    </row>
    <row r="3394" spans="1:7" x14ac:dyDescent="0.25">
      <c r="A3394" s="101">
        <v>37078</v>
      </c>
      <c r="B3394" s="9">
        <v>18.940000000000001</v>
      </c>
      <c r="C3394" s="9">
        <v>19</v>
      </c>
      <c r="D3394" s="9">
        <v>17.649999999999999</v>
      </c>
      <c r="E3394" s="9">
        <v>17.88</v>
      </c>
      <c r="F3394" s="9">
        <v>19318200</v>
      </c>
      <c r="G3394" s="9">
        <v>8.94</v>
      </c>
    </row>
    <row r="3395" spans="1:7" x14ac:dyDescent="0.25">
      <c r="A3395" s="101">
        <v>37077</v>
      </c>
      <c r="B3395" s="9">
        <v>20</v>
      </c>
      <c r="C3395" s="9">
        <v>20.87</v>
      </c>
      <c r="D3395" s="9">
        <v>18.96</v>
      </c>
      <c r="E3395" s="9">
        <v>19.190000000000001</v>
      </c>
      <c r="F3395" s="9">
        <v>19023800</v>
      </c>
      <c r="G3395" s="9">
        <v>9.6</v>
      </c>
    </row>
    <row r="3396" spans="1:7" x14ac:dyDescent="0.25">
      <c r="A3396" s="101">
        <v>37075</v>
      </c>
      <c r="B3396" s="9">
        <v>19.760000000000002</v>
      </c>
      <c r="C3396" s="9">
        <v>20.149999999999999</v>
      </c>
      <c r="D3396" s="9">
        <v>19.7</v>
      </c>
      <c r="E3396" s="9">
        <v>19.809999999999999</v>
      </c>
      <c r="F3396" s="9">
        <v>7351400</v>
      </c>
      <c r="G3396" s="9">
        <v>9.9</v>
      </c>
    </row>
    <row r="3397" spans="1:7" x14ac:dyDescent="0.25">
      <c r="A3397" s="101">
        <v>37074</v>
      </c>
      <c r="B3397" s="9">
        <v>19.66</v>
      </c>
      <c r="C3397" s="9">
        <v>20.55</v>
      </c>
      <c r="D3397" s="9">
        <v>19.46</v>
      </c>
      <c r="E3397" s="9">
        <v>20.04</v>
      </c>
      <c r="F3397" s="9">
        <v>14062400</v>
      </c>
      <c r="G3397" s="9">
        <v>10.02</v>
      </c>
    </row>
    <row r="3398" spans="1:7" x14ac:dyDescent="0.25">
      <c r="A3398" s="101">
        <v>37071</v>
      </c>
      <c r="B3398" s="9">
        <v>19.46</v>
      </c>
      <c r="C3398" s="9">
        <v>20</v>
      </c>
      <c r="D3398" s="9">
        <v>19.100000000000001</v>
      </c>
      <c r="E3398" s="9">
        <v>19.989999999999998</v>
      </c>
      <c r="F3398" s="9">
        <v>11881000</v>
      </c>
      <c r="G3398" s="9">
        <v>9.99</v>
      </c>
    </row>
    <row r="3399" spans="1:7" x14ac:dyDescent="0.25">
      <c r="A3399" s="101">
        <v>37070</v>
      </c>
      <c r="B3399" s="9">
        <v>19.21</v>
      </c>
      <c r="C3399" s="9">
        <v>19.68</v>
      </c>
      <c r="D3399" s="9">
        <v>19.12</v>
      </c>
      <c r="E3399" s="9">
        <v>19.38</v>
      </c>
      <c r="F3399" s="9">
        <v>16157600</v>
      </c>
      <c r="G3399" s="9">
        <v>9.69</v>
      </c>
    </row>
    <row r="3400" spans="1:7" x14ac:dyDescent="0.25">
      <c r="A3400" s="101">
        <v>37069</v>
      </c>
      <c r="B3400" s="9">
        <v>19.5</v>
      </c>
      <c r="C3400" s="9">
        <v>19.64</v>
      </c>
      <c r="D3400" s="9">
        <v>18.34</v>
      </c>
      <c r="E3400" s="9">
        <v>18.73</v>
      </c>
      <c r="F3400" s="9">
        <v>21202000</v>
      </c>
      <c r="G3400" s="9">
        <v>9.36</v>
      </c>
    </row>
    <row r="3401" spans="1:7" x14ac:dyDescent="0.25">
      <c r="A3401" s="101">
        <v>37068</v>
      </c>
      <c r="B3401" s="9">
        <v>19.05</v>
      </c>
      <c r="C3401" s="9">
        <v>19.62</v>
      </c>
      <c r="D3401" s="9">
        <v>18.309999999999999</v>
      </c>
      <c r="E3401" s="9">
        <v>19.14</v>
      </c>
      <c r="F3401" s="9">
        <v>27588400</v>
      </c>
      <c r="G3401" s="9">
        <v>9.57</v>
      </c>
    </row>
    <row r="3402" spans="1:7" x14ac:dyDescent="0.25">
      <c r="A3402" s="101">
        <v>37067</v>
      </c>
      <c r="B3402" s="9">
        <v>18.09</v>
      </c>
      <c r="C3402" s="9">
        <v>19.97</v>
      </c>
      <c r="D3402" s="9">
        <v>18</v>
      </c>
      <c r="E3402" s="9">
        <v>19.77</v>
      </c>
      <c r="F3402" s="9">
        <v>33834000</v>
      </c>
      <c r="G3402" s="9">
        <v>9.89</v>
      </c>
    </row>
    <row r="3403" spans="1:7" x14ac:dyDescent="0.25">
      <c r="A3403" s="101">
        <v>37064</v>
      </c>
      <c r="B3403" s="9">
        <v>18.04</v>
      </c>
      <c r="C3403" s="9">
        <v>18.21</v>
      </c>
      <c r="D3403" s="9">
        <v>17.2</v>
      </c>
      <c r="E3403" s="9">
        <v>17.309999999999999</v>
      </c>
      <c r="F3403" s="9">
        <v>12910400</v>
      </c>
      <c r="G3403" s="9">
        <v>8.65</v>
      </c>
    </row>
    <row r="3404" spans="1:7" x14ac:dyDescent="0.25">
      <c r="A3404" s="101">
        <v>37063</v>
      </c>
      <c r="B3404" s="9">
        <v>18.18</v>
      </c>
      <c r="C3404" s="9">
        <v>18.5</v>
      </c>
      <c r="D3404" s="9">
        <v>17.22</v>
      </c>
      <c r="E3404" s="9">
        <v>17.8</v>
      </c>
      <c r="F3404" s="9">
        <v>21789600</v>
      </c>
      <c r="G3404" s="9">
        <v>8.9</v>
      </c>
    </row>
    <row r="3405" spans="1:7" x14ac:dyDescent="0.25">
      <c r="A3405" s="101">
        <v>37062</v>
      </c>
      <c r="B3405" s="9">
        <v>15.31</v>
      </c>
      <c r="C3405" s="9">
        <v>18.510000000000002</v>
      </c>
      <c r="D3405" s="9">
        <v>15.3</v>
      </c>
      <c r="E3405" s="9">
        <v>18.489999999999998</v>
      </c>
      <c r="F3405" s="9">
        <v>21971600</v>
      </c>
      <c r="G3405" s="9">
        <v>9.24</v>
      </c>
    </row>
    <row r="3406" spans="1:7" x14ac:dyDescent="0.25">
      <c r="A3406" s="101">
        <v>37061</v>
      </c>
      <c r="B3406" s="9">
        <v>16.38</v>
      </c>
      <c r="C3406" s="9">
        <v>16.510000000000002</v>
      </c>
      <c r="D3406" s="9">
        <v>15.24</v>
      </c>
      <c r="E3406" s="9">
        <v>15.56</v>
      </c>
      <c r="F3406" s="9">
        <v>19567800</v>
      </c>
      <c r="G3406" s="9">
        <v>7.78</v>
      </c>
    </row>
    <row r="3407" spans="1:7" x14ac:dyDescent="0.25">
      <c r="A3407" s="101">
        <v>37060</v>
      </c>
      <c r="B3407" s="9">
        <v>16.510000000000002</v>
      </c>
      <c r="C3407" s="9">
        <v>16.64</v>
      </c>
      <c r="D3407" s="9">
        <v>15.28</v>
      </c>
      <c r="E3407" s="9">
        <v>15.31</v>
      </c>
      <c r="F3407" s="9">
        <v>11646000</v>
      </c>
      <c r="G3407" s="9">
        <v>7.66</v>
      </c>
    </row>
    <row r="3408" spans="1:7" x14ac:dyDescent="0.25">
      <c r="A3408" s="101">
        <v>37057</v>
      </c>
      <c r="B3408" s="9">
        <v>16.149999999999999</v>
      </c>
      <c r="C3408" s="9">
        <v>16.75</v>
      </c>
      <c r="D3408" s="9">
        <v>15.72</v>
      </c>
      <c r="E3408" s="9">
        <v>16.010000000000002</v>
      </c>
      <c r="F3408" s="9">
        <v>17234800</v>
      </c>
      <c r="G3408" s="9">
        <v>8.01</v>
      </c>
    </row>
    <row r="3409" spans="1:7" x14ac:dyDescent="0.25">
      <c r="A3409" s="101">
        <v>37056</v>
      </c>
      <c r="B3409" s="9">
        <v>17.059999999999999</v>
      </c>
      <c r="C3409" s="9">
        <v>17.48</v>
      </c>
      <c r="D3409" s="9">
        <v>16.05</v>
      </c>
      <c r="E3409" s="9">
        <v>16.47</v>
      </c>
      <c r="F3409" s="9">
        <v>16570400</v>
      </c>
      <c r="G3409" s="9">
        <v>8.23</v>
      </c>
    </row>
    <row r="3410" spans="1:7" x14ac:dyDescent="0.25">
      <c r="A3410" s="101">
        <v>37055</v>
      </c>
      <c r="B3410" s="9">
        <v>18.329999999999998</v>
      </c>
      <c r="C3410" s="9">
        <v>18.39</v>
      </c>
      <c r="D3410" s="9">
        <v>17.079999999999998</v>
      </c>
      <c r="E3410" s="9">
        <v>17.149999999999999</v>
      </c>
      <c r="F3410" s="9">
        <v>12258000</v>
      </c>
      <c r="G3410" s="9">
        <v>8.57</v>
      </c>
    </row>
    <row r="3411" spans="1:7" x14ac:dyDescent="0.25">
      <c r="A3411" s="101">
        <v>37054</v>
      </c>
      <c r="B3411" s="9">
        <v>17.5</v>
      </c>
      <c r="C3411" s="9">
        <v>18.52</v>
      </c>
      <c r="D3411" s="9">
        <v>17</v>
      </c>
      <c r="E3411" s="9">
        <v>18.11</v>
      </c>
      <c r="F3411" s="9">
        <v>15636800</v>
      </c>
      <c r="G3411" s="9">
        <v>9.06</v>
      </c>
    </row>
    <row r="3412" spans="1:7" x14ac:dyDescent="0.25">
      <c r="A3412" s="101">
        <v>37053</v>
      </c>
      <c r="B3412" s="9">
        <v>18.239999999999998</v>
      </c>
      <c r="C3412" s="9">
        <v>18.54</v>
      </c>
      <c r="D3412" s="9">
        <v>17.48</v>
      </c>
      <c r="E3412" s="9">
        <v>17.86</v>
      </c>
      <c r="F3412" s="9">
        <v>13595800</v>
      </c>
      <c r="G3412" s="9">
        <v>8.93</v>
      </c>
    </row>
    <row r="3413" spans="1:7" x14ac:dyDescent="0.25">
      <c r="A3413" s="101">
        <v>37050</v>
      </c>
      <c r="B3413" s="9">
        <v>19.39</v>
      </c>
      <c r="C3413" s="9">
        <v>19.440000000000001</v>
      </c>
      <c r="D3413" s="9">
        <v>18.45</v>
      </c>
      <c r="E3413" s="9">
        <v>18.55</v>
      </c>
      <c r="F3413" s="9">
        <v>11039600</v>
      </c>
      <c r="G3413" s="9">
        <v>9.27</v>
      </c>
    </row>
    <row r="3414" spans="1:7" x14ac:dyDescent="0.25">
      <c r="A3414" s="101">
        <v>37049</v>
      </c>
      <c r="B3414" s="9">
        <v>19.3</v>
      </c>
      <c r="C3414" s="9">
        <v>19.43</v>
      </c>
      <c r="D3414" s="9">
        <v>18.5</v>
      </c>
      <c r="E3414" s="9">
        <v>19.420000000000002</v>
      </c>
      <c r="F3414" s="9">
        <v>15290400</v>
      </c>
      <c r="G3414" s="9">
        <v>9.7100000000000009</v>
      </c>
    </row>
    <row r="3415" spans="1:7" x14ac:dyDescent="0.25">
      <c r="A3415" s="101">
        <v>37048</v>
      </c>
      <c r="B3415" s="9">
        <v>19.89</v>
      </c>
      <c r="C3415" s="9">
        <v>20.82</v>
      </c>
      <c r="D3415" s="9">
        <v>19.600000000000001</v>
      </c>
      <c r="E3415" s="9">
        <v>19.68</v>
      </c>
      <c r="F3415" s="9">
        <v>16235000</v>
      </c>
      <c r="G3415" s="9">
        <v>9.84</v>
      </c>
    </row>
    <row r="3416" spans="1:7" x14ac:dyDescent="0.25">
      <c r="A3416" s="101">
        <v>37047</v>
      </c>
      <c r="B3416" s="9">
        <v>19.7</v>
      </c>
      <c r="C3416" s="9">
        <v>20.100000000000001</v>
      </c>
      <c r="D3416" s="9">
        <v>19.36</v>
      </c>
      <c r="E3416" s="9">
        <v>20</v>
      </c>
      <c r="F3416" s="9">
        <v>14149800</v>
      </c>
      <c r="G3416" s="9">
        <v>10</v>
      </c>
    </row>
    <row r="3417" spans="1:7" x14ac:dyDescent="0.25">
      <c r="A3417" s="101">
        <v>37046</v>
      </c>
      <c r="B3417" s="9">
        <v>20.46</v>
      </c>
      <c r="C3417" s="9">
        <v>20.5</v>
      </c>
      <c r="D3417" s="9">
        <v>19.53</v>
      </c>
      <c r="E3417" s="9">
        <v>19.78</v>
      </c>
      <c r="F3417" s="9">
        <v>24160400</v>
      </c>
      <c r="G3417" s="9">
        <v>9.89</v>
      </c>
    </row>
    <row r="3418" spans="1:7" x14ac:dyDescent="0.25">
      <c r="A3418" s="101">
        <v>37043</v>
      </c>
      <c r="B3418" s="9">
        <v>18.59</v>
      </c>
      <c r="C3418" s="9">
        <v>20.149999999999999</v>
      </c>
      <c r="D3418" s="9">
        <v>17.899999999999999</v>
      </c>
      <c r="E3418" s="9">
        <v>19.46</v>
      </c>
      <c r="F3418" s="9">
        <v>17945200</v>
      </c>
      <c r="G3418" s="9">
        <v>9.73</v>
      </c>
    </row>
    <row r="3419" spans="1:7" x14ac:dyDescent="0.25">
      <c r="A3419" s="101">
        <v>37042</v>
      </c>
      <c r="B3419" s="9">
        <v>17.93</v>
      </c>
      <c r="C3419" s="9">
        <v>19.600000000000001</v>
      </c>
      <c r="D3419" s="9">
        <v>17.850000000000001</v>
      </c>
      <c r="E3419" s="9">
        <v>18.11</v>
      </c>
      <c r="F3419" s="9">
        <v>18587600</v>
      </c>
      <c r="G3419" s="9">
        <v>9.06</v>
      </c>
    </row>
    <row r="3420" spans="1:7" x14ac:dyDescent="0.25">
      <c r="A3420" s="101">
        <v>37041</v>
      </c>
      <c r="B3420" s="9">
        <v>18.37</v>
      </c>
      <c r="C3420" s="9">
        <v>19.04</v>
      </c>
      <c r="D3420" s="9">
        <v>17.350000000000001</v>
      </c>
      <c r="E3420" s="9">
        <v>17.670000000000002</v>
      </c>
      <c r="F3420" s="9">
        <v>16173200</v>
      </c>
      <c r="G3420" s="9">
        <v>8.84</v>
      </c>
    </row>
    <row r="3421" spans="1:7" x14ac:dyDescent="0.25">
      <c r="A3421" s="101">
        <v>37040</v>
      </c>
      <c r="B3421" s="9">
        <v>20.85</v>
      </c>
      <c r="C3421" s="9">
        <v>20.85</v>
      </c>
      <c r="D3421" s="9">
        <v>18.62</v>
      </c>
      <c r="E3421" s="9">
        <v>18.79</v>
      </c>
      <c r="F3421" s="9">
        <v>15425400</v>
      </c>
      <c r="G3421" s="9">
        <v>9.4</v>
      </c>
    </row>
    <row r="3422" spans="1:7" x14ac:dyDescent="0.25">
      <c r="A3422" s="101">
        <v>37036</v>
      </c>
      <c r="B3422" s="9">
        <v>21.32</v>
      </c>
      <c r="C3422" s="9">
        <v>21.36</v>
      </c>
      <c r="D3422" s="9">
        <v>20.52</v>
      </c>
      <c r="E3422" s="9">
        <v>20.92</v>
      </c>
      <c r="F3422" s="9">
        <v>7707000</v>
      </c>
      <c r="G3422" s="9">
        <v>10.46</v>
      </c>
    </row>
    <row r="3423" spans="1:7" x14ac:dyDescent="0.25">
      <c r="A3423" s="101">
        <v>37035</v>
      </c>
      <c r="B3423" s="9">
        <v>20.399999999999999</v>
      </c>
      <c r="C3423" s="9">
        <v>21.55</v>
      </c>
      <c r="D3423" s="9">
        <v>19.88</v>
      </c>
      <c r="E3423" s="9">
        <v>21.53</v>
      </c>
      <c r="F3423" s="9">
        <v>17315000</v>
      </c>
      <c r="G3423" s="9">
        <v>10.77</v>
      </c>
    </row>
    <row r="3424" spans="1:7" x14ac:dyDescent="0.25">
      <c r="A3424" s="101">
        <v>37034</v>
      </c>
      <c r="B3424" s="9">
        <v>21.87</v>
      </c>
      <c r="C3424" s="9">
        <v>21.88</v>
      </c>
      <c r="D3424" s="9">
        <v>20.399999999999999</v>
      </c>
      <c r="E3424" s="9">
        <v>20.440000000000001</v>
      </c>
      <c r="F3424" s="9">
        <v>15063000</v>
      </c>
      <c r="G3424" s="9">
        <v>10.220000000000001</v>
      </c>
    </row>
    <row r="3425" spans="1:7" x14ac:dyDescent="0.25">
      <c r="A3425" s="101">
        <v>37033</v>
      </c>
      <c r="B3425" s="9">
        <v>22.15</v>
      </c>
      <c r="C3425" s="9">
        <v>23.07</v>
      </c>
      <c r="D3425" s="9">
        <v>21.5</v>
      </c>
      <c r="E3425" s="9">
        <v>22.13</v>
      </c>
      <c r="F3425" s="9">
        <v>30289800</v>
      </c>
      <c r="G3425" s="9">
        <v>11.06</v>
      </c>
    </row>
    <row r="3426" spans="1:7" x14ac:dyDescent="0.25">
      <c r="A3426" s="101">
        <v>37032</v>
      </c>
      <c r="B3426" s="9">
        <v>19.399999999999999</v>
      </c>
      <c r="C3426" s="9">
        <v>21.5</v>
      </c>
      <c r="D3426" s="9">
        <v>19.2</v>
      </c>
      <c r="E3426" s="9">
        <v>21.5</v>
      </c>
      <c r="F3426" s="9">
        <v>23925600</v>
      </c>
      <c r="G3426" s="9">
        <v>10.75</v>
      </c>
    </row>
    <row r="3427" spans="1:7" x14ac:dyDescent="0.25">
      <c r="A3427" s="101">
        <v>37029</v>
      </c>
      <c r="B3427" s="9">
        <v>19.559999999999999</v>
      </c>
      <c r="C3427" s="9">
        <v>20.04</v>
      </c>
      <c r="D3427" s="9">
        <v>18.899999999999999</v>
      </c>
      <c r="E3427" s="9">
        <v>19.36</v>
      </c>
      <c r="F3427" s="9">
        <v>10363200</v>
      </c>
      <c r="G3427" s="9">
        <v>9.68</v>
      </c>
    </row>
    <row r="3428" spans="1:7" x14ac:dyDescent="0.25">
      <c r="A3428" s="101">
        <v>37028</v>
      </c>
      <c r="B3428" s="9">
        <v>19.489999999999998</v>
      </c>
      <c r="C3428" s="9">
        <v>20.32</v>
      </c>
      <c r="D3428" s="9">
        <v>19.38</v>
      </c>
      <c r="E3428" s="9">
        <v>19.850000000000001</v>
      </c>
      <c r="F3428" s="9">
        <v>18521800</v>
      </c>
      <c r="G3428" s="9">
        <v>9.93</v>
      </c>
    </row>
    <row r="3429" spans="1:7" x14ac:dyDescent="0.25">
      <c r="A3429" s="101">
        <v>37027</v>
      </c>
      <c r="B3429" s="9">
        <v>17.82</v>
      </c>
      <c r="C3429" s="9">
        <v>19.87</v>
      </c>
      <c r="D3429" s="9">
        <v>17.5</v>
      </c>
      <c r="E3429" s="9">
        <v>19.38</v>
      </c>
      <c r="F3429" s="9">
        <v>19513600</v>
      </c>
      <c r="G3429" s="9">
        <v>9.69</v>
      </c>
    </row>
    <row r="3430" spans="1:7" x14ac:dyDescent="0.25">
      <c r="A3430" s="101">
        <v>37026</v>
      </c>
      <c r="B3430" s="9">
        <v>17.3</v>
      </c>
      <c r="C3430" s="9">
        <v>19.05</v>
      </c>
      <c r="D3430" s="9">
        <v>17</v>
      </c>
      <c r="E3430" s="9">
        <v>18.059999999999999</v>
      </c>
      <c r="F3430" s="9">
        <v>16877400</v>
      </c>
      <c r="G3430" s="9">
        <v>9.0299999999999994</v>
      </c>
    </row>
    <row r="3431" spans="1:7" x14ac:dyDescent="0.25">
      <c r="A3431" s="101">
        <v>37025</v>
      </c>
      <c r="B3431" s="9">
        <v>17.8</v>
      </c>
      <c r="C3431" s="9">
        <v>17.829999999999998</v>
      </c>
      <c r="D3431" s="9">
        <v>16.95</v>
      </c>
      <c r="E3431" s="9">
        <v>17.100000000000001</v>
      </c>
      <c r="F3431" s="9">
        <v>9832800</v>
      </c>
      <c r="G3431" s="9">
        <v>8.5500000000000007</v>
      </c>
    </row>
    <row r="3432" spans="1:7" x14ac:dyDescent="0.25">
      <c r="A3432" s="101">
        <v>37022</v>
      </c>
      <c r="B3432" s="9">
        <v>18.239999999999998</v>
      </c>
      <c r="C3432" s="9">
        <v>18.43</v>
      </c>
      <c r="D3432" s="9">
        <v>17.5</v>
      </c>
      <c r="E3432" s="9">
        <v>17.79</v>
      </c>
      <c r="F3432" s="9">
        <v>9188200</v>
      </c>
      <c r="G3432" s="9">
        <v>8.9</v>
      </c>
    </row>
    <row r="3433" spans="1:7" x14ac:dyDescent="0.25">
      <c r="A3433" s="101">
        <v>37021</v>
      </c>
      <c r="B3433" s="9">
        <v>19.32</v>
      </c>
      <c r="C3433" s="9">
        <v>19.36</v>
      </c>
      <c r="D3433" s="9">
        <v>18.010000000000002</v>
      </c>
      <c r="E3433" s="9">
        <v>18.23</v>
      </c>
      <c r="F3433" s="9">
        <v>12491400</v>
      </c>
      <c r="G3433" s="9">
        <v>9.11</v>
      </c>
    </row>
    <row r="3434" spans="1:7" x14ac:dyDescent="0.25">
      <c r="A3434" s="101">
        <v>37020</v>
      </c>
      <c r="B3434" s="9">
        <v>19.239999999999998</v>
      </c>
      <c r="C3434" s="9">
        <v>19.239999999999998</v>
      </c>
      <c r="D3434" s="9">
        <v>18.399999999999999</v>
      </c>
      <c r="E3434" s="9">
        <v>18.86</v>
      </c>
      <c r="F3434" s="9">
        <v>17152000</v>
      </c>
      <c r="G3434" s="9">
        <v>9.43</v>
      </c>
    </row>
    <row r="3435" spans="1:7" x14ac:dyDescent="0.25">
      <c r="A3435" s="101">
        <v>37019</v>
      </c>
      <c r="B3435" s="9">
        <v>20.36</v>
      </c>
      <c r="C3435" s="9">
        <v>20.38</v>
      </c>
      <c r="D3435" s="9">
        <v>19.149999999999999</v>
      </c>
      <c r="E3435" s="9">
        <v>19.739999999999998</v>
      </c>
      <c r="F3435" s="9">
        <v>15375200</v>
      </c>
      <c r="G3435" s="9">
        <v>9.8699999999999992</v>
      </c>
    </row>
    <row r="3436" spans="1:7" x14ac:dyDescent="0.25">
      <c r="A3436" s="101">
        <v>37018</v>
      </c>
      <c r="B3436" s="9">
        <v>20.02</v>
      </c>
      <c r="C3436" s="9">
        <v>20.27</v>
      </c>
      <c r="D3436" s="9">
        <v>19.559999999999999</v>
      </c>
      <c r="E3436" s="9">
        <v>19.98</v>
      </c>
      <c r="F3436" s="9">
        <v>13814200</v>
      </c>
      <c r="G3436" s="9">
        <v>9.99</v>
      </c>
    </row>
    <row r="3437" spans="1:7" x14ac:dyDescent="0.25">
      <c r="A3437" s="101">
        <v>37015</v>
      </c>
      <c r="B3437" s="9">
        <v>19.87</v>
      </c>
      <c r="C3437" s="9">
        <v>20.48</v>
      </c>
      <c r="D3437" s="9">
        <v>19.350000000000001</v>
      </c>
      <c r="E3437" s="9">
        <v>20.13</v>
      </c>
      <c r="F3437" s="9">
        <v>24910200</v>
      </c>
      <c r="G3437" s="9">
        <v>10.06</v>
      </c>
    </row>
    <row r="3438" spans="1:7" x14ac:dyDescent="0.25">
      <c r="A3438" s="101">
        <v>37014</v>
      </c>
      <c r="B3438" s="9">
        <v>21.81</v>
      </c>
      <c r="C3438" s="9">
        <v>21.97</v>
      </c>
      <c r="D3438" s="9">
        <v>20.329999999999998</v>
      </c>
      <c r="E3438" s="9">
        <v>20.83</v>
      </c>
      <c r="F3438" s="9">
        <v>19632800</v>
      </c>
      <c r="G3438" s="9">
        <v>10.41</v>
      </c>
    </row>
    <row r="3439" spans="1:7" x14ac:dyDescent="0.25">
      <c r="A3439" s="101">
        <v>37013</v>
      </c>
      <c r="B3439" s="9">
        <v>22.77</v>
      </c>
      <c r="C3439" s="9">
        <v>23.7</v>
      </c>
      <c r="D3439" s="9">
        <v>21.12</v>
      </c>
      <c r="E3439" s="9">
        <v>22.92</v>
      </c>
      <c r="F3439" s="9">
        <v>35659200</v>
      </c>
      <c r="G3439" s="9">
        <v>11.46</v>
      </c>
    </row>
    <row r="3440" spans="1:7" x14ac:dyDescent="0.25">
      <c r="A3440" s="101">
        <v>37012</v>
      </c>
      <c r="B3440" s="9">
        <v>20.11</v>
      </c>
      <c r="C3440" s="9">
        <v>22.4</v>
      </c>
      <c r="D3440" s="9">
        <v>20</v>
      </c>
      <c r="E3440" s="9">
        <v>22.31</v>
      </c>
      <c r="F3440" s="9">
        <v>20895600</v>
      </c>
      <c r="G3440" s="9">
        <v>11.15</v>
      </c>
    </row>
    <row r="3441" spans="1:7" x14ac:dyDescent="0.25">
      <c r="A3441" s="101">
        <v>37011</v>
      </c>
      <c r="B3441" s="9">
        <v>20.260000000000002</v>
      </c>
      <c r="C3441" s="9">
        <v>21.05</v>
      </c>
      <c r="D3441" s="9">
        <v>19.850000000000001</v>
      </c>
      <c r="E3441" s="9">
        <v>20.18</v>
      </c>
      <c r="F3441" s="9">
        <v>21019200</v>
      </c>
      <c r="G3441" s="9">
        <v>10.09</v>
      </c>
    </row>
    <row r="3442" spans="1:7" x14ac:dyDescent="0.25">
      <c r="A3442" s="101">
        <v>37008</v>
      </c>
      <c r="B3442" s="9">
        <v>19.11</v>
      </c>
      <c r="C3442" s="9">
        <v>19.850000000000001</v>
      </c>
      <c r="D3442" s="9">
        <v>18.760000000000002</v>
      </c>
      <c r="E3442" s="9">
        <v>19.5</v>
      </c>
      <c r="F3442" s="9">
        <v>15259400</v>
      </c>
      <c r="G3442" s="9">
        <v>9.75</v>
      </c>
    </row>
    <row r="3443" spans="1:7" x14ac:dyDescent="0.25">
      <c r="A3443" s="101">
        <v>37007</v>
      </c>
      <c r="B3443" s="9">
        <v>18.95</v>
      </c>
      <c r="C3443" s="9">
        <v>19.75</v>
      </c>
      <c r="D3443" s="9">
        <v>18.12</v>
      </c>
      <c r="E3443" s="9">
        <v>18.260000000000002</v>
      </c>
      <c r="F3443" s="9">
        <v>14672000</v>
      </c>
      <c r="G3443" s="9">
        <v>9.1300000000000008</v>
      </c>
    </row>
    <row r="3444" spans="1:7" x14ac:dyDescent="0.25">
      <c r="A3444" s="101">
        <v>37006</v>
      </c>
      <c r="B3444" s="9">
        <v>17.850000000000001</v>
      </c>
      <c r="C3444" s="9">
        <v>18.739999999999998</v>
      </c>
      <c r="D3444" s="9">
        <v>17.54</v>
      </c>
      <c r="E3444" s="9">
        <v>18.68</v>
      </c>
      <c r="F3444" s="9">
        <v>14547200</v>
      </c>
      <c r="G3444" s="9">
        <v>9.34</v>
      </c>
    </row>
    <row r="3445" spans="1:7" x14ac:dyDescent="0.25">
      <c r="A3445" s="101">
        <v>37005</v>
      </c>
      <c r="B3445" s="9">
        <v>18.25</v>
      </c>
      <c r="C3445" s="9">
        <v>19.100000000000001</v>
      </c>
      <c r="D3445" s="9">
        <v>17.75</v>
      </c>
      <c r="E3445" s="9">
        <v>18.010000000000002</v>
      </c>
      <c r="F3445" s="9">
        <v>20524000</v>
      </c>
      <c r="G3445" s="9">
        <v>9.01</v>
      </c>
    </row>
    <row r="3446" spans="1:7" x14ac:dyDescent="0.25">
      <c r="A3446" s="101">
        <v>37004</v>
      </c>
      <c r="B3446" s="9">
        <v>19.11</v>
      </c>
      <c r="C3446" s="9">
        <v>19.170000000000002</v>
      </c>
      <c r="D3446" s="9">
        <v>17.87</v>
      </c>
      <c r="E3446" s="9">
        <v>17.96</v>
      </c>
      <c r="F3446" s="9">
        <v>20566200</v>
      </c>
      <c r="G3446" s="9">
        <v>8.98</v>
      </c>
    </row>
    <row r="3447" spans="1:7" x14ac:dyDescent="0.25">
      <c r="A3447" s="101">
        <v>37001</v>
      </c>
      <c r="B3447" s="9">
        <v>20.2</v>
      </c>
      <c r="C3447" s="9">
        <v>20.98</v>
      </c>
      <c r="D3447" s="9">
        <v>19.22</v>
      </c>
      <c r="E3447" s="9">
        <v>19.850000000000001</v>
      </c>
      <c r="F3447" s="9">
        <v>25914000</v>
      </c>
      <c r="G3447" s="9">
        <v>9.93</v>
      </c>
    </row>
    <row r="3448" spans="1:7" x14ac:dyDescent="0.25">
      <c r="A3448" s="101">
        <v>37000</v>
      </c>
      <c r="B3448" s="9">
        <v>18.989999999999998</v>
      </c>
      <c r="C3448" s="9">
        <v>20.149999999999999</v>
      </c>
      <c r="D3448" s="9">
        <v>18.850000000000001</v>
      </c>
      <c r="E3448" s="9">
        <v>19.96</v>
      </c>
      <c r="F3448" s="9">
        <v>26405400</v>
      </c>
      <c r="G3448" s="9">
        <v>9.98</v>
      </c>
    </row>
    <row r="3449" spans="1:7" x14ac:dyDescent="0.25">
      <c r="A3449" s="101">
        <v>36999</v>
      </c>
      <c r="B3449" s="9">
        <v>18.41</v>
      </c>
      <c r="C3449" s="9">
        <v>20.09</v>
      </c>
      <c r="D3449" s="9">
        <v>17.989999999999998</v>
      </c>
      <c r="E3449" s="9">
        <v>18.62</v>
      </c>
      <c r="F3449" s="9">
        <v>37386800</v>
      </c>
      <c r="G3449" s="9">
        <v>9.31</v>
      </c>
    </row>
    <row r="3450" spans="1:7" x14ac:dyDescent="0.25">
      <c r="A3450" s="101">
        <v>36998</v>
      </c>
      <c r="B3450" s="9">
        <v>17.32</v>
      </c>
      <c r="C3450" s="9">
        <v>17.8</v>
      </c>
      <c r="D3450" s="9">
        <v>16.600000000000001</v>
      </c>
      <c r="E3450" s="9">
        <v>17.309999999999999</v>
      </c>
      <c r="F3450" s="9">
        <v>35402800</v>
      </c>
      <c r="G3450" s="9">
        <v>8.65</v>
      </c>
    </row>
    <row r="3451" spans="1:7" x14ac:dyDescent="0.25">
      <c r="A3451" s="101">
        <v>36997</v>
      </c>
      <c r="B3451" s="9">
        <v>16.52</v>
      </c>
      <c r="C3451" s="9">
        <v>18.55</v>
      </c>
      <c r="D3451" s="9">
        <v>16.2</v>
      </c>
      <c r="E3451" s="9">
        <v>17.62</v>
      </c>
      <c r="F3451" s="9">
        <v>34724200</v>
      </c>
      <c r="G3451" s="9">
        <v>8.81</v>
      </c>
    </row>
    <row r="3452" spans="1:7" x14ac:dyDescent="0.25">
      <c r="A3452" s="101">
        <v>36993</v>
      </c>
      <c r="B3452" s="9">
        <v>15.88</v>
      </c>
      <c r="C3452" s="9">
        <v>17</v>
      </c>
      <c r="D3452" s="9">
        <v>15.15</v>
      </c>
      <c r="E3452" s="9">
        <v>16.96</v>
      </c>
      <c r="F3452" s="9">
        <v>34184400</v>
      </c>
      <c r="G3452" s="9">
        <v>8.48</v>
      </c>
    </row>
    <row r="3453" spans="1:7" x14ac:dyDescent="0.25">
      <c r="A3453" s="101">
        <v>36992</v>
      </c>
      <c r="B3453" s="9">
        <v>17</v>
      </c>
      <c r="C3453" s="9">
        <v>17.25</v>
      </c>
      <c r="D3453" s="9">
        <v>15.2</v>
      </c>
      <c r="E3453" s="9">
        <v>15.86</v>
      </c>
      <c r="F3453" s="9">
        <v>37044200</v>
      </c>
      <c r="G3453" s="9">
        <v>7.93</v>
      </c>
    </row>
    <row r="3454" spans="1:7" x14ac:dyDescent="0.25">
      <c r="A3454" s="101">
        <v>36991</v>
      </c>
      <c r="B3454" s="9">
        <v>16.04</v>
      </c>
      <c r="C3454" s="9">
        <v>16.920000000000002</v>
      </c>
      <c r="D3454" s="9">
        <v>15.15</v>
      </c>
      <c r="E3454" s="9">
        <v>16.02</v>
      </c>
      <c r="F3454" s="9">
        <v>39976000</v>
      </c>
      <c r="G3454" s="9">
        <v>8.01</v>
      </c>
    </row>
    <row r="3455" spans="1:7" x14ac:dyDescent="0.25">
      <c r="A3455" s="101">
        <v>36990</v>
      </c>
      <c r="B3455" s="9">
        <v>15.82</v>
      </c>
      <c r="C3455" s="9">
        <v>16.09</v>
      </c>
      <c r="D3455" s="9">
        <v>14.95</v>
      </c>
      <c r="E3455" s="9">
        <v>15.64</v>
      </c>
      <c r="F3455" s="9">
        <v>18480400</v>
      </c>
      <c r="G3455" s="9">
        <v>7.82</v>
      </c>
    </row>
    <row r="3456" spans="1:7" x14ac:dyDescent="0.25">
      <c r="A3456" s="101">
        <v>36987</v>
      </c>
      <c r="B3456" s="9">
        <v>15.25</v>
      </c>
      <c r="C3456" s="9">
        <v>15.81</v>
      </c>
      <c r="D3456" s="9">
        <v>14.25</v>
      </c>
      <c r="E3456" s="9">
        <v>14.81</v>
      </c>
      <c r="F3456" s="9">
        <v>30974000</v>
      </c>
      <c r="G3456" s="9">
        <v>7.41</v>
      </c>
    </row>
    <row r="3457" spans="1:7" x14ac:dyDescent="0.25">
      <c r="A3457" s="101">
        <v>36986</v>
      </c>
      <c r="B3457" s="9">
        <v>15.06</v>
      </c>
      <c r="C3457" s="9">
        <v>15.88</v>
      </c>
      <c r="D3457" s="9">
        <v>14.62</v>
      </c>
      <c r="E3457" s="9">
        <v>15.25</v>
      </c>
      <c r="F3457" s="9">
        <v>51246000</v>
      </c>
      <c r="G3457" s="9">
        <v>7.62</v>
      </c>
    </row>
    <row r="3458" spans="1:7" x14ac:dyDescent="0.25">
      <c r="A3458" s="101">
        <v>36985</v>
      </c>
      <c r="B3458" s="9">
        <v>11.88</v>
      </c>
      <c r="C3458" s="9">
        <v>13.31</v>
      </c>
      <c r="D3458" s="9">
        <v>11.75</v>
      </c>
      <c r="E3458" s="9">
        <v>12.44</v>
      </c>
      <c r="F3458" s="9">
        <v>30154800</v>
      </c>
      <c r="G3458" s="9">
        <v>6.22</v>
      </c>
    </row>
    <row r="3459" spans="1:7" x14ac:dyDescent="0.25">
      <c r="A3459" s="101">
        <v>36984</v>
      </c>
      <c r="B3459" s="9">
        <v>13.56</v>
      </c>
      <c r="C3459" s="9">
        <v>13.69</v>
      </c>
      <c r="D3459" s="9">
        <v>11.38</v>
      </c>
      <c r="E3459" s="9">
        <v>11.38</v>
      </c>
      <c r="F3459" s="9">
        <v>29801200</v>
      </c>
      <c r="G3459" s="9">
        <v>5.69</v>
      </c>
    </row>
    <row r="3460" spans="1:7" x14ac:dyDescent="0.25">
      <c r="A3460" s="101">
        <v>36983</v>
      </c>
      <c r="B3460" s="9">
        <v>15.38</v>
      </c>
      <c r="C3460" s="9">
        <v>15.75</v>
      </c>
      <c r="D3460" s="9">
        <v>13.44</v>
      </c>
      <c r="E3460" s="9">
        <v>14</v>
      </c>
      <c r="F3460" s="9">
        <v>19148200</v>
      </c>
      <c r="G3460" s="9">
        <v>7</v>
      </c>
    </row>
    <row r="3461" spans="1:7" x14ac:dyDescent="0.25">
      <c r="A3461" s="101">
        <v>36980</v>
      </c>
      <c r="B3461" s="9">
        <v>15</v>
      </c>
      <c r="C3461" s="9">
        <v>16.440000000000001</v>
      </c>
      <c r="D3461" s="9">
        <v>14.38</v>
      </c>
      <c r="E3461" s="9">
        <v>15.75</v>
      </c>
      <c r="F3461" s="9">
        <v>20178000</v>
      </c>
      <c r="G3461" s="9">
        <v>7.88</v>
      </c>
    </row>
    <row r="3462" spans="1:7" x14ac:dyDescent="0.25">
      <c r="A3462" s="101">
        <v>36979</v>
      </c>
      <c r="B3462" s="9">
        <v>14.88</v>
      </c>
      <c r="C3462" s="9">
        <v>15</v>
      </c>
      <c r="D3462" s="9">
        <v>14.25</v>
      </c>
      <c r="E3462" s="9">
        <v>15</v>
      </c>
      <c r="F3462" s="9">
        <v>17917800</v>
      </c>
      <c r="G3462" s="9">
        <v>7.5</v>
      </c>
    </row>
    <row r="3463" spans="1:7" x14ac:dyDescent="0.25">
      <c r="A3463" s="101">
        <v>36978</v>
      </c>
      <c r="B3463" s="9">
        <v>15.38</v>
      </c>
      <c r="C3463" s="9">
        <v>15.56</v>
      </c>
      <c r="D3463" s="9">
        <v>14.5</v>
      </c>
      <c r="E3463" s="9">
        <v>14.94</v>
      </c>
      <c r="F3463" s="9">
        <v>18186800</v>
      </c>
      <c r="G3463" s="9">
        <v>7.47</v>
      </c>
    </row>
    <row r="3464" spans="1:7" x14ac:dyDescent="0.25">
      <c r="A3464" s="101">
        <v>36977</v>
      </c>
      <c r="B3464" s="9">
        <v>14.5</v>
      </c>
      <c r="C3464" s="9">
        <v>15.75</v>
      </c>
      <c r="D3464" s="9">
        <v>14.25</v>
      </c>
      <c r="E3464" s="9">
        <v>15.56</v>
      </c>
      <c r="F3464" s="9">
        <v>21399000</v>
      </c>
      <c r="G3464" s="9">
        <v>7.78</v>
      </c>
    </row>
    <row r="3465" spans="1:7" x14ac:dyDescent="0.25">
      <c r="A3465" s="101">
        <v>36976</v>
      </c>
      <c r="B3465" s="9">
        <v>15.12</v>
      </c>
      <c r="C3465" s="9">
        <v>15.12</v>
      </c>
      <c r="D3465" s="9">
        <v>14.16</v>
      </c>
      <c r="E3465" s="9">
        <v>14.19</v>
      </c>
      <c r="F3465" s="9">
        <v>12504000</v>
      </c>
      <c r="G3465" s="9">
        <v>7.09</v>
      </c>
    </row>
    <row r="3466" spans="1:7" x14ac:dyDescent="0.25">
      <c r="A3466" s="101">
        <v>36973</v>
      </c>
      <c r="B3466" s="9">
        <v>15.38</v>
      </c>
      <c r="C3466" s="9">
        <v>15.58</v>
      </c>
      <c r="D3466" s="9">
        <v>13.94</v>
      </c>
      <c r="E3466" s="9">
        <v>14.44</v>
      </c>
      <c r="F3466" s="9">
        <v>18004600</v>
      </c>
      <c r="G3466" s="9">
        <v>7.22</v>
      </c>
    </row>
    <row r="3467" spans="1:7" x14ac:dyDescent="0.25">
      <c r="A3467" s="101">
        <v>36972</v>
      </c>
      <c r="B3467" s="9">
        <v>14.06</v>
      </c>
      <c r="C3467" s="9">
        <v>14.94</v>
      </c>
      <c r="D3467" s="9">
        <v>13.53</v>
      </c>
      <c r="E3467" s="9">
        <v>14.88</v>
      </c>
      <c r="F3467" s="9">
        <v>20599000</v>
      </c>
      <c r="G3467" s="9">
        <v>7.44</v>
      </c>
    </row>
    <row r="3468" spans="1:7" x14ac:dyDescent="0.25">
      <c r="A3468" s="101">
        <v>36971</v>
      </c>
      <c r="B3468" s="9">
        <v>13.94</v>
      </c>
      <c r="C3468" s="9">
        <v>14.5</v>
      </c>
      <c r="D3468" s="9">
        <v>13.5</v>
      </c>
      <c r="E3468" s="9">
        <v>13.69</v>
      </c>
      <c r="F3468" s="9">
        <v>15176000</v>
      </c>
      <c r="G3468" s="9">
        <v>6.84</v>
      </c>
    </row>
    <row r="3469" spans="1:7" x14ac:dyDescent="0.25">
      <c r="A3469" s="101">
        <v>36970</v>
      </c>
      <c r="B3469" s="9">
        <v>15.25</v>
      </c>
      <c r="C3469" s="9">
        <v>15.62</v>
      </c>
      <c r="D3469" s="9">
        <v>13.75</v>
      </c>
      <c r="E3469" s="9">
        <v>13.94</v>
      </c>
      <c r="F3469" s="9">
        <v>23528400</v>
      </c>
      <c r="G3469" s="9">
        <v>6.97</v>
      </c>
    </row>
    <row r="3470" spans="1:7" x14ac:dyDescent="0.25">
      <c r="A3470" s="101">
        <v>36969</v>
      </c>
      <c r="B3470" s="9">
        <v>14.06</v>
      </c>
      <c r="C3470" s="9">
        <v>15.12</v>
      </c>
      <c r="D3470" s="9">
        <v>13.69</v>
      </c>
      <c r="E3470" s="9">
        <v>14.94</v>
      </c>
      <c r="F3470" s="9">
        <v>17516200</v>
      </c>
      <c r="G3470" s="9">
        <v>7.47</v>
      </c>
    </row>
    <row r="3471" spans="1:7" x14ac:dyDescent="0.25">
      <c r="A3471" s="101">
        <v>36966</v>
      </c>
      <c r="B3471" s="9">
        <v>14.62</v>
      </c>
      <c r="C3471" s="9">
        <v>15.06</v>
      </c>
      <c r="D3471" s="9">
        <v>13.5</v>
      </c>
      <c r="E3471" s="9">
        <v>13.56</v>
      </c>
      <c r="F3471" s="9">
        <v>24668000</v>
      </c>
      <c r="G3471" s="9">
        <v>6.78</v>
      </c>
    </row>
    <row r="3472" spans="1:7" x14ac:dyDescent="0.25">
      <c r="A3472" s="101">
        <v>36965</v>
      </c>
      <c r="B3472" s="9">
        <v>15.88</v>
      </c>
      <c r="C3472" s="9">
        <v>16.12</v>
      </c>
      <c r="D3472" s="9">
        <v>15</v>
      </c>
      <c r="E3472" s="9">
        <v>15</v>
      </c>
      <c r="F3472" s="9">
        <v>16375400</v>
      </c>
      <c r="G3472" s="9">
        <v>7.5</v>
      </c>
    </row>
    <row r="3473" spans="1:7" x14ac:dyDescent="0.25">
      <c r="A3473" s="101">
        <v>36964</v>
      </c>
      <c r="B3473" s="9">
        <v>15.38</v>
      </c>
      <c r="C3473" s="9">
        <v>16</v>
      </c>
      <c r="D3473" s="9">
        <v>14.94</v>
      </c>
      <c r="E3473" s="9">
        <v>15.31</v>
      </c>
      <c r="F3473" s="9">
        <v>21191000</v>
      </c>
      <c r="G3473" s="9">
        <v>7.66</v>
      </c>
    </row>
    <row r="3474" spans="1:7" x14ac:dyDescent="0.25">
      <c r="A3474" s="101">
        <v>36963</v>
      </c>
      <c r="B3474" s="9">
        <v>16.75</v>
      </c>
      <c r="C3474" s="9">
        <v>17.2</v>
      </c>
      <c r="D3474" s="9">
        <v>15.62</v>
      </c>
      <c r="E3474" s="9">
        <v>16.059999999999999</v>
      </c>
      <c r="F3474" s="9">
        <v>29766600</v>
      </c>
      <c r="G3474" s="9">
        <v>8.0299999999999994</v>
      </c>
    </row>
    <row r="3475" spans="1:7" x14ac:dyDescent="0.25">
      <c r="A3475" s="101">
        <v>36962</v>
      </c>
      <c r="B3475" s="9">
        <v>16.25</v>
      </c>
      <c r="C3475" s="9">
        <v>17.5</v>
      </c>
      <c r="D3475" s="9">
        <v>16.11</v>
      </c>
      <c r="E3475" s="9">
        <v>16.38</v>
      </c>
      <c r="F3475" s="9">
        <v>32844000</v>
      </c>
      <c r="G3475" s="9">
        <v>8.19</v>
      </c>
    </row>
    <row r="3476" spans="1:7" x14ac:dyDescent="0.25">
      <c r="A3476" s="101">
        <v>36959</v>
      </c>
      <c r="B3476" s="9">
        <v>17.190000000000001</v>
      </c>
      <c r="C3476" s="9">
        <v>17.309999999999999</v>
      </c>
      <c r="D3476" s="9">
        <v>16.440000000000001</v>
      </c>
      <c r="E3476" s="9">
        <v>17</v>
      </c>
      <c r="F3476" s="9">
        <v>28098800</v>
      </c>
      <c r="G3476" s="9">
        <v>8.5</v>
      </c>
    </row>
    <row r="3477" spans="1:7" x14ac:dyDescent="0.25">
      <c r="A3477" s="101">
        <v>36958</v>
      </c>
      <c r="B3477" s="9">
        <v>17.059999999999999</v>
      </c>
      <c r="C3477" s="9">
        <v>17.75</v>
      </c>
      <c r="D3477" s="9">
        <v>16.25</v>
      </c>
      <c r="E3477" s="9">
        <v>17.690000000000001</v>
      </c>
      <c r="F3477" s="9">
        <v>118728200</v>
      </c>
      <c r="G3477" s="9">
        <v>8.84</v>
      </c>
    </row>
    <row r="3478" spans="1:7" x14ac:dyDescent="0.25">
      <c r="A3478" s="101">
        <v>36957</v>
      </c>
      <c r="B3478" s="9">
        <v>21.97</v>
      </c>
      <c r="C3478" s="9">
        <v>22</v>
      </c>
      <c r="D3478" s="9">
        <v>20.81</v>
      </c>
      <c r="E3478" s="9">
        <v>20.94</v>
      </c>
      <c r="F3478" s="9">
        <v>10498800</v>
      </c>
      <c r="G3478" s="9">
        <v>10.47</v>
      </c>
    </row>
    <row r="3479" spans="1:7" x14ac:dyDescent="0.25">
      <c r="A3479" s="101">
        <v>36956</v>
      </c>
      <c r="B3479" s="9">
        <v>23.5</v>
      </c>
      <c r="C3479" s="9">
        <v>24.44</v>
      </c>
      <c r="D3479" s="9">
        <v>22.31</v>
      </c>
      <c r="E3479" s="9">
        <v>22.38</v>
      </c>
      <c r="F3479" s="9">
        <v>20773600</v>
      </c>
      <c r="G3479" s="9">
        <v>11.19</v>
      </c>
    </row>
    <row r="3480" spans="1:7" x14ac:dyDescent="0.25">
      <c r="A3480" s="101">
        <v>36955</v>
      </c>
      <c r="B3480" s="9">
        <v>22.5</v>
      </c>
      <c r="C3480" s="9">
        <v>22.88</v>
      </c>
      <c r="D3480" s="9">
        <v>21.69</v>
      </c>
      <c r="E3480" s="9">
        <v>22.19</v>
      </c>
      <c r="F3480" s="9">
        <v>17513000</v>
      </c>
      <c r="G3480" s="9">
        <v>11.09</v>
      </c>
    </row>
    <row r="3481" spans="1:7" x14ac:dyDescent="0.25">
      <c r="A3481" s="101">
        <v>36952</v>
      </c>
      <c r="B3481" s="9">
        <v>22.92</v>
      </c>
      <c r="C3481" s="9">
        <v>23.75</v>
      </c>
      <c r="D3481" s="9">
        <v>21.62</v>
      </c>
      <c r="E3481" s="9">
        <v>21.69</v>
      </c>
      <c r="F3481" s="9">
        <v>21483200</v>
      </c>
      <c r="G3481" s="9">
        <v>10.84</v>
      </c>
    </row>
    <row r="3482" spans="1:7" x14ac:dyDescent="0.25">
      <c r="A3482" s="101">
        <v>36951</v>
      </c>
      <c r="B3482" s="9">
        <v>23.56</v>
      </c>
      <c r="C3482" s="9">
        <v>24.44</v>
      </c>
      <c r="D3482" s="9">
        <v>22.19</v>
      </c>
      <c r="E3482" s="9">
        <v>24.44</v>
      </c>
      <c r="F3482" s="9">
        <v>21860200</v>
      </c>
      <c r="G3482" s="9">
        <v>12.22</v>
      </c>
    </row>
    <row r="3483" spans="1:7" x14ac:dyDescent="0.25">
      <c r="A3483" s="101">
        <v>36950</v>
      </c>
      <c r="B3483" s="9">
        <v>23.69</v>
      </c>
      <c r="C3483" s="9">
        <v>25.12</v>
      </c>
      <c r="D3483" s="9">
        <v>23.06</v>
      </c>
      <c r="E3483" s="9">
        <v>23.81</v>
      </c>
      <c r="F3483" s="9">
        <v>20347000</v>
      </c>
      <c r="G3483" s="9">
        <v>11.91</v>
      </c>
    </row>
    <row r="3484" spans="1:7" x14ac:dyDescent="0.25">
      <c r="A3484" s="101">
        <v>36949</v>
      </c>
      <c r="B3484" s="9">
        <v>25.25</v>
      </c>
      <c r="C3484" s="9">
        <v>25.62</v>
      </c>
      <c r="D3484" s="9">
        <v>23.38</v>
      </c>
      <c r="E3484" s="9">
        <v>23.44</v>
      </c>
      <c r="F3484" s="9">
        <v>19961600</v>
      </c>
      <c r="G3484" s="9">
        <v>11.72</v>
      </c>
    </row>
    <row r="3485" spans="1:7" x14ac:dyDescent="0.25">
      <c r="A3485" s="101">
        <v>36948</v>
      </c>
      <c r="B3485" s="9">
        <v>25.88</v>
      </c>
      <c r="C3485" s="9">
        <v>25.94</v>
      </c>
      <c r="D3485" s="9">
        <v>23.44</v>
      </c>
      <c r="E3485" s="9">
        <v>25.75</v>
      </c>
      <c r="F3485" s="9">
        <v>24700600</v>
      </c>
      <c r="G3485" s="9">
        <v>12.88</v>
      </c>
    </row>
    <row r="3486" spans="1:7" x14ac:dyDescent="0.25">
      <c r="A3486" s="101">
        <v>36945</v>
      </c>
      <c r="B3486" s="9">
        <v>24.19</v>
      </c>
      <c r="C3486" s="9">
        <v>25.5</v>
      </c>
      <c r="D3486" s="9">
        <v>22.88</v>
      </c>
      <c r="E3486" s="9">
        <v>25.44</v>
      </c>
      <c r="F3486" s="9">
        <v>28155400</v>
      </c>
      <c r="G3486" s="9">
        <v>12.72</v>
      </c>
    </row>
    <row r="3487" spans="1:7" x14ac:dyDescent="0.25">
      <c r="A3487" s="101">
        <v>36944</v>
      </c>
      <c r="B3487" s="9">
        <v>26.5</v>
      </c>
      <c r="C3487" s="9">
        <v>27.75</v>
      </c>
      <c r="D3487" s="9">
        <v>23.62</v>
      </c>
      <c r="E3487" s="9">
        <v>24</v>
      </c>
      <c r="F3487" s="9">
        <v>46159600</v>
      </c>
      <c r="G3487" s="9">
        <v>12</v>
      </c>
    </row>
    <row r="3488" spans="1:7" x14ac:dyDescent="0.25">
      <c r="A3488" s="101">
        <v>36943</v>
      </c>
      <c r="B3488" s="9">
        <v>26.19</v>
      </c>
      <c r="C3488" s="9">
        <v>28.25</v>
      </c>
      <c r="D3488" s="9">
        <v>25.88</v>
      </c>
      <c r="E3488" s="9">
        <v>26.12</v>
      </c>
      <c r="F3488" s="9">
        <v>23493200</v>
      </c>
      <c r="G3488" s="9">
        <v>13.06</v>
      </c>
    </row>
    <row r="3489" spans="1:7" x14ac:dyDescent="0.25">
      <c r="A3489" s="101">
        <v>36942</v>
      </c>
      <c r="B3489" s="9">
        <v>28.94</v>
      </c>
      <c r="C3489" s="9">
        <v>29.88</v>
      </c>
      <c r="D3489" s="9">
        <v>26.5</v>
      </c>
      <c r="E3489" s="9">
        <v>26.56</v>
      </c>
      <c r="F3489" s="9">
        <v>26573400</v>
      </c>
      <c r="G3489" s="9">
        <v>13.28</v>
      </c>
    </row>
    <row r="3490" spans="1:7" x14ac:dyDescent="0.25">
      <c r="A3490" s="101">
        <v>36938</v>
      </c>
      <c r="B3490" s="9">
        <v>29.31</v>
      </c>
      <c r="C3490" s="9">
        <v>30</v>
      </c>
      <c r="D3490" s="9">
        <v>27.75</v>
      </c>
      <c r="E3490" s="9">
        <v>28.19</v>
      </c>
      <c r="F3490" s="9">
        <v>19290600</v>
      </c>
      <c r="G3490" s="9">
        <v>14.09</v>
      </c>
    </row>
    <row r="3491" spans="1:7" x14ac:dyDescent="0.25">
      <c r="A3491" s="101">
        <v>36937</v>
      </c>
      <c r="B3491" s="9">
        <v>29</v>
      </c>
      <c r="C3491" s="9">
        <v>32.5</v>
      </c>
      <c r="D3491" s="9">
        <v>29</v>
      </c>
      <c r="E3491" s="9">
        <v>31.31</v>
      </c>
      <c r="F3491" s="9">
        <v>40358600</v>
      </c>
      <c r="G3491" s="9">
        <v>15.66</v>
      </c>
    </row>
    <row r="3492" spans="1:7" x14ac:dyDescent="0.25">
      <c r="A3492" s="101">
        <v>36936</v>
      </c>
      <c r="B3492" s="9">
        <v>27.44</v>
      </c>
      <c r="C3492" s="9">
        <v>28.94</v>
      </c>
      <c r="D3492" s="9">
        <v>25.75</v>
      </c>
      <c r="E3492" s="9">
        <v>28.5</v>
      </c>
      <c r="F3492" s="9">
        <v>22815200</v>
      </c>
      <c r="G3492" s="9">
        <v>14.25</v>
      </c>
    </row>
    <row r="3493" spans="1:7" x14ac:dyDescent="0.25">
      <c r="A3493" s="101">
        <v>36935</v>
      </c>
      <c r="B3493" s="9">
        <v>28.94</v>
      </c>
      <c r="C3493" s="9">
        <v>29.75</v>
      </c>
      <c r="D3493" s="9">
        <v>27</v>
      </c>
      <c r="E3493" s="9">
        <v>27.12</v>
      </c>
      <c r="F3493" s="9">
        <v>21768800</v>
      </c>
      <c r="G3493" s="9">
        <v>13.56</v>
      </c>
    </row>
    <row r="3494" spans="1:7" x14ac:dyDescent="0.25">
      <c r="A3494" s="101">
        <v>36934</v>
      </c>
      <c r="B3494" s="9">
        <v>28.31</v>
      </c>
      <c r="C3494" s="9">
        <v>30</v>
      </c>
      <c r="D3494" s="9">
        <v>27.69</v>
      </c>
      <c r="E3494" s="9">
        <v>28.5</v>
      </c>
      <c r="F3494" s="9">
        <v>18094400</v>
      </c>
      <c r="G3494" s="9">
        <v>14.25</v>
      </c>
    </row>
    <row r="3495" spans="1:7" x14ac:dyDescent="0.25">
      <c r="A3495" s="101">
        <v>36931</v>
      </c>
      <c r="B3495" s="9">
        <v>30.19</v>
      </c>
      <c r="C3495" s="9">
        <v>30.5</v>
      </c>
      <c r="D3495" s="9">
        <v>27.75</v>
      </c>
      <c r="E3495" s="9">
        <v>27.94</v>
      </c>
      <c r="F3495" s="9">
        <v>23027200</v>
      </c>
      <c r="G3495" s="9">
        <v>13.97</v>
      </c>
    </row>
    <row r="3496" spans="1:7" x14ac:dyDescent="0.25">
      <c r="A3496" s="101">
        <v>36930</v>
      </c>
      <c r="B3496" s="9">
        <v>33.69</v>
      </c>
      <c r="C3496" s="9">
        <v>33.880000000000003</v>
      </c>
      <c r="D3496" s="9">
        <v>29.88</v>
      </c>
      <c r="E3496" s="9">
        <v>30.19</v>
      </c>
      <c r="F3496" s="9">
        <v>28289800</v>
      </c>
      <c r="G3496" s="9">
        <v>15.09</v>
      </c>
    </row>
    <row r="3497" spans="1:7" x14ac:dyDescent="0.25">
      <c r="A3497" s="101">
        <v>36929</v>
      </c>
      <c r="B3497" s="9">
        <v>35.119999999999997</v>
      </c>
      <c r="C3497" s="9">
        <v>35.69</v>
      </c>
      <c r="D3497" s="9">
        <v>32.619999999999997</v>
      </c>
      <c r="E3497" s="9">
        <v>33.44</v>
      </c>
      <c r="F3497" s="9">
        <v>19541600</v>
      </c>
      <c r="G3497" s="9">
        <v>16.72</v>
      </c>
    </row>
    <row r="3498" spans="1:7" x14ac:dyDescent="0.25">
      <c r="A3498" s="101">
        <v>36928</v>
      </c>
      <c r="B3498" s="9">
        <v>35.19</v>
      </c>
      <c r="C3498" s="9">
        <v>36.5</v>
      </c>
      <c r="D3498" s="9">
        <v>34.119999999999997</v>
      </c>
      <c r="E3498" s="9">
        <v>36.380000000000003</v>
      </c>
      <c r="F3498" s="9">
        <v>20752000</v>
      </c>
      <c r="G3498" s="9">
        <v>18.190000000000001</v>
      </c>
    </row>
    <row r="3499" spans="1:7" x14ac:dyDescent="0.25">
      <c r="A3499" s="101">
        <v>36927</v>
      </c>
      <c r="B3499" s="9">
        <v>32.69</v>
      </c>
      <c r="C3499" s="9">
        <v>35.979999999999997</v>
      </c>
      <c r="D3499" s="9">
        <v>32.06</v>
      </c>
      <c r="E3499" s="9">
        <v>35.06</v>
      </c>
      <c r="F3499" s="9">
        <v>19448400</v>
      </c>
      <c r="G3499" s="9">
        <v>17.53</v>
      </c>
    </row>
    <row r="3500" spans="1:7" x14ac:dyDescent="0.25">
      <c r="A3500" s="101">
        <v>36924</v>
      </c>
      <c r="B3500" s="9">
        <v>36.5</v>
      </c>
      <c r="C3500" s="9">
        <v>36.619999999999997</v>
      </c>
      <c r="D3500" s="9">
        <v>32.880000000000003</v>
      </c>
      <c r="E3500" s="9">
        <v>33</v>
      </c>
      <c r="F3500" s="9">
        <v>21816200</v>
      </c>
      <c r="G3500" s="9">
        <v>16.5</v>
      </c>
    </row>
    <row r="3501" spans="1:7" x14ac:dyDescent="0.25">
      <c r="A3501" s="101">
        <v>36923</v>
      </c>
      <c r="B3501" s="9">
        <v>37.5</v>
      </c>
      <c r="C3501" s="9">
        <v>38.19</v>
      </c>
      <c r="D3501" s="9">
        <v>35.06</v>
      </c>
      <c r="E3501" s="9">
        <v>36.06</v>
      </c>
      <c r="F3501" s="9">
        <v>20113200</v>
      </c>
      <c r="G3501" s="9">
        <v>18.03</v>
      </c>
    </row>
    <row r="3502" spans="1:7" x14ac:dyDescent="0.25">
      <c r="A3502" s="101">
        <v>36922</v>
      </c>
      <c r="B3502" s="9">
        <v>39.81</v>
      </c>
      <c r="C3502" s="9">
        <v>41.06</v>
      </c>
      <c r="D3502" s="9">
        <v>37</v>
      </c>
      <c r="E3502" s="9">
        <v>37.31</v>
      </c>
      <c r="F3502" s="9">
        <v>22458600</v>
      </c>
      <c r="G3502" s="9">
        <v>18.66</v>
      </c>
    </row>
    <row r="3503" spans="1:7" x14ac:dyDescent="0.25">
      <c r="A3503" s="101">
        <v>36921</v>
      </c>
      <c r="B3503" s="9">
        <v>41.12</v>
      </c>
      <c r="C3503" s="9">
        <v>41.75</v>
      </c>
      <c r="D3503" s="9">
        <v>37.75</v>
      </c>
      <c r="E3503" s="9">
        <v>39.69</v>
      </c>
      <c r="F3503" s="9">
        <v>18776000</v>
      </c>
      <c r="G3503" s="9">
        <v>19.84</v>
      </c>
    </row>
    <row r="3504" spans="1:7" x14ac:dyDescent="0.25">
      <c r="A3504" s="101">
        <v>36920</v>
      </c>
      <c r="B3504" s="9">
        <v>37.75</v>
      </c>
      <c r="C3504" s="9">
        <v>40.380000000000003</v>
      </c>
      <c r="D3504" s="9">
        <v>37.75</v>
      </c>
      <c r="E3504" s="9">
        <v>39.880000000000003</v>
      </c>
      <c r="F3504" s="9">
        <v>18819000</v>
      </c>
      <c r="G3504" s="9">
        <v>19.940000000000001</v>
      </c>
    </row>
    <row r="3505" spans="1:7" x14ac:dyDescent="0.25">
      <c r="A3505" s="101">
        <v>36917</v>
      </c>
      <c r="B3505" s="9">
        <v>37.619999999999997</v>
      </c>
      <c r="C3505" s="9">
        <v>38.619999999999997</v>
      </c>
      <c r="D3505" s="9">
        <v>36.119999999999997</v>
      </c>
      <c r="E3505" s="9">
        <v>37.69</v>
      </c>
      <c r="F3505" s="9">
        <v>24462600</v>
      </c>
      <c r="G3505" s="9">
        <v>18.84</v>
      </c>
    </row>
    <row r="3506" spans="1:7" x14ac:dyDescent="0.25">
      <c r="A3506" s="101">
        <v>36916</v>
      </c>
      <c r="B3506" s="9">
        <v>41.88</v>
      </c>
      <c r="C3506" s="9">
        <v>42.81</v>
      </c>
      <c r="D3506" s="9">
        <v>38.56</v>
      </c>
      <c r="E3506" s="9">
        <v>39.19</v>
      </c>
      <c r="F3506" s="9">
        <v>44249200</v>
      </c>
      <c r="G3506" s="9">
        <v>19.59</v>
      </c>
    </row>
    <row r="3507" spans="1:7" x14ac:dyDescent="0.25">
      <c r="A3507" s="101">
        <v>36915</v>
      </c>
      <c r="B3507" s="9">
        <v>38.31</v>
      </c>
      <c r="C3507" s="9">
        <v>43.38</v>
      </c>
      <c r="D3507" s="9">
        <v>38</v>
      </c>
      <c r="E3507" s="9">
        <v>42.88</v>
      </c>
      <c r="F3507" s="9">
        <v>57294800</v>
      </c>
      <c r="G3507" s="9">
        <v>21.44</v>
      </c>
    </row>
    <row r="3508" spans="1:7" x14ac:dyDescent="0.25">
      <c r="A3508" s="101">
        <v>36914</v>
      </c>
      <c r="B3508" s="9">
        <v>34.44</v>
      </c>
      <c r="C3508" s="9">
        <v>39</v>
      </c>
      <c r="D3508" s="9">
        <v>34.19</v>
      </c>
      <c r="E3508" s="9">
        <v>38.950000000000003</v>
      </c>
      <c r="F3508" s="9">
        <v>34783200</v>
      </c>
      <c r="G3508" s="9">
        <v>19.48</v>
      </c>
    </row>
    <row r="3509" spans="1:7" x14ac:dyDescent="0.25">
      <c r="A3509" s="101">
        <v>36913</v>
      </c>
      <c r="B3509" s="9">
        <v>33.31</v>
      </c>
      <c r="C3509" s="9">
        <v>35.75</v>
      </c>
      <c r="D3509" s="9">
        <v>32.56</v>
      </c>
      <c r="E3509" s="9">
        <v>34.69</v>
      </c>
      <c r="F3509" s="9">
        <v>25512600</v>
      </c>
      <c r="G3509" s="9">
        <v>17.34</v>
      </c>
    </row>
    <row r="3510" spans="1:7" x14ac:dyDescent="0.25">
      <c r="A3510" s="101">
        <v>36910</v>
      </c>
      <c r="B3510" s="9">
        <v>36</v>
      </c>
      <c r="C3510" s="9">
        <v>36.06</v>
      </c>
      <c r="D3510" s="9">
        <v>32.56</v>
      </c>
      <c r="E3510" s="9">
        <v>33.81</v>
      </c>
      <c r="F3510" s="9">
        <v>40979800</v>
      </c>
      <c r="G3510" s="9">
        <v>16.91</v>
      </c>
    </row>
    <row r="3511" spans="1:7" x14ac:dyDescent="0.25">
      <c r="A3511" s="101">
        <v>36909</v>
      </c>
      <c r="B3511" s="9">
        <v>31</v>
      </c>
      <c r="C3511" s="9">
        <v>34.75</v>
      </c>
      <c r="D3511" s="9">
        <v>29.69</v>
      </c>
      <c r="E3511" s="9">
        <v>34.44</v>
      </c>
      <c r="F3511" s="9">
        <v>57925400</v>
      </c>
      <c r="G3511" s="9">
        <v>17.22</v>
      </c>
    </row>
    <row r="3512" spans="1:7" x14ac:dyDescent="0.25">
      <c r="A3512" s="101">
        <v>36908</v>
      </c>
      <c r="B3512" s="9">
        <v>28.62</v>
      </c>
      <c r="C3512" s="9">
        <v>31.75</v>
      </c>
      <c r="D3512" s="9">
        <v>27.94</v>
      </c>
      <c r="E3512" s="9">
        <v>30.25</v>
      </c>
      <c r="F3512" s="9">
        <v>66939000</v>
      </c>
      <c r="G3512" s="9">
        <v>15.12</v>
      </c>
    </row>
    <row r="3513" spans="1:7" x14ac:dyDescent="0.25">
      <c r="A3513" s="101">
        <v>36907</v>
      </c>
      <c r="B3513" s="9">
        <v>27</v>
      </c>
      <c r="C3513" s="9">
        <v>28.44</v>
      </c>
      <c r="D3513" s="9">
        <v>26.62</v>
      </c>
      <c r="E3513" s="9">
        <v>27.38</v>
      </c>
      <c r="F3513" s="9">
        <v>32059000</v>
      </c>
      <c r="G3513" s="9">
        <v>13.69</v>
      </c>
    </row>
    <row r="3514" spans="1:7" x14ac:dyDescent="0.25">
      <c r="A3514" s="101">
        <v>36903</v>
      </c>
      <c r="B3514" s="9">
        <v>26.06</v>
      </c>
      <c r="C3514" s="9">
        <v>26.88</v>
      </c>
      <c r="D3514" s="9">
        <v>25.06</v>
      </c>
      <c r="E3514" s="9">
        <v>26.56</v>
      </c>
      <c r="F3514" s="9">
        <v>50575600</v>
      </c>
      <c r="G3514" s="9">
        <v>13.28</v>
      </c>
    </row>
    <row r="3515" spans="1:7" x14ac:dyDescent="0.25">
      <c r="A3515" s="101">
        <v>36902</v>
      </c>
      <c r="B3515" s="9">
        <v>24.42</v>
      </c>
      <c r="C3515" s="9">
        <v>26.62</v>
      </c>
      <c r="D3515" s="9">
        <v>24.12</v>
      </c>
      <c r="E3515" s="9">
        <v>25.88</v>
      </c>
      <c r="F3515" s="9">
        <v>132926800</v>
      </c>
      <c r="G3515" s="9">
        <v>12.94</v>
      </c>
    </row>
    <row r="3516" spans="1:7" x14ac:dyDescent="0.25">
      <c r="A3516" s="101">
        <v>36901</v>
      </c>
      <c r="B3516" s="9">
        <v>29.31</v>
      </c>
      <c r="C3516" s="9">
        <v>31.25</v>
      </c>
      <c r="D3516" s="9">
        <v>27.88</v>
      </c>
      <c r="E3516" s="9">
        <v>30.5</v>
      </c>
      <c r="F3516" s="9">
        <v>54304200</v>
      </c>
      <c r="G3516" s="9">
        <v>15.25</v>
      </c>
    </row>
    <row r="3517" spans="1:7" x14ac:dyDescent="0.25">
      <c r="A3517" s="101">
        <v>36900</v>
      </c>
      <c r="B3517" s="9">
        <v>26.56</v>
      </c>
      <c r="C3517" s="9">
        <v>30.56</v>
      </c>
      <c r="D3517" s="9">
        <v>26</v>
      </c>
      <c r="E3517" s="9">
        <v>30.12</v>
      </c>
      <c r="F3517" s="9">
        <v>43097200</v>
      </c>
      <c r="G3517" s="9">
        <v>15.06</v>
      </c>
    </row>
    <row r="3518" spans="1:7" x14ac:dyDescent="0.25">
      <c r="A3518" s="101">
        <v>36899</v>
      </c>
      <c r="B3518" s="9">
        <v>27.38</v>
      </c>
      <c r="C3518" s="9">
        <v>27.5</v>
      </c>
      <c r="D3518" s="9">
        <v>25.38</v>
      </c>
      <c r="E3518" s="9">
        <v>27.19</v>
      </c>
      <c r="F3518" s="9">
        <v>26165200</v>
      </c>
      <c r="G3518" s="9">
        <v>13.59</v>
      </c>
    </row>
    <row r="3519" spans="1:7" x14ac:dyDescent="0.25">
      <c r="A3519" s="101">
        <v>36896</v>
      </c>
      <c r="B3519" s="9">
        <v>29.38</v>
      </c>
      <c r="C3519" s="9">
        <v>31.38</v>
      </c>
      <c r="D3519" s="9">
        <v>27.88</v>
      </c>
      <c r="E3519" s="9">
        <v>28.5</v>
      </c>
      <c r="F3519" s="9">
        <v>26867400</v>
      </c>
      <c r="G3519" s="9">
        <v>14.25</v>
      </c>
    </row>
    <row r="3520" spans="1:7" x14ac:dyDescent="0.25">
      <c r="A3520" s="101">
        <v>36895</v>
      </c>
      <c r="B3520" s="9">
        <v>29.86</v>
      </c>
      <c r="C3520" s="9">
        <v>32.19</v>
      </c>
      <c r="D3520" s="9">
        <v>29.44</v>
      </c>
      <c r="E3520" s="9">
        <v>29.56</v>
      </c>
      <c r="F3520" s="9">
        <v>35051800</v>
      </c>
      <c r="G3520" s="9">
        <v>14.78</v>
      </c>
    </row>
    <row r="3521" spans="1:7" x14ac:dyDescent="0.25">
      <c r="A3521" s="101">
        <v>36894</v>
      </c>
      <c r="B3521" s="9">
        <v>27.75</v>
      </c>
      <c r="C3521" s="9">
        <v>32.56</v>
      </c>
      <c r="D3521" s="9">
        <v>25.98</v>
      </c>
      <c r="E3521" s="9">
        <v>30.94</v>
      </c>
      <c r="F3521" s="9">
        <v>49936600</v>
      </c>
      <c r="G3521" s="9">
        <v>15.47</v>
      </c>
    </row>
    <row r="3522" spans="1:7" x14ac:dyDescent="0.25">
      <c r="A3522" s="101">
        <v>36893</v>
      </c>
      <c r="B3522" s="9">
        <v>30.31</v>
      </c>
      <c r="C3522" s="9">
        <v>30.38</v>
      </c>
      <c r="D3522" s="9">
        <v>27.5</v>
      </c>
      <c r="E3522" s="9">
        <v>28.19</v>
      </c>
      <c r="F3522" s="9">
        <v>21939200</v>
      </c>
      <c r="G3522" s="9">
        <v>14.09</v>
      </c>
    </row>
    <row r="3523" spans="1:7" x14ac:dyDescent="0.25">
      <c r="A3523" s="101">
        <v>36889</v>
      </c>
      <c r="B3523" s="9">
        <v>30.31</v>
      </c>
      <c r="C3523" s="9">
        <v>31.19</v>
      </c>
      <c r="D3523" s="9">
        <v>29.56</v>
      </c>
      <c r="E3523" s="9">
        <v>30.06</v>
      </c>
      <c r="F3523" s="9">
        <v>20893400</v>
      </c>
      <c r="G3523" s="9">
        <v>15.03</v>
      </c>
    </row>
    <row r="3524" spans="1:7" x14ac:dyDescent="0.25">
      <c r="A3524" s="101">
        <v>36888</v>
      </c>
      <c r="B3524" s="9">
        <v>29.44</v>
      </c>
      <c r="C3524" s="9">
        <v>31.75</v>
      </c>
      <c r="D3524" s="9">
        <v>29.12</v>
      </c>
      <c r="E3524" s="9">
        <v>31</v>
      </c>
      <c r="F3524" s="9">
        <v>24374600</v>
      </c>
      <c r="G3524" s="9">
        <v>15.5</v>
      </c>
    </row>
    <row r="3525" spans="1:7" x14ac:dyDescent="0.25">
      <c r="A3525" s="101">
        <v>36887</v>
      </c>
      <c r="B3525" s="9">
        <v>31</v>
      </c>
      <c r="C3525" s="9">
        <v>31.5</v>
      </c>
      <c r="D3525" s="9">
        <v>29.12</v>
      </c>
      <c r="E3525" s="9">
        <v>29.75</v>
      </c>
      <c r="F3525" s="9">
        <v>22045400</v>
      </c>
      <c r="G3525" s="9">
        <v>14.88</v>
      </c>
    </row>
    <row r="3526" spans="1:7" x14ac:dyDescent="0.25">
      <c r="A3526" s="101">
        <v>36886</v>
      </c>
      <c r="B3526" s="9">
        <v>32</v>
      </c>
      <c r="C3526" s="9">
        <v>34</v>
      </c>
      <c r="D3526" s="9">
        <v>30.12</v>
      </c>
      <c r="E3526" s="9">
        <v>31.19</v>
      </c>
      <c r="F3526" s="9">
        <v>37536200</v>
      </c>
      <c r="G3526" s="9">
        <v>15.59</v>
      </c>
    </row>
    <row r="3527" spans="1:7" x14ac:dyDescent="0.25">
      <c r="A3527" s="101">
        <v>36882</v>
      </c>
      <c r="B3527" s="9">
        <v>26.44</v>
      </c>
      <c r="C3527" s="9">
        <v>29.88</v>
      </c>
      <c r="D3527" s="9">
        <v>26.06</v>
      </c>
      <c r="E3527" s="9">
        <v>29.56</v>
      </c>
      <c r="F3527" s="9">
        <v>28347400</v>
      </c>
      <c r="G3527" s="9">
        <v>14.78</v>
      </c>
    </row>
    <row r="3528" spans="1:7" x14ac:dyDescent="0.25">
      <c r="A3528" s="101">
        <v>36881</v>
      </c>
      <c r="B3528" s="9">
        <v>26.75</v>
      </c>
      <c r="C3528" s="9">
        <v>28.25</v>
      </c>
      <c r="D3528" s="9">
        <v>25.06</v>
      </c>
      <c r="E3528" s="9">
        <v>25.62</v>
      </c>
      <c r="F3528" s="9">
        <v>27794400</v>
      </c>
      <c r="G3528" s="9">
        <v>12.81</v>
      </c>
    </row>
    <row r="3529" spans="1:7" x14ac:dyDescent="0.25">
      <c r="A3529" s="101">
        <v>36880</v>
      </c>
      <c r="B3529" s="9">
        <v>25.81</v>
      </c>
      <c r="C3529" s="9">
        <v>28.38</v>
      </c>
      <c r="D3529" s="9">
        <v>25.5</v>
      </c>
      <c r="E3529" s="9">
        <v>27.94</v>
      </c>
      <c r="F3529" s="9">
        <v>44862800</v>
      </c>
      <c r="G3529" s="9">
        <v>13.97</v>
      </c>
    </row>
    <row r="3530" spans="1:7" x14ac:dyDescent="0.25">
      <c r="A3530" s="101">
        <v>36879</v>
      </c>
      <c r="B3530" s="9">
        <v>30.56</v>
      </c>
      <c r="C3530" s="9">
        <v>31.97</v>
      </c>
      <c r="D3530" s="9">
        <v>28</v>
      </c>
      <c r="E3530" s="9">
        <v>28</v>
      </c>
      <c r="F3530" s="9">
        <v>36131600</v>
      </c>
      <c r="G3530" s="9">
        <v>14</v>
      </c>
    </row>
    <row r="3531" spans="1:7" x14ac:dyDescent="0.25">
      <c r="A3531" s="101">
        <v>36878</v>
      </c>
      <c r="B3531" s="9">
        <v>33.880000000000003</v>
      </c>
      <c r="C3531" s="9">
        <v>34</v>
      </c>
      <c r="D3531" s="9">
        <v>30.25</v>
      </c>
      <c r="E3531" s="9">
        <v>32</v>
      </c>
      <c r="F3531" s="9">
        <v>31697600</v>
      </c>
      <c r="G3531" s="9">
        <v>16</v>
      </c>
    </row>
    <row r="3532" spans="1:7" x14ac:dyDescent="0.25">
      <c r="A3532" s="101">
        <v>36875</v>
      </c>
      <c r="B3532" s="9">
        <v>32</v>
      </c>
      <c r="C3532" s="9">
        <v>34</v>
      </c>
      <c r="D3532" s="9">
        <v>31.06</v>
      </c>
      <c r="E3532" s="9">
        <v>33</v>
      </c>
      <c r="F3532" s="9">
        <v>40448000</v>
      </c>
      <c r="G3532" s="9">
        <v>16.5</v>
      </c>
    </row>
    <row r="3533" spans="1:7" x14ac:dyDescent="0.25">
      <c r="A3533" s="101">
        <v>36874</v>
      </c>
      <c r="B3533" s="9">
        <v>35.31</v>
      </c>
      <c r="C3533" s="9">
        <v>35.909999999999997</v>
      </c>
      <c r="D3533" s="9">
        <v>31.94</v>
      </c>
      <c r="E3533" s="9">
        <v>32</v>
      </c>
      <c r="F3533" s="9">
        <v>20899800</v>
      </c>
      <c r="G3533" s="9">
        <v>16</v>
      </c>
    </row>
    <row r="3534" spans="1:7" x14ac:dyDescent="0.25">
      <c r="A3534" s="101">
        <v>36873</v>
      </c>
      <c r="B3534" s="9">
        <v>38.31</v>
      </c>
      <c r="C3534" s="9">
        <v>38.619999999999997</v>
      </c>
      <c r="D3534" s="9">
        <v>34.25</v>
      </c>
      <c r="E3534" s="9">
        <v>34.880000000000003</v>
      </c>
      <c r="F3534" s="9">
        <v>33640400</v>
      </c>
      <c r="G3534" s="9">
        <v>17.440000000000001</v>
      </c>
    </row>
    <row r="3535" spans="1:7" x14ac:dyDescent="0.25">
      <c r="A3535" s="101">
        <v>36872</v>
      </c>
      <c r="B3535" s="9">
        <v>33.25</v>
      </c>
      <c r="C3535" s="9">
        <v>39.5</v>
      </c>
      <c r="D3535" s="9">
        <v>32.94</v>
      </c>
      <c r="E3535" s="9">
        <v>35.81</v>
      </c>
      <c r="F3535" s="9">
        <v>79275800</v>
      </c>
      <c r="G3535" s="9">
        <v>17.91</v>
      </c>
    </row>
    <row r="3536" spans="1:7" x14ac:dyDescent="0.25">
      <c r="A3536" s="101">
        <v>36871</v>
      </c>
      <c r="B3536" s="9">
        <v>33.619999999999997</v>
      </c>
      <c r="C3536" s="9">
        <v>37.06</v>
      </c>
      <c r="D3536" s="9">
        <v>30.62</v>
      </c>
      <c r="E3536" s="9">
        <v>33.880000000000003</v>
      </c>
      <c r="F3536" s="9">
        <v>71038800</v>
      </c>
      <c r="G3536" s="9">
        <v>16.940000000000001</v>
      </c>
    </row>
    <row r="3537" spans="1:7" x14ac:dyDescent="0.25">
      <c r="A3537" s="101">
        <v>36868</v>
      </c>
      <c r="B3537" s="9">
        <v>37.119999999999997</v>
      </c>
      <c r="C3537" s="9">
        <v>37.119999999999997</v>
      </c>
      <c r="D3537" s="9">
        <v>32.119999999999997</v>
      </c>
      <c r="E3537" s="9">
        <v>34.94</v>
      </c>
      <c r="F3537" s="9">
        <v>49184000</v>
      </c>
      <c r="G3537" s="9">
        <v>17.47</v>
      </c>
    </row>
    <row r="3538" spans="1:7" x14ac:dyDescent="0.25">
      <c r="A3538" s="101">
        <v>36867</v>
      </c>
      <c r="B3538" s="9">
        <v>36.06</v>
      </c>
      <c r="C3538" s="9">
        <v>36.22</v>
      </c>
      <c r="D3538" s="9">
        <v>31.5</v>
      </c>
      <c r="E3538" s="9">
        <v>34.94</v>
      </c>
      <c r="F3538" s="9">
        <v>55136200</v>
      </c>
      <c r="G3538" s="9">
        <v>17.47</v>
      </c>
    </row>
    <row r="3539" spans="1:7" x14ac:dyDescent="0.25">
      <c r="A3539" s="101">
        <v>36866</v>
      </c>
      <c r="B3539" s="9">
        <v>41.62</v>
      </c>
      <c r="C3539" s="9">
        <v>42.94</v>
      </c>
      <c r="D3539" s="9">
        <v>37.119999999999997</v>
      </c>
      <c r="E3539" s="9">
        <v>37.5</v>
      </c>
      <c r="F3539" s="9">
        <v>32559800</v>
      </c>
      <c r="G3539" s="9">
        <v>18.75</v>
      </c>
    </row>
    <row r="3540" spans="1:7" x14ac:dyDescent="0.25">
      <c r="A3540" s="101">
        <v>36865</v>
      </c>
      <c r="B3540" s="9">
        <v>39.69</v>
      </c>
      <c r="C3540" s="9">
        <v>44</v>
      </c>
      <c r="D3540" s="9">
        <v>39.31</v>
      </c>
      <c r="E3540" s="9">
        <v>43.88</v>
      </c>
      <c r="F3540" s="9">
        <v>30714800</v>
      </c>
      <c r="G3540" s="9">
        <v>21.94</v>
      </c>
    </row>
    <row r="3541" spans="1:7" x14ac:dyDescent="0.25">
      <c r="A3541" s="101">
        <v>36864</v>
      </c>
      <c r="B3541" s="9">
        <v>38.44</v>
      </c>
      <c r="C3541" s="9">
        <v>39.31</v>
      </c>
      <c r="D3541" s="9">
        <v>36.19</v>
      </c>
      <c r="E3541" s="9">
        <v>37.94</v>
      </c>
      <c r="F3541" s="9">
        <v>29997600</v>
      </c>
      <c r="G3541" s="9">
        <v>18.97</v>
      </c>
    </row>
    <row r="3542" spans="1:7" x14ac:dyDescent="0.25">
      <c r="A3542" s="101">
        <v>36861</v>
      </c>
      <c r="B3542" s="9">
        <v>38.81</v>
      </c>
      <c r="C3542" s="9">
        <v>41.12</v>
      </c>
      <c r="D3542" s="9">
        <v>36.380000000000003</v>
      </c>
      <c r="E3542" s="9">
        <v>38.94</v>
      </c>
      <c r="F3542" s="9">
        <v>40172600</v>
      </c>
      <c r="G3542" s="9">
        <v>19.47</v>
      </c>
    </row>
    <row r="3543" spans="1:7" x14ac:dyDescent="0.25">
      <c r="A3543" s="101">
        <v>36860</v>
      </c>
      <c r="B3543" s="9">
        <v>37.590000000000003</v>
      </c>
      <c r="C3543" s="9">
        <v>39.619999999999997</v>
      </c>
      <c r="D3543" s="9">
        <v>35.19</v>
      </c>
      <c r="E3543" s="9">
        <v>39.619999999999997</v>
      </c>
      <c r="F3543" s="9">
        <v>33938200</v>
      </c>
      <c r="G3543" s="9">
        <v>19.809999999999999</v>
      </c>
    </row>
    <row r="3544" spans="1:7" x14ac:dyDescent="0.25">
      <c r="A3544" s="101">
        <v>36859</v>
      </c>
      <c r="B3544" s="9">
        <v>37.14</v>
      </c>
      <c r="C3544" s="9">
        <v>39.25</v>
      </c>
      <c r="D3544" s="9">
        <v>35.69</v>
      </c>
      <c r="E3544" s="9">
        <v>39.06</v>
      </c>
      <c r="F3544" s="9">
        <v>35039400</v>
      </c>
      <c r="G3544" s="9">
        <v>19.53</v>
      </c>
    </row>
    <row r="3545" spans="1:7" x14ac:dyDescent="0.25">
      <c r="A3545" s="101">
        <v>36858</v>
      </c>
      <c r="B3545" s="9">
        <v>39.94</v>
      </c>
      <c r="C3545" s="9">
        <v>40.5</v>
      </c>
      <c r="D3545" s="9">
        <v>35.75</v>
      </c>
      <c r="E3545" s="9">
        <v>36.97</v>
      </c>
      <c r="F3545" s="9">
        <v>29390800</v>
      </c>
      <c r="G3545" s="9">
        <v>18.48</v>
      </c>
    </row>
    <row r="3546" spans="1:7" x14ac:dyDescent="0.25">
      <c r="A3546" s="101">
        <v>36857</v>
      </c>
      <c r="B3546" s="9">
        <v>43.73</v>
      </c>
      <c r="C3546" s="9">
        <v>45</v>
      </c>
      <c r="D3546" s="9">
        <v>40</v>
      </c>
      <c r="E3546" s="9">
        <v>40.119999999999997</v>
      </c>
      <c r="F3546" s="9">
        <v>24838400</v>
      </c>
      <c r="G3546" s="9">
        <v>20.059999999999999</v>
      </c>
    </row>
    <row r="3547" spans="1:7" x14ac:dyDescent="0.25">
      <c r="A3547" s="101">
        <v>36854</v>
      </c>
      <c r="B3547" s="9">
        <v>40.25</v>
      </c>
      <c r="C3547" s="9">
        <v>42.25</v>
      </c>
      <c r="D3547" s="9">
        <v>39.380000000000003</v>
      </c>
      <c r="E3547" s="9">
        <v>40.880000000000003</v>
      </c>
      <c r="F3547" s="9">
        <v>19702400</v>
      </c>
      <c r="G3547" s="9">
        <v>20.440000000000001</v>
      </c>
    </row>
    <row r="3548" spans="1:7" x14ac:dyDescent="0.25">
      <c r="A3548" s="101">
        <v>36852</v>
      </c>
      <c r="B3548" s="9">
        <v>40.380000000000003</v>
      </c>
      <c r="C3548" s="9">
        <v>43</v>
      </c>
      <c r="D3548" s="9">
        <v>38.06</v>
      </c>
      <c r="E3548" s="9">
        <v>38.19</v>
      </c>
      <c r="F3548" s="9">
        <v>43183200</v>
      </c>
      <c r="G3548" s="9">
        <v>19.09</v>
      </c>
    </row>
    <row r="3549" spans="1:7" x14ac:dyDescent="0.25">
      <c r="A3549" s="101">
        <v>36851</v>
      </c>
      <c r="B3549" s="9">
        <v>47</v>
      </c>
      <c r="C3549" s="9">
        <v>48</v>
      </c>
      <c r="D3549" s="9">
        <v>40.56</v>
      </c>
      <c r="E3549" s="9">
        <v>41.69</v>
      </c>
      <c r="F3549" s="9">
        <v>49950200</v>
      </c>
      <c r="G3549" s="9">
        <v>20.84</v>
      </c>
    </row>
    <row r="3550" spans="1:7" x14ac:dyDescent="0.25">
      <c r="A3550" s="101">
        <v>36850</v>
      </c>
      <c r="B3550" s="9">
        <v>50.38</v>
      </c>
      <c r="C3550" s="9">
        <v>51.38</v>
      </c>
      <c r="D3550" s="9">
        <v>47.88</v>
      </c>
      <c r="E3550" s="9">
        <v>48.88</v>
      </c>
      <c r="F3550" s="9">
        <v>18448400</v>
      </c>
      <c r="G3550" s="9">
        <v>24.44</v>
      </c>
    </row>
    <row r="3551" spans="1:7" x14ac:dyDescent="0.25">
      <c r="A3551" s="101">
        <v>36847</v>
      </c>
      <c r="B3551" s="9">
        <v>52.2</v>
      </c>
      <c r="C3551" s="9">
        <v>55.5</v>
      </c>
      <c r="D3551" s="9">
        <v>50</v>
      </c>
      <c r="E3551" s="9">
        <v>51.25</v>
      </c>
      <c r="F3551" s="9">
        <v>21516400</v>
      </c>
      <c r="G3551" s="9">
        <v>25.62</v>
      </c>
    </row>
    <row r="3552" spans="1:7" x14ac:dyDescent="0.25">
      <c r="A3552" s="101">
        <v>36846</v>
      </c>
      <c r="B3552" s="9">
        <v>55</v>
      </c>
      <c r="C3552" s="9">
        <v>56.5</v>
      </c>
      <c r="D3552" s="9">
        <v>52.62</v>
      </c>
      <c r="E3552" s="9">
        <v>52.94</v>
      </c>
      <c r="F3552" s="9">
        <v>13573000</v>
      </c>
      <c r="G3552" s="9">
        <v>26.47</v>
      </c>
    </row>
    <row r="3553" spans="1:7" x14ac:dyDescent="0.25">
      <c r="A3553" s="101">
        <v>36845</v>
      </c>
      <c r="B3553" s="9">
        <v>58.25</v>
      </c>
      <c r="C3553" s="9">
        <v>60</v>
      </c>
      <c r="D3553" s="9">
        <v>54.75</v>
      </c>
      <c r="E3553" s="9">
        <v>57.12</v>
      </c>
      <c r="F3553" s="9">
        <v>16191200</v>
      </c>
      <c r="G3553" s="9">
        <v>28.56</v>
      </c>
    </row>
    <row r="3554" spans="1:7" x14ac:dyDescent="0.25">
      <c r="A3554" s="101">
        <v>36844</v>
      </c>
      <c r="B3554" s="9">
        <v>57.69</v>
      </c>
      <c r="C3554" s="9">
        <v>59.5</v>
      </c>
      <c r="D3554" s="9">
        <v>55.5</v>
      </c>
      <c r="E3554" s="9">
        <v>59.44</v>
      </c>
      <c r="F3554" s="9">
        <v>13959400</v>
      </c>
      <c r="G3554" s="9">
        <v>29.72</v>
      </c>
    </row>
    <row r="3555" spans="1:7" x14ac:dyDescent="0.25">
      <c r="A3555" s="101">
        <v>36843</v>
      </c>
      <c r="B3555" s="9">
        <v>54.81</v>
      </c>
      <c r="C3555" s="9">
        <v>59.12</v>
      </c>
      <c r="D3555" s="9">
        <v>52</v>
      </c>
      <c r="E3555" s="9">
        <v>55.31</v>
      </c>
      <c r="F3555" s="9">
        <v>19343200</v>
      </c>
      <c r="G3555" s="9">
        <v>27.66</v>
      </c>
    </row>
    <row r="3556" spans="1:7" x14ac:dyDescent="0.25">
      <c r="A3556" s="101">
        <v>36840</v>
      </c>
      <c r="B3556" s="9">
        <v>57.81</v>
      </c>
      <c r="C3556" s="9">
        <v>61.75</v>
      </c>
      <c r="D3556" s="9">
        <v>56.12</v>
      </c>
      <c r="E3556" s="9">
        <v>56.44</v>
      </c>
      <c r="F3556" s="9">
        <v>19196200</v>
      </c>
      <c r="G3556" s="9">
        <v>28.22</v>
      </c>
    </row>
    <row r="3557" spans="1:7" x14ac:dyDescent="0.25">
      <c r="A3557" s="101">
        <v>36839</v>
      </c>
      <c r="B3557" s="9">
        <v>60.86</v>
      </c>
      <c r="C3557" s="9">
        <v>62.88</v>
      </c>
      <c r="D3557" s="9">
        <v>56.5</v>
      </c>
      <c r="E3557" s="9">
        <v>58.81</v>
      </c>
      <c r="F3557" s="9">
        <v>26721000</v>
      </c>
      <c r="G3557" s="9">
        <v>29.41</v>
      </c>
    </row>
    <row r="3558" spans="1:7" x14ac:dyDescent="0.25">
      <c r="A3558" s="101">
        <v>36838</v>
      </c>
      <c r="B3558" s="9">
        <v>69.25</v>
      </c>
      <c r="C3558" s="9">
        <v>70.62</v>
      </c>
      <c r="D3558" s="9">
        <v>64.94</v>
      </c>
      <c r="E3558" s="9">
        <v>65</v>
      </c>
      <c r="F3558" s="9">
        <v>16011400</v>
      </c>
      <c r="G3558" s="9">
        <v>32.5</v>
      </c>
    </row>
    <row r="3559" spans="1:7" x14ac:dyDescent="0.25">
      <c r="A3559" s="101">
        <v>36837</v>
      </c>
      <c r="B3559" s="9">
        <v>65.94</v>
      </c>
      <c r="C3559" s="9">
        <v>69.12</v>
      </c>
      <c r="D3559" s="9">
        <v>63.62</v>
      </c>
      <c r="E3559" s="9">
        <v>68.5</v>
      </c>
      <c r="F3559" s="9">
        <v>13889800</v>
      </c>
      <c r="G3559" s="9">
        <v>34.25</v>
      </c>
    </row>
    <row r="3560" spans="1:7" x14ac:dyDescent="0.25">
      <c r="A3560" s="101">
        <v>36836</v>
      </c>
      <c r="B3560" s="9">
        <v>70.25</v>
      </c>
      <c r="C3560" s="9">
        <v>70.44</v>
      </c>
      <c r="D3560" s="9">
        <v>65.38</v>
      </c>
      <c r="E3560" s="9">
        <v>65.62</v>
      </c>
      <c r="F3560" s="9">
        <v>14251200</v>
      </c>
      <c r="G3560" s="9">
        <v>32.81</v>
      </c>
    </row>
    <row r="3561" spans="1:7" x14ac:dyDescent="0.25">
      <c r="A3561" s="101">
        <v>36833</v>
      </c>
      <c r="B3561" s="9">
        <v>69.38</v>
      </c>
      <c r="C3561" s="9">
        <v>70.56</v>
      </c>
      <c r="D3561" s="9">
        <v>66.62</v>
      </c>
      <c r="E3561" s="9">
        <v>68.75</v>
      </c>
      <c r="F3561" s="9">
        <v>20381800</v>
      </c>
      <c r="G3561" s="9">
        <v>34.380000000000003</v>
      </c>
    </row>
    <row r="3562" spans="1:7" x14ac:dyDescent="0.25">
      <c r="A3562" s="101">
        <v>36832</v>
      </c>
      <c r="B3562" s="9">
        <v>66.5</v>
      </c>
      <c r="C3562" s="9">
        <v>69.25</v>
      </c>
      <c r="D3562" s="9">
        <v>64.25</v>
      </c>
      <c r="E3562" s="9">
        <v>67.44</v>
      </c>
      <c r="F3562" s="9">
        <v>29210800</v>
      </c>
      <c r="G3562" s="9">
        <v>33.72</v>
      </c>
    </row>
    <row r="3563" spans="1:7" x14ac:dyDescent="0.25">
      <c r="A3563" s="101">
        <v>36831</v>
      </c>
      <c r="B3563" s="9">
        <v>57.78</v>
      </c>
      <c r="C3563" s="9">
        <v>67</v>
      </c>
      <c r="D3563" s="9">
        <v>57</v>
      </c>
      <c r="E3563" s="9">
        <v>64.36</v>
      </c>
      <c r="F3563" s="9">
        <v>34524000</v>
      </c>
      <c r="G3563" s="9">
        <v>32.18</v>
      </c>
    </row>
    <row r="3564" spans="1:7" x14ac:dyDescent="0.25">
      <c r="A3564" s="101">
        <v>36830</v>
      </c>
      <c r="B3564" s="9">
        <v>53.69</v>
      </c>
      <c r="C3564" s="9">
        <v>60</v>
      </c>
      <c r="D3564" s="9">
        <v>52.5</v>
      </c>
      <c r="E3564" s="9">
        <v>58.62</v>
      </c>
      <c r="F3564" s="9">
        <v>23011600</v>
      </c>
      <c r="G3564" s="9">
        <v>29.31</v>
      </c>
    </row>
    <row r="3565" spans="1:7" x14ac:dyDescent="0.25">
      <c r="A3565" s="101">
        <v>36829</v>
      </c>
      <c r="B3565" s="9">
        <v>53.81</v>
      </c>
      <c r="C3565" s="9">
        <v>55.62</v>
      </c>
      <c r="D3565" s="9">
        <v>51</v>
      </c>
      <c r="E3565" s="9">
        <v>52.62</v>
      </c>
      <c r="F3565" s="9">
        <v>16900200</v>
      </c>
      <c r="G3565" s="9">
        <v>26.31</v>
      </c>
    </row>
    <row r="3566" spans="1:7" x14ac:dyDescent="0.25">
      <c r="A3566" s="101">
        <v>36826</v>
      </c>
      <c r="B3566" s="9">
        <v>57.12</v>
      </c>
      <c r="C3566" s="9">
        <v>58.44</v>
      </c>
      <c r="D3566" s="9">
        <v>53.19</v>
      </c>
      <c r="E3566" s="9">
        <v>55.25</v>
      </c>
      <c r="F3566" s="9">
        <v>14792400</v>
      </c>
      <c r="G3566" s="9">
        <v>27.62</v>
      </c>
    </row>
    <row r="3567" spans="1:7" x14ac:dyDescent="0.25">
      <c r="A3567" s="101">
        <v>36825</v>
      </c>
      <c r="B3567" s="9">
        <v>56.75</v>
      </c>
      <c r="C3567" s="9">
        <v>57</v>
      </c>
      <c r="D3567" s="9">
        <v>50.88</v>
      </c>
      <c r="E3567" s="9">
        <v>56</v>
      </c>
      <c r="F3567" s="9">
        <v>19796600</v>
      </c>
      <c r="G3567" s="9">
        <v>28</v>
      </c>
    </row>
    <row r="3568" spans="1:7" x14ac:dyDescent="0.25">
      <c r="A3568" s="101">
        <v>36824</v>
      </c>
      <c r="B3568" s="9">
        <v>60.88</v>
      </c>
      <c r="C3568" s="9">
        <v>61.8</v>
      </c>
      <c r="D3568" s="9">
        <v>54.09</v>
      </c>
      <c r="E3568" s="9">
        <v>55.56</v>
      </c>
      <c r="F3568" s="9">
        <v>20160200</v>
      </c>
      <c r="G3568" s="9">
        <v>27.78</v>
      </c>
    </row>
    <row r="3569" spans="1:7" x14ac:dyDescent="0.25">
      <c r="A3569" s="101">
        <v>36823</v>
      </c>
      <c r="B3569" s="9">
        <v>61.44</v>
      </c>
      <c r="C3569" s="9">
        <v>64.25</v>
      </c>
      <c r="D3569" s="9">
        <v>58</v>
      </c>
      <c r="E3569" s="9">
        <v>58.62</v>
      </c>
      <c r="F3569" s="9">
        <v>23606200</v>
      </c>
      <c r="G3569" s="9">
        <v>29.31</v>
      </c>
    </row>
    <row r="3570" spans="1:7" x14ac:dyDescent="0.25">
      <c r="A3570" s="101">
        <v>36822</v>
      </c>
      <c r="B3570" s="9">
        <v>60.25</v>
      </c>
      <c r="C3570" s="9">
        <v>62.09</v>
      </c>
      <c r="D3570" s="9">
        <v>59.06</v>
      </c>
      <c r="E3570" s="9">
        <v>59.62</v>
      </c>
      <c r="F3570" s="9">
        <v>15772600</v>
      </c>
      <c r="G3570" s="9">
        <v>29.81</v>
      </c>
    </row>
    <row r="3571" spans="1:7" x14ac:dyDescent="0.25">
      <c r="A3571" s="101">
        <v>36819</v>
      </c>
      <c r="B3571" s="9">
        <v>59.38</v>
      </c>
      <c r="C3571" s="9">
        <v>63.75</v>
      </c>
      <c r="D3571" s="9">
        <v>56.69</v>
      </c>
      <c r="E3571" s="9">
        <v>59</v>
      </c>
      <c r="F3571" s="9">
        <v>25588200</v>
      </c>
      <c r="G3571" s="9">
        <v>29.5</v>
      </c>
    </row>
    <row r="3572" spans="1:7" x14ac:dyDescent="0.25">
      <c r="A3572" s="101">
        <v>36818</v>
      </c>
      <c r="B3572" s="9">
        <v>57.38</v>
      </c>
      <c r="C3572" s="9">
        <v>60.12</v>
      </c>
      <c r="D3572" s="9">
        <v>53.69</v>
      </c>
      <c r="E3572" s="9">
        <v>59.56</v>
      </c>
      <c r="F3572" s="9">
        <v>34329800</v>
      </c>
      <c r="G3572" s="9">
        <v>29.78</v>
      </c>
    </row>
    <row r="3573" spans="1:7" x14ac:dyDescent="0.25">
      <c r="A3573" s="101">
        <v>36817</v>
      </c>
      <c r="B3573" s="9">
        <v>46.44</v>
      </c>
      <c r="C3573" s="9">
        <v>54.25</v>
      </c>
      <c r="D3573" s="9">
        <v>45.06</v>
      </c>
      <c r="E3573" s="9">
        <v>52.75</v>
      </c>
      <c r="F3573" s="9">
        <v>59887600</v>
      </c>
      <c r="G3573" s="9">
        <v>26.38</v>
      </c>
    </row>
    <row r="3574" spans="1:7" x14ac:dyDescent="0.25">
      <c r="A3574" s="101">
        <v>36816</v>
      </c>
      <c r="B3574" s="9">
        <v>55.94</v>
      </c>
      <c r="C3574" s="9">
        <v>56.12</v>
      </c>
      <c r="D3574" s="9">
        <v>47.44</v>
      </c>
      <c r="E3574" s="9">
        <v>48.94</v>
      </c>
      <c r="F3574" s="9">
        <v>58899000</v>
      </c>
      <c r="G3574" s="9">
        <v>24.47</v>
      </c>
    </row>
    <row r="3575" spans="1:7" x14ac:dyDescent="0.25">
      <c r="A3575" s="101">
        <v>36815</v>
      </c>
      <c r="B3575" s="9">
        <v>60.75</v>
      </c>
      <c r="C3575" s="9">
        <v>61.62</v>
      </c>
      <c r="D3575" s="9">
        <v>55.06</v>
      </c>
      <c r="E3575" s="9">
        <v>55.25</v>
      </c>
      <c r="F3575" s="9">
        <v>31040200</v>
      </c>
      <c r="G3575" s="9">
        <v>27.62</v>
      </c>
    </row>
    <row r="3576" spans="1:7" x14ac:dyDescent="0.25">
      <c r="A3576" s="101">
        <v>36812</v>
      </c>
      <c r="B3576" s="9">
        <v>55.19</v>
      </c>
      <c r="C3576" s="9">
        <v>60.38</v>
      </c>
      <c r="D3576" s="9">
        <v>54.75</v>
      </c>
      <c r="E3576" s="9">
        <v>60</v>
      </c>
      <c r="F3576" s="9">
        <v>56348600</v>
      </c>
      <c r="G3576" s="9">
        <v>30</v>
      </c>
    </row>
    <row r="3577" spans="1:7" x14ac:dyDescent="0.25">
      <c r="A3577" s="101">
        <v>36811</v>
      </c>
      <c r="B3577" s="9">
        <v>66.69</v>
      </c>
      <c r="C3577" s="9">
        <v>66.75</v>
      </c>
      <c r="D3577" s="9">
        <v>55.44</v>
      </c>
      <c r="E3577" s="9">
        <v>56.62</v>
      </c>
      <c r="F3577" s="9">
        <v>63441200</v>
      </c>
      <c r="G3577" s="9">
        <v>28.31</v>
      </c>
    </row>
    <row r="3578" spans="1:7" x14ac:dyDescent="0.25">
      <c r="A3578" s="101">
        <v>36810</v>
      </c>
      <c r="B3578" s="9">
        <v>72.69</v>
      </c>
      <c r="C3578" s="9">
        <v>73.56</v>
      </c>
      <c r="D3578" s="9">
        <v>65</v>
      </c>
      <c r="E3578" s="9">
        <v>65.38</v>
      </c>
      <c r="F3578" s="9">
        <v>92244000</v>
      </c>
      <c r="G3578" s="9">
        <v>32.69</v>
      </c>
    </row>
    <row r="3579" spans="1:7" x14ac:dyDescent="0.25">
      <c r="A3579" s="101">
        <v>36809</v>
      </c>
      <c r="B3579" s="9">
        <v>87.38</v>
      </c>
      <c r="C3579" s="9">
        <v>88.75</v>
      </c>
      <c r="D3579" s="9">
        <v>81.88</v>
      </c>
      <c r="E3579" s="9">
        <v>82.69</v>
      </c>
      <c r="F3579" s="9">
        <v>38555200</v>
      </c>
      <c r="G3579" s="9">
        <v>41.34</v>
      </c>
    </row>
    <row r="3580" spans="1:7" x14ac:dyDescent="0.25">
      <c r="A3580" s="101">
        <v>36808</v>
      </c>
      <c r="B3580" s="9">
        <v>81.56</v>
      </c>
      <c r="C3580" s="9">
        <v>87.5</v>
      </c>
      <c r="D3580" s="9">
        <v>75.5</v>
      </c>
      <c r="E3580" s="9">
        <v>85.75</v>
      </c>
      <c r="F3580" s="9">
        <v>25993800</v>
      </c>
      <c r="G3580" s="9">
        <v>42.88</v>
      </c>
    </row>
    <row r="3581" spans="1:7" x14ac:dyDescent="0.25">
      <c r="A3581" s="101">
        <v>36805</v>
      </c>
      <c r="B3581" s="9">
        <v>85.5</v>
      </c>
      <c r="C3581" s="9">
        <v>86</v>
      </c>
      <c r="D3581" s="9">
        <v>79.44</v>
      </c>
      <c r="E3581" s="9">
        <v>81.25</v>
      </c>
      <c r="F3581" s="9">
        <v>23314400</v>
      </c>
      <c r="G3581" s="9">
        <v>40.619999999999997</v>
      </c>
    </row>
    <row r="3582" spans="1:7" x14ac:dyDescent="0.25">
      <c r="A3582" s="101">
        <v>36804</v>
      </c>
      <c r="B3582" s="9">
        <v>88.5</v>
      </c>
      <c r="C3582" s="9">
        <v>90.62</v>
      </c>
      <c r="D3582" s="9">
        <v>83.5</v>
      </c>
      <c r="E3582" s="9">
        <v>84.69</v>
      </c>
      <c r="F3582" s="9">
        <v>19689600</v>
      </c>
      <c r="G3582" s="9">
        <v>42.34</v>
      </c>
    </row>
    <row r="3583" spans="1:7" x14ac:dyDescent="0.25">
      <c r="A3583" s="101">
        <v>36803</v>
      </c>
      <c r="B3583" s="9">
        <v>84.44</v>
      </c>
      <c r="C3583" s="9">
        <v>88.75</v>
      </c>
      <c r="D3583" s="9">
        <v>82.5</v>
      </c>
      <c r="E3583" s="9">
        <v>87.94</v>
      </c>
      <c r="F3583" s="9">
        <v>18776000</v>
      </c>
      <c r="G3583" s="9">
        <v>43.97</v>
      </c>
    </row>
    <row r="3584" spans="1:7" x14ac:dyDescent="0.25">
      <c r="A3584" s="101">
        <v>36802</v>
      </c>
      <c r="B3584" s="9">
        <v>87.5</v>
      </c>
      <c r="C3584" s="9">
        <v>90.75</v>
      </c>
      <c r="D3584" s="9">
        <v>82.62</v>
      </c>
      <c r="E3584" s="9">
        <v>84</v>
      </c>
      <c r="F3584" s="9">
        <v>25678000</v>
      </c>
      <c r="G3584" s="9">
        <v>42</v>
      </c>
    </row>
    <row r="3585" spans="1:7" x14ac:dyDescent="0.25">
      <c r="A3585" s="101">
        <v>36801</v>
      </c>
      <c r="B3585" s="9">
        <v>91.56</v>
      </c>
      <c r="C3585" s="9">
        <v>91.88</v>
      </c>
      <c r="D3585" s="9">
        <v>84.12</v>
      </c>
      <c r="E3585" s="9">
        <v>86.06</v>
      </c>
      <c r="F3585" s="9">
        <v>25121600</v>
      </c>
      <c r="G3585" s="9">
        <v>43.03</v>
      </c>
    </row>
    <row r="3586" spans="1:7" x14ac:dyDescent="0.25">
      <c r="A3586" s="101">
        <v>36798</v>
      </c>
      <c r="B3586" s="9">
        <v>97.12</v>
      </c>
      <c r="C3586" s="9">
        <v>97.25</v>
      </c>
      <c r="D3586" s="9">
        <v>90.5</v>
      </c>
      <c r="E3586" s="9">
        <v>91</v>
      </c>
      <c r="F3586" s="9">
        <v>13879800</v>
      </c>
      <c r="G3586" s="9">
        <v>45.5</v>
      </c>
    </row>
    <row r="3587" spans="1:7" x14ac:dyDescent="0.25">
      <c r="A3587" s="101">
        <v>36797</v>
      </c>
      <c r="B3587" s="9">
        <v>91.38</v>
      </c>
      <c r="C3587" s="9">
        <v>97</v>
      </c>
      <c r="D3587" s="9">
        <v>89.94</v>
      </c>
      <c r="E3587" s="9">
        <v>95.69</v>
      </c>
      <c r="F3587" s="9">
        <v>27555400</v>
      </c>
      <c r="G3587" s="9">
        <v>47.84</v>
      </c>
    </row>
    <row r="3588" spans="1:7" x14ac:dyDescent="0.25">
      <c r="A3588" s="101">
        <v>36796</v>
      </c>
      <c r="B3588" s="9">
        <v>102.75</v>
      </c>
      <c r="C3588" s="9">
        <v>102.75</v>
      </c>
      <c r="D3588" s="9">
        <v>88</v>
      </c>
      <c r="E3588" s="9">
        <v>90.38</v>
      </c>
      <c r="F3588" s="9">
        <v>59994600</v>
      </c>
      <c r="G3588" s="9">
        <v>45.19</v>
      </c>
    </row>
    <row r="3589" spans="1:7" x14ac:dyDescent="0.25">
      <c r="A3589" s="101">
        <v>36795</v>
      </c>
      <c r="B3589" s="9">
        <v>106</v>
      </c>
      <c r="C3589" s="9">
        <v>106.06</v>
      </c>
      <c r="D3589" s="9">
        <v>100.5</v>
      </c>
      <c r="E3589" s="9">
        <v>102.44</v>
      </c>
      <c r="F3589" s="9">
        <v>14132200</v>
      </c>
      <c r="G3589" s="9">
        <v>51.22</v>
      </c>
    </row>
    <row r="3590" spans="1:7" x14ac:dyDescent="0.25">
      <c r="A3590" s="101">
        <v>36794</v>
      </c>
      <c r="B3590" s="9">
        <v>110.34</v>
      </c>
      <c r="C3590" s="9">
        <v>112.38</v>
      </c>
      <c r="D3590" s="9">
        <v>105.06</v>
      </c>
      <c r="E3590" s="9">
        <v>105.5</v>
      </c>
      <c r="F3590" s="9">
        <v>10145800</v>
      </c>
      <c r="G3590" s="9">
        <v>52.75</v>
      </c>
    </row>
    <row r="3591" spans="1:7" x14ac:dyDescent="0.25">
      <c r="A3591" s="101">
        <v>36791</v>
      </c>
      <c r="B3591" s="9">
        <v>103.88</v>
      </c>
      <c r="C3591" s="9">
        <v>112</v>
      </c>
      <c r="D3591" s="9">
        <v>103.88</v>
      </c>
      <c r="E3591" s="9">
        <v>111.44</v>
      </c>
      <c r="F3591" s="9">
        <v>12025600</v>
      </c>
      <c r="G3591" s="9">
        <v>55.72</v>
      </c>
    </row>
    <row r="3592" spans="1:7" x14ac:dyDescent="0.25">
      <c r="A3592" s="101">
        <v>36790</v>
      </c>
      <c r="B3592" s="9">
        <v>108.86</v>
      </c>
      <c r="C3592" s="9">
        <v>112.12</v>
      </c>
      <c r="D3592" s="9">
        <v>108</v>
      </c>
      <c r="E3592" s="9">
        <v>108.12</v>
      </c>
      <c r="F3592" s="9">
        <v>8599200</v>
      </c>
      <c r="G3592" s="9">
        <v>54.06</v>
      </c>
    </row>
    <row r="3593" spans="1:7" x14ac:dyDescent="0.25">
      <c r="A3593" s="101">
        <v>36789</v>
      </c>
      <c r="B3593" s="9">
        <v>109.25</v>
      </c>
      <c r="C3593" s="9">
        <v>112.44</v>
      </c>
      <c r="D3593" s="9">
        <v>107.62</v>
      </c>
      <c r="E3593" s="9">
        <v>109.69</v>
      </c>
      <c r="F3593" s="9">
        <v>16960800</v>
      </c>
      <c r="G3593" s="9">
        <v>54.84</v>
      </c>
    </row>
    <row r="3594" spans="1:7" x14ac:dyDescent="0.25">
      <c r="A3594" s="101">
        <v>36788</v>
      </c>
      <c r="B3594" s="9">
        <v>105.5</v>
      </c>
      <c r="C3594" s="9">
        <v>108.25</v>
      </c>
      <c r="D3594" s="9">
        <v>105.12</v>
      </c>
      <c r="E3594" s="9">
        <v>108.06</v>
      </c>
      <c r="F3594" s="9">
        <v>9642600</v>
      </c>
      <c r="G3594" s="9">
        <v>54.03</v>
      </c>
    </row>
    <row r="3595" spans="1:7" x14ac:dyDescent="0.25">
      <c r="A3595" s="101">
        <v>36787</v>
      </c>
      <c r="B3595" s="9">
        <v>104.19</v>
      </c>
      <c r="C3595" s="9">
        <v>107.5</v>
      </c>
      <c r="D3595" s="9">
        <v>102.38</v>
      </c>
      <c r="E3595" s="9">
        <v>105.06</v>
      </c>
      <c r="F3595" s="9">
        <v>11642800</v>
      </c>
      <c r="G3595" s="9">
        <v>52.53</v>
      </c>
    </row>
    <row r="3596" spans="1:7" x14ac:dyDescent="0.25">
      <c r="A3596" s="101">
        <v>36784</v>
      </c>
      <c r="B3596" s="9">
        <v>107</v>
      </c>
      <c r="C3596" s="9">
        <v>107.5</v>
      </c>
      <c r="D3596" s="9">
        <v>104.38</v>
      </c>
      <c r="E3596" s="9">
        <v>105.88</v>
      </c>
      <c r="F3596" s="9">
        <v>13341000</v>
      </c>
      <c r="G3596" s="9">
        <v>52.94</v>
      </c>
    </row>
    <row r="3597" spans="1:7" x14ac:dyDescent="0.25">
      <c r="A3597" s="101">
        <v>36783</v>
      </c>
      <c r="B3597" s="9">
        <v>107.81</v>
      </c>
      <c r="C3597" s="9">
        <v>109.38</v>
      </c>
      <c r="D3597" s="9">
        <v>106</v>
      </c>
      <c r="E3597" s="9">
        <v>106.94</v>
      </c>
      <c r="F3597" s="9">
        <v>11057000</v>
      </c>
      <c r="G3597" s="9">
        <v>53.47</v>
      </c>
    </row>
    <row r="3598" spans="1:7" x14ac:dyDescent="0.25">
      <c r="A3598" s="101">
        <v>36782</v>
      </c>
      <c r="B3598" s="9">
        <v>105.56</v>
      </c>
      <c r="C3598" s="9">
        <v>108.19</v>
      </c>
      <c r="D3598" s="9">
        <v>104.5</v>
      </c>
      <c r="E3598" s="9">
        <v>106.38</v>
      </c>
      <c r="F3598" s="9">
        <v>11120400</v>
      </c>
      <c r="G3598" s="9">
        <v>53.19</v>
      </c>
    </row>
    <row r="3599" spans="1:7" x14ac:dyDescent="0.25">
      <c r="A3599" s="101">
        <v>36781</v>
      </c>
      <c r="B3599" s="9">
        <v>108.81</v>
      </c>
      <c r="C3599" s="9">
        <v>110.23</v>
      </c>
      <c r="D3599" s="9">
        <v>105</v>
      </c>
      <c r="E3599" s="9">
        <v>107</v>
      </c>
      <c r="F3599" s="9">
        <v>12909600</v>
      </c>
      <c r="G3599" s="9">
        <v>53.5</v>
      </c>
    </row>
    <row r="3600" spans="1:7" x14ac:dyDescent="0.25">
      <c r="A3600" s="101">
        <v>36780</v>
      </c>
      <c r="B3600" s="9">
        <v>103.25</v>
      </c>
      <c r="C3600" s="9">
        <v>109.38</v>
      </c>
      <c r="D3600" s="9">
        <v>102.88</v>
      </c>
      <c r="E3600" s="9">
        <v>106.31</v>
      </c>
      <c r="F3600" s="9">
        <v>17564200</v>
      </c>
      <c r="G3600" s="9">
        <v>53.16</v>
      </c>
    </row>
    <row r="3601" spans="1:7" x14ac:dyDescent="0.25">
      <c r="A3601" s="101">
        <v>36777</v>
      </c>
      <c r="B3601" s="9">
        <v>107.19</v>
      </c>
      <c r="C3601" s="9">
        <v>109.38</v>
      </c>
      <c r="D3601" s="9">
        <v>99.75</v>
      </c>
      <c r="E3601" s="9">
        <v>104.12</v>
      </c>
      <c r="F3601" s="9">
        <v>36988200</v>
      </c>
      <c r="G3601" s="9">
        <v>52.06</v>
      </c>
    </row>
    <row r="3602" spans="1:7" x14ac:dyDescent="0.25">
      <c r="A3602" s="101">
        <v>36776</v>
      </c>
      <c r="B3602" s="9">
        <v>110.56</v>
      </c>
      <c r="C3602" s="9">
        <v>114.75</v>
      </c>
      <c r="D3602" s="9">
        <v>106</v>
      </c>
      <c r="E3602" s="9">
        <v>106.94</v>
      </c>
      <c r="F3602" s="9">
        <v>35515800</v>
      </c>
      <c r="G3602" s="9">
        <v>53.47</v>
      </c>
    </row>
    <row r="3603" spans="1:7" x14ac:dyDescent="0.25">
      <c r="A3603" s="101">
        <v>36775</v>
      </c>
      <c r="B3603" s="9">
        <v>117.38</v>
      </c>
      <c r="C3603" s="9">
        <v>117.75</v>
      </c>
      <c r="D3603" s="9">
        <v>112</v>
      </c>
      <c r="E3603" s="9">
        <v>112.06</v>
      </c>
      <c r="F3603" s="9">
        <v>19088600</v>
      </c>
      <c r="G3603" s="9">
        <v>56.03</v>
      </c>
    </row>
    <row r="3604" spans="1:7" x14ac:dyDescent="0.25">
      <c r="A3604" s="101">
        <v>36774</v>
      </c>
      <c r="B3604" s="9">
        <v>111.88</v>
      </c>
      <c r="C3604" s="9">
        <v>119.25</v>
      </c>
      <c r="D3604" s="9">
        <v>110.38</v>
      </c>
      <c r="E3604" s="9">
        <v>117.12</v>
      </c>
      <c r="F3604" s="9">
        <v>27535600</v>
      </c>
      <c r="G3604" s="9">
        <v>58.56</v>
      </c>
    </row>
    <row r="3605" spans="1:7" x14ac:dyDescent="0.25">
      <c r="A3605" s="101">
        <v>36770</v>
      </c>
      <c r="B3605" s="9">
        <v>117.88</v>
      </c>
      <c r="C3605" s="9">
        <v>117.94</v>
      </c>
      <c r="D3605" s="9">
        <v>110.12</v>
      </c>
      <c r="E3605" s="9">
        <v>113.94</v>
      </c>
      <c r="F3605" s="9">
        <v>35473000</v>
      </c>
      <c r="G3605" s="9">
        <v>56.97</v>
      </c>
    </row>
    <row r="3606" spans="1:7" x14ac:dyDescent="0.25">
      <c r="A3606" s="101">
        <v>36769</v>
      </c>
      <c r="B3606" s="9">
        <v>123.62</v>
      </c>
      <c r="C3606" s="9">
        <v>124</v>
      </c>
      <c r="D3606" s="9">
        <v>120.75</v>
      </c>
      <c r="E3606" s="9">
        <v>121.5</v>
      </c>
      <c r="F3606" s="9">
        <v>11091400</v>
      </c>
      <c r="G3606" s="9">
        <v>60.75</v>
      </c>
    </row>
    <row r="3607" spans="1:7" x14ac:dyDescent="0.25">
      <c r="A3607" s="101">
        <v>36768</v>
      </c>
      <c r="B3607" s="9">
        <v>121.69</v>
      </c>
      <c r="C3607" s="9">
        <v>124.5</v>
      </c>
      <c r="D3607" s="9">
        <v>120.52</v>
      </c>
      <c r="E3607" s="9">
        <v>123.25</v>
      </c>
      <c r="F3607" s="9">
        <v>15051800</v>
      </c>
      <c r="G3607" s="9">
        <v>61.62</v>
      </c>
    </row>
    <row r="3608" spans="1:7" x14ac:dyDescent="0.25">
      <c r="A3608" s="101">
        <v>36767</v>
      </c>
      <c r="B3608" s="9">
        <v>120.73</v>
      </c>
      <c r="C3608" s="9">
        <v>126.75</v>
      </c>
      <c r="D3608" s="9">
        <v>120</v>
      </c>
      <c r="E3608" s="9">
        <v>121</v>
      </c>
      <c r="F3608" s="9">
        <v>27184600</v>
      </c>
      <c r="G3608" s="9">
        <v>60.5</v>
      </c>
    </row>
    <row r="3609" spans="1:7" x14ac:dyDescent="0.25">
      <c r="A3609" s="101">
        <v>36766</v>
      </c>
      <c r="B3609" s="9">
        <v>128.5</v>
      </c>
      <c r="C3609" s="9">
        <v>131.5</v>
      </c>
      <c r="D3609" s="9">
        <v>120.62</v>
      </c>
      <c r="E3609" s="9">
        <v>122.06</v>
      </c>
      <c r="F3609" s="9">
        <v>39080600</v>
      </c>
      <c r="G3609" s="9">
        <v>61.03</v>
      </c>
    </row>
    <row r="3610" spans="1:7" x14ac:dyDescent="0.25">
      <c r="A3610" s="101">
        <v>36763</v>
      </c>
      <c r="B3610" s="9">
        <v>138.81</v>
      </c>
      <c r="C3610" s="9">
        <v>139.69</v>
      </c>
      <c r="D3610" s="9">
        <v>132.88</v>
      </c>
      <c r="E3610" s="9">
        <v>134.25</v>
      </c>
      <c r="F3610" s="9">
        <v>13895600</v>
      </c>
      <c r="G3610" s="9">
        <v>67.12</v>
      </c>
    </row>
    <row r="3611" spans="1:7" x14ac:dyDescent="0.25">
      <c r="A3611" s="101">
        <v>36762</v>
      </c>
      <c r="B3611" s="9">
        <v>133.38</v>
      </c>
      <c r="C3611" s="9">
        <v>140</v>
      </c>
      <c r="D3611" s="9">
        <v>132.12</v>
      </c>
      <c r="E3611" s="9">
        <v>139.81</v>
      </c>
      <c r="F3611" s="9">
        <v>19643800</v>
      </c>
      <c r="G3611" s="9">
        <v>69.91</v>
      </c>
    </row>
    <row r="3612" spans="1:7" x14ac:dyDescent="0.25">
      <c r="A3612" s="101">
        <v>36761</v>
      </c>
      <c r="B3612" s="9">
        <v>125.75</v>
      </c>
      <c r="C3612" s="9">
        <v>134.38</v>
      </c>
      <c r="D3612" s="9">
        <v>124.94</v>
      </c>
      <c r="E3612" s="9">
        <v>133.81</v>
      </c>
      <c r="F3612" s="9">
        <v>14610600</v>
      </c>
      <c r="G3612" s="9">
        <v>66.91</v>
      </c>
    </row>
    <row r="3613" spans="1:7" x14ac:dyDescent="0.25">
      <c r="A3613" s="101">
        <v>36760</v>
      </c>
      <c r="B3613" s="9">
        <v>129</v>
      </c>
      <c r="C3613" s="9">
        <v>130</v>
      </c>
      <c r="D3613" s="9">
        <v>126.31</v>
      </c>
      <c r="E3613" s="9">
        <v>127.5</v>
      </c>
      <c r="F3613" s="9">
        <v>18488000</v>
      </c>
      <c r="G3613" s="9">
        <v>63.75</v>
      </c>
    </row>
    <row r="3614" spans="1:7" x14ac:dyDescent="0.25">
      <c r="A3614" s="101">
        <v>36759</v>
      </c>
      <c r="B3614" s="9">
        <v>124.69</v>
      </c>
      <c r="C3614" s="9">
        <v>130.56</v>
      </c>
      <c r="D3614" s="9">
        <v>123.25</v>
      </c>
      <c r="E3614" s="9">
        <v>130.44</v>
      </c>
      <c r="F3614" s="9">
        <v>15705600</v>
      </c>
      <c r="G3614" s="9">
        <v>65.22</v>
      </c>
    </row>
    <row r="3615" spans="1:7" x14ac:dyDescent="0.25">
      <c r="A3615" s="101">
        <v>36756</v>
      </c>
      <c r="B3615" s="9">
        <v>130.38</v>
      </c>
      <c r="C3615" s="9">
        <v>131.38</v>
      </c>
      <c r="D3615" s="9">
        <v>125</v>
      </c>
      <c r="E3615" s="9">
        <v>125.19</v>
      </c>
      <c r="F3615" s="9">
        <v>14911600</v>
      </c>
      <c r="G3615" s="9">
        <v>62.59</v>
      </c>
    </row>
    <row r="3616" spans="1:7" x14ac:dyDescent="0.25">
      <c r="A3616" s="101">
        <v>36755</v>
      </c>
      <c r="B3616" s="9">
        <v>133.31</v>
      </c>
      <c r="C3616" s="9">
        <v>134.12</v>
      </c>
      <c r="D3616" s="9">
        <v>130.88</v>
      </c>
      <c r="E3616" s="9">
        <v>131.12</v>
      </c>
      <c r="F3616" s="9">
        <v>11038200</v>
      </c>
      <c r="G3616" s="9">
        <v>65.56</v>
      </c>
    </row>
    <row r="3617" spans="1:7" x14ac:dyDescent="0.25">
      <c r="A3617" s="101">
        <v>36754</v>
      </c>
      <c r="B3617" s="9">
        <v>134.5</v>
      </c>
      <c r="C3617" s="9">
        <v>138</v>
      </c>
      <c r="D3617" s="9">
        <v>133.5</v>
      </c>
      <c r="E3617" s="9">
        <v>134</v>
      </c>
      <c r="F3617" s="9">
        <v>11161800</v>
      </c>
      <c r="G3617" s="9">
        <v>67</v>
      </c>
    </row>
    <row r="3618" spans="1:7" x14ac:dyDescent="0.25">
      <c r="A3618" s="101">
        <v>36753</v>
      </c>
      <c r="B3618" s="9">
        <v>131.19</v>
      </c>
      <c r="C3618" s="9">
        <v>135.25</v>
      </c>
      <c r="D3618" s="9">
        <v>131.12</v>
      </c>
      <c r="E3618" s="9">
        <v>132.31</v>
      </c>
      <c r="F3618" s="9">
        <v>6694400</v>
      </c>
      <c r="G3618" s="9">
        <v>66.16</v>
      </c>
    </row>
    <row r="3619" spans="1:7" x14ac:dyDescent="0.25">
      <c r="A3619" s="101">
        <v>36752</v>
      </c>
      <c r="B3619" s="9">
        <v>129.25</v>
      </c>
      <c r="C3619" s="9">
        <v>133.75</v>
      </c>
      <c r="D3619" s="9">
        <v>128.19</v>
      </c>
      <c r="E3619" s="9">
        <v>132.38</v>
      </c>
      <c r="F3619" s="9">
        <v>8142800</v>
      </c>
      <c r="G3619" s="9">
        <v>66.19</v>
      </c>
    </row>
    <row r="3620" spans="1:7" x14ac:dyDescent="0.25">
      <c r="A3620" s="101">
        <v>36749</v>
      </c>
      <c r="B3620" s="9">
        <v>128.25</v>
      </c>
      <c r="C3620" s="9">
        <v>129.75</v>
      </c>
      <c r="D3620" s="9">
        <v>125.38</v>
      </c>
      <c r="E3620" s="9">
        <v>128.62</v>
      </c>
      <c r="F3620" s="9">
        <v>7436000</v>
      </c>
      <c r="G3620" s="9">
        <v>64.31</v>
      </c>
    </row>
    <row r="3621" spans="1:7" x14ac:dyDescent="0.25">
      <c r="A3621" s="101">
        <v>36748</v>
      </c>
      <c r="B3621" s="9">
        <v>132.56</v>
      </c>
      <c r="C3621" s="9">
        <v>133.81</v>
      </c>
      <c r="D3621" s="9">
        <v>128.31</v>
      </c>
      <c r="E3621" s="9">
        <v>129.31</v>
      </c>
      <c r="F3621" s="9">
        <v>6857000</v>
      </c>
      <c r="G3621" s="9">
        <v>64.66</v>
      </c>
    </row>
    <row r="3622" spans="1:7" x14ac:dyDescent="0.25">
      <c r="A3622" s="101">
        <v>36747</v>
      </c>
      <c r="B3622" s="9">
        <v>136.38</v>
      </c>
      <c r="C3622" s="9">
        <v>137.5</v>
      </c>
      <c r="D3622" s="9">
        <v>132.5</v>
      </c>
      <c r="E3622" s="9">
        <v>132.69</v>
      </c>
      <c r="F3622" s="9">
        <v>8145800</v>
      </c>
      <c r="G3622" s="9">
        <v>66.34</v>
      </c>
    </row>
    <row r="3623" spans="1:7" x14ac:dyDescent="0.25">
      <c r="A3623" s="101">
        <v>36746</v>
      </c>
      <c r="B3623" s="9">
        <v>135.19</v>
      </c>
      <c r="C3623" s="9">
        <v>138</v>
      </c>
      <c r="D3623" s="9">
        <v>133.06</v>
      </c>
      <c r="E3623" s="9">
        <v>134.12</v>
      </c>
      <c r="F3623" s="9">
        <v>8953400</v>
      </c>
      <c r="G3623" s="9">
        <v>67.06</v>
      </c>
    </row>
    <row r="3624" spans="1:7" x14ac:dyDescent="0.25">
      <c r="A3624" s="101">
        <v>36745</v>
      </c>
      <c r="B3624" s="9">
        <v>133.47</v>
      </c>
      <c r="C3624" s="9">
        <v>137.75</v>
      </c>
      <c r="D3624" s="9">
        <v>130.75</v>
      </c>
      <c r="E3624" s="9">
        <v>136.5</v>
      </c>
      <c r="F3624" s="9">
        <v>9502600</v>
      </c>
      <c r="G3624" s="9">
        <v>68.25</v>
      </c>
    </row>
    <row r="3625" spans="1:7" x14ac:dyDescent="0.25">
      <c r="A3625" s="101">
        <v>36742</v>
      </c>
      <c r="B3625" s="9">
        <v>132.75</v>
      </c>
      <c r="C3625" s="9">
        <v>136.88</v>
      </c>
      <c r="D3625" s="9">
        <v>131.25</v>
      </c>
      <c r="E3625" s="9">
        <v>133.94</v>
      </c>
      <c r="F3625" s="9">
        <v>10833600</v>
      </c>
      <c r="G3625" s="9">
        <v>66.97</v>
      </c>
    </row>
    <row r="3626" spans="1:7" x14ac:dyDescent="0.25">
      <c r="A3626" s="101">
        <v>36741</v>
      </c>
      <c r="B3626" s="9">
        <v>124.88</v>
      </c>
      <c r="C3626" s="9">
        <v>131.56</v>
      </c>
      <c r="D3626" s="9">
        <v>123.5</v>
      </c>
      <c r="E3626" s="9">
        <v>131.19</v>
      </c>
      <c r="F3626" s="9">
        <v>12216200</v>
      </c>
      <c r="G3626" s="9">
        <v>65.59</v>
      </c>
    </row>
    <row r="3627" spans="1:7" x14ac:dyDescent="0.25">
      <c r="A3627" s="101">
        <v>36740</v>
      </c>
      <c r="B3627" s="9">
        <v>126.69</v>
      </c>
      <c r="C3627" s="9">
        <v>133.06</v>
      </c>
      <c r="D3627" s="9">
        <v>126.25</v>
      </c>
      <c r="E3627" s="9">
        <v>127.12</v>
      </c>
      <c r="F3627" s="9">
        <v>9287400</v>
      </c>
      <c r="G3627" s="9">
        <v>63.56</v>
      </c>
    </row>
    <row r="3628" spans="1:7" x14ac:dyDescent="0.25">
      <c r="A3628" s="101">
        <v>36739</v>
      </c>
      <c r="B3628" s="9">
        <v>128.5</v>
      </c>
      <c r="C3628" s="9">
        <v>130</v>
      </c>
      <c r="D3628" s="9">
        <v>126</v>
      </c>
      <c r="E3628" s="9">
        <v>127.44</v>
      </c>
      <c r="F3628" s="9">
        <v>8777800</v>
      </c>
      <c r="G3628" s="9">
        <v>63.72</v>
      </c>
    </row>
    <row r="3629" spans="1:7" x14ac:dyDescent="0.25">
      <c r="A3629" s="101">
        <v>36738</v>
      </c>
      <c r="B3629" s="9">
        <v>126.19</v>
      </c>
      <c r="C3629" s="9">
        <v>129.75</v>
      </c>
      <c r="D3629" s="9">
        <v>122.75</v>
      </c>
      <c r="E3629" s="9">
        <v>128.69</v>
      </c>
      <c r="F3629" s="9">
        <v>11073200</v>
      </c>
      <c r="G3629" s="9">
        <v>64.34</v>
      </c>
    </row>
    <row r="3630" spans="1:7" x14ac:dyDescent="0.25">
      <c r="A3630" s="101">
        <v>36735</v>
      </c>
      <c r="B3630" s="9">
        <v>134.69</v>
      </c>
      <c r="C3630" s="9">
        <v>136.75</v>
      </c>
      <c r="D3630" s="9">
        <v>126.06</v>
      </c>
      <c r="E3630" s="9">
        <v>126.75</v>
      </c>
      <c r="F3630" s="9">
        <v>14022600</v>
      </c>
      <c r="G3630" s="9">
        <v>63.38</v>
      </c>
    </row>
    <row r="3631" spans="1:7" x14ac:dyDescent="0.25">
      <c r="A3631" s="101">
        <v>36734</v>
      </c>
      <c r="B3631" s="9">
        <v>134.19</v>
      </c>
      <c r="C3631" s="9">
        <v>136.62</v>
      </c>
      <c r="D3631" s="9">
        <v>131.31</v>
      </c>
      <c r="E3631" s="9">
        <v>134.06</v>
      </c>
      <c r="F3631" s="9">
        <v>11889800</v>
      </c>
      <c r="G3631" s="9">
        <v>67.03</v>
      </c>
    </row>
    <row r="3632" spans="1:7" x14ac:dyDescent="0.25">
      <c r="A3632" s="101">
        <v>36733</v>
      </c>
      <c r="B3632" s="9">
        <v>136.31</v>
      </c>
      <c r="C3632" s="9">
        <v>139.25</v>
      </c>
      <c r="D3632" s="9">
        <v>133.69</v>
      </c>
      <c r="E3632" s="9">
        <v>135.94</v>
      </c>
      <c r="F3632" s="9">
        <v>11078600</v>
      </c>
      <c r="G3632" s="9">
        <v>67.97</v>
      </c>
    </row>
    <row r="3633" spans="1:7" x14ac:dyDescent="0.25">
      <c r="A3633" s="101">
        <v>36732</v>
      </c>
      <c r="B3633" s="9">
        <v>134.06</v>
      </c>
      <c r="C3633" s="9">
        <v>139.38</v>
      </c>
      <c r="D3633" s="9">
        <v>130.38</v>
      </c>
      <c r="E3633" s="9">
        <v>138</v>
      </c>
      <c r="F3633" s="9">
        <v>12744800</v>
      </c>
      <c r="G3633" s="9">
        <v>69</v>
      </c>
    </row>
    <row r="3634" spans="1:7" x14ac:dyDescent="0.25">
      <c r="A3634" s="101">
        <v>36731</v>
      </c>
      <c r="B3634" s="9">
        <v>136.88</v>
      </c>
      <c r="C3634" s="9">
        <v>138.75</v>
      </c>
      <c r="D3634" s="9">
        <v>132.25</v>
      </c>
      <c r="E3634" s="9">
        <v>132.56</v>
      </c>
      <c r="F3634" s="9">
        <v>12922000</v>
      </c>
      <c r="G3634" s="9">
        <v>66.28</v>
      </c>
    </row>
    <row r="3635" spans="1:7" x14ac:dyDescent="0.25">
      <c r="A3635" s="101">
        <v>36728</v>
      </c>
      <c r="B3635" s="9">
        <v>138.12</v>
      </c>
      <c r="C3635" s="9">
        <v>140.75</v>
      </c>
      <c r="D3635" s="9">
        <v>137.56</v>
      </c>
      <c r="E3635" s="9">
        <v>138.31</v>
      </c>
      <c r="F3635" s="9">
        <v>10598400</v>
      </c>
      <c r="G3635" s="9">
        <v>69.16</v>
      </c>
    </row>
    <row r="3636" spans="1:7" x14ac:dyDescent="0.25">
      <c r="A3636" s="101">
        <v>36727</v>
      </c>
      <c r="B3636" s="9">
        <v>134</v>
      </c>
      <c r="C3636" s="9">
        <v>142.69</v>
      </c>
      <c r="D3636" s="9">
        <v>133.69</v>
      </c>
      <c r="E3636" s="9">
        <v>139.81</v>
      </c>
      <c r="F3636" s="9">
        <v>19580200</v>
      </c>
      <c r="G3636" s="9">
        <v>69.91</v>
      </c>
    </row>
    <row r="3637" spans="1:7" x14ac:dyDescent="0.25">
      <c r="A3637" s="101">
        <v>36726</v>
      </c>
      <c r="B3637" s="9">
        <v>130.06</v>
      </c>
      <c r="C3637" s="9">
        <v>138</v>
      </c>
      <c r="D3637" s="9">
        <v>130</v>
      </c>
      <c r="E3637" s="9">
        <v>134</v>
      </c>
      <c r="F3637" s="9">
        <v>20859200</v>
      </c>
      <c r="G3637" s="9">
        <v>67</v>
      </c>
    </row>
    <row r="3638" spans="1:7" x14ac:dyDescent="0.25">
      <c r="A3638" s="101">
        <v>36725</v>
      </c>
      <c r="B3638" s="9">
        <v>129.38</v>
      </c>
      <c r="C3638" s="9">
        <v>133.38</v>
      </c>
      <c r="D3638" s="9">
        <v>127.12</v>
      </c>
      <c r="E3638" s="9">
        <v>129.94</v>
      </c>
      <c r="F3638" s="9">
        <v>15129400</v>
      </c>
      <c r="G3638" s="9">
        <v>64.97</v>
      </c>
    </row>
    <row r="3639" spans="1:7" x14ac:dyDescent="0.25">
      <c r="A3639" s="101">
        <v>36724</v>
      </c>
      <c r="B3639" s="9">
        <v>126.75</v>
      </c>
      <c r="C3639" s="9">
        <v>133.5</v>
      </c>
      <c r="D3639" s="9">
        <v>125.06</v>
      </c>
      <c r="E3639" s="9">
        <v>131.62</v>
      </c>
      <c r="F3639" s="9">
        <v>15484200</v>
      </c>
      <c r="G3639" s="9">
        <v>65.81</v>
      </c>
    </row>
    <row r="3640" spans="1:7" x14ac:dyDescent="0.25">
      <c r="A3640" s="101">
        <v>36721</v>
      </c>
      <c r="B3640" s="9">
        <v>124.62</v>
      </c>
      <c r="C3640" s="9">
        <v>128.25</v>
      </c>
      <c r="D3640" s="9">
        <v>122.5</v>
      </c>
      <c r="E3640" s="9">
        <v>128</v>
      </c>
      <c r="F3640" s="9">
        <v>18338800</v>
      </c>
      <c r="G3640" s="9">
        <v>64</v>
      </c>
    </row>
    <row r="3641" spans="1:7" x14ac:dyDescent="0.25">
      <c r="A3641" s="101">
        <v>36720</v>
      </c>
      <c r="B3641" s="9">
        <v>125.56</v>
      </c>
      <c r="C3641" s="9">
        <v>127.12</v>
      </c>
      <c r="D3641" s="9">
        <v>121.52</v>
      </c>
      <c r="E3641" s="9">
        <v>122.56</v>
      </c>
      <c r="F3641" s="9">
        <v>20465600</v>
      </c>
      <c r="G3641" s="9">
        <v>61.28</v>
      </c>
    </row>
    <row r="3642" spans="1:7" x14ac:dyDescent="0.25">
      <c r="A3642" s="101">
        <v>36719</v>
      </c>
      <c r="B3642" s="9">
        <v>120.5</v>
      </c>
      <c r="C3642" s="9">
        <v>127.38</v>
      </c>
      <c r="D3642" s="9">
        <v>116.88</v>
      </c>
      <c r="E3642" s="9">
        <v>124.94</v>
      </c>
      <c r="F3642" s="9">
        <v>74122200</v>
      </c>
      <c r="G3642" s="9">
        <v>62.47</v>
      </c>
    </row>
    <row r="3643" spans="1:7" x14ac:dyDescent="0.25">
      <c r="A3643" s="101">
        <v>36718</v>
      </c>
      <c r="B3643" s="9">
        <v>104.94</v>
      </c>
      <c r="C3643" s="9">
        <v>106.56</v>
      </c>
      <c r="D3643" s="9">
        <v>99.88</v>
      </c>
      <c r="E3643" s="9">
        <v>105.5</v>
      </c>
      <c r="F3643" s="9">
        <v>61754000</v>
      </c>
      <c r="G3643" s="9">
        <v>52.75</v>
      </c>
    </row>
    <row r="3644" spans="1:7" x14ac:dyDescent="0.25">
      <c r="A3644" s="101">
        <v>36717</v>
      </c>
      <c r="B3644" s="9">
        <v>113.81</v>
      </c>
      <c r="C3644" s="9">
        <v>114</v>
      </c>
      <c r="D3644" s="9">
        <v>109.72</v>
      </c>
      <c r="E3644" s="9">
        <v>110</v>
      </c>
      <c r="F3644" s="9">
        <v>23104200</v>
      </c>
      <c r="G3644" s="9">
        <v>55</v>
      </c>
    </row>
    <row r="3645" spans="1:7" x14ac:dyDescent="0.25">
      <c r="A3645" s="101">
        <v>36714</v>
      </c>
      <c r="B3645" s="9">
        <v>117.06</v>
      </c>
      <c r="C3645" s="9">
        <v>118.5</v>
      </c>
      <c r="D3645" s="9">
        <v>115</v>
      </c>
      <c r="E3645" s="9">
        <v>116.5</v>
      </c>
      <c r="F3645" s="9">
        <v>25520400</v>
      </c>
      <c r="G3645" s="9">
        <v>58.25</v>
      </c>
    </row>
    <row r="3646" spans="1:7" x14ac:dyDescent="0.25">
      <c r="A3646" s="101">
        <v>36713</v>
      </c>
      <c r="B3646" s="9">
        <v>121.38</v>
      </c>
      <c r="C3646" s="9">
        <v>124.19</v>
      </c>
      <c r="D3646" s="9">
        <v>118.5</v>
      </c>
      <c r="E3646" s="9">
        <v>122.38</v>
      </c>
      <c r="F3646" s="9">
        <v>11706400</v>
      </c>
      <c r="G3646" s="9">
        <v>61.19</v>
      </c>
    </row>
    <row r="3647" spans="1:7" x14ac:dyDescent="0.25">
      <c r="A3647" s="101">
        <v>36712</v>
      </c>
      <c r="B3647" s="9">
        <v>126</v>
      </c>
      <c r="C3647" s="9">
        <v>127.88</v>
      </c>
      <c r="D3647" s="9">
        <v>120.25</v>
      </c>
      <c r="E3647" s="9">
        <v>120.81</v>
      </c>
      <c r="F3647" s="9">
        <v>8643000</v>
      </c>
      <c r="G3647" s="9">
        <v>60.41</v>
      </c>
    </row>
    <row r="3648" spans="1:7" x14ac:dyDescent="0.25">
      <c r="A3648" s="101">
        <v>36710</v>
      </c>
      <c r="B3648" s="9">
        <v>122.5</v>
      </c>
      <c r="C3648" s="9">
        <v>128.25</v>
      </c>
      <c r="D3648" s="9">
        <v>122.12</v>
      </c>
      <c r="E3648" s="9">
        <v>127.88</v>
      </c>
      <c r="F3648" s="9">
        <v>4773200</v>
      </c>
      <c r="G3648" s="9">
        <v>63.94</v>
      </c>
    </row>
    <row r="3649" spans="1:7" x14ac:dyDescent="0.25">
      <c r="A3649" s="101">
        <v>36707</v>
      </c>
      <c r="B3649" s="9">
        <v>118.81</v>
      </c>
      <c r="C3649" s="9">
        <v>124.5</v>
      </c>
      <c r="D3649" s="9">
        <v>118.81</v>
      </c>
      <c r="E3649" s="9">
        <v>123.88</v>
      </c>
      <c r="F3649" s="9">
        <v>9068000</v>
      </c>
      <c r="G3649" s="9">
        <v>61.94</v>
      </c>
    </row>
    <row r="3650" spans="1:7" x14ac:dyDescent="0.25">
      <c r="A3650" s="101">
        <v>36706</v>
      </c>
      <c r="B3650" s="9">
        <v>122.56</v>
      </c>
      <c r="C3650" s="9">
        <v>126</v>
      </c>
      <c r="D3650" s="9">
        <v>118.75</v>
      </c>
      <c r="E3650" s="9">
        <v>119.31</v>
      </c>
      <c r="F3650" s="9">
        <v>12176400</v>
      </c>
      <c r="G3650" s="9">
        <v>59.66</v>
      </c>
    </row>
    <row r="3651" spans="1:7" x14ac:dyDescent="0.25">
      <c r="A3651" s="101">
        <v>36705</v>
      </c>
      <c r="B3651" s="9">
        <v>125.31</v>
      </c>
      <c r="C3651" s="9">
        <v>127.62</v>
      </c>
      <c r="D3651" s="9">
        <v>123.12</v>
      </c>
      <c r="E3651" s="9">
        <v>123.56</v>
      </c>
      <c r="F3651" s="9">
        <v>13065200</v>
      </c>
      <c r="G3651" s="9">
        <v>61.78</v>
      </c>
    </row>
    <row r="3652" spans="1:7" x14ac:dyDescent="0.25">
      <c r="A3652" s="101">
        <v>36704</v>
      </c>
      <c r="B3652" s="9">
        <v>118.88</v>
      </c>
      <c r="C3652" s="9">
        <v>128.88</v>
      </c>
      <c r="D3652" s="9">
        <v>118.75</v>
      </c>
      <c r="E3652" s="9">
        <v>125.94</v>
      </c>
      <c r="F3652" s="9">
        <v>20571400</v>
      </c>
      <c r="G3652" s="9">
        <v>62.97</v>
      </c>
    </row>
    <row r="3653" spans="1:7" x14ac:dyDescent="0.25">
      <c r="A3653" s="101">
        <v>36703</v>
      </c>
      <c r="B3653" s="9">
        <v>124.5</v>
      </c>
      <c r="C3653" s="9">
        <v>124.88</v>
      </c>
      <c r="D3653" s="9">
        <v>117.12</v>
      </c>
      <c r="E3653" s="9">
        <v>119.31</v>
      </c>
      <c r="F3653" s="9">
        <v>23421800</v>
      </c>
      <c r="G3653" s="9">
        <v>59.66</v>
      </c>
    </row>
    <row r="3654" spans="1:7" x14ac:dyDescent="0.25">
      <c r="A3654" s="101">
        <v>36700</v>
      </c>
      <c r="B3654" s="9">
        <v>129.25</v>
      </c>
      <c r="C3654" s="9">
        <v>130</v>
      </c>
      <c r="D3654" s="9">
        <v>122.25</v>
      </c>
      <c r="E3654" s="9">
        <v>125.31</v>
      </c>
      <c r="F3654" s="9">
        <v>18099800</v>
      </c>
      <c r="G3654" s="9">
        <v>62.66</v>
      </c>
    </row>
    <row r="3655" spans="1:7" x14ac:dyDescent="0.25">
      <c r="A3655" s="101">
        <v>36699</v>
      </c>
      <c r="B3655" s="9">
        <v>141.88</v>
      </c>
      <c r="C3655" s="9">
        <v>142.12</v>
      </c>
      <c r="D3655" s="9">
        <v>131.62</v>
      </c>
      <c r="E3655" s="9">
        <v>131.69</v>
      </c>
      <c r="F3655" s="9">
        <v>16783000</v>
      </c>
      <c r="G3655" s="9">
        <v>65.84</v>
      </c>
    </row>
    <row r="3656" spans="1:7" x14ac:dyDescent="0.25">
      <c r="A3656" s="101">
        <v>36698</v>
      </c>
      <c r="B3656" s="9">
        <v>142.31</v>
      </c>
      <c r="C3656" s="9">
        <v>145.56</v>
      </c>
      <c r="D3656" s="9">
        <v>140.5</v>
      </c>
      <c r="E3656" s="9">
        <v>142.81</v>
      </c>
      <c r="F3656" s="9">
        <v>15826200</v>
      </c>
      <c r="G3656" s="9">
        <v>71.41</v>
      </c>
    </row>
    <row r="3657" spans="1:7" x14ac:dyDescent="0.25">
      <c r="A3657" s="101">
        <v>36697</v>
      </c>
      <c r="B3657" s="9">
        <v>140.38</v>
      </c>
      <c r="C3657" s="9">
        <v>150</v>
      </c>
      <c r="D3657" s="9">
        <v>140.31</v>
      </c>
      <c r="E3657" s="9">
        <v>148</v>
      </c>
      <c r="F3657" s="9">
        <v>20704400</v>
      </c>
      <c r="G3657" s="9">
        <v>74</v>
      </c>
    </row>
    <row r="3658" spans="1:7" x14ac:dyDescent="0.25">
      <c r="A3658" s="101">
        <v>36696</v>
      </c>
      <c r="B3658" s="9">
        <v>140</v>
      </c>
      <c r="C3658" s="9">
        <v>140.62</v>
      </c>
      <c r="D3658" s="9">
        <v>135.94</v>
      </c>
      <c r="E3658" s="9">
        <v>139.06</v>
      </c>
      <c r="F3658" s="9">
        <v>14533600</v>
      </c>
      <c r="G3658" s="9">
        <v>69.53</v>
      </c>
    </row>
    <row r="3659" spans="1:7" x14ac:dyDescent="0.25">
      <c r="A3659" s="101">
        <v>36693</v>
      </c>
      <c r="B3659" s="9">
        <v>139.88</v>
      </c>
      <c r="C3659" s="9">
        <v>141.25</v>
      </c>
      <c r="D3659" s="9">
        <v>135.5</v>
      </c>
      <c r="E3659" s="9">
        <v>140.94</v>
      </c>
      <c r="F3659" s="9">
        <v>13738800</v>
      </c>
      <c r="G3659" s="9">
        <v>70.47</v>
      </c>
    </row>
    <row r="3660" spans="1:7" x14ac:dyDescent="0.25">
      <c r="A3660" s="101">
        <v>36692</v>
      </c>
      <c r="B3660" s="9">
        <v>138.25</v>
      </c>
      <c r="C3660" s="9">
        <v>141.75</v>
      </c>
      <c r="D3660" s="9">
        <v>134.81</v>
      </c>
      <c r="E3660" s="9">
        <v>139.69</v>
      </c>
      <c r="F3660" s="9">
        <v>10597600</v>
      </c>
      <c r="G3660" s="9">
        <v>69.84</v>
      </c>
    </row>
    <row r="3661" spans="1:7" x14ac:dyDescent="0.25">
      <c r="A3661" s="101">
        <v>36691</v>
      </c>
      <c r="B3661" s="9">
        <v>140.06</v>
      </c>
      <c r="C3661" s="9">
        <v>141.5</v>
      </c>
      <c r="D3661" s="9">
        <v>137.12</v>
      </c>
      <c r="E3661" s="9">
        <v>139.5</v>
      </c>
      <c r="F3661" s="9">
        <v>8810400</v>
      </c>
      <c r="G3661" s="9">
        <v>69.75</v>
      </c>
    </row>
    <row r="3662" spans="1:7" x14ac:dyDescent="0.25">
      <c r="A3662" s="101">
        <v>36690</v>
      </c>
      <c r="B3662" s="9">
        <v>136.69</v>
      </c>
      <c r="C3662" s="9">
        <v>139.56</v>
      </c>
      <c r="D3662" s="9">
        <v>131.25</v>
      </c>
      <c r="E3662" s="9">
        <v>139.5</v>
      </c>
      <c r="F3662" s="9">
        <v>14961200</v>
      </c>
      <c r="G3662" s="9">
        <v>69.75</v>
      </c>
    </row>
    <row r="3663" spans="1:7" x14ac:dyDescent="0.25">
      <c r="A3663" s="101">
        <v>36689</v>
      </c>
      <c r="B3663" s="9">
        <v>145</v>
      </c>
      <c r="C3663" s="9">
        <v>145.5</v>
      </c>
      <c r="D3663" s="9">
        <v>136.75</v>
      </c>
      <c r="E3663" s="9">
        <v>137.44</v>
      </c>
      <c r="F3663" s="9">
        <v>11717000</v>
      </c>
      <c r="G3663" s="9">
        <v>68.72</v>
      </c>
    </row>
    <row r="3664" spans="1:7" x14ac:dyDescent="0.25">
      <c r="A3664" s="101">
        <v>36686</v>
      </c>
      <c r="B3664" s="9">
        <v>146.56</v>
      </c>
      <c r="C3664" s="9">
        <v>146.77000000000001</v>
      </c>
      <c r="D3664" s="9">
        <v>142.25</v>
      </c>
      <c r="E3664" s="9">
        <v>143.19</v>
      </c>
      <c r="F3664" s="9">
        <v>8727400</v>
      </c>
      <c r="G3664" s="9">
        <v>71.59</v>
      </c>
    </row>
    <row r="3665" spans="1:7" x14ac:dyDescent="0.25">
      <c r="A3665" s="101">
        <v>36685</v>
      </c>
      <c r="B3665" s="9">
        <v>146.88</v>
      </c>
      <c r="C3665" s="9">
        <v>147.75</v>
      </c>
      <c r="D3665" s="9">
        <v>140.5</v>
      </c>
      <c r="E3665" s="9">
        <v>144</v>
      </c>
      <c r="F3665" s="9">
        <v>17499800</v>
      </c>
      <c r="G3665" s="9">
        <v>72</v>
      </c>
    </row>
    <row r="3666" spans="1:7" x14ac:dyDescent="0.25">
      <c r="A3666" s="101">
        <v>36684</v>
      </c>
      <c r="B3666" s="9">
        <v>138.5</v>
      </c>
      <c r="C3666" s="9">
        <v>146</v>
      </c>
      <c r="D3666" s="9">
        <v>135.5</v>
      </c>
      <c r="E3666" s="9">
        <v>144.5</v>
      </c>
      <c r="F3666" s="9">
        <v>20657200</v>
      </c>
      <c r="G3666" s="9">
        <v>72.25</v>
      </c>
    </row>
    <row r="3667" spans="1:7" x14ac:dyDescent="0.25">
      <c r="A3667" s="101">
        <v>36683</v>
      </c>
      <c r="B3667" s="9">
        <v>135.75</v>
      </c>
      <c r="C3667" s="9">
        <v>142.19</v>
      </c>
      <c r="D3667" s="9">
        <v>135</v>
      </c>
      <c r="E3667" s="9">
        <v>135.06</v>
      </c>
      <c r="F3667" s="9">
        <v>13933800</v>
      </c>
      <c r="G3667" s="9">
        <v>67.53</v>
      </c>
    </row>
    <row r="3668" spans="1:7" x14ac:dyDescent="0.25">
      <c r="A3668" s="101">
        <v>36682</v>
      </c>
      <c r="B3668" s="9">
        <v>130.88</v>
      </c>
      <c r="C3668" s="9">
        <v>141.94</v>
      </c>
      <c r="D3668" s="9">
        <v>130.5</v>
      </c>
      <c r="E3668" s="9">
        <v>137.31</v>
      </c>
      <c r="F3668" s="9">
        <v>17966800</v>
      </c>
      <c r="G3668" s="9">
        <v>68.66</v>
      </c>
    </row>
    <row r="3669" spans="1:7" x14ac:dyDescent="0.25">
      <c r="A3669" s="101">
        <v>36679</v>
      </c>
      <c r="B3669" s="9">
        <v>129.86000000000001</v>
      </c>
      <c r="C3669" s="9">
        <v>134.88</v>
      </c>
      <c r="D3669" s="9">
        <v>127.31</v>
      </c>
      <c r="E3669" s="9">
        <v>134.5</v>
      </c>
      <c r="F3669" s="9">
        <v>22187400</v>
      </c>
      <c r="G3669" s="9">
        <v>67.25</v>
      </c>
    </row>
    <row r="3670" spans="1:7" x14ac:dyDescent="0.25">
      <c r="A3670" s="101">
        <v>36678</v>
      </c>
      <c r="B3670" s="9">
        <v>116.19</v>
      </c>
      <c r="C3670" s="9">
        <v>122</v>
      </c>
      <c r="D3670" s="9">
        <v>115.62</v>
      </c>
      <c r="E3670" s="9">
        <v>120.06</v>
      </c>
      <c r="F3670" s="9">
        <v>16573800</v>
      </c>
      <c r="G3670" s="9">
        <v>60.03</v>
      </c>
    </row>
    <row r="3671" spans="1:7" x14ac:dyDescent="0.25">
      <c r="A3671" s="101">
        <v>36677</v>
      </c>
      <c r="B3671" s="9">
        <v>113.75</v>
      </c>
      <c r="C3671" s="9">
        <v>117.31</v>
      </c>
      <c r="D3671" s="9">
        <v>112.81</v>
      </c>
      <c r="E3671" s="9">
        <v>113.06</v>
      </c>
      <c r="F3671" s="9">
        <v>28353800</v>
      </c>
      <c r="G3671" s="9">
        <v>56.53</v>
      </c>
    </row>
    <row r="3672" spans="1:7" x14ac:dyDescent="0.25">
      <c r="A3672" s="101">
        <v>36676</v>
      </c>
      <c r="B3672" s="9">
        <v>115.69</v>
      </c>
      <c r="C3672" s="9">
        <v>120</v>
      </c>
      <c r="D3672" s="9">
        <v>114.5</v>
      </c>
      <c r="E3672" s="9">
        <v>117</v>
      </c>
      <c r="F3672" s="9">
        <v>17734000</v>
      </c>
      <c r="G3672" s="9">
        <v>58.5</v>
      </c>
    </row>
    <row r="3673" spans="1:7" x14ac:dyDescent="0.25">
      <c r="A3673" s="101">
        <v>36672</v>
      </c>
      <c r="B3673" s="9">
        <v>114.5</v>
      </c>
      <c r="C3673" s="9">
        <v>116.12</v>
      </c>
      <c r="D3673" s="9">
        <v>111</v>
      </c>
      <c r="E3673" s="9">
        <v>112.06</v>
      </c>
      <c r="F3673" s="9">
        <v>12662200</v>
      </c>
      <c r="G3673" s="9">
        <v>56.03</v>
      </c>
    </row>
    <row r="3674" spans="1:7" x14ac:dyDescent="0.25">
      <c r="A3674" s="101">
        <v>36671</v>
      </c>
      <c r="B3674" s="9">
        <v>121.5</v>
      </c>
      <c r="C3674" s="9">
        <v>123.62</v>
      </c>
      <c r="D3674" s="9">
        <v>113</v>
      </c>
      <c r="E3674" s="9">
        <v>115</v>
      </c>
      <c r="F3674" s="9">
        <v>18788800</v>
      </c>
      <c r="G3674" s="9">
        <v>57.5</v>
      </c>
    </row>
    <row r="3675" spans="1:7" x14ac:dyDescent="0.25">
      <c r="A3675" s="101">
        <v>36670</v>
      </c>
      <c r="B3675" s="9">
        <v>117.5</v>
      </c>
      <c r="C3675" s="9">
        <v>124</v>
      </c>
      <c r="D3675" s="9">
        <v>112</v>
      </c>
      <c r="E3675" s="9">
        <v>122.75</v>
      </c>
      <c r="F3675" s="9">
        <v>22729200</v>
      </c>
      <c r="G3675" s="9">
        <v>61.38</v>
      </c>
    </row>
    <row r="3676" spans="1:7" x14ac:dyDescent="0.25">
      <c r="A3676" s="101">
        <v>36669</v>
      </c>
      <c r="B3676" s="9">
        <v>125.25</v>
      </c>
      <c r="C3676" s="9">
        <v>127.38</v>
      </c>
      <c r="D3676" s="9">
        <v>118</v>
      </c>
      <c r="E3676" s="9">
        <v>118.31</v>
      </c>
      <c r="F3676" s="9">
        <v>17904400</v>
      </c>
      <c r="G3676" s="9">
        <v>59.16</v>
      </c>
    </row>
    <row r="3677" spans="1:7" x14ac:dyDescent="0.25">
      <c r="A3677" s="101">
        <v>36668</v>
      </c>
      <c r="B3677" s="9">
        <v>120.12</v>
      </c>
      <c r="C3677" s="9">
        <v>128</v>
      </c>
      <c r="D3677" s="9">
        <v>113.25</v>
      </c>
      <c r="E3677" s="9">
        <v>126.25</v>
      </c>
      <c r="F3677" s="9">
        <v>31994400</v>
      </c>
      <c r="G3677" s="9">
        <v>63.12</v>
      </c>
    </row>
    <row r="3678" spans="1:7" x14ac:dyDescent="0.25">
      <c r="A3678" s="101">
        <v>36665</v>
      </c>
      <c r="B3678" s="9">
        <v>131.38</v>
      </c>
      <c r="C3678" s="9">
        <v>134.69</v>
      </c>
      <c r="D3678" s="9">
        <v>120</v>
      </c>
      <c r="E3678" s="9">
        <v>120.31</v>
      </c>
      <c r="F3678" s="9">
        <v>28261600</v>
      </c>
      <c r="G3678" s="9">
        <v>60.16</v>
      </c>
    </row>
    <row r="3679" spans="1:7" x14ac:dyDescent="0.25">
      <c r="A3679" s="101">
        <v>36664</v>
      </c>
      <c r="B3679" s="9">
        <v>137.5</v>
      </c>
      <c r="C3679" s="9">
        <v>137.56</v>
      </c>
      <c r="D3679" s="9">
        <v>130</v>
      </c>
      <c r="E3679" s="9">
        <v>132</v>
      </c>
      <c r="F3679" s="9">
        <v>15213200</v>
      </c>
      <c r="G3679" s="9">
        <v>66</v>
      </c>
    </row>
    <row r="3680" spans="1:7" x14ac:dyDescent="0.25">
      <c r="A3680" s="101">
        <v>36663</v>
      </c>
      <c r="B3680" s="9">
        <v>132.5</v>
      </c>
      <c r="C3680" s="9">
        <v>139.75</v>
      </c>
      <c r="D3680" s="9">
        <v>131.88</v>
      </c>
      <c r="E3680" s="9">
        <v>137.81</v>
      </c>
      <c r="F3680" s="9">
        <v>20842400</v>
      </c>
      <c r="G3680" s="9">
        <v>68.91</v>
      </c>
    </row>
    <row r="3681" spans="1:7" x14ac:dyDescent="0.25">
      <c r="A3681" s="101">
        <v>36662</v>
      </c>
      <c r="B3681" s="9">
        <v>133.38</v>
      </c>
      <c r="C3681" s="9">
        <v>138.25</v>
      </c>
      <c r="D3681" s="9">
        <v>130</v>
      </c>
      <c r="E3681" s="9">
        <v>135.62</v>
      </c>
      <c r="F3681" s="9">
        <v>20359400</v>
      </c>
      <c r="G3681" s="9">
        <v>67.81</v>
      </c>
    </row>
    <row r="3682" spans="1:7" x14ac:dyDescent="0.25">
      <c r="A3682" s="101">
        <v>36661</v>
      </c>
      <c r="B3682" s="9">
        <v>125.12</v>
      </c>
      <c r="C3682" s="9">
        <v>130</v>
      </c>
      <c r="D3682" s="9">
        <v>120.64</v>
      </c>
      <c r="E3682" s="9">
        <v>130</v>
      </c>
      <c r="F3682" s="9">
        <v>11592000</v>
      </c>
      <c r="G3682" s="9">
        <v>65</v>
      </c>
    </row>
    <row r="3683" spans="1:7" x14ac:dyDescent="0.25">
      <c r="A3683" s="101">
        <v>36658</v>
      </c>
      <c r="B3683" s="9">
        <v>126.5</v>
      </c>
      <c r="C3683" s="9">
        <v>131.44</v>
      </c>
      <c r="D3683" s="9">
        <v>125.06</v>
      </c>
      <c r="E3683" s="9">
        <v>125.69</v>
      </c>
      <c r="F3683" s="9">
        <v>14853400</v>
      </c>
      <c r="G3683" s="9">
        <v>62.84</v>
      </c>
    </row>
    <row r="3684" spans="1:7" x14ac:dyDescent="0.25">
      <c r="A3684" s="101">
        <v>36657</v>
      </c>
      <c r="B3684" s="9">
        <v>121.81</v>
      </c>
      <c r="C3684" s="9">
        <v>126</v>
      </c>
      <c r="D3684" s="9">
        <v>119.5</v>
      </c>
      <c r="E3684" s="9">
        <v>125.31</v>
      </c>
      <c r="F3684" s="9">
        <v>14962800</v>
      </c>
      <c r="G3684" s="9">
        <v>62.66</v>
      </c>
    </row>
    <row r="3685" spans="1:7" x14ac:dyDescent="0.25">
      <c r="A3685" s="101">
        <v>36656</v>
      </c>
      <c r="B3685" s="9">
        <v>115.31</v>
      </c>
      <c r="C3685" s="9">
        <v>122.5</v>
      </c>
      <c r="D3685" s="9">
        <v>112.5</v>
      </c>
      <c r="E3685" s="9">
        <v>118.89</v>
      </c>
      <c r="F3685" s="9">
        <v>18772600</v>
      </c>
      <c r="G3685" s="9">
        <v>59.45</v>
      </c>
    </row>
    <row r="3686" spans="1:7" x14ac:dyDescent="0.25">
      <c r="A3686" s="101">
        <v>36655</v>
      </c>
      <c r="B3686" s="9">
        <v>121.5</v>
      </c>
      <c r="C3686" s="9">
        <v>122.25</v>
      </c>
      <c r="D3686" s="9">
        <v>115</v>
      </c>
      <c r="E3686" s="9">
        <v>117.44</v>
      </c>
      <c r="F3686" s="9">
        <v>13656200</v>
      </c>
      <c r="G3686" s="9">
        <v>58.72</v>
      </c>
    </row>
    <row r="3687" spans="1:7" x14ac:dyDescent="0.25">
      <c r="A3687" s="101">
        <v>36654</v>
      </c>
      <c r="B3687" s="9">
        <v>122.94</v>
      </c>
      <c r="C3687" s="9">
        <v>125.5</v>
      </c>
      <c r="D3687" s="9">
        <v>120.5</v>
      </c>
      <c r="E3687" s="9">
        <v>120.75</v>
      </c>
      <c r="F3687" s="9">
        <v>7958800</v>
      </c>
      <c r="G3687" s="9">
        <v>60.38</v>
      </c>
    </row>
    <row r="3688" spans="1:7" x14ac:dyDescent="0.25">
      <c r="A3688" s="101">
        <v>36651</v>
      </c>
      <c r="B3688" s="9">
        <v>122</v>
      </c>
      <c r="C3688" s="9">
        <v>128</v>
      </c>
      <c r="D3688" s="9">
        <v>122</v>
      </c>
      <c r="E3688" s="9">
        <v>125.69</v>
      </c>
      <c r="F3688" s="9">
        <v>8375000</v>
      </c>
      <c r="G3688" s="9">
        <v>62.84</v>
      </c>
    </row>
    <row r="3689" spans="1:7" x14ac:dyDescent="0.25">
      <c r="A3689" s="101">
        <v>36650</v>
      </c>
      <c r="B3689" s="9">
        <v>124.5</v>
      </c>
      <c r="C3689" s="9">
        <v>127</v>
      </c>
      <c r="D3689" s="9">
        <v>121.06</v>
      </c>
      <c r="E3689" s="9">
        <v>124.19</v>
      </c>
      <c r="F3689" s="9">
        <v>13000000</v>
      </c>
      <c r="G3689" s="9">
        <v>62.09</v>
      </c>
    </row>
    <row r="3690" spans="1:7" x14ac:dyDescent="0.25">
      <c r="A3690" s="101">
        <v>36649</v>
      </c>
      <c r="B3690" s="9">
        <v>120.31</v>
      </c>
      <c r="C3690" s="9">
        <v>124.75</v>
      </c>
      <c r="D3690" s="9">
        <v>116.06</v>
      </c>
      <c r="E3690" s="9">
        <v>122.06</v>
      </c>
      <c r="F3690" s="9">
        <v>14383000</v>
      </c>
      <c r="G3690" s="9">
        <v>61.03</v>
      </c>
    </row>
    <row r="3691" spans="1:7" x14ac:dyDescent="0.25">
      <c r="A3691" s="101">
        <v>36648</v>
      </c>
      <c r="B3691" s="9">
        <v>129.12</v>
      </c>
      <c r="C3691" s="9">
        <v>131.5</v>
      </c>
      <c r="D3691" s="9">
        <v>121.62</v>
      </c>
      <c r="E3691" s="9">
        <v>122.56</v>
      </c>
      <c r="F3691" s="9">
        <v>13658200</v>
      </c>
      <c r="G3691" s="9">
        <v>61.28</v>
      </c>
    </row>
    <row r="3692" spans="1:7" x14ac:dyDescent="0.25">
      <c r="A3692" s="101">
        <v>36647</v>
      </c>
      <c r="B3692" s="9">
        <v>134.75</v>
      </c>
      <c r="C3692" s="9">
        <v>136</v>
      </c>
      <c r="D3692" s="9">
        <v>126.94</v>
      </c>
      <c r="E3692" s="9">
        <v>130.88</v>
      </c>
      <c r="F3692" s="9">
        <v>14252400</v>
      </c>
      <c r="G3692" s="9">
        <v>65.44</v>
      </c>
    </row>
    <row r="3693" spans="1:7" x14ac:dyDescent="0.25">
      <c r="A3693" s="101">
        <v>36644</v>
      </c>
      <c r="B3693" s="9">
        <v>126.75</v>
      </c>
      <c r="C3693" s="9">
        <v>131.88</v>
      </c>
      <c r="D3693" s="9">
        <v>125.5</v>
      </c>
      <c r="E3693" s="9">
        <v>130.25</v>
      </c>
      <c r="F3693" s="9">
        <v>14908800</v>
      </c>
      <c r="G3693" s="9">
        <v>65.12</v>
      </c>
    </row>
    <row r="3694" spans="1:7" x14ac:dyDescent="0.25">
      <c r="A3694" s="101">
        <v>36643</v>
      </c>
      <c r="B3694" s="9">
        <v>114.5</v>
      </c>
      <c r="C3694" s="9">
        <v>126.75</v>
      </c>
      <c r="D3694" s="9">
        <v>113</v>
      </c>
      <c r="E3694" s="9">
        <v>124.31</v>
      </c>
      <c r="F3694" s="9">
        <v>19964200</v>
      </c>
      <c r="G3694" s="9">
        <v>62.16</v>
      </c>
    </row>
    <row r="3695" spans="1:7" x14ac:dyDescent="0.25">
      <c r="A3695" s="101">
        <v>36642</v>
      </c>
      <c r="B3695" s="9">
        <v>124.5</v>
      </c>
      <c r="C3695" s="9">
        <v>126.88</v>
      </c>
      <c r="D3695" s="9">
        <v>118.25</v>
      </c>
      <c r="E3695" s="9">
        <v>119.12</v>
      </c>
      <c r="F3695" s="9">
        <v>16669600</v>
      </c>
      <c r="G3695" s="9">
        <v>59.56</v>
      </c>
    </row>
    <row r="3696" spans="1:7" x14ac:dyDescent="0.25">
      <c r="A3696" s="101">
        <v>36641</v>
      </c>
      <c r="B3696" s="9">
        <v>118.75</v>
      </c>
      <c r="C3696" s="9">
        <v>127</v>
      </c>
      <c r="D3696" s="9">
        <v>118.75</v>
      </c>
      <c r="E3696" s="9">
        <v>124.5</v>
      </c>
      <c r="F3696" s="9">
        <v>25156400</v>
      </c>
      <c r="G3696" s="9">
        <v>62.25</v>
      </c>
    </row>
    <row r="3697" spans="1:7" x14ac:dyDescent="0.25">
      <c r="A3697" s="101">
        <v>36640</v>
      </c>
      <c r="B3697" s="9">
        <v>115</v>
      </c>
      <c r="C3697" s="9">
        <v>119.12</v>
      </c>
      <c r="D3697" s="9">
        <v>107</v>
      </c>
      <c r="E3697" s="9">
        <v>113.88</v>
      </c>
      <c r="F3697" s="9">
        <v>21974800</v>
      </c>
      <c r="G3697" s="9">
        <v>56.94</v>
      </c>
    </row>
    <row r="3698" spans="1:7" x14ac:dyDescent="0.25">
      <c r="A3698" s="101">
        <v>36636</v>
      </c>
      <c r="B3698" s="9">
        <v>126.5</v>
      </c>
      <c r="C3698" s="9">
        <v>129.12</v>
      </c>
      <c r="D3698" s="9">
        <v>119.5</v>
      </c>
      <c r="E3698" s="9">
        <v>123.12</v>
      </c>
      <c r="F3698" s="9">
        <v>13100600</v>
      </c>
      <c r="G3698" s="9">
        <v>61.56</v>
      </c>
    </row>
    <row r="3699" spans="1:7" x14ac:dyDescent="0.25">
      <c r="A3699" s="101">
        <v>36635</v>
      </c>
      <c r="B3699" s="9">
        <v>129.38</v>
      </c>
      <c r="C3699" s="9">
        <v>134.5</v>
      </c>
      <c r="D3699" s="9">
        <v>122</v>
      </c>
      <c r="E3699" s="9">
        <v>125.88</v>
      </c>
      <c r="F3699" s="9">
        <v>18326000</v>
      </c>
      <c r="G3699" s="9">
        <v>62.94</v>
      </c>
    </row>
    <row r="3700" spans="1:7" x14ac:dyDescent="0.25">
      <c r="A3700" s="101">
        <v>36634</v>
      </c>
      <c r="B3700" s="9">
        <v>116.94</v>
      </c>
      <c r="C3700" s="9">
        <v>127.5</v>
      </c>
      <c r="D3700" s="9">
        <v>115.5</v>
      </c>
      <c r="E3700" s="9">
        <v>126.69</v>
      </c>
      <c r="F3700" s="9">
        <v>24866000</v>
      </c>
      <c r="G3700" s="9">
        <v>63.34</v>
      </c>
    </row>
    <row r="3701" spans="1:7" x14ac:dyDescent="0.25">
      <c r="A3701" s="101">
        <v>36633</v>
      </c>
      <c r="B3701" s="9">
        <v>111.25</v>
      </c>
      <c r="C3701" s="9">
        <v>122.94</v>
      </c>
      <c r="D3701" s="9">
        <v>108</v>
      </c>
      <c r="E3701" s="9">
        <v>114.38</v>
      </c>
      <c r="F3701" s="9">
        <v>44468600</v>
      </c>
      <c r="G3701" s="9">
        <v>57.19</v>
      </c>
    </row>
    <row r="3702" spans="1:7" x14ac:dyDescent="0.25">
      <c r="A3702" s="101">
        <v>36630</v>
      </c>
      <c r="B3702" s="9">
        <v>130.25</v>
      </c>
      <c r="C3702" s="9">
        <v>135.25</v>
      </c>
      <c r="D3702" s="9">
        <v>111</v>
      </c>
      <c r="E3702" s="9">
        <v>116</v>
      </c>
      <c r="F3702" s="9">
        <v>38466800</v>
      </c>
      <c r="G3702" s="9">
        <v>58</v>
      </c>
    </row>
    <row r="3703" spans="1:7" x14ac:dyDescent="0.25">
      <c r="A3703" s="101">
        <v>36629</v>
      </c>
      <c r="B3703" s="9">
        <v>136.97</v>
      </c>
      <c r="C3703" s="9">
        <v>148.12</v>
      </c>
      <c r="D3703" s="9">
        <v>134.31</v>
      </c>
      <c r="E3703" s="9">
        <v>136.12</v>
      </c>
      <c r="F3703" s="9">
        <v>28022800</v>
      </c>
      <c r="G3703" s="9">
        <v>68.06</v>
      </c>
    </row>
    <row r="3704" spans="1:7" x14ac:dyDescent="0.25">
      <c r="A3704" s="101">
        <v>36628</v>
      </c>
      <c r="B3704" s="9">
        <v>136.62</v>
      </c>
      <c r="C3704" s="9">
        <v>142.94</v>
      </c>
      <c r="D3704" s="9">
        <v>130.5</v>
      </c>
      <c r="E3704" s="9">
        <v>136.19</v>
      </c>
      <c r="F3704" s="9">
        <v>29695800</v>
      </c>
      <c r="G3704" s="9">
        <v>68.09</v>
      </c>
    </row>
    <row r="3705" spans="1:7" x14ac:dyDescent="0.25">
      <c r="A3705" s="101">
        <v>36627</v>
      </c>
      <c r="B3705" s="9">
        <v>139.56</v>
      </c>
      <c r="C3705" s="9">
        <v>142.5</v>
      </c>
      <c r="D3705" s="9">
        <v>132.5</v>
      </c>
      <c r="E3705" s="9">
        <v>133.5</v>
      </c>
      <c r="F3705" s="9">
        <v>28853600</v>
      </c>
      <c r="G3705" s="9">
        <v>66.75</v>
      </c>
    </row>
    <row r="3706" spans="1:7" x14ac:dyDescent="0.25">
      <c r="A3706" s="101">
        <v>36626</v>
      </c>
      <c r="B3706" s="9">
        <v>152.88</v>
      </c>
      <c r="C3706" s="9">
        <v>153</v>
      </c>
      <c r="D3706" s="9">
        <v>141</v>
      </c>
      <c r="E3706" s="9">
        <v>141.94</v>
      </c>
      <c r="F3706" s="9">
        <v>24860000</v>
      </c>
      <c r="G3706" s="9">
        <v>70.97</v>
      </c>
    </row>
    <row r="3707" spans="1:7" x14ac:dyDescent="0.25">
      <c r="A3707" s="101">
        <v>36623</v>
      </c>
      <c r="B3707" s="9">
        <v>156.75</v>
      </c>
      <c r="C3707" s="9">
        <v>160</v>
      </c>
      <c r="D3707" s="9">
        <v>150.75</v>
      </c>
      <c r="E3707" s="9">
        <v>151.12</v>
      </c>
      <c r="F3707" s="9">
        <v>24960400</v>
      </c>
      <c r="G3707" s="9">
        <v>75.56</v>
      </c>
    </row>
    <row r="3708" spans="1:7" x14ac:dyDescent="0.25">
      <c r="A3708" s="101">
        <v>36622</v>
      </c>
      <c r="B3708" s="9">
        <v>161.94</v>
      </c>
      <c r="C3708" s="9">
        <v>171.25</v>
      </c>
      <c r="D3708" s="9">
        <v>150.69</v>
      </c>
      <c r="E3708" s="9">
        <v>154</v>
      </c>
      <c r="F3708" s="9">
        <v>55990400</v>
      </c>
      <c r="G3708" s="9">
        <v>77</v>
      </c>
    </row>
    <row r="3709" spans="1:7" x14ac:dyDescent="0.25">
      <c r="A3709" s="101">
        <v>36621</v>
      </c>
      <c r="B3709" s="9">
        <v>162</v>
      </c>
      <c r="C3709" s="9">
        <v>169.88</v>
      </c>
      <c r="D3709" s="9">
        <v>158.5</v>
      </c>
      <c r="E3709" s="9">
        <v>165.56</v>
      </c>
      <c r="F3709" s="9">
        <v>27371800</v>
      </c>
      <c r="G3709" s="9">
        <v>82.78</v>
      </c>
    </row>
    <row r="3710" spans="1:7" x14ac:dyDescent="0.25">
      <c r="A3710" s="101">
        <v>36620</v>
      </c>
      <c r="B3710" s="9">
        <v>165</v>
      </c>
      <c r="C3710" s="9">
        <v>171</v>
      </c>
      <c r="D3710" s="9">
        <v>132.75</v>
      </c>
      <c r="E3710" s="9">
        <v>167.38</v>
      </c>
      <c r="F3710" s="9">
        <v>42528400</v>
      </c>
      <c r="G3710" s="9">
        <v>83.69</v>
      </c>
    </row>
    <row r="3711" spans="1:7" x14ac:dyDescent="0.25">
      <c r="A3711" s="101">
        <v>36619</v>
      </c>
      <c r="B3711" s="9">
        <v>168.75</v>
      </c>
      <c r="C3711" s="9">
        <v>173</v>
      </c>
      <c r="D3711" s="9">
        <v>159.38</v>
      </c>
      <c r="E3711" s="9">
        <v>160.12</v>
      </c>
      <c r="F3711" s="9">
        <v>19322800</v>
      </c>
      <c r="G3711" s="9">
        <v>80.06</v>
      </c>
    </row>
    <row r="3712" spans="1:7" x14ac:dyDescent="0.25">
      <c r="A3712" s="101">
        <v>36616</v>
      </c>
      <c r="B3712" s="9">
        <v>175.25</v>
      </c>
      <c r="C3712" s="9">
        <v>177.25</v>
      </c>
      <c r="D3712" s="9">
        <v>160.5</v>
      </c>
      <c r="E3712" s="9">
        <v>171.38</v>
      </c>
      <c r="F3712" s="9">
        <v>21684000</v>
      </c>
      <c r="G3712" s="9">
        <v>85.69</v>
      </c>
    </row>
    <row r="3713" spans="1:7" x14ac:dyDescent="0.25">
      <c r="A3713" s="101">
        <v>36615</v>
      </c>
      <c r="B3713" s="9">
        <v>172.5</v>
      </c>
      <c r="C3713" s="9">
        <v>187.06</v>
      </c>
      <c r="D3713" s="9">
        <v>160.25</v>
      </c>
      <c r="E3713" s="9">
        <v>169.5</v>
      </c>
      <c r="F3713" s="9">
        <v>31733800</v>
      </c>
      <c r="G3713" s="9">
        <v>84.75</v>
      </c>
    </row>
    <row r="3714" spans="1:7" x14ac:dyDescent="0.25">
      <c r="A3714" s="101">
        <v>36614</v>
      </c>
      <c r="B3714" s="9">
        <v>193.44</v>
      </c>
      <c r="C3714" s="9">
        <v>196.5</v>
      </c>
      <c r="D3714" s="9">
        <v>174</v>
      </c>
      <c r="E3714" s="9">
        <v>177.06</v>
      </c>
      <c r="F3714" s="9">
        <v>21540000</v>
      </c>
      <c r="G3714" s="9">
        <v>88.53</v>
      </c>
    </row>
    <row r="3715" spans="1:7" x14ac:dyDescent="0.25">
      <c r="A3715" s="101">
        <v>36613</v>
      </c>
      <c r="B3715" s="9">
        <v>197</v>
      </c>
      <c r="C3715" s="9">
        <v>200.75</v>
      </c>
      <c r="D3715" s="9">
        <v>192</v>
      </c>
      <c r="E3715" s="9">
        <v>195</v>
      </c>
      <c r="F3715" s="9">
        <v>12830200</v>
      </c>
      <c r="G3715" s="9">
        <v>97.5</v>
      </c>
    </row>
    <row r="3716" spans="1:7" x14ac:dyDescent="0.25">
      <c r="A3716" s="101">
        <v>36612</v>
      </c>
      <c r="B3716" s="9">
        <v>195.62</v>
      </c>
      <c r="C3716" s="9">
        <v>205.19</v>
      </c>
      <c r="D3716" s="9">
        <v>195</v>
      </c>
      <c r="E3716" s="9">
        <v>200.75</v>
      </c>
      <c r="F3716" s="9">
        <v>17279800</v>
      </c>
      <c r="G3716" s="9">
        <v>100.38</v>
      </c>
    </row>
    <row r="3717" spans="1:7" x14ac:dyDescent="0.25">
      <c r="A3717" s="101">
        <v>36609</v>
      </c>
      <c r="B3717" s="9">
        <v>193.5</v>
      </c>
      <c r="C3717" s="9">
        <v>201</v>
      </c>
      <c r="D3717" s="9">
        <v>188</v>
      </c>
      <c r="E3717" s="9">
        <v>194</v>
      </c>
      <c r="F3717" s="9">
        <v>14707800</v>
      </c>
      <c r="G3717" s="9">
        <v>97</v>
      </c>
    </row>
    <row r="3718" spans="1:7" x14ac:dyDescent="0.25">
      <c r="A3718" s="101">
        <v>36608</v>
      </c>
      <c r="B3718" s="9">
        <v>193.38</v>
      </c>
      <c r="C3718" s="9">
        <v>203</v>
      </c>
      <c r="D3718" s="9">
        <v>190.5</v>
      </c>
      <c r="E3718" s="9">
        <v>191</v>
      </c>
      <c r="F3718" s="9">
        <v>14708600</v>
      </c>
      <c r="G3718" s="9">
        <v>95.5</v>
      </c>
    </row>
    <row r="3719" spans="1:7" x14ac:dyDescent="0.25">
      <c r="A3719" s="101">
        <v>36607</v>
      </c>
      <c r="B3719" s="9">
        <v>189.44</v>
      </c>
      <c r="C3719" s="9">
        <v>205.62</v>
      </c>
      <c r="D3719" s="9">
        <v>188.5</v>
      </c>
      <c r="E3719" s="9">
        <v>197.19</v>
      </c>
      <c r="F3719" s="9">
        <v>31384600</v>
      </c>
      <c r="G3719" s="9">
        <v>98.59</v>
      </c>
    </row>
    <row r="3720" spans="1:7" x14ac:dyDescent="0.25">
      <c r="A3720" s="101">
        <v>36606</v>
      </c>
      <c r="B3720" s="9">
        <v>173</v>
      </c>
      <c r="C3720" s="9">
        <v>193.25</v>
      </c>
      <c r="D3720" s="9">
        <v>168.56</v>
      </c>
      <c r="E3720" s="9">
        <v>191.75</v>
      </c>
      <c r="F3720" s="9">
        <v>25232800</v>
      </c>
      <c r="G3720" s="9">
        <v>95.88</v>
      </c>
    </row>
    <row r="3721" spans="1:7" x14ac:dyDescent="0.25">
      <c r="A3721" s="101">
        <v>36605</v>
      </c>
      <c r="B3721" s="9">
        <v>172.19</v>
      </c>
      <c r="C3721" s="9">
        <v>175.38</v>
      </c>
      <c r="D3721" s="9">
        <v>165.25</v>
      </c>
      <c r="E3721" s="9">
        <v>172.02</v>
      </c>
      <c r="F3721" s="9">
        <v>10404600</v>
      </c>
      <c r="G3721" s="9">
        <v>86.01</v>
      </c>
    </row>
    <row r="3722" spans="1:7" x14ac:dyDescent="0.25">
      <c r="A3722" s="101">
        <v>36602</v>
      </c>
      <c r="B3722" s="9">
        <v>169.12</v>
      </c>
      <c r="C3722" s="9">
        <v>176.94</v>
      </c>
      <c r="D3722" s="9">
        <v>169</v>
      </c>
      <c r="E3722" s="9">
        <v>171.12</v>
      </c>
      <c r="F3722" s="9">
        <v>11223000</v>
      </c>
      <c r="G3722" s="9">
        <v>85.56</v>
      </c>
    </row>
    <row r="3723" spans="1:7" x14ac:dyDescent="0.25">
      <c r="A3723" s="101">
        <v>36601</v>
      </c>
      <c r="B3723" s="9">
        <v>159.19</v>
      </c>
      <c r="C3723" s="9">
        <v>173</v>
      </c>
      <c r="D3723" s="9">
        <v>156.06</v>
      </c>
      <c r="E3723" s="9">
        <v>170.19</v>
      </c>
      <c r="F3723" s="9">
        <v>17049200</v>
      </c>
      <c r="G3723" s="9">
        <v>85.09</v>
      </c>
    </row>
    <row r="3724" spans="1:7" x14ac:dyDescent="0.25">
      <c r="A3724" s="101">
        <v>36600</v>
      </c>
      <c r="B3724" s="9">
        <v>168.75</v>
      </c>
      <c r="C3724" s="9">
        <v>169</v>
      </c>
      <c r="D3724" s="9">
        <v>155.12</v>
      </c>
      <c r="E3724" s="9">
        <v>158.5</v>
      </c>
      <c r="F3724" s="9">
        <v>17643400</v>
      </c>
      <c r="G3724" s="9">
        <v>79.25</v>
      </c>
    </row>
    <row r="3725" spans="1:7" x14ac:dyDescent="0.25">
      <c r="A3725" s="101">
        <v>36599</v>
      </c>
      <c r="B3725" s="9">
        <v>178.5</v>
      </c>
      <c r="C3725" s="9">
        <v>183.53</v>
      </c>
      <c r="D3725" s="9">
        <v>167.94</v>
      </c>
      <c r="E3725" s="9">
        <v>168.75</v>
      </c>
      <c r="F3725" s="9">
        <v>15768600</v>
      </c>
      <c r="G3725" s="9">
        <v>84.38</v>
      </c>
    </row>
    <row r="3726" spans="1:7" x14ac:dyDescent="0.25">
      <c r="A3726" s="101">
        <v>36598</v>
      </c>
      <c r="B3726" s="9">
        <v>168.12</v>
      </c>
      <c r="C3726" s="9">
        <v>180.5</v>
      </c>
      <c r="D3726" s="9">
        <v>168</v>
      </c>
      <c r="E3726" s="9">
        <v>175.81</v>
      </c>
      <c r="F3726" s="9">
        <v>12033000</v>
      </c>
      <c r="G3726" s="9">
        <v>87.91</v>
      </c>
    </row>
    <row r="3727" spans="1:7" x14ac:dyDescent="0.25">
      <c r="A3727" s="101">
        <v>36595</v>
      </c>
      <c r="B3727" s="9">
        <v>181.17</v>
      </c>
      <c r="C3727" s="9">
        <v>183</v>
      </c>
      <c r="D3727" s="9">
        <v>175.62</v>
      </c>
      <c r="E3727" s="9">
        <v>178.06</v>
      </c>
      <c r="F3727" s="9">
        <v>10406600</v>
      </c>
      <c r="G3727" s="9">
        <v>89.03</v>
      </c>
    </row>
    <row r="3728" spans="1:7" x14ac:dyDescent="0.25">
      <c r="A3728" s="101">
        <v>36594</v>
      </c>
      <c r="B3728" s="9">
        <v>175.25</v>
      </c>
      <c r="C3728" s="9">
        <v>185</v>
      </c>
      <c r="D3728" s="9">
        <v>172</v>
      </c>
      <c r="E3728" s="9">
        <v>183.25</v>
      </c>
      <c r="F3728" s="9">
        <v>17405000</v>
      </c>
      <c r="G3728" s="9">
        <v>91.62</v>
      </c>
    </row>
    <row r="3729" spans="1:7" x14ac:dyDescent="0.25">
      <c r="A3729" s="101">
        <v>36593</v>
      </c>
      <c r="B3729" s="9">
        <v>174.62</v>
      </c>
      <c r="C3729" s="9">
        <v>181</v>
      </c>
      <c r="D3729" s="9">
        <v>165</v>
      </c>
      <c r="E3729" s="9">
        <v>177</v>
      </c>
      <c r="F3729" s="9">
        <v>17234400</v>
      </c>
      <c r="G3729" s="9">
        <v>88.5</v>
      </c>
    </row>
    <row r="3730" spans="1:7" x14ac:dyDescent="0.25">
      <c r="A3730" s="101">
        <v>36592</v>
      </c>
      <c r="B3730" s="9">
        <v>174.88</v>
      </c>
      <c r="C3730" s="9">
        <v>180.38</v>
      </c>
      <c r="D3730" s="9">
        <v>168</v>
      </c>
      <c r="E3730" s="9">
        <v>171.38</v>
      </c>
      <c r="F3730" s="9">
        <v>17345600</v>
      </c>
      <c r="G3730" s="9">
        <v>85.69</v>
      </c>
    </row>
    <row r="3731" spans="1:7" x14ac:dyDescent="0.25">
      <c r="A3731" s="101">
        <v>36591</v>
      </c>
      <c r="B3731" s="9">
        <v>163.5</v>
      </c>
      <c r="C3731" s="9">
        <v>177</v>
      </c>
      <c r="D3731" s="9">
        <v>162.72999999999999</v>
      </c>
      <c r="E3731" s="9">
        <v>171.56</v>
      </c>
      <c r="F3731" s="9">
        <v>25566400</v>
      </c>
      <c r="G3731" s="9">
        <v>85.78</v>
      </c>
    </row>
    <row r="3732" spans="1:7" x14ac:dyDescent="0.25">
      <c r="A3732" s="101">
        <v>36588</v>
      </c>
      <c r="B3732" s="9">
        <v>156</v>
      </c>
      <c r="C3732" s="9">
        <v>163</v>
      </c>
      <c r="D3732" s="9">
        <v>151</v>
      </c>
      <c r="E3732" s="9">
        <v>158</v>
      </c>
      <c r="F3732" s="9">
        <v>14972000</v>
      </c>
      <c r="G3732" s="9">
        <v>79</v>
      </c>
    </row>
    <row r="3733" spans="1:7" x14ac:dyDescent="0.25">
      <c r="A3733" s="101">
        <v>36587</v>
      </c>
      <c r="B3733" s="9">
        <v>155.02000000000001</v>
      </c>
      <c r="C3733" s="9">
        <v>159</v>
      </c>
      <c r="D3733" s="9">
        <v>152</v>
      </c>
      <c r="E3733" s="9">
        <v>154.94</v>
      </c>
      <c r="F3733" s="9">
        <v>12227400</v>
      </c>
      <c r="G3733" s="9">
        <v>77.47</v>
      </c>
    </row>
    <row r="3734" spans="1:7" x14ac:dyDescent="0.25">
      <c r="A3734" s="101">
        <v>36586</v>
      </c>
      <c r="B3734" s="9">
        <v>157.5</v>
      </c>
      <c r="C3734" s="9">
        <v>163</v>
      </c>
      <c r="D3734" s="9">
        <v>155</v>
      </c>
      <c r="E3734" s="9">
        <v>158.5</v>
      </c>
      <c r="F3734" s="9">
        <v>11652200</v>
      </c>
      <c r="G3734" s="9">
        <v>79.25</v>
      </c>
    </row>
    <row r="3735" spans="1:7" x14ac:dyDescent="0.25">
      <c r="A3735" s="101">
        <v>36585</v>
      </c>
      <c r="B3735" s="9">
        <v>164.44</v>
      </c>
      <c r="C3735" s="9">
        <v>169.88</v>
      </c>
      <c r="D3735" s="9">
        <v>155.5</v>
      </c>
      <c r="E3735" s="9">
        <v>159.69</v>
      </c>
      <c r="F3735" s="9">
        <v>13684600</v>
      </c>
      <c r="G3735" s="9">
        <v>79.84</v>
      </c>
    </row>
    <row r="3736" spans="1:7" x14ac:dyDescent="0.25">
      <c r="A3736" s="101">
        <v>36584</v>
      </c>
      <c r="B3736" s="9">
        <v>161.47999999999999</v>
      </c>
      <c r="C3736" s="9">
        <v>164.75</v>
      </c>
      <c r="D3736" s="9">
        <v>152.12</v>
      </c>
      <c r="E3736" s="9">
        <v>161.94</v>
      </c>
      <c r="F3736" s="9">
        <v>18420200</v>
      </c>
      <c r="G3736" s="9">
        <v>80.97</v>
      </c>
    </row>
    <row r="3737" spans="1:7" x14ac:dyDescent="0.25">
      <c r="A3737" s="101">
        <v>36581</v>
      </c>
      <c r="B3737" s="9">
        <v>165.62</v>
      </c>
      <c r="C3737" s="9">
        <v>170.31</v>
      </c>
      <c r="D3737" s="9">
        <v>160.31</v>
      </c>
      <c r="E3737" s="9">
        <v>165.19</v>
      </c>
      <c r="F3737" s="9">
        <v>11418000</v>
      </c>
      <c r="G3737" s="9">
        <v>82.59</v>
      </c>
    </row>
    <row r="3738" spans="1:7" x14ac:dyDescent="0.25">
      <c r="A3738" s="101">
        <v>36580</v>
      </c>
      <c r="B3738" s="9">
        <v>166.48</v>
      </c>
      <c r="C3738" s="9">
        <v>171.62</v>
      </c>
      <c r="D3738" s="9">
        <v>159.25</v>
      </c>
      <c r="E3738" s="9">
        <v>168.06</v>
      </c>
      <c r="F3738" s="9">
        <v>16506000</v>
      </c>
      <c r="G3738" s="9">
        <v>84.03</v>
      </c>
    </row>
    <row r="3739" spans="1:7" x14ac:dyDescent="0.25">
      <c r="A3739" s="101">
        <v>36579</v>
      </c>
      <c r="B3739" s="9">
        <v>153.62</v>
      </c>
      <c r="C3739" s="9">
        <v>170</v>
      </c>
      <c r="D3739" s="9">
        <v>153</v>
      </c>
      <c r="E3739" s="9">
        <v>166.2</v>
      </c>
      <c r="F3739" s="9">
        <v>21189800</v>
      </c>
      <c r="G3739" s="9">
        <v>83.1</v>
      </c>
    </row>
    <row r="3740" spans="1:7" x14ac:dyDescent="0.25">
      <c r="A3740" s="101">
        <v>36578</v>
      </c>
      <c r="B3740" s="9">
        <v>156.88</v>
      </c>
      <c r="C3740" s="9">
        <v>157</v>
      </c>
      <c r="D3740" s="9">
        <v>148.94</v>
      </c>
      <c r="E3740" s="9">
        <v>153.81</v>
      </c>
      <c r="F3740" s="9">
        <v>17691600</v>
      </c>
      <c r="G3740" s="9">
        <v>76.91</v>
      </c>
    </row>
    <row r="3741" spans="1:7" x14ac:dyDescent="0.25">
      <c r="A3741" s="101">
        <v>36574</v>
      </c>
      <c r="B3741" s="9">
        <v>161.25</v>
      </c>
      <c r="C3741" s="9">
        <v>163.19</v>
      </c>
      <c r="D3741" s="9">
        <v>155.38</v>
      </c>
      <c r="E3741" s="9">
        <v>156.12</v>
      </c>
      <c r="F3741" s="9">
        <v>14643800</v>
      </c>
      <c r="G3741" s="9">
        <v>78.06</v>
      </c>
    </row>
    <row r="3742" spans="1:7" x14ac:dyDescent="0.25">
      <c r="A3742" s="101">
        <v>36573</v>
      </c>
      <c r="B3742" s="9">
        <v>165.88</v>
      </c>
      <c r="C3742" s="9">
        <v>168</v>
      </c>
      <c r="D3742" s="9">
        <v>161.06</v>
      </c>
      <c r="E3742" s="9">
        <v>163.19</v>
      </c>
      <c r="F3742" s="9">
        <v>12434600</v>
      </c>
      <c r="G3742" s="9">
        <v>81.59</v>
      </c>
    </row>
    <row r="3743" spans="1:7" x14ac:dyDescent="0.25">
      <c r="A3743" s="101">
        <v>36572</v>
      </c>
      <c r="B3743" s="9">
        <v>168.25</v>
      </c>
      <c r="C3743" s="9">
        <v>170</v>
      </c>
      <c r="D3743" s="9">
        <v>160</v>
      </c>
      <c r="E3743" s="9">
        <v>161.56</v>
      </c>
      <c r="F3743" s="9">
        <v>12820400</v>
      </c>
      <c r="G3743" s="9">
        <v>80.78</v>
      </c>
    </row>
    <row r="3744" spans="1:7" x14ac:dyDescent="0.25">
      <c r="A3744" s="101">
        <v>36571</v>
      </c>
      <c r="B3744" s="9">
        <v>166.38</v>
      </c>
      <c r="C3744" s="9">
        <v>173.25</v>
      </c>
      <c r="D3744" s="9">
        <v>156</v>
      </c>
      <c r="E3744" s="9">
        <v>170</v>
      </c>
      <c r="F3744" s="9">
        <v>21323200</v>
      </c>
      <c r="G3744" s="9">
        <v>85</v>
      </c>
    </row>
    <row r="3745" spans="1:7" x14ac:dyDescent="0.25">
      <c r="A3745" s="101">
        <v>36570</v>
      </c>
      <c r="B3745" s="9">
        <v>173.5</v>
      </c>
      <c r="C3745" s="9">
        <v>173.75</v>
      </c>
      <c r="D3745" s="9">
        <v>163.75</v>
      </c>
      <c r="E3745" s="9">
        <v>165.75</v>
      </c>
      <c r="F3745" s="9">
        <v>15165600</v>
      </c>
      <c r="G3745" s="9">
        <v>82.88</v>
      </c>
    </row>
    <row r="3746" spans="1:7" x14ac:dyDescent="0.25">
      <c r="A3746" s="101">
        <v>36567</v>
      </c>
      <c r="B3746" s="9">
        <v>363.88</v>
      </c>
      <c r="C3746" s="9">
        <v>365</v>
      </c>
      <c r="D3746" s="9">
        <v>341.75</v>
      </c>
      <c r="E3746" s="9">
        <v>342.69</v>
      </c>
      <c r="F3746" s="9">
        <v>19158400</v>
      </c>
      <c r="G3746" s="9">
        <v>85.67</v>
      </c>
    </row>
    <row r="3747" spans="1:7" x14ac:dyDescent="0.25">
      <c r="A3747" s="101">
        <v>36566</v>
      </c>
      <c r="B3747" s="9">
        <v>362.5</v>
      </c>
      <c r="C3747" s="9">
        <v>366</v>
      </c>
      <c r="D3747" s="9">
        <v>353.94</v>
      </c>
      <c r="E3747" s="9">
        <v>365</v>
      </c>
      <c r="F3747" s="9">
        <v>17980400</v>
      </c>
      <c r="G3747" s="9">
        <v>91.25</v>
      </c>
    </row>
    <row r="3748" spans="1:7" x14ac:dyDescent="0.25">
      <c r="A3748" s="101">
        <v>36565</v>
      </c>
      <c r="B3748" s="9">
        <v>370</v>
      </c>
      <c r="C3748" s="9">
        <v>377.25</v>
      </c>
      <c r="D3748" s="9">
        <v>360.12</v>
      </c>
      <c r="E3748" s="9">
        <v>362.31</v>
      </c>
      <c r="F3748" s="9">
        <v>23918800</v>
      </c>
      <c r="G3748" s="9">
        <v>90.58</v>
      </c>
    </row>
    <row r="3749" spans="1:7" x14ac:dyDescent="0.25">
      <c r="A3749" s="101">
        <v>36564</v>
      </c>
      <c r="B3749" s="9">
        <v>359</v>
      </c>
      <c r="C3749" s="9">
        <v>379.81</v>
      </c>
      <c r="D3749" s="9">
        <v>358.5</v>
      </c>
      <c r="E3749" s="9">
        <v>373.12</v>
      </c>
      <c r="F3749" s="9">
        <v>29828800</v>
      </c>
      <c r="G3749" s="9">
        <v>93.28</v>
      </c>
    </row>
    <row r="3750" spans="1:7" x14ac:dyDescent="0.25">
      <c r="A3750" s="101">
        <v>36563</v>
      </c>
      <c r="B3750" s="9">
        <v>354.05</v>
      </c>
      <c r="C3750" s="9">
        <v>363</v>
      </c>
      <c r="D3750" s="9">
        <v>347</v>
      </c>
      <c r="E3750" s="9">
        <v>354</v>
      </c>
      <c r="F3750" s="9">
        <v>20864400</v>
      </c>
      <c r="G3750" s="9">
        <v>88.5</v>
      </c>
    </row>
    <row r="3751" spans="1:7" x14ac:dyDescent="0.25">
      <c r="A3751" s="101">
        <v>36560</v>
      </c>
      <c r="B3751" s="9">
        <v>364.5</v>
      </c>
      <c r="C3751" s="9">
        <v>372.5</v>
      </c>
      <c r="D3751" s="9">
        <v>347</v>
      </c>
      <c r="E3751" s="9">
        <v>353.5</v>
      </c>
      <c r="F3751" s="9">
        <v>33816000</v>
      </c>
      <c r="G3751" s="9">
        <v>88.38</v>
      </c>
    </row>
    <row r="3752" spans="1:7" x14ac:dyDescent="0.25">
      <c r="A3752" s="101">
        <v>36559</v>
      </c>
      <c r="B3752" s="9">
        <v>334.86</v>
      </c>
      <c r="C3752" s="9">
        <v>361</v>
      </c>
      <c r="D3752" s="9">
        <v>334</v>
      </c>
      <c r="E3752" s="9">
        <v>360.25</v>
      </c>
      <c r="F3752" s="9">
        <v>39057600</v>
      </c>
      <c r="G3752" s="9">
        <v>90.06</v>
      </c>
    </row>
    <row r="3753" spans="1:7" x14ac:dyDescent="0.25">
      <c r="A3753" s="101">
        <v>36558</v>
      </c>
      <c r="B3753" s="9">
        <v>321.48</v>
      </c>
      <c r="C3753" s="9">
        <v>337</v>
      </c>
      <c r="D3753" s="9">
        <v>317</v>
      </c>
      <c r="E3753" s="9">
        <v>328</v>
      </c>
      <c r="F3753" s="9">
        <v>26813200</v>
      </c>
      <c r="G3753" s="9">
        <v>82</v>
      </c>
    </row>
    <row r="3754" spans="1:7" x14ac:dyDescent="0.25">
      <c r="A3754" s="101">
        <v>36557</v>
      </c>
      <c r="B3754" s="9">
        <v>319.44</v>
      </c>
      <c r="C3754" s="9">
        <v>329.75</v>
      </c>
      <c r="D3754" s="9">
        <v>310.81</v>
      </c>
      <c r="E3754" s="9">
        <v>317.38</v>
      </c>
      <c r="F3754" s="9">
        <v>24690800</v>
      </c>
      <c r="G3754" s="9">
        <v>79.34</v>
      </c>
    </row>
    <row r="3755" spans="1:7" x14ac:dyDescent="0.25">
      <c r="A3755" s="101">
        <v>36556</v>
      </c>
      <c r="B3755" s="9">
        <v>310</v>
      </c>
      <c r="C3755" s="9">
        <v>322.06</v>
      </c>
      <c r="D3755" s="9">
        <v>303</v>
      </c>
      <c r="E3755" s="9">
        <v>322.06</v>
      </c>
      <c r="F3755" s="9">
        <v>35825200</v>
      </c>
      <c r="G3755" s="9">
        <v>80.52</v>
      </c>
    </row>
    <row r="3756" spans="1:7" x14ac:dyDescent="0.25">
      <c r="A3756" s="101">
        <v>36553</v>
      </c>
      <c r="B3756" s="9">
        <v>333.56</v>
      </c>
      <c r="C3756" s="9">
        <v>343</v>
      </c>
      <c r="D3756" s="9">
        <v>309.62</v>
      </c>
      <c r="E3756" s="9">
        <v>313.5</v>
      </c>
      <c r="F3756" s="9">
        <v>36656000</v>
      </c>
      <c r="G3756" s="9">
        <v>78.38</v>
      </c>
    </row>
    <row r="3757" spans="1:7" x14ac:dyDescent="0.25">
      <c r="A3757" s="101">
        <v>36552</v>
      </c>
      <c r="B3757" s="9">
        <v>332.44</v>
      </c>
      <c r="C3757" s="9">
        <v>339.56</v>
      </c>
      <c r="D3757" s="9">
        <v>325.12</v>
      </c>
      <c r="E3757" s="9">
        <v>337.38</v>
      </c>
      <c r="F3757" s="9">
        <v>19222000</v>
      </c>
      <c r="G3757" s="9">
        <v>84.34</v>
      </c>
    </row>
    <row r="3758" spans="1:7" x14ac:dyDescent="0.25">
      <c r="A3758" s="101">
        <v>36551</v>
      </c>
      <c r="B3758" s="9">
        <v>340.5</v>
      </c>
      <c r="C3758" s="9">
        <v>343.48</v>
      </c>
      <c r="D3758" s="9">
        <v>327.75</v>
      </c>
      <c r="E3758" s="9">
        <v>328.56</v>
      </c>
      <c r="F3758" s="9">
        <v>19404000</v>
      </c>
      <c r="G3758" s="9">
        <v>82.14</v>
      </c>
    </row>
    <row r="3759" spans="1:7" x14ac:dyDescent="0.25">
      <c r="A3759" s="101">
        <v>36550</v>
      </c>
      <c r="B3759" s="9">
        <v>327</v>
      </c>
      <c r="C3759" s="9">
        <v>347</v>
      </c>
      <c r="D3759" s="9">
        <v>316.25</v>
      </c>
      <c r="E3759" s="9">
        <v>345.56</v>
      </c>
      <c r="F3759" s="9">
        <v>34588000</v>
      </c>
      <c r="G3759" s="9">
        <v>86.39</v>
      </c>
    </row>
    <row r="3760" spans="1:7" x14ac:dyDescent="0.25">
      <c r="A3760" s="101">
        <v>36549</v>
      </c>
      <c r="B3760" s="9">
        <v>353.94</v>
      </c>
      <c r="C3760" s="9">
        <v>360.5</v>
      </c>
      <c r="D3760" s="9">
        <v>324</v>
      </c>
      <c r="E3760" s="9">
        <v>324.31</v>
      </c>
      <c r="F3760" s="9">
        <v>25329200</v>
      </c>
      <c r="G3760" s="9">
        <v>81.08</v>
      </c>
    </row>
    <row r="3761" spans="1:7" x14ac:dyDescent="0.25">
      <c r="A3761" s="101">
        <v>36546</v>
      </c>
      <c r="B3761" s="9">
        <v>355</v>
      </c>
      <c r="C3761" s="9">
        <v>360</v>
      </c>
      <c r="D3761" s="9">
        <v>348</v>
      </c>
      <c r="E3761" s="9">
        <v>351.94</v>
      </c>
      <c r="F3761" s="9">
        <v>17615200</v>
      </c>
      <c r="G3761" s="9">
        <v>87.98</v>
      </c>
    </row>
    <row r="3762" spans="1:7" x14ac:dyDescent="0.25">
      <c r="A3762" s="101">
        <v>36545</v>
      </c>
      <c r="B3762" s="9">
        <v>369.06</v>
      </c>
      <c r="C3762" s="9">
        <v>371.94</v>
      </c>
      <c r="D3762" s="9">
        <v>349</v>
      </c>
      <c r="E3762" s="9">
        <v>351.94</v>
      </c>
      <c r="F3762" s="9">
        <v>31349600</v>
      </c>
      <c r="G3762" s="9">
        <v>87.98</v>
      </c>
    </row>
    <row r="3763" spans="1:7" x14ac:dyDescent="0.25">
      <c r="A3763" s="101">
        <v>36544</v>
      </c>
      <c r="B3763" s="9">
        <v>336</v>
      </c>
      <c r="C3763" s="9">
        <v>367.38</v>
      </c>
      <c r="D3763" s="9">
        <v>336</v>
      </c>
      <c r="E3763" s="9">
        <v>364</v>
      </c>
      <c r="F3763" s="9">
        <v>31800000</v>
      </c>
      <c r="G3763" s="9">
        <v>91</v>
      </c>
    </row>
    <row r="3764" spans="1:7" x14ac:dyDescent="0.25">
      <c r="A3764" s="101">
        <v>36543</v>
      </c>
      <c r="B3764" s="9">
        <v>341.75</v>
      </c>
      <c r="C3764" s="9">
        <v>350</v>
      </c>
      <c r="D3764" s="9">
        <v>335</v>
      </c>
      <c r="E3764" s="9">
        <v>341.19</v>
      </c>
      <c r="F3764" s="9">
        <v>30706000</v>
      </c>
      <c r="G3764" s="9">
        <v>85.3</v>
      </c>
    </row>
    <row r="3765" spans="1:7" x14ac:dyDescent="0.25">
      <c r="A3765" s="101">
        <v>36539</v>
      </c>
      <c r="B3765" s="9">
        <v>355</v>
      </c>
      <c r="C3765" s="9">
        <v>363</v>
      </c>
      <c r="D3765" s="9">
        <v>342</v>
      </c>
      <c r="E3765" s="9">
        <v>353</v>
      </c>
      <c r="F3765" s="9">
        <v>49232800</v>
      </c>
      <c r="G3765" s="9">
        <v>88.25</v>
      </c>
    </row>
    <row r="3766" spans="1:7" x14ac:dyDescent="0.25">
      <c r="A3766" s="101">
        <v>36538</v>
      </c>
      <c r="B3766" s="9">
        <v>366.5</v>
      </c>
      <c r="C3766" s="9">
        <v>377.38</v>
      </c>
      <c r="D3766" s="9">
        <v>338</v>
      </c>
      <c r="E3766" s="9">
        <v>346.88</v>
      </c>
      <c r="F3766" s="9">
        <v>67762800</v>
      </c>
      <c r="G3766" s="9">
        <v>86.72</v>
      </c>
    </row>
    <row r="3767" spans="1:7" x14ac:dyDescent="0.25">
      <c r="A3767" s="101">
        <v>36537</v>
      </c>
      <c r="B3767" s="9">
        <v>389.88</v>
      </c>
      <c r="C3767" s="9">
        <v>394</v>
      </c>
      <c r="D3767" s="9">
        <v>355</v>
      </c>
      <c r="E3767" s="9">
        <v>357.56</v>
      </c>
      <c r="F3767" s="9">
        <v>74100000</v>
      </c>
      <c r="G3767" s="9">
        <v>89.39</v>
      </c>
    </row>
    <row r="3768" spans="1:7" x14ac:dyDescent="0.25">
      <c r="A3768" s="101">
        <v>36536</v>
      </c>
      <c r="B3768" s="9">
        <v>423.88</v>
      </c>
      <c r="C3768" s="9">
        <v>426.25</v>
      </c>
      <c r="D3768" s="9">
        <v>392</v>
      </c>
      <c r="E3768" s="9">
        <v>397.38</v>
      </c>
      <c r="F3768" s="9">
        <v>75761600</v>
      </c>
      <c r="G3768" s="9">
        <v>99.34</v>
      </c>
    </row>
    <row r="3769" spans="1:7" x14ac:dyDescent="0.25">
      <c r="A3769" s="101">
        <v>36535</v>
      </c>
      <c r="B3769" s="9">
        <v>432.5</v>
      </c>
      <c r="C3769" s="9">
        <v>451.25</v>
      </c>
      <c r="D3769" s="9">
        <v>420</v>
      </c>
      <c r="E3769" s="9">
        <v>436.06</v>
      </c>
      <c r="F3769" s="9">
        <v>61022400</v>
      </c>
      <c r="G3769" s="9">
        <v>109.02</v>
      </c>
    </row>
    <row r="3770" spans="1:7" x14ac:dyDescent="0.25">
      <c r="A3770" s="101">
        <v>36532</v>
      </c>
      <c r="B3770" s="9">
        <v>366.75</v>
      </c>
      <c r="C3770" s="9">
        <v>408</v>
      </c>
      <c r="D3770" s="9">
        <v>363</v>
      </c>
      <c r="E3770" s="9">
        <v>407.25</v>
      </c>
      <c r="F3770" s="9">
        <v>48999600</v>
      </c>
      <c r="G3770" s="9">
        <v>101.81</v>
      </c>
    </row>
    <row r="3771" spans="1:7" x14ac:dyDescent="0.25">
      <c r="A3771" s="101">
        <v>36531</v>
      </c>
      <c r="B3771" s="9">
        <v>406.25</v>
      </c>
      <c r="C3771" s="9">
        <v>413</v>
      </c>
      <c r="D3771" s="9">
        <v>361</v>
      </c>
      <c r="E3771" s="9">
        <v>368.19</v>
      </c>
      <c r="F3771" s="9">
        <v>71301200</v>
      </c>
      <c r="G3771" s="9">
        <v>92.05</v>
      </c>
    </row>
    <row r="3772" spans="1:7" x14ac:dyDescent="0.25">
      <c r="A3772" s="101">
        <v>36530</v>
      </c>
      <c r="B3772" s="9">
        <v>430.5</v>
      </c>
      <c r="C3772" s="9">
        <v>431.12</v>
      </c>
      <c r="D3772" s="9">
        <v>402</v>
      </c>
      <c r="E3772" s="9">
        <v>410.5</v>
      </c>
      <c r="F3772" s="9">
        <v>83194800</v>
      </c>
      <c r="G3772" s="9">
        <v>102.62</v>
      </c>
    </row>
    <row r="3773" spans="1:7" x14ac:dyDescent="0.25">
      <c r="A3773" s="101">
        <v>36529</v>
      </c>
      <c r="B3773" s="9">
        <v>464.5</v>
      </c>
      <c r="C3773" s="9">
        <v>500.12</v>
      </c>
      <c r="D3773" s="9">
        <v>442</v>
      </c>
      <c r="E3773" s="9">
        <v>443</v>
      </c>
      <c r="F3773" s="9">
        <v>69868800</v>
      </c>
      <c r="G3773" s="9">
        <v>110.75</v>
      </c>
    </row>
    <row r="3774" spans="1:7" x14ac:dyDescent="0.25">
      <c r="A3774" s="101">
        <v>36528</v>
      </c>
      <c r="B3774" s="9">
        <v>442.92</v>
      </c>
      <c r="C3774" s="9">
        <v>477</v>
      </c>
      <c r="D3774" s="9">
        <v>429.5</v>
      </c>
      <c r="E3774" s="9">
        <v>475</v>
      </c>
      <c r="F3774" s="9">
        <v>38469600</v>
      </c>
      <c r="G3774" s="9">
        <v>118.75</v>
      </c>
    </row>
    <row r="3775" spans="1:7" x14ac:dyDescent="0.25">
      <c r="A3775" s="101">
        <v>36525</v>
      </c>
      <c r="B3775" s="9">
        <v>420.44</v>
      </c>
      <c r="C3775" s="9">
        <v>441.5</v>
      </c>
      <c r="D3775" s="9">
        <v>410.06</v>
      </c>
      <c r="E3775" s="9">
        <v>432.69</v>
      </c>
      <c r="F3775" s="9">
        <v>10116400</v>
      </c>
      <c r="G3775" s="9">
        <v>108.17</v>
      </c>
    </row>
    <row r="3776" spans="1:7" x14ac:dyDescent="0.25">
      <c r="A3776" s="101">
        <v>36524</v>
      </c>
      <c r="B3776" s="9">
        <v>421.75</v>
      </c>
      <c r="C3776" s="9">
        <v>448</v>
      </c>
      <c r="D3776" s="9">
        <v>406.75</v>
      </c>
      <c r="E3776" s="9">
        <v>416.06</v>
      </c>
      <c r="F3776" s="9">
        <v>24972400</v>
      </c>
      <c r="G3776" s="9">
        <v>104.02</v>
      </c>
    </row>
    <row r="3777" spans="1:7" x14ac:dyDescent="0.25">
      <c r="A3777" s="101">
        <v>36523</v>
      </c>
      <c r="B3777" s="9">
        <v>396.44</v>
      </c>
      <c r="C3777" s="9">
        <v>410</v>
      </c>
      <c r="D3777" s="9">
        <v>394</v>
      </c>
      <c r="E3777" s="9">
        <v>403.69</v>
      </c>
      <c r="F3777" s="9">
        <v>11763200</v>
      </c>
      <c r="G3777" s="9">
        <v>100.92</v>
      </c>
    </row>
    <row r="3778" spans="1:7" x14ac:dyDescent="0.25">
      <c r="A3778" s="101">
        <v>36522</v>
      </c>
      <c r="B3778" s="9">
        <v>410</v>
      </c>
      <c r="C3778" s="9">
        <v>420</v>
      </c>
      <c r="D3778" s="9">
        <v>390</v>
      </c>
      <c r="E3778" s="9">
        <v>390.25</v>
      </c>
      <c r="F3778" s="9">
        <v>20896400</v>
      </c>
      <c r="G3778" s="9">
        <v>97.56</v>
      </c>
    </row>
    <row r="3779" spans="1:7" x14ac:dyDescent="0.25">
      <c r="A3779" s="101">
        <v>36521</v>
      </c>
      <c r="B3779" s="9">
        <v>393.75</v>
      </c>
      <c r="C3779" s="9">
        <v>428.06</v>
      </c>
      <c r="D3779" s="9">
        <v>377.88</v>
      </c>
      <c r="E3779" s="9">
        <v>415</v>
      </c>
      <c r="F3779" s="9">
        <v>38158000</v>
      </c>
      <c r="G3779" s="9">
        <v>103.75</v>
      </c>
    </row>
    <row r="3780" spans="1:7" x14ac:dyDescent="0.25">
      <c r="A3780" s="101">
        <v>36517</v>
      </c>
      <c r="B3780" s="9">
        <v>417.5</v>
      </c>
      <c r="C3780" s="9">
        <v>426.25</v>
      </c>
      <c r="D3780" s="9">
        <v>400</v>
      </c>
      <c r="E3780" s="9">
        <v>402.62</v>
      </c>
      <c r="F3780" s="9">
        <v>18468400</v>
      </c>
      <c r="G3780" s="9">
        <v>100.66</v>
      </c>
    </row>
    <row r="3781" spans="1:7" x14ac:dyDescent="0.25">
      <c r="A3781" s="101">
        <v>36516</v>
      </c>
      <c r="B3781" s="9">
        <v>405.75</v>
      </c>
      <c r="C3781" s="9">
        <v>421.19</v>
      </c>
      <c r="D3781" s="9">
        <v>394.75</v>
      </c>
      <c r="E3781" s="9">
        <v>419.31</v>
      </c>
      <c r="F3781" s="9">
        <v>34557200</v>
      </c>
      <c r="G3781" s="9">
        <v>104.83</v>
      </c>
    </row>
    <row r="3782" spans="1:7" x14ac:dyDescent="0.25">
      <c r="A3782" s="101">
        <v>36515</v>
      </c>
      <c r="B3782" s="9">
        <v>367.62</v>
      </c>
      <c r="C3782" s="9">
        <v>408.31</v>
      </c>
      <c r="D3782" s="9">
        <v>364.81</v>
      </c>
      <c r="E3782" s="9">
        <v>405.56</v>
      </c>
      <c r="F3782" s="9">
        <v>40430400</v>
      </c>
      <c r="G3782" s="9">
        <v>101.39</v>
      </c>
    </row>
    <row r="3783" spans="1:7" x14ac:dyDescent="0.25">
      <c r="A3783" s="101">
        <v>36514</v>
      </c>
      <c r="B3783" s="9">
        <v>348</v>
      </c>
      <c r="C3783" s="9">
        <v>369.88</v>
      </c>
      <c r="D3783" s="9">
        <v>346</v>
      </c>
      <c r="E3783" s="9">
        <v>369.5</v>
      </c>
      <c r="F3783" s="9">
        <v>27528400</v>
      </c>
      <c r="G3783" s="9">
        <v>92.38</v>
      </c>
    </row>
    <row r="3784" spans="1:7" x14ac:dyDescent="0.25">
      <c r="A3784" s="101">
        <v>36511</v>
      </c>
      <c r="B3784" s="9">
        <v>344.75</v>
      </c>
      <c r="C3784" s="9">
        <v>352.12</v>
      </c>
      <c r="D3784" s="9">
        <v>337</v>
      </c>
      <c r="E3784" s="9">
        <v>350</v>
      </c>
      <c r="F3784" s="9">
        <v>20652000</v>
      </c>
      <c r="G3784" s="9">
        <v>87.5</v>
      </c>
    </row>
    <row r="3785" spans="1:7" x14ac:dyDescent="0.25">
      <c r="A3785" s="101">
        <v>36510</v>
      </c>
      <c r="B3785" s="9">
        <v>332.5</v>
      </c>
      <c r="C3785" s="9">
        <v>341.88</v>
      </c>
      <c r="D3785" s="9">
        <v>332.38</v>
      </c>
      <c r="E3785" s="9">
        <v>341</v>
      </c>
      <c r="F3785" s="9">
        <v>19881200</v>
      </c>
      <c r="G3785" s="9">
        <v>85.25</v>
      </c>
    </row>
    <row r="3786" spans="1:7" x14ac:dyDescent="0.25">
      <c r="A3786" s="101">
        <v>36509</v>
      </c>
      <c r="B3786" s="9">
        <v>327.38</v>
      </c>
      <c r="C3786" s="9">
        <v>334.75</v>
      </c>
      <c r="D3786" s="9">
        <v>315.5</v>
      </c>
      <c r="E3786" s="9">
        <v>327.5</v>
      </c>
      <c r="F3786" s="9">
        <v>33132400</v>
      </c>
      <c r="G3786" s="9">
        <v>81.88</v>
      </c>
    </row>
    <row r="3787" spans="1:7" x14ac:dyDescent="0.25">
      <c r="A3787" s="101">
        <v>36508</v>
      </c>
      <c r="B3787" s="9">
        <v>348.25</v>
      </c>
      <c r="C3787" s="9">
        <v>350.5</v>
      </c>
      <c r="D3787" s="9">
        <v>333</v>
      </c>
      <c r="E3787" s="9">
        <v>333.12</v>
      </c>
      <c r="F3787" s="9">
        <v>28800000</v>
      </c>
      <c r="G3787" s="9">
        <v>83.28</v>
      </c>
    </row>
    <row r="3788" spans="1:7" x14ac:dyDescent="0.25">
      <c r="A3788" s="101">
        <v>36507</v>
      </c>
      <c r="B3788" s="9">
        <v>348.02</v>
      </c>
      <c r="C3788" s="9">
        <v>356.25</v>
      </c>
      <c r="D3788" s="9">
        <v>344.5</v>
      </c>
      <c r="E3788" s="9">
        <v>351.06</v>
      </c>
      <c r="F3788" s="9">
        <v>22786400</v>
      </c>
      <c r="G3788" s="9">
        <v>87.77</v>
      </c>
    </row>
    <row r="3789" spans="1:7" x14ac:dyDescent="0.25">
      <c r="A3789" s="101">
        <v>36504</v>
      </c>
      <c r="B3789" s="9">
        <v>346.75</v>
      </c>
      <c r="C3789" s="9">
        <v>357.5</v>
      </c>
      <c r="D3789" s="9">
        <v>334.25</v>
      </c>
      <c r="E3789" s="9">
        <v>353.5</v>
      </c>
      <c r="F3789" s="9">
        <v>38182800</v>
      </c>
      <c r="G3789" s="9">
        <v>88.38</v>
      </c>
    </row>
    <row r="3790" spans="1:7" x14ac:dyDescent="0.25">
      <c r="A3790" s="101">
        <v>36503</v>
      </c>
      <c r="B3790" s="9">
        <v>319.88</v>
      </c>
      <c r="C3790" s="9">
        <v>341.25</v>
      </c>
      <c r="D3790" s="9">
        <v>312.06</v>
      </c>
      <c r="E3790" s="9">
        <v>340</v>
      </c>
      <c r="F3790" s="9">
        <v>45672000</v>
      </c>
      <c r="G3790" s="9">
        <v>85</v>
      </c>
    </row>
    <row r="3791" spans="1:7" x14ac:dyDescent="0.25">
      <c r="A3791" s="101">
        <v>36502</v>
      </c>
      <c r="B3791" s="9">
        <v>324</v>
      </c>
      <c r="C3791" s="9">
        <v>329.31</v>
      </c>
      <c r="D3791" s="9">
        <v>311</v>
      </c>
      <c r="E3791" s="9">
        <v>319.62</v>
      </c>
      <c r="F3791" s="9">
        <v>99627600</v>
      </c>
      <c r="G3791" s="9">
        <v>79.91</v>
      </c>
    </row>
    <row r="3792" spans="1:7" x14ac:dyDescent="0.25">
      <c r="A3792" s="101">
        <v>36501</v>
      </c>
      <c r="B3792" s="9">
        <v>296</v>
      </c>
      <c r="C3792" s="9">
        <v>353</v>
      </c>
      <c r="D3792" s="9">
        <v>286.12</v>
      </c>
      <c r="E3792" s="9">
        <v>348</v>
      </c>
      <c r="F3792" s="9">
        <v>265342000</v>
      </c>
      <c r="G3792" s="9">
        <v>87</v>
      </c>
    </row>
    <row r="3793" spans="1:7" x14ac:dyDescent="0.25">
      <c r="A3793" s="101">
        <v>36500</v>
      </c>
      <c r="B3793" s="9">
        <v>253</v>
      </c>
      <c r="C3793" s="9">
        <v>282</v>
      </c>
      <c r="D3793" s="9">
        <v>250.69</v>
      </c>
      <c r="E3793" s="9">
        <v>280.81</v>
      </c>
      <c r="F3793" s="9">
        <v>64394800</v>
      </c>
      <c r="G3793" s="9">
        <v>70.2</v>
      </c>
    </row>
    <row r="3794" spans="1:7" x14ac:dyDescent="0.25">
      <c r="A3794" s="101">
        <v>36497</v>
      </c>
      <c r="B3794" s="9">
        <v>249.98</v>
      </c>
      <c r="C3794" s="9">
        <v>258.75</v>
      </c>
      <c r="D3794" s="9">
        <v>248.94</v>
      </c>
      <c r="E3794" s="9">
        <v>253</v>
      </c>
      <c r="F3794" s="9">
        <v>40032400</v>
      </c>
      <c r="G3794" s="9">
        <v>63.25</v>
      </c>
    </row>
    <row r="3795" spans="1:7" x14ac:dyDescent="0.25">
      <c r="A3795" s="101">
        <v>36496</v>
      </c>
      <c r="B3795" s="9">
        <v>230.38</v>
      </c>
      <c r="C3795" s="9">
        <v>249.75</v>
      </c>
      <c r="D3795" s="9">
        <v>227.75</v>
      </c>
      <c r="E3795" s="9">
        <v>245.81</v>
      </c>
      <c r="F3795" s="9">
        <v>39232400</v>
      </c>
      <c r="G3795" s="9">
        <v>61.45</v>
      </c>
    </row>
    <row r="3796" spans="1:7" x14ac:dyDescent="0.25">
      <c r="A3796" s="101">
        <v>36495</v>
      </c>
      <c r="B3796" s="9">
        <v>230</v>
      </c>
      <c r="C3796" s="9">
        <v>234</v>
      </c>
      <c r="D3796" s="9">
        <v>224.94</v>
      </c>
      <c r="E3796" s="9">
        <v>228.88</v>
      </c>
      <c r="F3796" s="9">
        <v>52774000</v>
      </c>
      <c r="G3796" s="9">
        <v>57.22</v>
      </c>
    </row>
    <row r="3797" spans="1:7" x14ac:dyDescent="0.25">
      <c r="A3797" s="101">
        <v>36494</v>
      </c>
      <c r="B3797" s="9">
        <v>223.44</v>
      </c>
      <c r="C3797" s="9">
        <v>223.62</v>
      </c>
      <c r="D3797" s="9">
        <v>210.5</v>
      </c>
      <c r="E3797" s="9">
        <v>212.75</v>
      </c>
      <c r="F3797" s="9">
        <v>24242400</v>
      </c>
      <c r="G3797" s="9">
        <v>53.19</v>
      </c>
    </row>
    <row r="3798" spans="1:7" x14ac:dyDescent="0.25">
      <c r="A3798" s="101">
        <v>36493</v>
      </c>
      <c r="B3798" s="9">
        <v>229.25</v>
      </c>
      <c r="C3798" s="9">
        <v>234.5</v>
      </c>
      <c r="D3798" s="9">
        <v>224.88</v>
      </c>
      <c r="E3798" s="9">
        <v>226.12</v>
      </c>
      <c r="F3798" s="9">
        <v>18530400</v>
      </c>
      <c r="G3798" s="9">
        <v>56.53</v>
      </c>
    </row>
    <row r="3799" spans="1:7" x14ac:dyDescent="0.25">
      <c r="A3799" s="101">
        <v>36490</v>
      </c>
      <c r="B3799" s="9">
        <v>233</v>
      </c>
      <c r="C3799" s="9">
        <v>235.25</v>
      </c>
      <c r="D3799" s="9">
        <v>225.38</v>
      </c>
      <c r="E3799" s="9">
        <v>226.88</v>
      </c>
      <c r="F3799" s="9">
        <v>8035600</v>
      </c>
      <c r="G3799" s="9">
        <v>56.72</v>
      </c>
    </row>
    <row r="3800" spans="1:7" x14ac:dyDescent="0.25">
      <c r="A3800" s="101">
        <v>36488</v>
      </c>
      <c r="B3800" s="9">
        <v>226.25</v>
      </c>
      <c r="C3800" s="9">
        <v>233</v>
      </c>
      <c r="D3800" s="9">
        <v>225.25</v>
      </c>
      <c r="E3800" s="9">
        <v>231</v>
      </c>
      <c r="F3800" s="9">
        <v>22665200</v>
      </c>
      <c r="G3800" s="9">
        <v>57.75</v>
      </c>
    </row>
    <row r="3801" spans="1:7" x14ac:dyDescent="0.25">
      <c r="A3801" s="101">
        <v>36487</v>
      </c>
      <c r="B3801" s="9">
        <v>226</v>
      </c>
      <c r="C3801" s="9">
        <v>229.25</v>
      </c>
      <c r="D3801" s="9">
        <v>218</v>
      </c>
      <c r="E3801" s="9">
        <v>221.19</v>
      </c>
      <c r="F3801" s="9">
        <v>25955600</v>
      </c>
      <c r="G3801" s="9">
        <v>55.3</v>
      </c>
    </row>
    <row r="3802" spans="1:7" x14ac:dyDescent="0.25">
      <c r="A3802" s="101">
        <v>36486</v>
      </c>
      <c r="B3802" s="9">
        <v>219.5</v>
      </c>
      <c r="C3802" s="9">
        <v>230.19</v>
      </c>
      <c r="D3802" s="9">
        <v>218</v>
      </c>
      <c r="E3802" s="9">
        <v>226.81</v>
      </c>
      <c r="F3802" s="9">
        <v>22806400</v>
      </c>
      <c r="G3802" s="9">
        <v>56.7</v>
      </c>
    </row>
    <row r="3803" spans="1:7" x14ac:dyDescent="0.25">
      <c r="A3803" s="101">
        <v>36483</v>
      </c>
      <c r="B3803" s="9">
        <v>213.94</v>
      </c>
      <c r="C3803" s="9">
        <v>219.19</v>
      </c>
      <c r="D3803" s="9">
        <v>210</v>
      </c>
      <c r="E3803" s="9">
        <v>218.75</v>
      </c>
      <c r="F3803" s="9">
        <v>17340400</v>
      </c>
      <c r="G3803" s="9">
        <v>54.69</v>
      </c>
    </row>
    <row r="3804" spans="1:7" x14ac:dyDescent="0.25">
      <c r="A3804" s="101">
        <v>36482</v>
      </c>
      <c r="B3804" s="9">
        <v>206.62</v>
      </c>
      <c r="C3804" s="9">
        <v>215.5</v>
      </c>
      <c r="D3804" s="9">
        <v>203</v>
      </c>
      <c r="E3804" s="9">
        <v>213.88</v>
      </c>
      <c r="F3804" s="9">
        <v>16049600</v>
      </c>
      <c r="G3804" s="9">
        <v>53.47</v>
      </c>
    </row>
    <row r="3805" spans="1:7" x14ac:dyDescent="0.25">
      <c r="A3805" s="101">
        <v>36481</v>
      </c>
      <c r="B3805" s="9">
        <v>211.06</v>
      </c>
      <c r="C3805" s="9">
        <v>212</v>
      </c>
      <c r="D3805" s="9">
        <v>204.88</v>
      </c>
      <c r="E3805" s="9">
        <v>206.19</v>
      </c>
      <c r="F3805" s="9">
        <v>16416800</v>
      </c>
      <c r="G3805" s="9">
        <v>51.55</v>
      </c>
    </row>
    <row r="3806" spans="1:7" x14ac:dyDescent="0.25">
      <c r="A3806" s="101">
        <v>36480</v>
      </c>
      <c r="B3806" s="9">
        <v>205.69</v>
      </c>
      <c r="C3806" s="9">
        <v>212.94</v>
      </c>
      <c r="D3806" s="9">
        <v>203.69</v>
      </c>
      <c r="E3806" s="9">
        <v>212.56</v>
      </c>
      <c r="F3806" s="9">
        <v>23657200</v>
      </c>
      <c r="G3806" s="9">
        <v>53.14</v>
      </c>
    </row>
    <row r="3807" spans="1:7" x14ac:dyDescent="0.25">
      <c r="A3807" s="101">
        <v>36479</v>
      </c>
      <c r="B3807" s="9">
        <v>196</v>
      </c>
      <c r="C3807" s="9">
        <v>207.5</v>
      </c>
      <c r="D3807" s="9">
        <v>195.38</v>
      </c>
      <c r="E3807" s="9">
        <v>205</v>
      </c>
      <c r="F3807" s="9">
        <v>23674800</v>
      </c>
      <c r="G3807" s="9">
        <v>51.25</v>
      </c>
    </row>
    <row r="3808" spans="1:7" x14ac:dyDescent="0.25">
      <c r="A3808" s="101">
        <v>36476</v>
      </c>
      <c r="B3808" s="9">
        <v>196</v>
      </c>
      <c r="C3808" s="9">
        <v>198.88</v>
      </c>
      <c r="D3808" s="9">
        <v>190.25</v>
      </c>
      <c r="E3808" s="9">
        <v>196.94</v>
      </c>
      <c r="F3808" s="9">
        <v>17907200</v>
      </c>
      <c r="G3808" s="9">
        <v>49.23</v>
      </c>
    </row>
    <row r="3809" spans="1:7" x14ac:dyDescent="0.25">
      <c r="A3809" s="101">
        <v>36475</v>
      </c>
      <c r="B3809" s="9">
        <v>198.5</v>
      </c>
      <c r="C3809" s="9">
        <v>203</v>
      </c>
      <c r="D3809" s="9">
        <v>192.25</v>
      </c>
      <c r="E3809" s="9">
        <v>193.12</v>
      </c>
      <c r="F3809" s="9">
        <v>15894400</v>
      </c>
      <c r="G3809" s="9">
        <v>48.28</v>
      </c>
    </row>
    <row r="3810" spans="1:7" x14ac:dyDescent="0.25">
      <c r="A3810" s="101">
        <v>36474</v>
      </c>
      <c r="B3810" s="9">
        <v>193.38</v>
      </c>
      <c r="C3810" s="9">
        <v>202.38</v>
      </c>
      <c r="D3810" s="9">
        <v>193.25</v>
      </c>
      <c r="E3810" s="9">
        <v>197.69</v>
      </c>
      <c r="F3810" s="9">
        <v>26834000</v>
      </c>
      <c r="G3810" s="9">
        <v>49.42</v>
      </c>
    </row>
    <row r="3811" spans="1:7" x14ac:dyDescent="0.25">
      <c r="A3811" s="101">
        <v>36473</v>
      </c>
      <c r="B3811" s="9">
        <v>199.25</v>
      </c>
      <c r="C3811" s="9">
        <v>199.5</v>
      </c>
      <c r="D3811" s="9">
        <v>192.25</v>
      </c>
      <c r="E3811" s="9">
        <v>194.56</v>
      </c>
      <c r="F3811" s="9">
        <v>29762000</v>
      </c>
      <c r="G3811" s="9">
        <v>48.64</v>
      </c>
    </row>
    <row r="3812" spans="1:7" x14ac:dyDescent="0.25">
      <c r="A3812" s="101">
        <v>36472</v>
      </c>
      <c r="B3812" s="9">
        <v>182.62</v>
      </c>
      <c r="C3812" s="9">
        <v>199.62</v>
      </c>
      <c r="D3812" s="9">
        <v>181.88</v>
      </c>
      <c r="E3812" s="9">
        <v>197.19</v>
      </c>
      <c r="F3812" s="9">
        <v>39462400</v>
      </c>
      <c r="G3812" s="9">
        <v>49.3</v>
      </c>
    </row>
    <row r="3813" spans="1:7" x14ac:dyDescent="0.25">
      <c r="A3813" s="101">
        <v>36469</v>
      </c>
      <c r="B3813" s="9">
        <v>186.12</v>
      </c>
      <c r="C3813" s="9">
        <v>186.5</v>
      </c>
      <c r="D3813" s="9">
        <v>183</v>
      </c>
      <c r="E3813" s="9">
        <v>183.44</v>
      </c>
      <c r="F3813" s="9">
        <v>19503200</v>
      </c>
      <c r="G3813" s="9">
        <v>45.86</v>
      </c>
    </row>
    <row r="3814" spans="1:7" x14ac:dyDescent="0.25">
      <c r="A3814" s="101">
        <v>36468</v>
      </c>
      <c r="B3814" s="9">
        <v>183.06</v>
      </c>
      <c r="C3814" s="9">
        <v>185.5</v>
      </c>
      <c r="D3814" s="9">
        <v>181.31</v>
      </c>
      <c r="E3814" s="9">
        <v>182.12</v>
      </c>
      <c r="F3814" s="9">
        <v>22840400</v>
      </c>
      <c r="G3814" s="9">
        <v>45.53</v>
      </c>
    </row>
    <row r="3815" spans="1:7" x14ac:dyDescent="0.25">
      <c r="A3815" s="101">
        <v>36467</v>
      </c>
      <c r="B3815" s="9">
        <v>179.44</v>
      </c>
      <c r="C3815" s="9">
        <v>182.38</v>
      </c>
      <c r="D3815" s="9">
        <v>178.62</v>
      </c>
      <c r="E3815" s="9">
        <v>180.62</v>
      </c>
      <c r="F3815" s="9">
        <v>18202400</v>
      </c>
      <c r="G3815" s="9">
        <v>45.16</v>
      </c>
    </row>
    <row r="3816" spans="1:7" x14ac:dyDescent="0.25">
      <c r="A3816" s="101">
        <v>36466</v>
      </c>
      <c r="B3816" s="9">
        <v>181</v>
      </c>
      <c r="C3816" s="9">
        <v>181.5</v>
      </c>
      <c r="D3816" s="9">
        <v>176.88</v>
      </c>
      <c r="E3816" s="9">
        <v>178</v>
      </c>
      <c r="F3816" s="9">
        <v>16212000</v>
      </c>
      <c r="G3816" s="9">
        <v>44.5</v>
      </c>
    </row>
    <row r="3817" spans="1:7" x14ac:dyDescent="0.25">
      <c r="A3817" s="101">
        <v>36465</v>
      </c>
      <c r="B3817" s="9">
        <v>179.5</v>
      </c>
      <c r="C3817" s="9">
        <v>183</v>
      </c>
      <c r="D3817" s="9">
        <v>178</v>
      </c>
      <c r="E3817" s="9">
        <v>180.69</v>
      </c>
      <c r="F3817" s="9">
        <v>22136000</v>
      </c>
      <c r="G3817" s="9">
        <v>45.17</v>
      </c>
    </row>
    <row r="3818" spans="1:7" x14ac:dyDescent="0.25">
      <c r="A3818" s="101">
        <v>36462</v>
      </c>
      <c r="B3818" s="9">
        <v>178.5</v>
      </c>
      <c r="C3818" s="9">
        <v>180</v>
      </c>
      <c r="D3818" s="9">
        <v>177</v>
      </c>
      <c r="E3818" s="9">
        <v>179.06</v>
      </c>
      <c r="F3818" s="9">
        <v>29416400</v>
      </c>
      <c r="G3818" s="9">
        <v>44.77</v>
      </c>
    </row>
    <row r="3819" spans="1:7" x14ac:dyDescent="0.25">
      <c r="A3819" s="101">
        <v>36461</v>
      </c>
      <c r="B3819" s="9">
        <v>174.06</v>
      </c>
      <c r="C3819" s="9">
        <v>179.5</v>
      </c>
      <c r="D3819" s="9">
        <v>172.75</v>
      </c>
      <c r="E3819" s="9">
        <v>175</v>
      </c>
      <c r="F3819" s="9">
        <v>29123600</v>
      </c>
      <c r="G3819" s="9">
        <v>43.75</v>
      </c>
    </row>
    <row r="3820" spans="1:7" x14ac:dyDescent="0.25">
      <c r="A3820" s="101">
        <v>36460</v>
      </c>
      <c r="B3820" s="9">
        <v>177.5</v>
      </c>
      <c r="C3820" s="9">
        <v>177.62</v>
      </c>
      <c r="D3820" s="9">
        <v>172</v>
      </c>
      <c r="E3820" s="9">
        <v>174.19</v>
      </c>
      <c r="F3820" s="9">
        <v>14534800</v>
      </c>
      <c r="G3820" s="9">
        <v>43.55</v>
      </c>
    </row>
    <row r="3821" spans="1:7" x14ac:dyDescent="0.25">
      <c r="A3821" s="101">
        <v>36459</v>
      </c>
      <c r="B3821" s="9">
        <v>179.25</v>
      </c>
      <c r="C3821" s="9">
        <v>180.12</v>
      </c>
      <c r="D3821" s="9">
        <v>174</v>
      </c>
      <c r="E3821" s="9">
        <v>179.19</v>
      </c>
      <c r="F3821" s="9">
        <v>12201600</v>
      </c>
      <c r="G3821" s="9">
        <v>44.8</v>
      </c>
    </row>
    <row r="3822" spans="1:7" x14ac:dyDescent="0.25">
      <c r="A3822" s="101">
        <v>36458</v>
      </c>
      <c r="B3822" s="9">
        <v>176.59</v>
      </c>
      <c r="C3822" s="9">
        <v>180.25</v>
      </c>
      <c r="D3822" s="9">
        <v>176.25</v>
      </c>
      <c r="E3822" s="9">
        <v>178.75</v>
      </c>
      <c r="F3822" s="9">
        <v>15003200</v>
      </c>
      <c r="G3822" s="9">
        <v>44.69</v>
      </c>
    </row>
    <row r="3823" spans="1:7" x14ac:dyDescent="0.25">
      <c r="A3823" s="101">
        <v>36455</v>
      </c>
      <c r="B3823" s="9">
        <v>182.25</v>
      </c>
      <c r="C3823" s="9">
        <v>183.81</v>
      </c>
      <c r="D3823" s="9">
        <v>177.25</v>
      </c>
      <c r="E3823" s="9">
        <v>178.12</v>
      </c>
      <c r="F3823" s="9">
        <v>20509200</v>
      </c>
      <c r="G3823" s="9">
        <v>44.53</v>
      </c>
    </row>
    <row r="3824" spans="1:7" x14ac:dyDescent="0.25">
      <c r="A3824" s="101">
        <v>36454</v>
      </c>
      <c r="B3824" s="9">
        <v>176.88</v>
      </c>
      <c r="C3824" s="9">
        <v>182.88</v>
      </c>
      <c r="D3824" s="9">
        <v>176.25</v>
      </c>
      <c r="E3824" s="9">
        <v>181.94</v>
      </c>
      <c r="F3824" s="9">
        <v>38491600</v>
      </c>
      <c r="G3824" s="9">
        <v>45.48</v>
      </c>
    </row>
    <row r="3825" spans="1:7" x14ac:dyDescent="0.25">
      <c r="A3825" s="101">
        <v>36453</v>
      </c>
      <c r="B3825" s="9">
        <v>176.75</v>
      </c>
      <c r="C3825" s="9">
        <v>180.5</v>
      </c>
      <c r="D3825" s="9">
        <v>173.38</v>
      </c>
      <c r="E3825" s="9">
        <v>180.14</v>
      </c>
      <c r="F3825" s="9">
        <v>29566000</v>
      </c>
      <c r="G3825" s="9">
        <v>45.04</v>
      </c>
    </row>
    <row r="3826" spans="1:7" x14ac:dyDescent="0.25">
      <c r="A3826" s="101">
        <v>36452</v>
      </c>
      <c r="B3826" s="9">
        <v>174.5</v>
      </c>
      <c r="C3826" s="9">
        <v>176.75</v>
      </c>
      <c r="D3826" s="9">
        <v>173.62</v>
      </c>
      <c r="E3826" s="9">
        <v>174.88</v>
      </c>
      <c r="F3826" s="9">
        <v>35864000</v>
      </c>
      <c r="G3826" s="9">
        <v>43.72</v>
      </c>
    </row>
    <row r="3827" spans="1:7" x14ac:dyDescent="0.25">
      <c r="A3827" s="101">
        <v>36451</v>
      </c>
      <c r="B3827" s="9">
        <v>169.69</v>
      </c>
      <c r="C3827" s="9">
        <v>172.75</v>
      </c>
      <c r="D3827" s="9">
        <v>164.5</v>
      </c>
      <c r="E3827" s="9">
        <v>170.38</v>
      </c>
      <c r="F3827" s="9">
        <v>33723200</v>
      </c>
      <c r="G3827" s="9">
        <v>42.59</v>
      </c>
    </row>
    <row r="3828" spans="1:7" x14ac:dyDescent="0.25">
      <c r="A3828" s="101">
        <v>36448</v>
      </c>
      <c r="B3828" s="9">
        <v>167</v>
      </c>
      <c r="C3828" s="9">
        <v>172.75</v>
      </c>
      <c r="D3828" s="9">
        <v>165.31</v>
      </c>
      <c r="E3828" s="9">
        <v>169.56</v>
      </c>
      <c r="F3828" s="9">
        <v>44574800</v>
      </c>
      <c r="G3828" s="9">
        <v>42.39</v>
      </c>
    </row>
    <row r="3829" spans="1:7" x14ac:dyDescent="0.25">
      <c r="A3829" s="101">
        <v>36447</v>
      </c>
      <c r="B3829" s="9">
        <v>169.94</v>
      </c>
      <c r="C3829" s="9">
        <v>173.94</v>
      </c>
      <c r="D3829" s="9">
        <v>167.38</v>
      </c>
      <c r="E3829" s="9">
        <v>173.38</v>
      </c>
      <c r="F3829" s="9">
        <v>42182000</v>
      </c>
      <c r="G3829" s="9">
        <v>43.34</v>
      </c>
    </row>
    <row r="3830" spans="1:7" x14ac:dyDescent="0.25">
      <c r="A3830" s="101">
        <v>36446</v>
      </c>
      <c r="B3830" s="9">
        <v>173.19</v>
      </c>
      <c r="C3830" s="9">
        <v>177</v>
      </c>
      <c r="D3830" s="9">
        <v>167.25</v>
      </c>
      <c r="E3830" s="9">
        <v>167.56</v>
      </c>
      <c r="F3830" s="9">
        <v>45434800</v>
      </c>
      <c r="G3830" s="9">
        <v>41.89</v>
      </c>
    </row>
    <row r="3831" spans="1:7" x14ac:dyDescent="0.25">
      <c r="A3831" s="101">
        <v>36445</v>
      </c>
      <c r="B3831" s="9">
        <v>181.88</v>
      </c>
      <c r="C3831" s="9">
        <v>181.94</v>
      </c>
      <c r="D3831" s="9">
        <v>172</v>
      </c>
      <c r="E3831" s="9">
        <v>173.88</v>
      </c>
      <c r="F3831" s="9">
        <v>45610000</v>
      </c>
      <c r="G3831" s="9">
        <v>43.47</v>
      </c>
    </row>
    <row r="3832" spans="1:7" x14ac:dyDescent="0.25">
      <c r="A3832" s="101">
        <v>36444</v>
      </c>
      <c r="B3832" s="9">
        <v>187</v>
      </c>
      <c r="C3832" s="9">
        <v>188</v>
      </c>
      <c r="D3832" s="9">
        <v>180</v>
      </c>
      <c r="E3832" s="9">
        <v>181.38</v>
      </c>
      <c r="F3832" s="9">
        <v>70550400</v>
      </c>
      <c r="G3832" s="9">
        <v>45.34</v>
      </c>
    </row>
    <row r="3833" spans="1:7" x14ac:dyDescent="0.25">
      <c r="A3833" s="101">
        <v>36441</v>
      </c>
      <c r="B3833" s="9">
        <v>188</v>
      </c>
      <c r="C3833" s="9">
        <v>192.38</v>
      </c>
      <c r="D3833" s="9">
        <v>185.06</v>
      </c>
      <c r="E3833" s="9">
        <v>192.12</v>
      </c>
      <c r="F3833" s="9">
        <v>37374800</v>
      </c>
      <c r="G3833" s="9">
        <v>48.03</v>
      </c>
    </row>
    <row r="3834" spans="1:7" x14ac:dyDescent="0.25">
      <c r="A3834" s="101">
        <v>36440</v>
      </c>
      <c r="B3834" s="9">
        <v>184.69</v>
      </c>
      <c r="C3834" s="9">
        <v>193.06</v>
      </c>
      <c r="D3834" s="9">
        <v>182</v>
      </c>
      <c r="E3834" s="9">
        <v>190.25</v>
      </c>
      <c r="F3834" s="9">
        <v>99988000</v>
      </c>
      <c r="G3834" s="9">
        <v>47.56</v>
      </c>
    </row>
    <row r="3835" spans="1:7" x14ac:dyDescent="0.25">
      <c r="A3835" s="101">
        <v>36439</v>
      </c>
      <c r="B3835" s="9">
        <v>176</v>
      </c>
      <c r="C3835" s="9">
        <v>176.94</v>
      </c>
      <c r="D3835" s="9">
        <v>171.56</v>
      </c>
      <c r="E3835" s="9">
        <v>175.75</v>
      </c>
      <c r="F3835" s="9">
        <v>35948400</v>
      </c>
      <c r="G3835" s="9">
        <v>43.94</v>
      </c>
    </row>
    <row r="3836" spans="1:7" x14ac:dyDescent="0.25">
      <c r="A3836" s="101">
        <v>36438</v>
      </c>
      <c r="B3836" s="9">
        <v>172.22</v>
      </c>
      <c r="C3836" s="9">
        <v>177.81</v>
      </c>
      <c r="D3836" s="9">
        <v>167.75</v>
      </c>
      <c r="E3836" s="9">
        <v>173.31</v>
      </c>
      <c r="F3836" s="9">
        <v>52034800</v>
      </c>
      <c r="G3836" s="9">
        <v>43.33</v>
      </c>
    </row>
    <row r="3837" spans="1:7" x14ac:dyDescent="0.25">
      <c r="A3837" s="101">
        <v>36437</v>
      </c>
      <c r="B3837" s="9">
        <v>177.19</v>
      </c>
      <c r="C3837" s="9">
        <v>178.5</v>
      </c>
      <c r="D3837" s="9">
        <v>166.62</v>
      </c>
      <c r="E3837" s="9">
        <v>171.19</v>
      </c>
      <c r="F3837" s="9">
        <v>34314400</v>
      </c>
      <c r="G3837" s="9">
        <v>42.8</v>
      </c>
    </row>
    <row r="3838" spans="1:7" x14ac:dyDescent="0.25">
      <c r="A3838" s="101">
        <v>36434</v>
      </c>
      <c r="B3838" s="9">
        <v>178.5</v>
      </c>
      <c r="C3838" s="9">
        <v>180</v>
      </c>
      <c r="D3838" s="9">
        <v>172.62</v>
      </c>
      <c r="E3838" s="9">
        <v>175.44</v>
      </c>
      <c r="F3838" s="9">
        <v>24662400</v>
      </c>
      <c r="G3838" s="9">
        <v>43.86</v>
      </c>
    </row>
    <row r="3839" spans="1:7" x14ac:dyDescent="0.25">
      <c r="A3839" s="101">
        <v>36433</v>
      </c>
      <c r="B3839" s="9">
        <v>179.62</v>
      </c>
      <c r="C3839" s="9">
        <v>181.44</v>
      </c>
      <c r="D3839" s="9">
        <v>174.75</v>
      </c>
      <c r="E3839" s="9">
        <v>179.5</v>
      </c>
      <c r="F3839" s="9">
        <v>23179600</v>
      </c>
      <c r="G3839" s="9">
        <v>44.88</v>
      </c>
    </row>
    <row r="3840" spans="1:7" x14ac:dyDescent="0.25">
      <c r="A3840" s="101">
        <v>36432</v>
      </c>
      <c r="B3840" s="9">
        <v>182</v>
      </c>
      <c r="C3840" s="9">
        <v>187</v>
      </c>
      <c r="D3840" s="9">
        <v>178.69</v>
      </c>
      <c r="E3840" s="9">
        <v>179.31</v>
      </c>
      <c r="F3840" s="9">
        <v>26710400</v>
      </c>
      <c r="G3840" s="9">
        <v>44.83</v>
      </c>
    </row>
    <row r="3841" spans="1:7" x14ac:dyDescent="0.25">
      <c r="A3841" s="101">
        <v>36431</v>
      </c>
      <c r="B3841" s="9">
        <v>181.25</v>
      </c>
      <c r="C3841" s="9">
        <v>185.88</v>
      </c>
      <c r="D3841" s="9">
        <v>175.25</v>
      </c>
      <c r="E3841" s="9">
        <v>184.69</v>
      </c>
      <c r="F3841" s="9">
        <v>32783600</v>
      </c>
      <c r="G3841" s="9">
        <v>46.17</v>
      </c>
    </row>
    <row r="3842" spans="1:7" x14ac:dyDescent="0.25">
      <c r="A3842" s="101">
        <v>36430</v>
      </c>
      <c r="B3842" s="9">
        <v>186</v>
      </c>
      <c r="C3842" s="9">
        <v>187.38</v>
      </c>
      <c r="D3842" s="9">
        <v>178.31</v>
      </c>
      <c r="E3842" s="9">
        <v>181.38</v>
      </c>
      <c r="F3842" s="9">
        <v>38259200</v>
      </c>
      <c r="G3842" s="9">
        <v>45.34</v>
      </c>
    </row>
    <row r="3843" spans="1:7" x14ac:dyDescent="0.25">
      <c r="A3843" s="101">
        <v>36427</v>
      </c>
      <c r="B3843" s="9">
        <v>173.31</v>
      </c>
      <c r="C3843" s="9">
        <v>185</v>
      </c>
      <c r="D3843" s="9">
        <v>173.31</v>
      </c>
      <c r="E3843" s="9">
        <v>183.31</v>
      </c>
      <c r="F3843" s="9">
        <v>56219600</v>
      </c>
      <c r="G3843" s="9">
        <v>45.83</v>
      </c>
    </row>
    <row r="3844" spans="1:7" x14ac:dyDescent="0.25">
      <c r="A3844" s="101">
        <v>36426</v>
      </c>
      <c r="B3844" s="9">
        <v>180.31</v>
      </c>
      <c r="C3844" s="9">
        <v>186.44</v>
      </c>
      <c r="D3844" s="9">
        <v>171.25</v>
      </c>
      <c r="E3844" s="9">
        <v>173.75</v>
      </c>
      <c r="F3844" s="9">
        <v>66187200</v>
      </c>
      <c r="G3844" s="9">
        <v>43.44</v>
      </c>
    </row>
    <row r="3845" spans="1:7" x14ac:dyDescent="0.25">
      <c r="A3845" s="101">
        <v>36425</v>
      </c>
      <c r="B3845" s="9">
        <v>169.5</v>
      </c>
      <c r="C3845" s="9">
        <v>180</v>
      </c>
      <c r="D3845" s="9">
        <v>168.62</v>
      </c>
      <c r="E3845" s="9">
        <v>179.5</v>
      </c>
      <c r="F3845" s="9">
        <v>47312800</v>
      </c>
      <c r="G3845" s="9">
        <v>44.88</v>
      </c>
    </row>
    <row r="3846" spans="1:7" x14ac:dyDescent="0.25">
      <c r="A3846" s="101">
        <v>36424</v>
      </c>
      <c r="B3846" s="9">
        <v>165.81</v>
      </c>
      <c r="C3846" s="9">
        <v>175</v>
      </c>
      <c r="D3846" s="9">
        <v>164.31</v>
      </c>
      <c r="E3846" s="9">
        <v>169.56</v>
      </c>
      <c r="F3846" s="9">
        <v>43461600</v>
      </c>
      <c r="G3846" s="9">
        <v>42.39</v>
      </c>
    </row>
    <row r="3847" spans="1:7" x14ac:dyDescent="0.25">
      <c r="A3847" s="101">
        <v>36423</v>
      </c>
      <c r="B3847" s="9">
        <v>164.5</v>
      </c>
      <c r="C3847" s="9">
        <v>168.75</v>
      </c>
      <c r="D3847" s="9">
        <v>164</v>
      </c>
      <c r="E3847" s="9">
        <v>168.38</v>
      </c>
      <c r="F3847" s="9">
        <v>20120000</v>
      </c>
      <c r="G3847" s="9">
        <v>42.09</v>
      </c>
    </row>
    <row r="3848" spans="1:7" x14ac:dyDescent="0.25">
      <c r="A3848" s="101">
        <v>36420</v>
      </c>
      <c r="B3848" s="9">
        <v>162.81</v>
      </c>
      <c r="C3848" s="9">
        <v>166.62</v>
      </c>
      <c r="D3848" s="9">
        <v>161.06</v>
      </c>
      <c r="E3848" s="9">
        <v>163.12</v>
      </c>
      <c r="F3848" s="9">
        <v>19720000</v>
      </c>
      <c r="G3848" s="9">
        <v>40.78</v>
      </c>
    </row>
    <row r="3849" spans="1:7" x14ac:dyDescent="0.25">
      <c r="A3849" s="101">
        <v>36419</v>
      </c>
      <c r="B3849" s="9">
        <v>162.12</v>
      </c>
      <c r="C3849" s="9">
        <v>163.88</v>
      </c>
      <c r="D3849" s="9">
        <v>157.31</v>
      </c>
      <c r="E3849" s="9">
        <v>163.44</v>
      </c>
      <c r="F3849" s="9">
        <v>25113200</v>
      </c>
      <c r="G3849" s="9">
        <v>40.86</v>
      </c>
    </row>
    <row r="3850" spans="1:7" x14ac:dyDescent="0.25">
      <c r="A3850" s="101">
        <v>36418</v>
      </c>
      <c r="B3850" s="9">
        <v>168.25</v>
      </c>
      <c r="C3850" s="9">
        <v>169.75</v>
      </c>
      <c r="D3850" s="9">
        <v>162.25</v>
      </c>
      <c r="E3850" s="9">
        <v>162.38</v>
      </c>
      <c r="F3850" s="9">
        <v>26740800</v>
      </c>
      <c r="G3850" s="9">
        <v>40.590000000000003</v>
      </c>
    </row>
    <row r="3851" spans="1:7" x14ac:dyDescent="0.25">
      <c r="A3851" s="101">
        <v>36417</v>
      </c>
      <c r="B3851" s="9">
        <v>159.75</v>
      </c>
      <c r="C3851" s="9">
        <v>167.94</v>
      </c>
      <c r="D3851" s="9">
        <v>159.69</v>
      </c>
      <c r="E3851" s="9">
        <v>165.19</v>
      </c>
      <c r="F3851" s="9">
        <v>25134000</v>
      </c>
      <c r="G3851" s="9">
        <v>41.3</v>
      </c>
    </row>
    <row r="3852" spans="1:7" x14ac:dyDescent="0.25">
      <c r="A3852" s="101">
        <v>36416</v>
      </c>
      <c r="B3852" s="9">
        <v>166.75</v>
      </c>
      <c r="C3852" s="9">
        <v>167.75</v>
      </c>
      <c r="D3852" s="9">
        <v>160.5</v>
      </c>
      <c r="E3852" s="9">
        <v>160.75</v>
      </c>
      <c r="F3852" s="9">
        <v>28529600</v>
      </c>
      <c r="G3852" s="9">
        <v>40.19</v>
      </c>
    </row>
    <row r="3853" spans="1:7" x14ac:dyDescent="0.25">
      <c r="A3853" s="101">
        <v>36413</v>
      </c>
      <c r="B3853" s="9">
        <v>165.62</v>
      </c>
      <c r="C3853" s="9">
        <v>172.06</v>
      </c>
      <c r="D3853" s="9">
        <v>165</v>
      </c>
      <c r="E3853" s="9">
        <v>170.5</v>
      </c>
      <c r="F3853" s="9">
        <v>41157200</v>
      </c>
      <c r="G3853" s="9">
        <v>42.62</v>
      </c>
    </row>
    <row r="3854" spans="1:7" x14ac:dyDescent="0.25">
      <c r="A3854" s="101">
        <v>36412</v>
      </c>
      <c r="B3854" s="9">
        <v>157.81</v>
      </c>
      <c r="C3854" s="9">
        <v>163.38</v>
      </c>
      <c r="D3854" s="9">
        <v>157.81</v>
      </c>
      <c r="E3854" s="9">
        <v>162.69</v>
      </c>
      <c r="F3854" s="9">
        <v>41091200</v>
      </c>
      <c r="G3854" s="9">
        <v>40.67</v>
      </c>
    </row>
    <row r="3855" spans="1:7" x14ac:dyDescent="0.25">
      <c r="A3855" s="101">
        <v>36411</v>
      </c>
      <c r="B3855" s="9">
        <v>152.81</v>
      </c>
      <c r="C3855" s="9">
        <v>155.5</v>
      </c>
      <c r="D3855" s="9">
        <v>151.81</v>
      </c>
      <c r="E3855" s="9">
        <v>153.44</v>
      </c>
      <c r="F3855" s="9">
        <v>17771200</v>
      </c>
      <c r="G3855" s="9">
        <v>38.36</v>
      </c>
    </row>
    <row r="3856" spans="1:7" x14ac:dyDescent="0.25">
      <c r="A3856" s="101">
        <v>36410</v>
      </c>
      <c r="B3856" s="9">
        <v>153.56</v>
      </c>
      <c r="C3856" s="9">
        <v>157</v>
      </c>
      <c r="D3856" s="9">
        <v>152.06</v>
      </c>
      <c r="E3856" s="9">
        <v>155</v>
      </c>
      <c r="F3856" s="9">
        <v>24489600</v>
      </c>
      <c r="G3856" s="9">
        <v>38.75</v>
      </c>
    </row>
    <row r="3857" spans="1:7" x14ac:dyDescent="0.25">
      <c r="A3857" s="101">
        <v>36406</v>
      </c>
      <c r="B3857" s="9">
        <v>147.62</v>
      </c>
      <c r="C3857" s="9">
        <v>155.06</v>
      </c>
      <c r="D3857" s="9">
        <v>146.88</v>
      </c>
      <c r="E3857" s="9">
        <v>155</v>
      </c>
      <c r="F3857" s="9">
        <v>33040800</v>
      </c>
      <c r="G3857" s="9">
        <v>38.75</v>
      </c>
    </row>
    <row r="3858" spans="1:7" x14ac:dyDescent="0.25">
      <c r="A3858" s="101">
        <v>36405</v>
      </c>
      <c r="B3858" s="9">
        <v>140.25</v>
      </c>
      <c r="C3858" s="9">
        <v>144.52000000000001</v>
      </c>
      <c r="D3858" s="9">
        <v>139.38</v>
      </c>
      <c r="E3858" s="9">
        <v>141.56</v>
      </c>
      <c r="F3858" s="9">
        <v>21898800</v>
      </c>
      <c r="G3858" s="9">
        <v>35.39</v>
      </c>
    </row>
    <row r="3859" spans="1:7" x14ac:dyDescent="0.25">
      <c r="A3859" s="101">
        <v>36404</v>
      </c>
      <c r="B3859" s="9">
        <v>148.75</v>
      </c>
      <c r="C3859" s="9">
        <v>149.38</v>
      </c>
      <c r="D3859" s="9">
        <v>142.31</v>
      </c>
      <c r="E3859" s="9">
        <v>143.31</v>
      </c>
      <c r="F3859" s="9">
        <v>17971600</v>
      </c>
      <c r="G3859" s="9">
        <v>35.83</v>
      </c>
    </row>
    <row r="3860" spans="1:7" x14ac:dyDescent="0.25">
      <c r="A3860" s="101">
        <v>36403</v>
      </c>
      <c r="B3860" s="9">
        <v>142.44</v>
      </c>
      <c r="C3860" s="9">
        <v>148.25</v>
      </c>
      <c r="D3860" s="9">
        <v>139.25</v>
      </c>
      <c r="E3860" s="9">
        <v>147.5</v>
      </c>
      <c r="F3860" s="9">
        <v>42270800</v>
      </c>
      <c r="G3860" s="9">
        <v>36.880000000000003</v>
      </c>
    </row>
    <row r="3861" spans="1:7" x14ac:dyDescent="0.25">
      <c r="A3861" s="101">
        <v>36402</v>
      </c>
      <c r="B3861" s="9">
        <v>148.5</v>
      </c>
      <c r="C3861" s="9">
        <v>149.75</v>
      </c>
      <c r="D3861" s="9">
        <v>142.56</v>
      </c>
      <c r="E3861" s="9">
        <v>143.81</v>
      </c>
      <c r="F3861" s="9">
        <v>17183600</v>
      </c>
      <c r="G3861" s="9">
        <v>35.950000000000003</v>
      </c>
    </row>
    <row r="3862" spans="1:7" x14ac:dyDescent="0.25">
      <c r="A3862" s="101">
        <v>36399</v>
      </c>
      <c r="B3862" s="9">
        <v>153.38</v>
      </c>
      <c r="C3862" s="9">
        <v>153.5</v>
      </c>
      <c r="D3862" s="9">
        <v>147.25</v>
      </c>
      <c r="E3862" s="9">
        <v>149</v>
      </c>
      <c r="F3862" s="9">
        <v>20174400</v>
      </c>
      <c r="G3862" s="9">
        <v>37.25</v>
      </c>
    </row>
    <row r="3863" spans="1:7" x14ac:dyDescent="0.25">
      <c r="A3863" s="101">
        <v>36398</v>
      </c>
      <c r="B3863" s="9">
        <v>157.5</v>
      </c>
      <c r="C3863" s="9">
        <v>160.5</v>
      </c>
      <c r="D3863" s="9">
        <v>152.38</v>
      </c>
      <c r="E3863" s="9">
        <v>152.69</v>
      </c>
      <c r="F3863" s="9">
        <v>23626800</v>
      </c>
      <c r="G3863" s="9">
        <v>38.17</v>
      </c>
    </row>
    <row r="3864" spans="1:7" x14ac:dyDescent="0.25">
      <c r="A3864" s="101">
        <v>36397</v>
      </c>
      <c r="B3864" s="9">
        <v>154.75</v>
      </c>
      <c r="C3864" s="9">
        <v>159.06</v>
      </c>
      <c r="D3864" s="9">
        <v>153.5</v>
      </c>
      <c r="E3864" s="9">
        <v>158.56</v>
      </c>
      <c r="F3864" s="9">
        <v>25081200</v>
      </c>
      <c r="G3864" s="9">
        <v>39.64</v>
      </c>
    </row>
    <row r="3865" spans="1:7" x14ac:dyDescent="0.25">
      <c r="A3865" s="101">
        <v>36396</v>
      </c>
      <c r="B3865" s="9">
        <v>149.94</v>
      </c>
      <c r="C3865" s="9">
        <v>159.5</v>
      </c>
      <c r="D3865" s="9">
        <v>149.88</v>
      </c>
      <c r="E3865" s="9">
        <v>152.94</v>
      </c>
      <c r="F3865" s="9">
        <v>46909600</v>
      </c>
      <c r="G3865" s="9">
        <v>38.229999999999997</v>
      </c>
    </row>
    <row r="3866" spans="1:7" x14ac:dyDescent="0.25">
      <c r="A3866" s="101">
        <v>36395</v>
      </c>
      <c r="B3866" s="9">
        <v>147</v>
      </c>
      <c r="C3866" s="9">
        <v>153.5</v>
      </c>
      <c r="D3866" s="9">
        <v>146.88</v>
      </c>
      <c r="E3866" s="9">
        <v>152.12</v>
      </c>
      <c r="F3866" s="9">
        <v>42162000</v>
      </c>
      <c r="G3866" s="9">
        <v>38.03</v>
      </c>
    </row>
    <row r="3867" spans="1:7" x14ac:dyDescent="0.25">
      <c r="A3867" s="101">
        <v>36392</v>
      </c>
      <c r="B3867" s="9">
        <v>139.62</v>
      </c>
      <c r="C3867" s="9">
        <v>145.31</v>
      </c>
      <c r="D3867" s="9">
        <v>138.5</v>
      </c>
      <c r="E3867" s="9">
        <v>145</v>
      </c>
      <c r="F3867" s="9">
        <v>20089600</v>
      </c>
      <c r="G3867" s="9">
        <v>36.25</v>
      </c>
    </row>
    <row r="3868" spans="1:7" x14ac:dyDescent="0.25">
      <c r="A3868" s="101">
        <v>36391</v>
      </c>
      <c r="B3868" s="9">
        <v>141.5</v>
      </c>
      <c r="C3868" s="9">
        <v>143.5</v>
      </c>
      <c r="D3868" s="9">
        <v>138</v>
      </c>
      <c r="E3868" s="9">
        <v>139.19</v>
      </c>
      <c r="F3868" s="9">
        <v>31132400</v>
      </c>
      <c r="G3868" s="9">
        <v>34.799999999999997</v>
      </c>
    </row>
    <row r="3869" spans="1:7" x14ac:dyDescent="0.25">
      <c r="A3869" s="101">
        <v>36390</v>
      </c>
      <c r="B3869" s="9">
        <v>143.25</v>
      </c>
      <c r="C3869" s="9">
        <v>149.5</v>
      </c>
      <c r="D3869" s="9">
        <v>143</v>
      </c>
      <c r="E3869" s="9">
        <v>145.06</v>
      </c>
      <c r="F3869" s="9">
        <v>41488000</v>
      </c>
      <c r="G3869" s="9">
        <v>36.270000000000003</v>
      </c>
    </row>
    <row r="3870" spans="1:7" x14ac:dyDescent="0.25">
      <c r="A3870" s="101">
        <v>36389</v>
      </c>
      <c r="B3870" s="9">
        <v>136.38</v>
      </c>
      <c r="C3870" s="9">
        <v>139.5</v>
      </c>
      <c r="D3870" s="9">
        <v>135.25</v>
      </c>
      <c r="E3870" s="9">
        <v>138.88</v>
      </c>
      <c r="F3870" s="9">
        <v>29511600</v>
      </c>
      <c r="G3870" s="9">
        <v>34.72</v>
      </c>
    </row>
    <row r="3871" spans="1:7" x14ac:dyDescent="0.25">
      <c r="A3871" s="101">
        <v>36388</v>
      </c>
      <c r="B3871" s="9">
        <v>132</v>
      </c>
      <c r="C3871" s="9">
        <v>135.38</v>
      </c>
      <c r="D3871" s="9">
        <v>130.75</v>
      </c>
      <c r="E3871" s="9">
        <v>134.5</v>
      </c>
      <c r="F3871" s="9">
        <v>20766000</v>
      </c>
      <c r="G3871" s="9">
        <v>33.619999999999997</v>
      </c>
    </row>
    <row r="3872" spans="1:7" x14ac:dyDescent="0.25">
      <c r="A3872" s="101">
        <v>36385</v>
      </c>
      <c r="B3872" s="9">
        <v>132.38</v>
      </c>
      <c r="C3872" s="9">
        <v>134</v>
      </c>
      <c r="D3872" s="9">
        <v>129.75</v>
      </c>
      <c r="E3872" s="9">
        <v>132.81</v>
      </c>
      <c r="F3872" s="9">
        <v>24487600</v>
      </c>
      <c r="G3872" s="9">
        <v>33.200000000000003</v>
      </c>
    </row>
    <row r="3873" spans="1:7" x14ac:dyDescent="0.25">
      <c r="A3873" s="101">
        <v>36384</v>
      </c>
      <c r="B3873" s="9">
        <v>128</v>
      </c>
      <c r="C3873" s="9">
        <v>133.25</v>
      </c>
      <c r="D3873" s="9">
        <v>126.56</v>
      </c>
      <c r="E3873" s="9">
        <v>128.38</v>
      </c>
      <c r="F3873" s="9">
        <v>31806800</v>
      </c>
      <c r="G3873" s="9">
        <v>32.090000000000003</v>
      </c>
    </row>
    <row r="3874" spans="1:7" x14ac:dyDescent="0.25">
      <c r="A3874" s="101">
        <v>36383</v>
      </c>
      <c r="B3874" s="9">
        <v>130.25</v>
      </c>
      <c r="C3874" s="9">
        <v>131.62</v>
      </c>
      <c r="D3874" s="9">
        <v>122.56</v>
      </c>
      <c r="E3874" s="9">
        <v>128.06</v>
      </c>
      <c r="F3874" s="9">
        <v>47123600</v>
      </c>
      <c r="G3874" s="9">
        <v>32.020000000000003</v>
      </c>
    </row>
    <row r="3875" spans="1:7" x14ac:dyDescent="0.25">
      <c r="A3875" s="101">
        <v>36382</v>
      </c>
      <c r="B3875" s="9">
        <v>120.75</v>
      </c>
      <c r="C3875" s="9">
        <v>128.75</v>
      </c>
      <c r="D3875" s="9">
        <v>116</v>
      </c>
      <c r="E3875" s="9">
        <v>127.5</v>
      </c>
      <c r="F3875" s="9">
        <v>59756000</v>
      </c>
      <c r="G3875" s="9">
        <v>31.88</v>
      </c>
    </row>
    <row r="3876" spans="1:7" x14ac:dyDescent="0.25">
      <c r="A3876" s="101">
        <v>36381</v>
      </c>
      <c r="B3876" s="9">
        <v>128.12</v>
      </c>
      <c r="C3876" s="9">
        <v>128.88</v>
      </c>
      <c r="D3876" s="9">
        <v>120.02</v>
      </c>
      <c r="E3876" s="9">
        <v>121.19</v>
      </c>
      <c r="F3876" s="9">
        <v>30964400</v>
      </c>
      <c r="G3876" s="9">
        <v>30.3</v>
      </c>
    </row>
    <row r="3877" spans="1:7" x14ac:dyDescent="0.25">
      <c r="A3877" s="101">
        <v>36378</v>
      </c>
      <c r="B3877" s="9">
        <v>131.12</v>
      </c>
      <c r="C3877" s="9">
        <v>136</v>
      </c>
      <c r="D3877" s="9">
        <v>125.75</v>
      </c>
      <c r="E3877" s="9">
        <v>126.94</v>
      </c>
      <c r="F3877" s="9">
        <v>58423200</v>
      </c>
      <c r="G3877" s="9">
        <v>31.73</v>
      </c>
    </row>
    <row r="3878" spans="1:7" x14ac:dyDescent="0.25">
      <c r="A3878" s="101">
        <v>36377</v>
      </c>
      <c r="B3878" s="9">
        <v>120.12</v>
      </c>
      <c r="C3878" s="9">
        <v>129.62</v>
      </c>
      <c r="D3878" s="9">
        <v>110</v>
      </c>
      <c r="E3878" s="9">
        <v>128.38</v>
      </c>
      <c r="F3878" s="9">
        <v>93246000</v>
      </c>
      <c r="G3878" s="9">
        <v>32.090000000000003</v>
      </c>
    </row>
    <row r="3879" spans="1:7" x14ac:dyDescent="0.25">
      <c r="A3879" s="101">
        <v>36376</v>
      </c>
      <c r="B3879" s="9">
        <v>125</v>
      </c>
      <c r="C3879" s="9">
        <v>127.75</v>
      </c>
      <c r="D3879" s="9">
        <v>119.75</v>
      </c>
      <c r="E3879" s="9">
        <v>121</v>
      </c>
      <c r="F3879" s="9">
        <v>45760800</v>
      </c>
      <c r="G3879" s="9">
        <v>30.25</v>
      </c>
    </row>
    <row r="3880" spans="1:7" x14ac:dyDescent="0.25">
      <c r="A3880" s="101">
        <v>36375</v>
      </c>
      <c r="B3880" s="9">
        <v>134.44</v>
      </c>
      <c r="C3880" s="9">
        <v>134.44</v>
      </c>
      <c r="D3880" s="9">
        <v>122.88</v>
      </c>
      <c r="E3880" s="9">
        <v>125.38</v>
      </c>
      <c r="F3880" s="9">
        <v>60916800</v>
      </c>
      <c r="G3880" s="9">
        <v>31.34</v>
      </c>
    </row>
    <row r="3881" spans="1:7" x14ac:dyDescent="0.25">
      <c r="A3881" s="101">
        <v>36374</v>
      </c>
      <c r="B3881" s="9">
        <v>135.06</v>
      </c>
      <c r="C3881" s="9">
        <v>139.75</v>
      </c>
      <c r="D3881" s="9">
        <v>132</v>
      </c>
      <c r="E3881" s="9">
        <v>132.31</v>
      </c>
      <c r="F3881" s="9">
        <v>24568000</v>
      </c>
      <c r="G3881" s="9">
        <v>33.08</v>
      </c>
    </row>
    <row r="3882" spans="1:7" x14ac:dyDescent="0.25">
      <c r="A3882" s="101">
        <v>36371</v>
      </c>
      <c r="B3882" s="9">
        <v>137.75</v>
      </c>
      <c r="C3882" s="9">
        <v>140.5</v>
      </c>
      <c r="D3882" s="9">
        <v>133.5</v>
      </c>
      <c r="E3882" s="9">
        <v>136.44</v>
      </c>
      <c r="F3882" s="9">
        <v>25167200</v>
      </c>
      <c r="G3882" s="9">
        <v>34.11</v>
      </c>
    </row>
    <row r="3883" spans="1:7" x14ac:dyDescent="0.25">
      <c r="A3883" s="101">
        <v>36370</v>
      </c>
      <c r="B3883" s="9">
        <v>139.12</v>
      </c>
      <c r="C3883" s="9">
        <v>140</v>
      </c>
      <c r="D3883" s="9">
        <v>134</v>
      </c>
      <c r="E3883" s="9">
        <v>137</v>
      </c>
      <c r="F3883" s="9">
        <v>42611200</v>
      </c>
      <c r="G3883" s="9">
        <v>34.25</v>
      </c>
    </row>
    <row r="3884" spans="1:7" x14ac:dyDescent="0.25">
      <c r="A3884" s="101">
        <v>36369</v>
      </c>
      <c r="B3884" s="9">
        <v>133.44</v>
      </c>
      <c r="C3884" s="9">
        <v>143.22</v>
      </c>
      <c r="D3884" s="9">
        <v>131.5</v>
      </c>
      <c r="E3884" s="9">
        <v>143</v>
      </c>
      <c r="F3884" s="9">
        <v>46910800</v>
      </c>
      <c r="G3884" s="9">
        <v>35.75</v>
      </c>
    </row>
    <row r="3885" spans="1:7" x14ac:dyDescent="0.25">
      <c r="A3885" s="101">
        <v>36368</v>
      </c>
      <c r="B3885" s="9">
        <v>138.12</v>
      </c>
      <c r="C3885" s="9">
        <v>140.5</v>
      </c>
      <c r="D3885" s="9">
        <v>131.06</v>
      </c>
      <c r="E3885" s="9">
        <v>131.31</v>
      </c>
      <c r="F3885" s="9">
        <v>39426000</v>
      </c>
      <c r="G3885" s="9">
        <v>32.83</v>
      </c>
    </row>
    <row r="3886" spans="1:7" x14ac:dyDescent="0.25">
      <c r="A3886" s="101">
        <v>36367</v>
      </c>
      <c r="B3886" s="9">
        <v>141.5</v>
      </c>
      <c r="C3886" s="9">
        <v>143.88</v>
      </c>
      <c r="D3886" s="9">
        <v>132</v>
      </c>
      <c r="E3886" s="9">
        <v>134.31</v>
      </c>
      <c r="F3886" s="9">
        <v>41694400</v>
      </c>
      <c r="G3886" s="9">
        <v>33.58</v>
      </c>
    </row>
    <row r="3887" spans="1:7" x14ac:dyDescent="0.25">
      <c r="A3887" s="101">
        <v>36364</v>
      </c>
      <c r="B3887" s="9">
        <v>146.56</v>
      </c>
      <c r="C3887" s="9">
        <v>148.12</v>
      </c>
      <c r="D3887" s="9">
        <v>143.56</v>
      </c>
      <c r="E3887" s="9">
        <v>145.75</v>
      </c>
      <c r="F3887" s="9">
        <v>19178800</v>
      </c>
      <c r="G3887" s="9">
        <v>36.44</v>
      </c>
    </row>
    <row r="3888" spans="1:7" x14ac:dyDescent="0.25">
      <c r="A3888" s="101">
        <v>36363</v>
      </c>
      <c r="B3888" s="9">
        <v>148.31</v>
      </c>
      <c r="C3888" s="9">
        <v>151.5</v>
      </c>
      <c r="D3888" s="9">
        <v>143.06</v>
      </c>
      <c r="E3888" s="9">
        <v>145.12</v>
      </c>
      <c r="F3888" s="9">
        <v>39331200</v>
      </c>
      <c r="G3888" s="9">
        <v>36.28</v>
      </c>
    </row>
    <row r="3889" spans="1:7" x14ac:dyDescent="0.25">
      <c r="A3889" s="101">
        <v>36362</v>
      </c>
      <c r="B3889" s="9">
        <v>142.88</v>
      </c>
      <c r="C3889" s="9">
        <v>152.5</v>
      </c>
      <c r="D3889" s="9">
        <v>142.25</v>
      </c>
      <c r="E3889" s="9">
        <v>151.88</v>
      </c>
      <c r="F3889" s="9">
        <v>32751200</v>
      </c>
      <c r="G3889" s="9">
        <v>37.97</v>
      </c>
    </row>
    <row r="3890" spans="1:7" x14ac:dyDescent="0.25">
      <c r="A3890" s="101">
        <v>36361</v>
      </c>
      <c r="B3890" s="9">
        <v>148.12</v>
      </c>
      <c r="C3890" s="9">
        <v>150.5</v>
      </c>
      <c r="D3890" s="9">
        <v>141.75</v>
      </c>
      <c r="E3890" s="9">
        <v>142.12</v>
      </c>
      <c r="F3890" s="9">
        <v>24332400</v>
      </c>
      <c r="G3890" s="9">
        <v>35.53</v>
      </c>
    </row>
    <row r="3891" spans="1:7" x14ac:dyDescent="0.25">
      <c r="A3891" s="101">
        <v>36360</v>
      </c>
      <c r="B3891" s="9">
        <v>150.88</v>
      </c>
      <c r="C3891" s="9">
        <v>152.5</v>
      </c>
      <c r="D3891" s="9">
        <v>147.5</v>
      </c>
      <c r="E3891" s="9">
        <v>149.5</v>
      </c>
      <c r="F3891" s="9">
        <v>25438400</v>
      </c>
      <c r="G3891" s="9">
        <v>37.380000000000003</v>
      </c>
    </row>
    <row r="3892" spans="1:7" x14ac:dyDescent="0.25">
      <c r="A3892" s="101">
        <v>36357</v>
      </c>
      <c r="B3892" s="9">
        <v>153.75</v>
      </c>
      <c r="C3892" s="9">
        <v>155.5</v>
      </c>
      <c r="D3892" s="9">
        <v>149.88</v>
      </c>
      <c r="E3892" s="9">
        <v>150.25</v>
      </c>
      <c r="F3892" s="9">
        <v>20528000</v>
      </c>
      <c r="G3892" s="9">
        <v>37.56</v>
      </c>
    </row>
    <row r="3893" spans="1:7" x14ac:dyDescent="0.25">
      <c r="A3893" s="101">
        <v>36356</v>
      </c>
      <c r="B3893" s="9">
        <v>160.5</v>
      </c>
      <c r="C3893" s="9">
        <v>161.75</v>
      </c>
      <c r="D3893" s="9">
        <v>153</v>
      </c>
      <c r="E3893" s="9">
        <v>154.44</v>
      </c>
      <c r="F3893" s="9">
        <v>24413600</v>
      </c>
      <c r="G3893" s="9">
        <v>38.61</v>
      </c>
    </row>
    <row r="3894" spans="1:7" x14ac:dyDescent="0.25">
      <c r="A3894" s="101">
        <v>36355</v>
      </c>
      <c r="B3894" s="9">
        <v>159.75</v>
      </c>
      <c r="C3894" s="9">
        <v>161.5</v>
      </c>
      <c r="D3894" s="9">
        <v>156.88</v>
      </c>
      <c r="E3894" s="9">
        <v>159.44</v>
      </c>
      <c r="F3894" s="9">
        <v>36978400</v>
      </c>
      <c r="G3894" s="9">
        <v>39.86</v>
      </c>
    </row>
    <row r="3895" spans="1:7" x14ac:dyDescent="0.25">
      <c r="A3895" s="101">
        <v>36354</v>
      </c>
      <c r="B3895" s="9">
        <v>147.88</v>
      </c>
      <c r="C3895" s="9">
        <v>158</v>
      </c>
      <c r="D3895" s="9">
        <v>145</v>
      </c>
      <c r="E3895" s="9">
        <v>156.94</v>
      </c>
      <c r="F3895" s="9">
        <v>47375200</v>
      </c>
      <c r="G3895" s="9">
        <v>39.229999999999997</v>
      </c>
    </row>
    <row r="3896" spans="1:7" x14ac:dyDescent="0.25">
      <c r="A3896" s="101">
        <v>36353</v>
      </c>
      <c r="B3896" s="9">
        <v>159.5</v>
      </c>
      <c r="C3896" s="9">
        <v>159.75</v>
      </c>
      <c r="D3896" s="9">
        <v>150</v>
      </c>
      <c r="E3896" s="9">
        <v>150.25</v>
      </c>
      <c r="F3896" s="9">
        <v>47432400</v>
      </c>
      <c r="G3896" s="9">
        <v>37.56</v>
      </c>
    </row>
    <row r="3897" spans="1:7" x14ac:dyDescent="0.25">
      <c r="A3897" s="101">
        <v>36350</v>
      </c>
      <c r="B3897" s="9">
        <v>165.44</v>
      </c>
      <c r="C3897" s="9">
        <v>167</v>
      </c>
      <c r="D3897" s="9">
        <v>159</v>
      </c>
      <c r="E3897" s="9">
        <v>160</v>
      </c>
      <c r="F3897" s="9">
        <v>28462000</v>
      </c>
      <c r="G3897" s="9">
        <v>40</v>
      </c>
    </row>
    <row r="3898" spans="1:7" x14ac:dyDescent="0.25">
      <c r="A3898" s="101">
        <v>36349</v>
      </c>
      <c r="B3898" s="9">
        <v>173.81</v>
      </c>
      <c r="C3898" s="9">
        <v>175.25</v>
      </c>
      <c r="D3898" s="9">
        <v>162</v>
      </c>
      <c r="E3898" s="9">
        <v>164.44</v>
      </c>
      <c r="F3898" s="9">
        <v>67836800</v>
      </c>
      <c r="G3898" s="9">
        <v>41.11</v>
      </c>
    </row>
    <row r="3899" spans="1:7" x14ac:dyDescent="0.25">
      <c r="A3899" s="101">
        <v>36348</v>
      </c>
      <c r="B3899" s="9">
        <v>172.25</v>
      </c>
      <c r="C3899" s="9">
        <v>174</v>
      </c>
      <c r="D3899" s="9">
        <v>165</v>
      </c>
      <c r="E3899" s="9">
        <v>167.06</v>
      </c>
      <c r="F3899" s="9">
        <v>67031200</v>
      </c>
      <c r="G3899" s="9">
        <v>41.77</v>
      </c>
    </row>
    <row r="3900" spans="1:7" x14ac:dyDescent="0.25">
      <c r="A3900" s="101">
        <v>36347</v>
      </c>
      <c r="B3900" s="9">
        <v>182.5</v>
      </c>
      <c r="C3900" s="9">
        <v>189.25</v>
      </c>
      <c r="D3900" s="9">
        <v>172.5</v>
      </c>
      <c r="E3900" s="9">
        <v>175.12</v>
      </c>
      <c r="F3900" s="9">
        <v>62996800</v>
      </c>
      <c r="G3900" s="9">
        <v>43.78</v>
      </c>
    </row>
    <row r="3901" spans="1:7" x14ac:dyDescent="0.25">
      <c r="A3901" s="101">
        <v>36343</v>
      </c>
      <c r="B3901" s="9">
        <v>177</v>
      </c>
      <c r="C3901" s="9">
        <v>178.88</v>
      </c>
      <c r="D3901" s="9">
        <v>172.5</v>
      </c>
      <c r="E3901" s="9">
        <v>178.12</v>
      </c>
      <c r="F3901" s="9">
        <v>29583200</v>
      </c>
      <c r="G3901" s="9">
        <v>44.53</v>
      </c>
    </row>
    <row r="3902" spans="1:7" x14ac:dyDescent="0.25">
      <c r="A3902" s="101">
        <v>36342</v>
      </c>
      <c r="B3902" s="9">
        <v>174.38</v>
      </c>
      <c r="C3902" s="9">
        <v>179.88</v>
      </c>
      <c r="D3902" s="9">
        <v>171.81</v>
      </c>
      <c r="E3902" s="9">
        <v>177.25</v>
      </c>
      <c r="F3902" s="9">
        <v>46766800</v>
      </c>
      <c r="G3902" s="9">
        <v>44.31</v>
      </c>
    </row>
    <row r="3903" spans="1:7" x14ac:dyDescent="0.25">
      <c r="A3903" s="101">
        <v>36341</v>
      </c>
      <c r="B3903" s="9">
        <v>159.88</v>
      </c>
      <c r="C3903" s="9">
        <v>178.38</v>
      </c>
      <c r="D3903" s="9">
        <v>157.81</v>
      </c>
      <c r="E3903" s="9">
        <v>172.25</v>
      </c>
      <c r="F3903" s="9">
        <v>59339600</v>
      </c>
      <c r="G3903" s="9">
        <v>43.06</v>
      </c>
    </row>
    <row r="3904" spans="1:7" x14ac:dyDescent="0.25">
      <c r="A3904" s="101">
        <v>36340</v>
      </c>
      <c r="B3904" s="9">
        <v>155.81</v>
      </c>
      <c r="C3904" s="9">
        <v>164.31</v>
      </c>
      <c r="D3904" s="9">
        <v>153</v>
      </c>
      <c r="E3904" s="9">
        <v>160</v>
      </c>
      <c r="F3904" s="9">
        <v>45476000</v>
      </c>
      <c r="G3904" s="9">
        <v>40</v>
      </c>
    </row>
    <row r="3905" spans="1:7" x14ac:dyDescent="0.25">
      <c r="A3905" s="101">
        <v>36339</v>
      </c>
      <c r="B3905" s="9">
        <v>147.56</v>
      </c>
      <c r="C3905" s="9">
        <v>156.5</v>
      </c>
      <c r="D3905" s="9">
        <v>147.56</v>
      </c>
      <c r="E3905" s="9">
        <v>156.5</v>
      </c>
      <c r="F3905" s="9">
        <v>38500400</v>
      </c>
      <c r="G3905" s="9">
        <v>39.119999999999997</v>
      </c>
    </row>
    <row r="3906" spans="1:7" x14ac:dyDescent="0.25">
      <c r="A3906" s="101">
        <v>36336</v>
      </c>
      <c r="B3906" s="9">
        <v>152.75</v>
      </c>
      <c r="C3906" s="9">
        <v>153.88</v>
      </c>
      <c r="D3906" s="9">
        <v>145</v>
      </c>
      <c r="E3906" s="9">
        <v>146.88</v>
      </c>
      <c r="F3906" s="9">
        <v>21633200</v>
      </c>
      <c r="G3906" s="9">
        <v>36.72</v>
      </c>
    </row>
    <row r="3907" spans="1:7" x14ac:dyDescent="0.25">
      <c r="A3907" s="101">
        <v>36335</v>
      </c>
      <c r="B3907" s="9">
        <v>155</v>
      </c>
      <c r="C3907" s="9">
        <v>155.69</v>
      </c>
      <c r="D3907" s="9">
        <v>147</v>
      </c>
      <c r="E3907" s="9">
        <v>151</v>
      </c>
      <c r="F3907" s="9">
        <v>28072800</v>
      </c>
      <c r="G3907" s="9">
        <v>37.75</v>
      </c>
    </row>
    <row r="3908" spans="1:7" x14ac:dyDescent="0.25">
      <c r="A3908" s="101">
        <v>36334</v>
      </c>
      <c r="B3908" s="9">
        <v>149.75</v>
      </c>
      <c r="C3908" s="9">
        <v>156.5</v>
      </c>
      <c r="D3908" s="9">
        <v>146.25</v>
      </c>
      <c r="E3908" s="9">
        <v>155.5</v>
      </c>
      <c r="F3908" s="9">
        <v>42335200</v>
      </c>
      <c r="G3908" s="9">
        <v>38.880000000000003</v>
      </c>
    </row>
    <row r="3909" spans="1:7" x14ac:dyDescent="0.25">
      <c r="A3909" s="101">
        <v>36333</v>
      </c>
      <c r="B3909" s="9">
        <v>157.38</v>
      </c>
      <c r="C3909" s="9">
        <v>166.12</v>
      </c>
      <c r="D3909" s="9">
        <v>150.5</v>
      </c>
      <c r="E3909" s="9">
        <v>152.5</v>
      </c>
      <c r="F3909" s="9">
        <v>50848000</v>
      </c>
      <c r="G3909" s="9">
        <v>38.119999999999997</v>
      </c>
    </row>
    <row r="3910" spans="1:7" x14ac:dyDescent="0.25">
      <c r="A3910" s="101">
        <v>36332</v>
      </c>
      <c r="B3910" s="9">
        <v>148.5</v>
      </c>
      <c r="C3910" s="9">
        <v>160.5</v>
      </c>
      <c r="D3910" s="9">
        <v>148</v>
      </c>
      <c r="E3910" s="9">
        <v>158.88</v>
      </c>
      <c r="F3910" s="9">
        <v>50007600</v>
      </c>
      <c r="G3910" s="9">
        <v>39.72</v>
      </c>
    </row>
    <row r="3911" spans="1:7" x14ac:dyDescent="0.25">
      <c r="A3911" s="101">
        <v>36329</v>
      </c>
      <c r="B3911" s="9">
        <v>141.38</v>
      </c>
      <c r="C3911" s="9">
        <v>145.5</v>
      </c>
      <c r="D3911" s="9">
        <v>140.5</v>
      </c>
      <c r="E3911" s="9">
        <v>144.44</v>
      </c>
      <c r="F3911" s="9">
        <v>17448800</v>
      </c>
      <c r="G3911" s="9">
        <v>36.11</v>
      </c>
    </row>
    <row r="3912" spans="1:7" x14ac:dyDescent="0.25">
      <c r="A3912" s="101">
        <v>36328</v>
      </c>
      <c r="B3912" s="9">
        <v>139.62</v>
      </c>
      <c r="C3912" s="9">
        <v>149.94</v>
      </c>
      <c r="D3912" s="9">
        <v>137.25</v>
      </c>
      <c r="E3912" s="9">
        <v>142.25</v>
      </c>
      <c r="F3912" s="9">
        <v>48852400</v>
      </c>
      <c r="G3912" s="9">
        <v>35.56</v>
      </c>
    </row>
    <row r="3913" spans="1:7" x14ac:dyDescent="0.25">
      <c r="A3913" s="101">
        <v>36327</v>
      </c>
      <c r="B3913" s="9">
        <v>133.25</v>
      </c>
      <c r="C3913" s="9">
        <v>143.5</v>
      </c>
      <c r="D3913" s="9">
        <v>125.19</v>
      </c>
      <c r="E3913" s="9">
        <v>141.62</v>
      </c>
      <c r="F3913" s="9">
        <v>59128800</v>
      </c>
      <c r="G3913" s="9">
        <v>35.409999999999997</v>
      </c>
    </row>
    <row r="3914" spans="1:7" x14ac:dyDescent="0.25">
      <c r="A3914" s="101">
        <v>36326</v>
      </c>
      <c r="B3914" s="9">
        <v>117.62</v>
      </c>
      <c r="C3914" s="9">
        <v>129.62</v>
      </c>
      <c r="D3914" s="9">
        <v>117.62</v>
      </c>
      <c r="E3914" s="9">
        <v>125.25</v>
      </c>
      <c r="F3914" s="9">
        <v>49996000</v>
      </c>
      <c r="G3914" s="9">
        <v>31.31</v>
      </c>
    </row>
    <row r="3915" spans="1:7" x14ac:dyDescent="0.25">
      <c r="A3915" s="101">
        <v>36325</v>
      </c>
      <c r="B3915" s="9">
        <v>134.69</v>
      </c>
      <c r="C3915" s="9">
        <v>134.88</v>
      </c>
      <c r="D3915" s="9">
        <v>118</v>
      </c>
      <c r="E3915" s="9">
        <v>119.25</v>
      </c>
      <c r="F3915" s="9">
        <v>50811600</v>
      </c>
      <c r="G3915" s="9">
        <v>29.81</v>
      </c>
    </row>
    <row r="3916" spans="1:7" x14ac:dyDescent="0.25">
      <c r="A3916" s="101">
        <v>36322</v>
      </c>
      <c r="B3916" s="9">
        <v>144.38</v>
      </c>
      <c r="C3916" s="9">
        <v>146.5</v>
      </c>
      <c r="D3916" s="9">
        <v>134.25</v>
      </c>
      <c r="E3916" s="9">
        <v>135.25</v>
      </c>
      <c r="F3916" s="9">
        <v>25944000</v>
      </c>
      <c r="G3916" s="9">
        <v>33.81</v>
      </c>
    </row>
    <row r="3917" spans="1:7" x14ac:dyDescent="0.25">
      <c r="A3917" s="101">
        <v>36321</v>
      </c>
      <c r="B3917" s="9">
        <v>143.69</v>
      </c>
      <c r="C3917" s="9">
        <v>147.88</v>
      </c>
      <c r="D3917" s="9">
        <v>140.75</v>
      </c>
      <c r="E3917" s="9">
        <v>144.75</v>
      </c>
      <c r="F3917" s="9">
        <v>20716000</v>
      </c>
      <c r="G3917" s="9">
        <v>36.19</v>
      </c>
    </row>
    <row r="3918" spans="1:7" x14ac:dyDescent="0.25">
      <c r="A3918" s="101">
        <v>36320</v>
      </c>
      <c r="B3918" s="9">
        <v>144.88</v>
      </c>
      <c r="C3918" s="9">
        <v>149.19</v>
      </c>
      <c r="D3918" s="9">
        <v>143.06</v>
      </c>
      <c r="E3918" s="9">
        <v>146.38</v>
      </c>
      <c r="F3918" s="9">
        <v>23841200</v>
      </c>
      <c r="G3918" s="9">
        <v>36.590000000000003</v>
      </c>
    </row>
    <row r="3919" spans="1:7" x14ac:dyDescent="0.25">
      <c r="A3919" s="101">
        <v>36319</v>
      </c>
      <c r="B3919" s="9">
        <v>152.38</v>
      </c>
      <c r="C3919" s="9">
        <v>153.5</v>
      </c>
      <c r="D3919" s="9">
        <v>142.53</v>
      </c>
      <c r="E3919" s="9">
        <v>143.31</v>
      </c>
      <c r="F3919" s="9">
        <v>27203600</v>
      </c>
      <c r="G3919" s="9">
        <v>35.83</v>
      </c>
    </row>
    <row r="3920" spans="1:7" x14ac:dyDescent="0.25">
      <c r="A3920" s="101">
        <v>36318</v>
      </c>
      <c r="B3920" s="9">
        <v>146.62</v>
      </c>
      <c r="C3920" s="9">
        <v>157.75</v>
      </c>
      <c r="D3920" s="9">
        <v>144.25</v>
      </c>
      <c r="E3920" s="9">
        <v>151.88</v>
      </c>
      <c r="F3920" s="9">
        <v>36826000</v>
      </c>
      <c r="G3920" s="9">
        <v>37.97</v>
      </c>
    </row>
    <row r="3921" spans="1:7" x14ac:dyDescent="0.25">
      <c r="A3921" s="101">
        <v>36315</v>
      </c>
      <c r="B3921" s="9">
        <v>136.12</v>
      </c>
      <c r="C3921" s="9">
        <v>147.75</v>
      </c>
      <c r="D3921" s="9">
        <v>134</v>
      </c>
      <c r="E3921" s="9">
        <v>147.44</v>
      </c>
      <c r="F3921" s="9">
        <v>36142000</v>
      </c>
      <c r="G3921" s="9">
        <v>36.86</v>
      </c>
    </row>
    <row r="3922" spans="1:7" x14ac:dyDescent="0.25">
      <c r="A3922" s="101">
        <v>36314</v>
      </c>
      <c r="B3922" s="9">
        <v>142.5</v>
      </c>
      <c r="C3922" s="9">
        <v>144.5</v>
      </c>
      <c r="D3922" s="9">
        <v>133.5</v>
      </c>
      <c r="E3922" s="9">
        <v>135.38</v>
      </c>
      <c r="F3922" s="9">
        <v>30196000</v>
      </c>
      <c r="G3922" s="9">
        <v>33.840000000000003</v>
      </c>
    </row>
    <row r="3923" spans="1:7" x14ac:dyDescent="0.25">
      <c r="A3923" s="101">
        <v>36313</v>
      </c>
      <c r="B3923" s="9">
        <v>136.25</v>
      </c>
      <c r="C3923" s="9">
        <v>149</v>
      </c>
      <c r="D3923" s="9">
        <v>130.12</v>
      </c>
      <c r="E3923" s="9">
        <v>142.5</v>
      </c>
      <c r="F3923" s="9">
        <v>45042400</v>
      </c>
      <c r="G3923" s="9">
        <v>35.619999999999997</v>
      </c>
    </row>
    <row r="3924" spans="1:7" x14ac:dyDescent="0.25">
      <c r="A3924" s="101">
        <v>36312</v>
      </c>
      <c r="B3924" s="9">
        <v>145.31</v>
      </c>
      <c r="C3924" s="9">
        <v>150</v>
      </c>
      <c r="D3924" s="9">
        <v>135.06</v>
      </c>
      <c r="E3924" s="9">
        <v>138.19</v>
      </c>
      <c r="F3924" s="9">
        <v>31400400</v>
      </c>
      <c r="G3924" s="9">
        <v>34.549999999999997</v>
      </c>
    </row>
    <row r="3925" spans="1:7" x14ac:dyDescent="0.25">
      <c r="A3925" s="101">
        <v>36308</v>
      </c>
      <c r="B3925" s="9">
        <v>134.5</v>
      </c>
      <c r="C3925" s="9">
        <v>148.25</v>
      </c>
      <c r="D3925" s="9">
        <v>131.5</v>
      </c>
      <c r="E3925" s="9">
        <v>148</v>
      </c>
      <c r="F3925" s="9">
        <v>28661200</v>
      </c>
      <c r="G3925" s="9">
        <v>37</v>
      </c>
    </row>
    <row r="3926" spans="1:7" x14ac:dyDescent="0.25">
      <c r="A3926" s="101">
        <v>36307</v>
      </c>
      <c r="B3926" s="9">
        <v>139</v>
      </c>
      <c r="C3926" s="9">
        <v>141.62</v>
      </c>
      <c r="D3926" s="9">
        <v>132.88</v>
      </c>
      <c r="E3926" s="9">
        <v>133.38</v>
      </c>
      <c r="F3926" s="9">
        <v>30726800</v>
      </c>
      <c r="G3926" s="9">
        <v>33.340000000000003</v>
      </c>
    </row>
    <row r="3927" spans="1:7" x14ac:dyDescent="0.25">
      <c r="A3927" s="101">
        <v>36306</v>
      </c>
      <c r="B3927" s="9">
        <v>130</v>
      </c>
      <c r="C3927" s="9">
        <v>141.25</v>
      </c>
      <c r="D3927" s="9">
        <v>120.5</v>
      </c>
      <c r="E3927" s="9">
        <v>140.88</v>
      </c>
      <c r="F3927" s="9">
        <v>52978400</v>
      </c>
      <c r="G3927" s="9">
        <v>35.22</v>
      </c>
    </row>
    <row r="3928" spans="1:7" x14ac:dyDescent="0.25">
      <c r="A3928" s="101">
        <v>36305</v>
      </c>
      <c r="B3928" s="9">
        <v>138.44</v>
      </c>
      <c r="C3928" s="9">
        <v>141.12</v>
      </c>
      <c r="D3928" s="9">
        <v>126.62</v>
      </c>
      <c r="E3928" s="9">
        <v>126.94</v>
      </c>
      <c r="F3928" s="9">
        <v>37816800</v>
      </c>
      <c r="G3928" s="9">
        <v>31.73</v>
      </c>
    </row>
    <row r="3929" spans="1:7" x14ac:dyDescent="0.25">
      <c r="A3929" s="101">
        <v>36304</v>
      </c>
      <c r="B3929" s="9">
        <v>149.38</v>
      </c>
      <c r="C3929" s="9">
        <v>150.25</v>
      </c>
      <c r="D3929" s="9">
        <v>135.88</v>
      </c>
      <c r="E3929" s="9">
        <v>137.88</v>
      </c>
      <c r="F3929" s="9">
        <v>30008400</v>
      </c>
      <c r="G3929" s="9">
        <v>34.47</v>
      </c>
    </row>
    <row r="3930" spans="1:7" x14ac:dyDescent="0.25">
      <c r="A3930" s="101">
        <v>36301</v>
      </c>
      <c r="B3930" s="9">
        <v>153.25</v>
      </c>
      <c r="C3930" s="9">
        <v>153.31</v>
      </c>
      <c r="D3930" s="9">
        <v>148.75</v>
      </c>
      <c r="E3930" s="9">
        <v>151.31</v>
      </c>
      <c r="F3930" s="9">
        <v>14906400</v>
      </c>
      <c r="G3930" s="9">
        <v>37.83</v>
      </c>
    </row>
    <row r="3931" spans="1:7" x14ac:dyDescent="0.25">
      <c r="A3931" s="101">
        <v>36300</v>
      </c>
      <c r="B3931" s="9">
        <v>158.38</v>
      </c>
      <c r="C3931" s="9">
        <v>159.12</v>
      </c>
      <c r="D3931" s="9">
        <v>151</v>
      </c>
      <c r="E3931" s="9">
        <v>151.5</v>
      </c>
      <c r="F3931" s="9">
        <v>10570000</v>
      </c>
      <c r="G3931" s="9">
        <v>37.880000000000003</v>
      </c>
    </row>
    <row r="3932" spans="1:7" x14ac:dyDescent="0.25">
      <c r="A3932" s="101">
        <v>36299</v>
      </c>
      <c r="B3932" s="9">
        <v>158.94</v>
      </c>
      <c r="C3932" s="9">
        <v>161.12</v>
      </c>
      <c r="D3932" s="9">
        <v>155.25</v>
      </c>
      <c r="E3932" s="9">
        <v>158.25</v>
      </c>
      <c r="F3932" s="9">
        <v>16702000</v>
      </c>
      <c r="G3932" s="9">
        <v>39.56</v>
      </c>
    </row>
    <row r="3933" spans="1:7" x14ac:dyDescent="0.25">
      <c r="A3933" s="101">
        <v>36298</v>
      </c>
      <c r="B3933" s="9">
        <v>159.38</v>
      </c>
      <c r="C3933" s="9">
        <v>161.5</v>
      </c>
      <c r="D3933" s="9">
        <v>155.31</v>
      </c>
      <c r="E3933" s="9">
        <v>156.81</v>
      </c>
      <c r="F3933" s="9">
        <v>18851600</v>
      </c>
      <c r="G3933" s="9">
        <v>39.200000000000003</v>
      </c>
    </row>
    <row r="3934" spans="1:7" x14ac:dyDescent="0.25">
      <c r="A3934" s="101">
        <v>36297</v>
      </c>
      <c r="B3934" s="9">
        <v>155.06</v>
      </c>
      <c r="C3934" s="9">
        <v>162.75</v>
      </c>
      <c r="D3934" s="9">
        <v>150.06</v>
      </c>
      <c r="E3934" s="9">
        <v>161.81</v>
      </c>
      <c r="F3934" s="9">
        <v>26168000</v>
      </c>
      <c r="G3934" s="9">
        <v>40.450000000000003</v>
      </c>
    </row>
    <row r="3935" spans="1:7" x14ac:dyDescent="0.25">
      <c r="A3935" s="101">
        <v>36294</v>
      </c>
      <c r="B3935" s="9">
        <v>154.44</v>
      </c>
      <c r="C3935" s="9">
        <v>161.75</v>
      </c>
      <c r="D3935" s="9">
        <v>153</v>
      </c>
      <c r="E3935" s="9">
        <v>157.38</v>
      </c>
      <c r="F3935" s="9">
        <v>23758400</v>
      </c>
      <c r="G3935" s="9">
        <v>39.340000000000003</v>
      </c>
    </row>
    <row r="3936" spans="1:7" x14ac:dyDescent="0.25">
      <c r="A3936" s="101">
        <v>36293</v>
      </c>
      <c r="B3936" s="9">
        <v>171.5</v>
      </c>
      <c r="C3936" s="9">
        <v>173.5</v>
      </c>
      <c r="D3936" s="9">
        <v>159.88</v>
      </c>
      <c r="E3936" s="9">
        <v>160.38</v>
      </c>
      <c r="F3936" s="9">
        <v>18511600</v>
      </c>
      <c r="G3936" s="9">
        <v>40.090000000000003</v>
      </c>
    </row>
    <row r="3937" spans="1:7" x14ac:dyDescent="0.25">
      <c r="A3937" s="101">
        <v>36292</v>
      </c>
      <c r="B3937" s="9">
        <v>170.88</v>
      </c>
      <c r="C3937" s="9">
        <v>173.5</v>
      </c>
      <c r="D3937" s="9">
        <v>164.88</v>
      </c>
      <c r="E3937" s="9">
        <v>169.94</v>
      </c>
      <c r="F3937" s="9">
        <v>22728400</v>
      </c>
      <c r="G3937" s="9">
        <v>42.48</v>
      </c>
    </row>
    <row r="3938" spans="1:7" x14ac:dyDescent="0.25">
      <c r="A3938" s="101">
        <v>36291</v>
      </c>
      <c r="B3938" s="9">
        <v>164.38</v>
      </c>
      <c r="C3938" s="9">
        <v>175.31</v>
      </c>
      <c r="D3938" s="9">
        <v>160.88</v>
      </c>
      <c r="E3938" s="9">
        <v>174</v>
      </c>
      <c r="F3938" s="9">
        <v>42985600</v>
      </c>
      <c r="G3938" s="9">
        <v>43.5</v>
      </c>
    </row>
    <row r="3939" spans="1:7" x14ac:dyDescent="0.25">
      <c r="A3939" s="101">
        <v>36290</v>
      </c>
      <c r="B3939" s="9">
        <v>148.25</v>
      </c>
      <c r="C3939" s="9">
        <v>156.81</v>
      </c>
      <c r="D3939" s="9">
        <v>147.5</v>
      </c>
      <c r="E3939" s="9">
        <v>155.69</v>
      </c>
      <c r="F3939" s="9">
        <v>25932800</v>
      </c>
      <c r="G3939" s="9">
        <v>38.92</v>
      </c>
    </row>
    <row r="3940" spans="1:7" x14ac:dyDescent="0.25">
      <c r="A3940" s="101">
        <v>36287</v>
      </c>
      <c r="B3940" s="9">
        <v>151.62</v>
      </c>
      <c r="C3940" s="9">
        <v>157.5</v>
      </c>
      <c r="D3940" s="9">
        <v>145</v>
      </c>
      <c r="E3940" s="9">
        <v>147.44</v>
      </c>
      <c r="F3940" s="9">
        <v>27588800</v>
      </c>
      <c r="G3940" s="9">
        <v>36.86</v>
      </c>
    </row>
    <row r="3941" spans="1:7" x14ac:dyDescent="0.25">
      <c r="A3941" s="101">
        <v>36286</v>
      </c>
      <c r="B3941" s="9">
        <v>162</v>
      </c>
      <c r="C3941" s="9">
        <v>162.5</v>
      </c>
      <c r="D3941" s="9">
        <v>150</v>
      </c>
      <c r="E3941" s="9">
        <v>151.88</v>
      </c>
      <c r="F3941" s="9">
        <v>23365200</v>
      </c>
      <c r="G3941" s="9">
        <v>37.97</v>
      </c>
    </row>
    <row r="3942" spans="1:7" x14ac:dyDescent="0.25">
      <c r="A3942" s="101">
        <v>36285</v>
      </c>
      <c r="B3942" s="9">
        <v>160.38</v>
      </c>
      <c r="C3942" s="9">
        <v>162.12</v>
      </c>
      <c r="D3942" s="9">
        <v>148.88</v>
      </c>
      <c r="E3942" s="9">
        <v>161.31</v>
      </c>
      <c r="F3942" s="9">
        <v>39324000</v>
      </c>
      <c r="G3942" s="9">
        <v>40.33</v>
      </c>
    </row>
    <row r="3943" spans="1:7" x14ac:dyDescent="0.25">
      <c r="A3943" s="101">
        <v>36284</v>
      </c>
      <c r="B3943" s="9">
        <v>162.25</v>
      </c>
      <c r="C3943" s="9">
        <v>170.25</v>
      </c>
      <c r="D3943" s="9">
        <v>158</v>
      </c>
      <c r="E3943" s="9">
        <v>159.25</v>
      </c>
      <c r="F3943" s="9">
        <v>25120000</v>
      </c>
      <c r="G3943" s="9">
        <v>39.81</v>
      </c>
    </row>
    <row r="3944" spans="1:7" x14ac:dyDescent="0.25">
      <c r="A3944" s="101">
        <v>36283</v>
      </c>
      <c r="B3944" s="9">
        <v>171.12</v>
      </c>
      <c r="C3944" s="9">
        <v>173.25</v>
      </c>
      <c r="D3944" s="9">
        <v>161</v>
      </c>
      <c r="E3944" s="9">
        <v>162.56</v>
      </c>
      <c r="F3944" s="9">
        <v>20424000</v>
      </c>
      <c r="G3944" s="9">
        <v>40.64</v>
      </c>
    </row>
    <row r="3945" spans="1:7" x14ac:dyDescent="0.25">
      <c r="A3945" s="101">
        <v>36280</v>
      </c>
      <c r="B3945" s="9">
        <v>180.06</v>
      </c>
      <c r="C3945" s="9">
        <v>182</v>
      </c>
      <c r="D3945" s="9">
        <v>168</v>
      </c>
      <c r="E3945" s="9">
        <v>174.69</v>
      </c>
      <c r="F3945" s="9">
        <v>14938800</v>
      </c>
      <c r="G3945" s="9">
        <v>43.67</v>
      </c>
    </row>
    <row r="3946" spans="1:7" x14ac:dyDescent="0.25">
      <c r="A3946" s="101">
        <v>36279</v>
      </c>
      <c r="B3946" s="9">
        <v>168.12</v>
      </c>
      <c r="C3946" s="9">
        <v>175.5</v>
      </c>
      <c r="D3946" s="9">
        <v>164.62</v>
      </c>
      <c r="E3946" s="9">
        <v>175</v>
      </c>
      <c r="F3946" s="9">
        <v>25935200</v>
      </c>
      <c r="G3946" s="9">
        <v>43.75</v>
      </c>
    </row>
    <row r="3947" spans="1:7" x14ac:dyDescent="0.25">
      <c r="A3947" s="101">
        <v>36278</v>
      </c>
      <c r="B3947" s="9">
        <v>182.75</v>
      </c>
      <c r="C3947" s="9">
        <v>184.94</v>
      </c>
      <c r="D3947" s="9">
        <v>171</v>
      </c>
      <c r="E3947" s="9">
        <v>173.5</v>
      </c>
      <c r="F3947" s="9">
        <v>18786800</v>
      </c>
      <c r="G3947" s="9">
        <v>43.38</v>
      </c>
    </row>
    <row r="3948" spans="1:7" x14ac:dyDescent="0.25">
      <c r="A3948" s="101">
        <v>36277</v>
      </c>
      <c r="B3948" s="9">
        <v>194.94</v>
      </c>
      <c r="C3948" s="9">
        <v>197.56</v>
      </c>
      <c r="D3948" s="9">
        <v>181.5</v>
      </c>
      <c r="E3948" s="9">
        <v>184.5</v>
      </c>
      <c r="F3948" s="9">
        <v>20129200</v>
      </c>
      <c r="G3948" s="9">
        <v>46.12</v>
      </c>
    </row>
    <row r="3949" spans="1:7" x14ac:dyDescent="0.25">
      <c r="A3949" s="101">
        <v>36276</v>
      </c>
      <c r="B3949" s="9">
        <v>189.12</v>
      </c>
      <c r="C3949" s="9">
        <v>194.5</v>
      </c>
      <c r="D3949" s="9">
        <v>187.25</v>
      </c>
      <c r="E3949" s="9">
        <v>192.25</v>
      </c>
      <c r="F3949" s="9">
        <v>13915600</v>
      </c>
      <c r="G3949" s="9">
        <v>48.06</v>
      </c>
    </row>
    <row r="3950" spans="1:7" x14ac:dyDescent="0.25">
      <c r="A3950" s="101">
        <v>36273</v>
      </c>
      <c r="B3950" s="9">
        <v>183.38</v>
      </c>
      <c r="C3950" s="9">
        <v>192.12</v>
      </c>
      <c r="D3950" s="9">
        <v>180.5</v>
      </c>
      <c r="E3950" s="9">
        <v>187.69</v>
      </c>
      <c r="F3950" s="9">
        <v>19913600</v>
      </c>
      <c r="G3950" s="9">
        <v>46.92</v>
      </c>
    </row>
    <row r="3951" spans="1:7" x14ac:dyDescent="0.25">
      <c r="A3951" s="101">
        <v>36272</v>
      </c>
      <c r="B3951" s="9">
        <v>182.69</v>
      </c>
      <c r="C3951" s="9">
        <v>185</v>
      </c>
      <c r="D3951" s="9">
        <v>175.44</v>
      </c>
      <c r="E3951" s="9">
        <v>184</v>
      </c>
      <c r="F3951" s="9">
        <v>25307200</v>
      </c>
      <c r="G3951" s="9">
        <v>46</v>
      </c>
    </row>
    <row r="3952" spans="1:7" x14ac:dyDescent="0.25">
      <c r="A3952" s="101">
        <v>36271</v>
      </c>
      <c r="B3952" s="9">
        <v>174.62</v>
      </c>
      <c r="C3952" s="9">
        <v>180</v>
      </c>
      <c r="D3952" s="9">
        <v>170</v>
      </c>
      <c r="E3952" s="9">
        <v>174.88</v>
      </c>
      <c r="F3952" s="9">
        <v>24596400</v>
      </c>
      <c r="G3952" s="9">
        <v>43.72</v>
      </c>
    </row>
    <row r="3953" spans="1:7" x14ac:dyDescent="0.25">
      <c r="A3953" s="101">
        <v>36270</v>
      </c>
      <c r="B3953" s="9">
        <v>161.25</v>
      </c>
      <c r="C3953" s="9">
        <v>174</v>
      </c>
      <c r="D3953" s="9">
        <v>155</v>
      </c>
      <c r="E3953" s="9">
        <v>171</v>
      </c>
      <c r="F3953" s="9">
        <v>42084400</v>
      </c>
      <c r="G3953" s="9">
        <v>42.75</v>
      </c>
    </row>
    <row r="3954" spans="1:7" x14ac:dyDescent="0.25">
      <c r="A3954" s="101">
        <v>36269</v>
      </c>
      <c r="B3954" s="9">
        <v>188.88</v>
      </c>
      <c r="C3954" s="9">
        <v>191</v>
      </c>
      <c r="D3954" s="9">
        <v>161.25</v>
      </c>
      <c r="E3954" s="9">
        <v>163.69</v>
      </c>
      <c r="F3954" s="9">
        <v>42021200</v>
      </c>
      <c r="G3954" s="9">
        <v>40.92</v>
      </c>
    </row>
    <row r="3955" spans="1:7" x14ac:dyDescent="0.25">
      <c r="A3955" s="101">
        <v>36266</v>
      </c>
      <c r="B3955" s="9">
        <v>195.5</v>
      </c>
      <c r="C3955" s="9">
        <v>197</v>
      </c>
      <c r="D3955" s="9">
        <v>185.06</v>
      </c>
      <c r="E3955" s="9">
        <v>189.19</v>
      </c>
      <c r="F3955" s="9">
        <v>23426400</v>
      </c>
      <c r="G3955" s="9">
        <v>47.3</v>
      </c>
    </row>
    <row r="3956" spans="1:7" x14ac:dyDescent="0.25">
      <c r="A3956" s="101">
        <v>36265</v>
      </c>
      <c r="B3956" s="9">
        <v>189.75</v>
      </c>
      <c r="C3956" s="9">
        <v>200.06</v>
      </c>
      <c r="D3956" s="9">
        <v>172</v>
      </c>
      <c r="E3956" s="9">
        <v>194.62</v>
      </c>
      <c r="F3956" s="9">
        <v>45416800</v>
      </c>
      <c r="G3956" s="9">
        <v>48.66</v>
      </c>
    </row>
    <row r="3957" spans="1:7" x14ac:dyDescent="0.25">
      <c r="A3957" s="101">
        <v>36264</v>
      </c>
      <c r="B3957" s="9">
        <v>204.25</v>
      </c>
      <c r="C3957" s="9">
        <v>208</v>
      </c>
      <c r="D3957" s="9">
        <v>189.5</v>
      </c>
      <c r="E3957" s="9">
        <v>191</v>
      </c>
      <c r="F3957" s="9">
        <v>25956800</v>
      </c>
      <c r="G3957" s="9">
        <v>47.75</v>
      </c>
    </row>
    <row r="3958" spans="1:7" x14ac:dyDescent="0.25">
      <c r="A3958" s="101">
        <v>36263</v>
      </c>
      <c r="B3958" s="9">
        <v>204.75</v>
      </c>
      <c r="C3958" s="9">
        <v>216.38</v>
      </c>
      <c r="D3958" s="9">
        <v>202</v>
      </c>
      <c r="E3958" s="9">
        <v>203</v>
      </c>
      <c r="F3958" s="9">
        <v>29236400</v>
      </c>
      <c r="G3958" s="9">
        <v>50.75</v>
      </c>
    </row>
    <row r="3959" spans="1:7" x14ac:dyDescent="0.25">
      <c r="A3959" s="101">
        <v>36262</v>
      </c>
      <c r="B3959" s="9">
        <v>193.12</v>
      </c>
      <c r="C3959" s="9">
        <v>206.06</v>
      </c>
      <c r="D3959" s="9">
        <v>192.88</v>
      </c>
      <c r="E3959" s="9">
        <v>202.94</v>
      </c>
      <c r="F3959" s="9">
        <v>39976800</v>
      </c>
      <c r="G3959" s="9">
        <v>50.73</v>
      </c>
    </row>
    <row r="3960" spans="1:7" x14ac:dyDescent="0.25">
      <c r="A3960" s="101">
        <v>36259</v>
      </c>
      <c r="B3960" s="9">
        <v>204.69</v>
      </c>
      <c r="C3960" s="9">
        <v>211</v>
      </c>
      <c r="D3960" s="9">
        <v>202</v>
      </c>
      <c r="E3960" s="9">
        <v>207</v>
      </c>
      <c r="F3960" s="9">
        <v>24151600</v>
      </c>
      <c r="G3960" s="9">
        <v>51.75</v>
      </c>
    </row>
    <row r="3961" spans="1:7" x14ac:dyDescent="0.25">
      <c r="A3961" s="101">
        <v>36258</v>
      </c>
      <c r="B3961" s="9">
        <v>217</v>
      </c>
      <c r="C3961" s="9">
        <v>217</v>
      </c>
      <c r="D3961" s="9">
        <v>196.94</v>
      </c>
      <c r="E3961" s="9">
        <v>206.69</v>
      </c>
      <c r="F3961" s="9">
        <v>56466800</v>
      </c>
      <c r="G3961" s="9">
        <v>51.67</v>
      </c>
    </row>
    <row r="3962" spans="1:7" x14ac:dyDescent="0.25">
      <c r="A3962" s="101">
        <v>36257</v>
      </c>
      <c r="B3962" s="9">
        <v>229</v>
      </c>
      <c r="C3962" s="9">
        <v>231</v>
      </c>
      <c r="D3962" s="9">
        <v>203</v>
      </c>
      <c r="E3962" s="9">
        <v>208.44</v>
      </c>
      <c r="F3962" s="9">
        <v>69661600</v>
      </c>
      <c r="G3962" s="9">
        <v>52.11</v>
      </c>
    </row>
    <row r="3963" spans="1:7" x14ac:dyDescent="0.25">
      <c r="A3963" s="101">
        <v>36256</v>
      </c>
      <c r="B3963" s="9">
        <v>220</v>
      </c>
      <c r="C3963" s="9">
        <v>244</v>
      </c>
      <c r="D3963" s="9">
        <v>210</v>
      </c>
      <c r="E3963" s="9">
        <v>214.88</v>
      </c>
      <c r="F3963" s="9">
        <v>100101200</v>
      </c>
      <c r="G3963" s="9">
        <v>53.72</v>
      </c>
    </row>
    <row r="3964" spans="1:7" x14ac:dyDescent="0.25">
      <c r="A3964" s="101">
        <v>36255</v>
      </c>
      <c r="B3964" s="9">
        <v>186.25</v>
      </c>
      <c r="C3964" s="9">
        <v>221</v>
      </c>
      <c r="D3964" s="9">
        <v>185</v>
      </c>
      <c r="E3964" s="9">
        <v>219.12</v>
      </c>
      <c r="F3964" s="9">
        <v>82058000</v>
      </c>
      <c r="G3964" s="9">
        <v>54.78</v>
      </c>
    </row>
    <row r="3965" spans="1:7" x14ac:dyDescent="0.25">
      <c r="A3965" s="101">
        <v>36251</v>
      </c>
      <c r="B3965" s="9">
        <v>179</v>
      </c>
      <c r="C3965" s="9">
        <v>181</v>
      </c>
      <c r="D3965" s="9">
        <v>168</v>
      </c>
      <c r="E3965" s="9">
        <v>179.75</v>
      </c>
      <c r="F3965" s="9">
        <v>40504800</v>
      </c>
      <c r="G3965" s="9">
        <v>44.94</v>
      </c>
    </row>
    <row r="3966" spans="1:7" x14ac:dyDescent="0.25">
      <c r="A3966" s="101">
        <v>36250</v>
      </c>
      <c r="B3966" s="9">
        <v>176</v>
      </c>
      <c r="C3966" s="9">
        <v>181.5</v>
      </c>
      <c r="D3966" s="9">
        <v>168</v>
      </c>
      <c r="E3966" s="9">
        <v>168.38</v>
      </c>
      <c r="F3966" s="9">
        <v>32183600</v>
      </c>
      <c r="G3966" s="9">
        <v>42.09</v>
      </c>
    </row>
    <row r="3967" spans="1:7" x14ac:dyDescent="0.25">
      <c r="A3967" s="101">
        <v>36249</v>
      </c>
      <c r="B3967" s="9">
        <v>175.38</v>
      </c>
      <c r="C3967" s="9">
        <v>185.88</v>
      </c>
      <c r="D3967" s="9">
        <v>172.12</v>
      </c>
      <c r="E3967" s="9">
        <v>172.31</v>
      </c>
      <c r="F3967" s="9">
        <v>38020000</v>
      </c>
      <c r="G3967" s="9">
        <v>43.08</v>
      </c>
    </row>
    <row r="3968" spans="1:7" x14ac:dyDescent="0.25">
      <c r="A3968" s="101">
        <v>36248</v>
      </c>
      <c r="B3968" s="9">
        <v>177</v>
      </c>
      <c r="C3968" s="9">
        <v>178.75</v>
      </c>
      <c r="D3968" s="9">
        <v>171.75</v>
      </c>
      <c r="E3968" s="9">
        <v>176</v>
      </c>
      <c r="F3968" s="9">
        <v>15764000</v>
      </c>
      <c r="G3968" s="9">
        <v>44</v>
      </c>
    </row>
    <row r="3969" spans="1:7" x14ac:dyDescent="0.25">
      <c r="A3969" s="101">
        <v>36245</v>
      </c>
      <c r="B3969" s="9">
        <v>174.38</v>
      </c>
      <c r="C3969" s="9">
        <v>177.25</v>
      </c>
      <c r="D3969" s="9">
        <v>170</v>
      </c>
      <c r="E3969" s="9">
        <v>171.38</v>
      </c>
      <c r="F3969" s="9">
        <v>23164800</v>
      </c>
      <c r="G3969" s="9">
        <v>42.84</v>
      </c>
    </row>
    <row r="3970" spans="1:7" x14ac:dyDescent="0.25">
      <c r="A3970" s="101">
        <v>36244</v>
      </c>
      <c r="B3970" s="9">
        <v>167.94</v>
      </c>
      <c r="C3970" s="9">
        <v>179.25</v>
      </c>
      <c r="D3970" s="9">
        <v>165</v>
      </c>
      <c r="E3970" s="9">
        <v>179</v>
      </c>
      <c r="F3970" s="9">
        <v>32558000</v>
      </c>
      <c r="G3970" s="9">
        <v>44.75</v>
      </c>
    </row>
    <row r="3971" spans="1:7" x14ac:dyDescent="0.25">
      <c r="A3971" s="101">
        <v>36243</v>
      </c>
      <c r="B3971" s="9">
        <v>152.38</v>
      </c>
      <c r="C3971" s="9">
        <v>160.5</v>
      </c>
      <c r="D3971" s="9">
        <v>147.12</v>
      </c>
      <c r="E3971" s="9">
        <v>160.5</v>
      </c>
      <c r="F3971" s="9">
        <v>22805600</v>
      </c>
      <c r="G3971" s="9">
        <v>40.119999999999997</v>
      </c>
    </row>
    <row r="3972" spans="1:7" x14ac:dyDescent="0.25">
      <c r="A3972" s="101">
        <v>36242</v>
      </c>
      <c r="B3972" s="9">
        <v>162</v>
      </c>
      <c r="C3972" s="9">
        <v>164</v>
      </c>
      <c r="D3972" s="9">
        <v>155.19</v>
      </c>
      <c r="E3972" s="9">
        <v>155.5</v>
      </c>
      <c r="F3972" s="9">
        <v>20626000</v>
      </c>
      <c r="G3972" s="9">
        <v>38.880000000000003</v>
      </c>
    </row>
    <row r="3973" spans="1:7" x14ac:dyDescent="0.25">
      <c r="A3973" s="101">
        <v>36241</v>
      </c>
      <c r="B3973" s="9">
        <v>170.88</v>
      </c>
      <c r="C3973" s="9">
        <v>178</v>
      </c>
      <c r="D3973" s="9">
        <v>164.62</v>
      </c>
      <c r="E3973" s="9">
        <v>165</v>
      </c>
      <c r="F3973" s="9">
        <v>16258800</v>
      </c>
      <c r="G3973" s="9">
        <v>41.25</v>
      </c>
    </row>
    <row r="3974" spans="1:7" x14ac:dyDescent="0.25">
      <c r="A3974" s="101">
        <v>36238</v>
      </c>
      <c r="B3974" s="9">
        <v>176.75</v>
      </c>
      <c r="C3974" s="9">
        <v>178.25</v>
      </c>
      <c r="D3974" s="9">
        <v>169.75</v>
      </c>
      <c r="E3974" s="9">
        <v>170</v>
      </c>
      <c r="F3974" s="9">
        <v>13999600</v>
      </c>
      <c r="G3974" s="9">
        <v>42.5</v>
      </c>
    </row>
    <row r="3975" spans="1:7" x14ac:dyDescent="0.25">
      <c r="A3975" s="101">
        <v>36237</v>
      </c>
      <c r="B3975" s="9">
        <v>170.06</v>
      </c>
      <c r="C3975" s="9">
        <v>176</v>
      </c>
      <c r="D3975" s="9">
        <v>169.88</v>
      </c>
      <c r="E3975" s="9">
        <v>175.31</v>
      </c>
      <c r="F3975" s="9">
        <v>13022800</v>
      </c>
      <c r="G3975" s="9">
        <v>43.83</v>
      </c>
    </row>
    <row r="3976" spans="1:7" x14ac:dyDescent="0.25">
      <c r="A3976" s="101">
        <v>36236</v>
      </c>
      <c r="B3976" s="9">
        <v>174.12</v>
      </c>
      <c r="C3976" s="9">
        <v>174.25</v>
      </c>
      <c r="D3976" s="9">
        <v>170</v>
      </c>
      <c r="E3976" s="9">
        <v>172.12</v>
      </c>
      <c r="F3976" s="9">
        <v>11562800</v>
      </c>
      <c r="G3976" s="9">
        <v>43.03</v>
      </c>
    </row>
    <row r="3977" spans="1:7" x14ac:dyDescent="0.25">
      <c r="A3977" s="101">
        <v>36235</v>
      </c>
      <c r="B3977" s="9">
        <v>180.31</v>
      </c>
      <c r="C3977" s="9">
        <v>180.5</v>
      </c>
      <c r="D3977" s="9">
        <v>174.75</v>
      </c>
      <c r="E3977" s="9">
        <v>174.88</v>
      </c>
      <c r="F3977" s="9">
        <v>12136000</v>
      </c>
      <c r="G3977" s="9">
        <v>43.72</v>
      </c>
    </row>
    <row r="3978" spans="1:7" x14ac:dyDescent="0.25">
      <c r="A3978" s="101">
        <v>36234</v>
      </c>
      <c r="B3978" s="9">
        <v>177</v>
      </c>
      <c r="C3978" s="9">
        <v>179.69</v>
      </c>
      <c r="D3978" s="9">
        <v>172.75</v>
      </c>
      <c r="E3978" s="9">
        <v>179.44</v>
      </c>
      <c r="F3978" s="9">
        <v>13907200</v>
      </c>
      <c r="G3978" s="9">
        <v>44.86</v>
      </c>
    </row>
    <row r="3979" spans="1:7" x14ac:dyDescent="0.25">
      <c r="A3979" s="101">
        <v>36231</v>
      </c>
      <c r="B3979" s="9">
        <v>178.75</v>
      </c>
      <c r="C3979" s="9">
        <v>179.12</v>
      </c>
      <c r="D3979" s="9">
        <v>171</v>
      </c>
      <c r="E3979" s="9">
        <v>176</v>
      </c>
      <c r="F3979" s="9">
        <v>18828400</v>
      </c>
      <c r="G3979" s="9">
        <v>44</v>
      </c>
    </row>
    <row r="3980" spans="1:7" x14ac:dyDescent="0.25">
      <c r="A3980" s="101">
        <v>36230</v>
      </c>
      <c r="B3980" s="9">
        <v>177.88</v>
      </c>
      <c r="C3980" s="9">
        <v>183.38</v>
      </c>
      <c r="D3980" s="9">
        <v>176.06</v>
      </c>
      <c r="E3980" s="9">
        <v>179</v>
      </c>
      <c r="F3980" s="9">
        <v>34746000</v>
      </c>
      <c r="G3980" s="9">
        <v>44.75</v>
      </c>
    </row>
    <row r="3981" spans="1:7" x14ac:dyDescent="0.25">
      <c r="A3981" s="101">
        <v>36229</v>
      </c>
      <c r="B3981" s="9">
        <v>173</v>
      </c>
      <c r="C3981" s="9">
        <v>174.5</v>
      </c>
      <c r="D3981" s="9">
        <v>169</v>
      </c>
      <c r="E3981" s="9">
        <v>173.62</v>
      </c>
      <c r="F3981" s="9">
        <v>22300000</v>
      </c>
      <c r="G3981" s="9">
        <v>43.41</v>
      </c>
    </row>
    <row r="3982" spans="1:7" x14ac:dyDescent="0.25">
      <c r="A3982" s="101">
        <v>36228</v>
      </c>
      <c r="B3982" s="9">
        <v>170.81</v>
      </c>
      <c r="C3982" s="9">
        <v>173</v>
      </c>
      <c r="D3982" s="9">
        <v>163.75</v>
      </c>
      <c r="E3982" s="9">
        <v>167.31</v>
      </c>
      <c r="F3982" s="9">
        <v>25655600</v>
      </c>
      <c r="G3982" s="9">
        <v>41.83</v>
      </c>
    </row>
    <row r="3983" spans="1:7" x14ac:dyDescent="0.25">
      <c r="A3983" s="101">
        <v>36227</v>
      </c>
      <c r="B3983" s="9">
        <v>162.36000000000001</v>
      </c>
      <c r="C3983" s="9">
        <v>173.19</v>
      </c>
      <c r="D3983" s="9">
        <v>160</v>
      </c>
      <c r="E3983" s="9">
        <v>170.44</v>
      </c>
      <c r="F3983" s="9">
        <v>36341600</v>
      </c>
      <c r="G3983" s="9">
        <v>42.61</v>
      </c>
    </row>
    <row r="3984" spans="1:7" x14ac:dyDescent="0.25">
      <c r="A3984" s="101">
        <v>36224</v>
      </c>
      <c r="B3984" s="9">
        <v>158.38</v>
      </c>
      <c r="C3984" s="9">
        <v>162</v>
      </c>
      <c r="D3984" s="9">
        <v>156</v>
      </c>
      <c r="E3984" s="9">
        <v>159.81</v>
      </c>
      <c r="F3984" s="9">
        <v>32062800</v>
      </c>
      <c r="G3984" s="9">
        <v>39.950000000000003</v>
      </c>
    </row>
    <row r="3985" spans="1:7" x14ac:dyDescent="0.25">
      <c r="A3985" s="101">
        <v>36223</v>
      </c>
      <c r="B3985" s="9">
        <v>156.75</v>
      </c>
      <c r="C3985" s="9">
        <v>158</v>
      </c>
      <c r="D3985" s="9">
        <v>146.12</v>
      </c>
      <c r="E3985" s="9">
        <v>151.5</v>
      </c>
      <c r="F3985" s="9">
        <v>23268000</v>
      </c>
      <c r="G3985" s="9">
        <v>37.880000000000003</v>
      </c>
    </row>
    <row r="3986" spans="1:7" x14ac:dyDescent="0.25">
      <c r="A3986" s="101">
        <v>36222</v>
      </c>
      <c r="B3986" s="9">
        <v>154.88</v>
      </c>
      <c r="C3986" s="9">
        <v>157.38</v>
      </c>
      <c r="D3986" s="9">
        <v>148.62</v>
      </c>
      <c r="E3986" s="9">
        <v>153.44</v>
      </c>
      <c r="F3986" s="9">
        <v>25215200</v>
      </c>
      <c r="G3986" s="9">
        <v>38.36</v>
      </c>
    </row>
    <row r="3987" spans="1:7" x14ac:dyDescent="0.25">
      <c r="A3987" s="101">
        <v>36221</v>
      </c>
      <c r="B3987" s="9">
        <v>161.38</v>
      </c>
      <c r="C3987" s="9">
        <v>165</v>
      </c>
      <c r="D3987" s="9">
        <v>152.88</v>
      </c>
      <c r="E3987" s="9">
        <v>153.19</v>
      </c>
      <c r="F3987" s="9">
        <v>29651200</v>
      </c>
      <c r="G3987" s="9">
        <v>38.299999999999997</v>
      </c>
    </row>
    <row r="3988" spans="1:7" x14ac:dyDescent="0.25">
      <c r="A3988" s="101">
        <v>36220</v>
      </c>
      <c r="B3988" s="9">
        <v>153.56</v>
      </c>
      <c r="C3988" s="9">
        <v>165</v>
      </c>
      <c r="D3988" s="9">
        <v>149.12</v>
      </c>
      <c r="E3988" s="9">
        <v>160.12</v>
      </c>
      <c r="F3988" s="9">
        <v>39223200</v>
      </c>
      <c r="G3988" s="9">
        <v>40.03</v>
      </c>
    </row>
    <row r="3989" spans="1:7" x14ac:dyDescent="0.25">
      <c r="A3989" s="101">
        <v>36217</v>
      </c>
      <c r="B3989" s="9">
        <v>155.5</v>
      </c>
      <c r="C3989" s="9">
        <v>158.38</v>
      </c>
      <c r="D3989" s="9">
        <v>150</v>
      </c>
      <c r="E3989" s="9">
        <v>153.5</v>
      </c>
      <c r="F3989" s="9">
        <v>29360000</v>
      </c>
      <c r="G3989" s="9">
        <v>38.380000000000003</v>
      </c>
    </row>
    <row r="3990" spans="1:7" x14ac:dyDescent="0.25">
      <c r="A3990" s="101">
        <v>36216</v>
      </c>
      <c r="B3990" s="9">
        <v>149.56</v>
      </c>
      <c r="C3990" s="9">
        <v>155.5</v>
      </c>
      <c r="D3990" s="9">
        <v>144.5</v>
      </c>
      <c r="E3990" s="9">
        <v>155.38</v>
      </c>
      <c r="F3990" s="9">
        <v>32932400</v>
      </c>
      <c r="G3990" s="9">
        <v>38.840000000000003</v>
      </c>
    </row>
    <row r="3991" spans="1:7" x14ac:dyDescent="0.25">
      <c r="A3991" s="101">
        <v>36215</v>
      </c>
      <c r="B3991" s="9">
        <v>156.5</v>
      </c>
      <c r="C3991" s="9">
        <v>160.5</v>
      </c>
      <c r="D3991" s="9">
        <v>149.5</v>
      </c>
      <c r="E3991" s="9">
        <v>150.19</v>
      </c>
      <c r="F3991" s="9">
        <v>35772800</v>
      </c>
      <c r="G3991" s="9">
        <v>37.549999999999997</v>
      </c>
    </row>
    <row r="3992" spans="1:7" x14ac:dyDescent="0.25">
      <c r="A3992" s="101">
        <v>36214</v>
      </c>
      <c r="B3992" s="9">
        <v>148.5</v>
      </c>
      <c r="C3992" s="9">
        <v>157.25</v>
      </c>
      <c r="D3992" s="9">
        <v>148</v>
      </c>
      <c r="E3992" s="9">
        <v>152.88</v>
      </c>
      <c r="F3992" s="9">
        <v>45360800</v>
      </c>
      <c r="G3992" s="9">
        <v>38.22</v>
      </c>
    </row>
    <row r="3993" spans="1:7" x14ac:dyDescent="0.25">
      <c r="A3993" s="101">
        <v>36213</v>
      </c>
      <c r="B3993" s="9">
        <v>137</v>
      </c>
      <c r="C3993" s="9">
        <v>150</v>
      </c>
      <c r="D3993" s="9">
        <v>131.88</v>
      </c>
      <c r="E3993" s="9">
        <v>145.75</v>
      </c>
      <c r="F3993" s="9">
        <v>33567600</v>
      </c>
      <c r="G3993" s="9">
        <v>36.44</v>
      </c>
    </row>
    <row r="3994" spans="1:7" x14ac:dyDescent="0.25">
      <c r="A3994" s="101">
        <v>36210</v>
      </c>
      <c r="B3994" s="9">
        <v>133.56</v>
      </c>
      <c r="C3994" s="9">
        <v>137.44</v>
      </c>
      <c r="D3994" s="9">
        <v>130</v>
      </c>
      <c r="E3994" s="9">
        <v>135.31</v>
      </c>
      <c r="F3994" s="9">
        <v>33774000</v>
      </c>
      <c r="G3994" s="9">
        <v>33.83</v>
      </c>
    </row>
    <row r="3995" spans="1:7" x14ac:dyDescent="0.25">
      <c r="A3995" s="101">
        <v>36209</v>
      </c>
      <c r="B3995" s="9">
        <v>134</v>
      </c>
      <c r="C3995" s="9">
        <v>134.5</v>
      </c>
      <c r="D3995" s="9">
        <v>124</v>
      </c>
      <c r="E3995" s="9">
        <v>128.88</v>
      </c>
      <c r="F3995" s="9">
        <v>35252000</v>
      </c>
      <c r="G3995" s="9">
        <v>32.22</v>
      </c>
    </row>
    <row r="3996" spans="1:7" x14ac:dyDescent="0.25">
      <c r="A3996" s="101">
        <v>36208</v>
      </c>
      <c r="B3996" s="9">
        <v>134.5</v>
      </c>
      <c r="C3996" s="9">
        <v>139.25</v>
      </c>
      <c r="D3996" s="9">
        <v>125.5</v>
      </c>
      <c r="E3996" s="9">
        <v>129.62</v>
      </c>
      <c r="F3996" s="9">
        <v>38656400</v>
      </c>
      <c r="G3996" s="9">
        <v>32.409999999999997</v>
      </c>
    </row>
    <row r="3997" spans="1:7" x14ac:dyDescent="0.25">
      <c r="A3997" s="101">
        <v>36207</v>
      </c>
      <c r="B3997" s="9">
        <v>152.5</v>
      </c>
      <c r="C3997" s="9">
        <v>156</v>
      </c>
      <c r="D3997" s="9">
        <v>131.94</v>
      </c>
      <c r="E3997" s="9">
        <v>133.38</v>
      </c>
      <c r="F3997" s="9">
        <v>58302000</v>
      </c>
      <c r="G3997" s="9">
        <v>33.340000000000003</v>
      </c>
    </row>
    <row r="3998" spans="1:7" x14ac:dyDescent="0.25">
      <c r="A3998" s="101">
        <v>36203</v>
      </c>
      <c r="B3998" s="9">
        <v>154.56</v>
      </c>
      <c r="C3998" s="9">
        <v>155</v>
      </c>
      <c r="D3998" s="9">
        <v>148</v>
      </c>
      <c r="E3998" s="9">
        <v>151</v>
      </c>
      <c r="F3998" s="9">
        <v>24872000</v>
      </c>
      <c r="G3998" s="9">
        <v>37.75</v>
      </c>
    </row>
    <row r="3999" spans="1:7" x14ac:dyDescent="0.25">
      <c r="A3999" s="101">
        <v>36202</v>
      </c>
      <c r="B3999" s="9">
        <v>149</v>
      </c>
      <c r="C3999" s="9">
        <v>159</v>
      </c>
      <c r="D3999" s="9">
        <v>145.5</v>
      </c>
      <c r="E3999" s="9">
        <v>158.5</v>
      </c>
      <c r="F3999" s="9">
        <v>32700800</v>
      </c>
      <c r="G3999" s="9">
        <v>39.619999999999997</v>
      </c>
    </row>
    <row r="4000" spans="1:7" x14ac:dyDescent="0.25">
      <c r="A4000" s="101">
        <v>36201</v>
      </c>
      <c r="B4000" s="9">
        <v>139.5</v>
      </c>
      <c r="C4000" s="9">
        <v>148.62</v>
      </c>
      <c r="D4000" s="9">
        <v>128.94</v>
      </c>
      <c r="E4000" s="9">
        <v>142.38</v>
      </c>
      <c r="F4000" s="9">
        <v>47980400</v>
      </c>
      <c r="G4000" s="9">
        <v>35.590000000000003</v>
      </c>
    </row>
    <row r="4001" spans="1:7" x14ac:dyDescent="0.25">
      <c r="A4001" s="101">
        <v>36200</v>
      </c>
      <c r="B4001" s="9">
        <v>157.38</v>
      </c>
      <c r="C4001" s="9">
        <v>157.88</v>
      </c>
      <c r="D4001" s="9">
        <v>139</v>
      </c>
      <c r="E4001" s="9">
        <v>140.75</v>
      </c>
      <c r="F4001" s="9">
        <v>41688400</v>
      </c>
      <c r="G4001" s="9">
        <v>35.19</v>
      </c>
    </row>
    <row r="4002" spans="1:7" x14ac:dyDescent="0.25">
      <c r="A4002" s="101">
        <v>36199</v>
      </c>
      <c r="B4002" s="9">
        <v>172.75</v>
      </c>
      <c r="C4002" s="9">
        <v>173.5</v>
      </c>
      <c r="D4002" s="9">
        <v>154.62</v>
      </c>
      <c r="E4002" s="9">
        <v>158.62</v>
      </c>
      <c r="F4002" s="9">
        <v>38321600</v>
      </c>
      <c r="G4002" s="9">
        <v>39.659999999999997</v>
      </c>
    </row>
    <row r="4003" spans="1:7" x14ac:dyDescent="0.25">
      <c r="A4003" s="101">
        <v>36196</v>
      </c>
      <c r="B4003" s="9">
        <v>344.12</v>
      </c>
      <c r="C4003" s="9">
        <v>353</v>
      </c>
      <c r="D4003" s="9">
        <v>335</v>
      </c>
      <c r="E4003" s="9">
        <v>345.5</v>
      </c>
      <c r="F4003" s="9">
        <v>49096000</v>
      </c>
      <c r="G4003" s="9">
        <v>43.19</v>
      </c>
    </row>
    <row r="4004" spans="1:7" x14ac:dyDescent="0.25">
      <c r="A4004" s="101">
        <v>36195</v>
      </c>
      <c r="B4004" s="9">
        <v>356.5</v>
      </c>
      <c r="C4004" s="9">
        <v>359</v>
      </c>
      <c r="D4004" s="9">
        <v>335</v>
      </c>
      <c r="E4004" s="9">
        <v>337</v>
      </c>
      <c r="F4004" s="9">
        <v>48534400</v>
      </c>
      <c r="G4004" s="9">
        <v>42.12</v>
      </c>
    </row>
    <row r="4005" spans="1:7" x14ac:dyDescent="0.25">
      <c r="A4005" s="101">
        <v>36194</v>
      </c>
      <c r="B4005" s="9">
        <v>323.12</v>
      </c>
      <c r="C4005" s="9">
        <v>360</v>
      </c>
      <c r="D4005" s="9">
        <v>323.12</v>
      </c>
      <c r="E4005" s="9">
        <v>358.06</v>
      </c>
      <c r="F4005" s="9">
        <v>45029600</v>
      </c>
      <c r="G4005" s="9">
        <v>44.76</v>
      </c>
    </row>
    <row r="4006" spans="1:7" x14ac:dyDescent="0.25">
      <c r="A4006" s="101">
        <v>36193</v>
      </c>
      <c r="B4006" s="9">
        <v>335.75</v>
      </c>
      <c r="C4006" s="9">
        <v>338</v>
      </c>
      <c r="D4006" s="9">
        <v>308.62</v>
      </c>
      <c r="E4006" s="9">
        <v>322.94</v>
      </c>
      <c r="F4006" s="9">
        <v>49295200</v>
      </c>
      <c r="G4006" s="9">
        <v>40.369999999999997</v>
      </c>
    </row>
    <row r="4007" spans="1:7" x14ac:dyDescent="0.25">
      <c r="A4007" s="101">
        <v>36192</v>
      </c>
      <c r="B4007" s="9">
        <v>357</v>
      </c>
      <c r="C4007" s="9">
        <v>359</v>
      </c>
      <c r="D4007" s="9">
        <v>333</v>
      </c>
      <c r="E4007" s="9">
        <v>335.56</v>
      </c>
      <c r="F4007" s="9">
        <v>39826400</v>
      </c>
      <c r="G4007" s="9">
        <v>41.95</v>
      </c>
    </row>
    <row r="4008" spans="1:7" x14ac:dyDescent="0.25">
      <c r="A4008" s="101">
        <v>36189</v>
      </c>
      <c r="B4008" s="9">
        <v>360</v>
      </c>
      <c r="C4008" s="9">
        <v>365</v>
      </c>
      <c r="D4008" s="9">
        <v>345</v>
      </c>
      <c r="E4008" s="9">
        <v>354.25</v>
      </c>
      <c r="F4008" s="9">
        <v>33787200</v>
      </c>
      <c r="G4008" s="9">
        <v>44.28</v>
      </c>
    </row>
    <row r="4009" spans="1:7" x14ac:dyDescent="0.25">
      <c r="A4009" s="101">
        <v>36188</v>
      </c>
      <c r="B4009" s="9">
        <v>348.88</v>
      </c>
      <c r="C4009" s="9">
        <v>369</v>
      </c>
      <c r="D4009" s="9">
        <v>335</v>
      </c>
      <c r="E4009" s="9">
        <v>367.75</v>
      </c>
      <c r="F4009" s="9">
        <v>52440000</v>
      </c>
      <c r="G4009" s="9">
        <v>45.97</v>
      </c>
    </row>
    <row r="4010" spans="1:7" x14ac:dyDescent="0.25">
      <c r="A4010" s="101">
        <v>36187</v>
      </c>
      <c r="B4010" s="9">
        <v>372.38</v>
      </c>
      <c r="C4010" s="9">
        <v>381.19</v>
      </c>
      <c r="D4010" s="9">
        <v>330</v>
      </c>
      <c r="E4010" s="9">
        <v>335.88</v>
      </c>
      <c r="F4010" s="9">
        <v>54030400</v>
      </c>
      <c r="G4010" s="9">
        <v>41.98</v>
      </c>
    </row>
    <row r="4011" spans="1:7" x14ac:dyDescent="0.25">
      <c r="A4011" s="101">
        <v>36186</v>
      </c>
      <c r="B4011" s="9">
        <v>319.5</v>
      </c>
      <c r="C4011" s="9">
        <v>352.12</v>
      </c>
      <c r="D4011" s="9">
        <v>319</v>
      </c>
      <c r="E4011" s="9">
        <v>351.25</v>
      </c>
      <c r="F4011" s="9">
        <v>66213600</v>
      </c>
      <c r="G4011" s="9">
        <v>43.91</v>
      </c>
    </row>
    <row r="4012" spans="1:7" x14ac:dyDescent="0.25">
      <c r="A4012" s="101">
        <v>36185</v>
      </c>
      <c r="B4012" s="9">
        <v>296.75</v>
      </c>
      <c r="C4012" s="9">
        <v>313</v>
      </c>
      <c r="D4012" s="9">
        <v>285</v>
      </c>
      <c r="E4012" s="9">
        <v>312</v>
      </c>
      <c r="F4012" s="9">
        <v>49068800</v>
      </c>
      <c r="G4012" s="9">
        <v>39</v>
      </c>
    </row>
    <row r="4013" spans="1:7" x14ac:dyDescent="0.25">
      <c r="A4013" s="101">
        <v>36182</v>
      </c>
      <c r="B4013" s="9">
        <v>253</v>
      </c>
      <c r="C4013" s="9">
        <v>291</v>
      </c>
      <c r="D4013" s="9">
        <v>253</v>
      </c>
      <c r="E4013" s="9">
        <v>286</v>
      </c>
      <c r="F4013" s="9">
        <v>73045600</v>
      </c>
      <c r="G4013" s="9">
        <v>35.75</v>
      </c>
    </row>
    <row r="4014" spans="1:7" x14ac:dyDescent="0.25">
      <c r="A4014" s="101">
        <v>36181</v>
      </c>
      <c r="B4014" s="9">
        <v>274.06</v>
      </c>
      <c r="C4014" s="9">
        <v>280</v>
      </c>
      <c r="D4014" s="9">
        <v>249.38</v>
      </c>
      <c r="E4014" s="9">
        <v>265</v>
      </c>
      <c r="F4014" s="9">
        <v>89164000</v>
      </c>
      <c r="G4014" s="9">
        <v>33.119999999999997</v>
      </c>
    </row>
    <row r="4015" spans="1:7" x14ac:dyDescent="0.25">
      <c r="A4015" s="101">
        <v>36180</v>
      </c>
      <c r="B4015" s="9">
        <v>326.44</v>
      </c>
      <c r="C4015" s="9">
        <v>330.75</v>
      </c>
      <c r="D4015" s="9">
        <v>285</v>
      </c>
      <c r="E4015" s="9">
        <v>287.19</v>
      </c>
      <c r="F4015" s="9">
        <v>43305600</v>
      </c>
      <c r="G4015" s="9">
        <v>35.9</v>
      </c>
    </row>
    <row r="4016" spans="1:7" x14ac:dyDescent="0.25">
      <c r="A4016" s="101">
        <v>36179</v>
      </c>
      <c r="B4016" s="9">
        <v>339.88</v>
      </c>
      <c r="C4016" s="9">
        <v>345</v>
      </c>
      <c r="D4016" s="9">
        <v>317.94</v>
      </c>
      <c r="E4016" s="9">
        <v>323</v>
      </c>
      <c r="F4016" s="9">
        <v>34664800</v>
      </c>
      <c r="G4016" s="9">
        <v>40.380000000000003</v>
      </c>
    </row>
    <row r="4017" spans="1:7" x14ac:dyDescent="0.25">
      <c r="A4017" s="101">
        <v>36175</v>
      </c>
      <c r="B4017" s="9">
        <v>344.94</v>
      </c>
      <c r="C4017" s="9">
        <v>354.5</v>
      </c>
      <c r="D4017" s="9">
        <v>304</v>
      </c>
      <c r="E4017" s="9">
        <v>317</v>
      </c>
      <c r="F4017" s="9">
        <v>83922400</v>
      </c>
      <c r="G4017" s="9">
        <v>39.619999999999997</v>
      </c>
    </row>
    <row r="4018" spans="1:7" x14ac:dyDescent="0.25">
      <c r="A4018" s="101">
        <v>36174</v>
      </c>
      <c r="B4018" s="9">
        <v>371.88</v>
      </c>
      <c r="C4018" s="9">
        <v>386</v>
      </c>
      <c r="D4018" s="9">
        <v>343</v>
      </c>
      <c r="E4018" s="9">
        <v>343.94</v>
      </c>
      <c r="F4018" s="9">
        <v>56675200</v>
      </c>
      <c r="G4018" s="9">
        <v>42.99</v>
      </c>
    </row>
    <row r="4019" spans="1:7" x14ac:dyDescent="0.25">
      <c r="A4019" s="101">
        <v>36173</v>
      </c>
      <c r="B4019" s="9">
        <v>399.12</v>
      </c>
      <c r="C4019" s="9">
        <v>406</v>
      </c>
      <c r="D4019" s="9">
        <v>332</v>
      </c>
      <c r="E4019" s="9">
        <v>368</v>
      </c>
      <c r="F4019" s="9">
        <v>97093600</v>
      </c>
      <c r="G4019" s="9">
        <v>46</v>
      </c>
    </row>
    <row r="4020" spans="1:7" x14ac:dyDescent="0.25">
      <c r="A4020" s="101">
        <v>36172</v>
      </c>
      <c r="B4020" s="9">
        <v>438.62</v>
      </c>
      <c r="C4020" s="9">
        <v>443</v>
      </c>
      <c r="D4020" s="9">
        <v>370</v>
      </c>
      <c r="E4020" s="9">
        <v>402</v>
      </c>
      <c r="F4020" s="9">
        <v>104092000</v>
      </c>
      <c r="G4020" s="9">
        <v>50.25</v>
      </c>
    </row>
    <row r="4021" spans="1:7" x14ac:dyDescent="0.25">
      <c r="A4021" s="101">
        <v>36171</v>
      </c>
      <c r="B4021" s="9">
        <v>367.94</v>
      </c>
      <c r="C4021" s="9">
        <v>445</v>
      </c>
      <c r="D4021" s="9">
        <v>363.5</v>
      </c>
      <c r="E4021" s="9">
        <v>415.38</v>
      </c>
      <c r="F4021" s="9">
        <v>80186400</v>
      </c>
      <c r="G4021" s="9">
        <v>51.92</v>
      </c>
    </row>
    <row r="4022" spans="1:7" x14ac:dyDescent="0.25">
      <c r="A4022" s="101">
        <v>36168</v>
      </c>
      <c r="B4022" s="9">
        <v>346</v>
      </c>
      <c r="C4022" s="9">
        <v>357.38</v>
      </c>
      <c r="D4022" s="9">
        <v>330</v>
      </c>
      <c r="E4022" s="9">
        <v>343.62</v>
      </c>
      <c r="F4022" s="9">
        <v>61498400</v>
      </c>
      <c r="G4022" s="9">
        <v>42.95</v>
      </c>
    </row>
    <row r="4023" spans="1:7" x14ac:dyDescent="0.25">
      <c r="A4023" s="101">
        <v>36167</v>
      </c>
      <c r="B4023" s="9">
        <v>284</v>
      </c>
      <c r="C4023" s="9">
        <v>325.75</v>
      </c>
      <c r="D4023" s="9">
        <v>283</v>
      </c>
      <c r="E4023" s="9">
        <v>320</v>
      </c>
      <c r="F4023" s="9">
        <v>77141600</v>
      </c>
      <c r="G4023" s="9">
        <v>40</v>
      </c>
    </row>
    <row r="4024" spans="1:7" x14ac:dyDescent="0.25">
      <c r="A4024" s="101">
        <v>36166</v>
      </c>
      <c r="B4024" s="9">
        <v>268</v>
      </c>
      <c r="C4024" s="9">
        <v>299</v>
      </c>
      <c r="D4024" s="9">
        <v>267</v>
      </c>
      <c r="E4024" s="9">
        <v>291</v>
      </c>
      <c r="F4024" s="9">
        <v>71474400</v>
      </c>
      <c r="G4024" s="9">
        <v>36.380000000000003</v>
      </c>
    </row>
    <row r="4025" spans="1:7" x14ac:dyDescent="0.25">
      <c r="A4025" s="101">
        <v>36165</v>
      </c>
      <c r="B4025" s="9">
        <v>242.56</v>
      </c>
      <c r="C4025" s="9">
        <v>261</v>
      </c>
      <c r="D4025" s="9">
        <v>239.69</v>
      </c>
      <c r="E4025" s="9">
        <v>257.88</v>
      </c>
      <c r="F4025" s="9">
        <v>43924800</v>
      </c>
      <c r="G4025" s="9">
        <v>32.229999999999997</v>
      </c>
    </row>
    <row r="4026" spans="1:7" x14ac:dyDescent="0.25">
      <c r="A4026" s="101">
        <v>36164</v>
      </c>
      <c r="B4026" s="9">
        <v>242</v>
      </c>
      <c r="C4026" s="9">
        <v>252</v>
      </c>
      <c r="D4026" s="9">
        <v>240</v>
      </c>
      <c r="E4026" s="9">
        <v>248</v>
      </c>
      <c r="F4026" s="9">
        <v>33860000</v>
      </c>
      <c r="G4026" s="9">
        <v>31</v>
      </c>
    </row>
    <row r="4027" spans="1:7" x14ac:dyDescent="0.25">
      <c r="A4027" s="101">
        <v>36160</v>
      </c>
      <c r="B4027" s="9">
        <v>241.88</v>
      </c>
      <c r="C4027" s="9">
        <v>255</v>
      </c>
      <c r="D4027" s="9">
        <v>232</v>
      </c>
      <c r="E4027" s="9">
        <v>236.94</v>
      </c>
      <c r="F4027" s="9">
        <v>37516800</v>
      </c>
      <c r="G4027" s="9">
        <v>29.62</v>
      </c>
    </row>
    <row r="4028" spans="1:7" x14ac:dyDescent="0.25">
      <c r="A4028" s="101">
        <v>36159</v>
      </c>
      <c r="B4028" s="9">
        <v>266</v>
      </c>
      <c r="C4028" s="9">
        <v>271.38</v>
      </c>
      <c r="D4028" s="9">
        <v>241</v>
      </c>
      <c r="E4028" s="9">
        <v>244.62</v>
      </c>
      <c r="F4028" s="9">
        <v>59023200</v>
      </c>
      <c r="G4028" s="9">
        <v>30.58</v>
      </c>
    </row>
    <row r="4029" spans="1:7" x14ac:dyDescent="0.25">
      <c r="A4029" s="101">
        <v>36158</v>
      </c>
      <c r="B4029" s="9">
        <v>275.38</v>
      </c>
      <c r="C4029" s="9">
        <v>275.38</v>
      </c>
      <c r="D4029" s="9">
        <v>263.38</v>
      </c>
      <c r="E4029" s="9">
        <v>270</v>
      </c>
      <c r="F4029" s="9">
        <v>41398400</v>
      </c>
      <c r="G4029" s="9">
        <v>33.75</v>
      </c>
    </row>
    <row r="4030" spans="1:7" x14ac:dyDescent="0.25">
      <c r="A4030" s="101">
        <v>36157</v>
      </c>
      <c r="B4030" s="9">
        <v>253.5</v>
      </c>
      <c r="C4030" s="9">
        <v>286</v>
      </c>
      <c r="D4030" s="9">
        <v>250</v>
      </c>
      <c r="E4030" s="9">
        <v>275.5</v>
      </c>
      <c r="F4030" s="9">
        <v>60430400</v>
      </c>
      <c r="G4030" s="9">
        <v>34.44</v>
      </c>
    </row>
    <row r="4031" spans="1:7" x14ac:dyDescent="0.25">
      <c r="A4031" s="101">
        <v>36153</v>
      </c>
      <c r="B4031" s="9">
        <v>246.12</v>
      </c>
      <c r="C4031" s="9">
        <v>251</v>
      </c>
      <c r="D4031" s="9">
        <v>244</v>
      </c>
      <c r="E4031" s="9">
        <v>247.12</v>
      </c>
      <c r="F4031" s="9">
        <v>9348800</v>
      </c>
      <c r="G4031" s="9">
        <v>30.89</v>
      </c>
    </row>
    <row r="4032" spans="1:7" x14ac:dyDescent="0.25">
      <c r="A4032" s="101">
        <v>36152</v>
      </c>
      <c r="B4032" s="9">
        <v>251.25</v>
      </c>
      <c r="C4032" s="9">
        <v>253.38</v>
      </c>
      <c r="D4032" s="9">
        <v>245.5</v>
      </c>
      <c r="E4032" s="9">
        <v>250</v>
      </c>
      <c r="F4032" s="9">
        <v>29891200</v>
      </c>
      <c r="G4032" s="9">
        <v>31.25</v>
      </c>
    </row>
    <row r="4033" spans="1:7" x14ac:dyDescent="0.25">
      <c r="A4033" s="101">
        <v>36151</v>
      </c>
      <c r="B4033" s="9">
        <v>252.5</v>
      </c>
      <c r="C4033" s="9">
        <v>253.88</v>
      </c>
      <c r="D4033" s="9">
        <v>233</v>
      </c>
      <c r="E4033" s="9">
        <v>245</v>
      </c>
      <c r="F4033" s="9">
        <v>63622400</v>
      </c>
      <c r="G4033" s="9">
        <v>30.62</v>
      </c>
    </row>
    <row r="4034" spans="1:7" x14ac:dyDescent="0.25">
      <c r="A4034" s="101">
        <v>36150</v>
      </c>
      <c r="B4034" s="9">
        <v>221</v>
      </c>
      <c r="C4034" s="9">
        <v>250.88</v>
      </c>
      <c r="D4034" s="9">
        <v>218</v>
      </c>
      <c r="E4034" s="9">
        <v>247.5</v>
      </c>
      <c r="F4034" s="9">
        <v>68780000</v>
      </c>
      <c r="G4034" s="9">
        <v>30.94</v>
      </c>
    </row>
    <row r="4035" spans="1:7" x14ac:dyDescent="0.25">
      <c r="A4035" s="101">
        <v>36147</v>
      </c>
      <c r="B4035" s="9">
        <v>211.62</v>
      </c>
      <c r="C4035" s="9">
        <v>215.12</v>
      </c>
      <c r="D4035" s="9">
        <v>207.25</v>
      </c>
      <c r="E4035" s="9">
        <v>212.31</v>
      </c>
      <c r="F4035" s="9">
        <v>37685600</v>
      </c>
      <c r="G4035" s="9">
        <v>26.54</v>
      </c>
    </row>
    <row r="4036" spans="1:7" x14ac:dyDescent="0.25">
      <c r="A4036" s="101">
        <v>36146</v>
      </c>
      <c r="B4036" s="9">
        <v>200.12</v>
      </c>
      <c r="C4036" s="9">
        <v>213.5</v>
      </c>
      <c r="D4036" s="9">
        <v>199.5</v>
      </c>
      <c r="E4036" s="9">
        <v>205.5</v>
      </c>
      <c r="F4036" s="9">
        <v>54028800</v>
      </c>
      <c r="G4036" s="9">
        <v>25.69</v>
      </c>
    </row>
    <row r="4037" spans="1:7" x14ac:dyDescent="0.25">
      <c r="A4037" s="101">
        <v>36145</v>
      </c>
      <c r="B4037" s="9">
        <v>204.12</v>
      </c>
      <c r="C4037" s="9">
        <v>210.5</v>
      </c>
      <c r="D4037" s="9">
        <v>201.25</v>
      </c>
      <c r="E4037" s="9">
        <v>205.12</v>
      </c>
      <c r="F4037" s="9">
        <v>55996800</v>
      </c>
      <c r="G4037" s="9">
        <v>25.64</v>
      </c>
    </row>
    <row r="4038" spans="1:7" x14ac:dyDescent="0.25">
      <c r="A4038" s="101">
        <v>36144</v>
      </c>
      <c r="B4038" s="9">
        <v>194.5</v>
      </c>
      <c r="C4038" s="9">
        <v>198.38</v>
      </c>
      <c r="D4038" s="9">
        <v>193.5</v>
      </c>
      <c r="E4038" s="9">
        <v>198</v>
      </c>
      <c r="F4038" s="9">
        <v>32498400</v>
      </c>
      <c r="G4038" s="9">
        <v>24.75</v>
      </c>
    </row>
    <row r="4039" spans="1:7" x14ac:dyDescent="0.25">
      <c r="A4039" s="101">
        <v>36143</v>
      </c>
      <c r="B4039" s="9">
        <v>192.38</v>
      </c>
      <c r="C4039" s="9">
        <v>196.88</v>
      </c>
      <c r="D4039" s="9">
        <v>189.56</v>
      </c>
      <c r="E4039" s="9">
        <v>191.25</v>
      </c>
      <c r="F4039" s="9">
        <v>40104000</v>
      </c>
      <c r="G4039" s="9">
        <v>23.91</v>
      </c>
    </row>
    <row r="4040" spans="1:7" x14ac:dyDescent="0.25">
      <c r="A4040" s="101">
        <v>36140</v>
      </c>
      <c r="B4040" s="9">
        <v>191.12</v>
      </c>
      <c r="C4040" s="9">
        <v>197.75</v>
      </c>
      <c r="D4040" s="9">
        <v>190.75</v>
      </c>
      <c r="E4040" s="9">
        <v>195.69</v>
      </c>
      <c r="F4040" s="9">
        <v>42621600</v>
      </c>
      <c r="G4040" s="9">
        <v>24.46</v>
      </c>
    </row>
    <row r="4041" spans="1:7" x14ac:dyDescent="0.25">
      <c r="A4041" s="101">
        <v>36139</v>
      </c>
      <c r="B4041" s="9">
        <v>198.44</v>
      </c>
      <c r="C4041" s="9">
        <v>202</v>
      </c>
      <c r="D4041" s="9">
        <v>188.62</v>
      </c>
      <c r="E4041" s="9">
        <v>192.75</v>
      </c>
      <c r="F4041" s="9">
        <v>47940800</v>
      </c>
      <c r="G4041" s="9">
        <v>24.09</v>
      </c>
    </row>
    <row r="4042" spans="1:7" x14ac:dyDescent="0.25">
      <c r="A4042" s="101">
        <v>36138</v>
      </c>
      <c r="B4042" s="9">
        <v>200</v>
      </c>
      <c r="C4042" s="9">
        <v>206.5</v>
      </c>
      <c r="D4042" s="9">
        <v>194.06</v>
      </c>
      <c r="E4042" s="9">
        <v>197.88</v>
      </c>
      <c r="F4042" s="9">
        <v>63276000</v>
      </c>
      <c r="G4042" s="9">
        <v>24.73</v>
      </c>
    </row>
    <row r="4043" spans="1:7" x14ac:dyDescent="0.25">
      <c r="A4043" s="101">
        <v>36137</v>
      </c>
      <c r="B4043" s="9">
        <v>189.5</v>
      </c>
      <c r="C4043" s="9">
        <v>200</v>
      </c>
      <c r="D4043" s="9">
        <v>187.38</v>
      </c>
      <c r="E4043" s="9">
        <v>198.5</v>
      </c>
      <c r="F4043" s="9">
        <v>50747200</v>
      </c>
      <c r="G4043" s="9">
        <v>24.81</v>
      </c>
    </row>
    <row r="4044" spans="1:7" x14ac:dyDescent="0.25">
      <c r="A4044" s="101">
        <v>36136</v>
      </c>
      <c r="B4044" s="9">
        <v>192.5</v>
      </c>
      <c r="C4044" s="9">
        <v>194</v>
      </c>
      <c r="D4044" s="9">
        <v>186.62</v>
      </c>
      <c r="E4044" s="9">
        <v>190.56</v>
      </c>
      <c r="F4044" s="9">
        <v>30444000</v>
      </c>
      <c r="G4044" s="9">
        <v>23.82</v>
      </c>
    </row>
    <row r="4045" spans="1:7" x14ac:dyDescent="0.25">
      <c r="A4045" s="101">
        <v>36133</v>
      </c>
      <c r="B4045" s="9">
        <v>191.31</v>
      </c>
      <c r="C4045" s="9">
        <v>192.88</v>
      </c>
      <c r="D4045" s="9">
        <v>180</v>
      </c>
      <c r="E4045" s="9">
        <v>189.75</v>
      </c>
      <c r="F4045" s="9">
        <v>73370400</v>
      </c>
      <c r="G4045" s="9">
        <v>23.72</v>
      </c>
    </row>
    <row r="4046" spans="1:7" x14ac:dyDescent="0.25">
      <c r="A4046" s="101">
        <v>36132</v>
      </c>
      <c r="B4046" s="9">
        <v>197.75</v>
      </c>
      <c r="C4046" s="9">
        <v>202.75</v>
      </c>
      <c r="D4046" s="9">
        <v>182.62</v>
      </c>
      <c r="E4046" s="9">
        <v>183.75</v>
      </c>
      <c r="F4046" s="9">
        <v>67581600</v>
      </c>
      <c r="G4046" s="9">
        <v>22.97</v>
      </c>
    </row>
    <row r="4047" spans="1:7" x14ac:dyDescent="0.25">
      <c r="A4047" s="101">
        <v>36131</v>
      </c>
      <c r="B4047" s="9">
        <v>204.81</v>
      </c>
      <c r="C4047" s="9">
        <v>206.38</v>
      </c>
      <c r="D4047" s="9">
        <v>195</v>
      </c>
      <c r="E4047" s="9">
        <v>197.06</v>
      </c>
      <c r="F4047" s="9">
        <v>63236800</v>
      </c>
      <c r="G4047" s="9">
        <v>24.63</v>
      </c>
    </row>
    <row r="4048" spans="1:7" x14ac:dyDescent="0.25">
      <c r="A4048" s="101">
        <v>36130</v>
      </c>
      <c r="B4048" s="9">
        <v>183.88</v>
      </c>
      <c r="C4048" s="9">
        <v>207.38</v>
      </c>
      <c r="D4048" s="9">
        <v>182</v>
      </c>
      <c r="E4048" s="9">
        <v>206.25</v>
      </c>
      <c r="F4048" s="9">
        <v>98687200</v>
      </c>
      <c r="G4048" s="9">
        <v>25.78</v>
      </c>
    </row>
    <row r="4049" spans="1:7" x14ac:dyDescent="0.25">
      <c r="A4049" s="101">
        <v>36129</v>
      </c>
      <c r="B4049" s="9">
        <v>217.62</v>
      </c>
      <c r="C4049" s="9">
        <v>217.62</v>
      </c>
      <c r="D4049" s="9">
        <v>191.5</v>
      </c>
      <c r="E4049" s="9">
        <v>192</v>
      </c>
      <c r="F4049" s="9">
        <v>56202400</v>
      </c>
      <c r="G4049" s="9">
        <v>24</v>
      </c>
    </row>
    <row r="4050" spans="1:7" x14ac:dyDescent="0.25">
      <c r="A4050" s="101">
        <v>36126</v>
      </c>
      <c r="B4050" s="9">
        <v>212.81</v>
      </c>
      <c r="C4050" s="9">
        <v>217.25</v>
      </c>
      <c r="D4050" s="9">
        <v>211.75</v>
      </c>
      <c r="E4050" s="9">
        <v>216.94</v>
      </c>
      <c r="F4050" s="9">
        <v>16614400</v>
      </c>
      <c r="G4050" s="9">
        <v>27.12</v>
      </c>
    </row>
    <row r="4051" spans="1:7" x14ac:dyDescent="0.25">
      <c r="A4051" s="101">
        <v>36124</v>
      </c>
      <c r="B4051" s="9">
        <v>210.75</v>
      </c>
      <c r="C4051" s="9">
        <v>216</v>
      </c>
      <c r="D4051" s="9">
        <v>203.25</v>
      </c>
      <c r="E4051" s="9">
        <v>209.88</v>
      </c>
      <c r="F4051" s="9">
        <v>56652000</v>
      </c>
      <c r="G4051" s="9">
        <v>26.23</v>
      </c>
    </row>
    <row r="4052" spans="1:7" x14ac:dyDescent="0.25">
      <c r="A4052" s="101">
        <v>36123</v>
      </c>
      <c r="B4052" s="9">
        <v>216</v>
      </c>
      <c r="C4052" s="9">
        <v>227.75</v>
      </c>
      <c r="D4052" s="9">
        <v>203</v>
      </c>
      <c r="E4052" s="9">
        <v>210.25</v>
      </c>
      <c r="F4052" s="9">
        <v>132245600</v>
      </c>
      <c r="G4052" s="9">
        <v>26.28</v>
      </c>
    </row>
    <row r="4053" spans="1:7" x14ac:dyDescent="0.25">
      <c r="A4053" s="101">
        <v>36122</v>
      </c>
      <c r="B4053" s="9">
        <v>196.88</v>
      </c>
      <c r="C4053" s="9">
        <v>222</v>
      </c>
      <c r="D4053" s="9">
        <v>191</v>
      </c>
      <c r="E4053" s="9">
        <v>221.44</v>
      </c>
      <c r="F4053" s="9">
        <v>92021600</v>
      </c>
      <c r="G4053" s="9">
        <v>27.68</v>
      </c>
    </row>
    <row r="4054" spans="1:7" x14ac:dyDescent="0.25">
      <c r="A4054" s="101">
        <v>36119</v>
      </c>
      <c r="B4054" s="9">
        <v>193</v>
      </c>
      <c r="C4054" s="9">
        <v>193.12</v>
      </c>
      <c r="D4054" s="9">
        <v>181.5</v>
      </c>
      <c r="E4054" s="9">
        <v>191</v>
      </c>
      <c r="F4054" s="9">
        <v>74551200</v>
      </c>
      <c r="G4054" s="9">
        <v>23.88</v>
      </c>
    </row>
    <row r="4055" spans="1:7" x14ac:dyDescent="0.25">
      <c r="A4055" s="101">
        <v>36118</v>
      </c>
      <c r="B4055" s="9">
        <v>193.94</v>
      </c>
      <c r="C4055" s="9">
        <v>198.38</v>
      </c>
      <c r="D4055" s="9">
        <v>184.5</v>
      </c>
      <c r="E4055" s="9">
        <v>185.88</v>
      </c>
      <c r="F4055" s="9">
        <v>83217600</v>
      </c>
      <c r="G4055" s="9">
        <v>23.23</v>
      </c>
    </row>
    <row r="4056" spans="1:7" x14ac:dyDescent="0.25">
      <c r="A4056" s="101">
        <v>36117</v>
      </c>
      <c r="B4056" s="9">
        <v>179.38</v>
      </c>
      <c r="C4056" s="9">
        <v>190.25</v>
      </c>
      <c r="D4056" s="9">
        <v>178.44</v>
      </c>
      <c r="E4056" s="9">
        <v>190.12</v>
      </c>
      <c r="F4056" s="9">
        <v>80068000</v>
      </c>
      <c r="G4056" s="9">
        <v>23.77</v>
      </c>
    </row>
    <row r="4057" spans="1:7" x14ac:dyDescent="0.25">
      <c r="A4057" s="101">
        <v>36116</v>
      </c>
      <c r="B4057" s="9">
        <v>171.69</v>
      </c>
      <c r="C4057" s="9">
        <v>181.5</v>
      </c>
      <c r="D4057" s="9">
        <v>168.25</v>
      </c>
      <c r="E4057" s="9">
        <v>176.75</v>
      </c>
      <c r="F4057" s="9">
        <v>65894400</v>
      </c>
      <c r="G4057" s="9">
        <v>22.09</v>
      </c>
    </row>
    <row r="4058" spans="1:7" x14ac:dyDescent="0.25">
      <c r="A4058" s="101">
        <v>36115</v>
      </c>
      <c r="B4058" s="9">
        <v>173.75</v>
      </c>
      <c r="C4058" s="9">
        <v>175</v>
      </c>
      <c r="D4058" s="9">
        <v>167.75</v>
      </c>
      <c r="E4058" s="9">
        <v>173.25</v>
      </c>
      <c r="F4058" s="9">
        <v>47338400</v>
      </c>
      <c r="G4058" s="9">
        <v>21.66</v>
      </c>
    </row>
    <row r="4059" spans="1:7" x14ac:dyDescent="0.25">
      <c r="A4059" s="101">
        <v>36112</v>
      </c>
      <c r="B4059" s="9">
        <v>176.88</v>
      </c>
      <c r="C4059" s="9">
        <v>177.69</v>
      </c>
      <c r="D4059" s="9">
        <v>164.5</v>
      </c>
      <c r="E4059" s="9">
        <v>168</v>
      </c>
      <c r="F4059" s="9">
        <v>59292800</v>
      </c>
      <c r="G4059" s="9">
        <v>21</v>
      </c>
    </row>
    <row r="4060" spans="1:7" x14ac:dyDescent="0.25">
      <c r="A4060" s="101">
        <v>36111</v>
      </c>
      <c r="B4060" s="9">
        <v>163.5</v>
      </c>
      <c r="C4060" s="9">
        <v>175.38</v>
      </c>
      <c r="D4060" s="9">
        <v>163.25</v>
      </c>
      <c r="E4060" s="9">
        <v>173.25</v>
      </c>
      <c r="F4060" s="9">
        <v>76820000</v>
      </c>
      <c r="G4060" s="9">
        <v>21.66</v>
      </c>
    </row>
    <row r="4061" spans="1:7" x14ac:dyDescent="0.25">
      <c r="A4061" s="101">
        <v>36110</v>
      </c>
      <c r="B4061" s="9">
        <v>177.5</v>
      </c>
      <c r="C4061" s="9">
        <v>181.88</v>
      </c>
      <c r="D4061" s="9">
        <v>164</v>
      </c>
      <c r="E4061" s="9">
        <v>165</v>
      </c>
      <c r="F4061" s="9">
        <v>96396800</v>
      </c>
      <c r="G4061" s="9">
        <v>20.62</v>
      </c>
    </row>
    <row r="4062" spans="1:7" x14ac:dyDescent="0.25">
      <c r="A4062" s="101">
        <v>36109</v>
      </c>
      <c r="B4062" s="9">
        <v>168.5</v>
      </c>
      <c r="C4062" s="9">
        <v>185.62</v>
      </c>
      <c r="D4062" s="9">
        <v>168.38</v>
      </c>
      <c r="E4062" s="9">
        <v>176.56</v>
      </c>
      <c r="F4062" s="9">
        <v>104089600</v>
      </c>
      <c r="G4062" s="9">
        <v>22.07</v>
      </c>
    </row>
    <row r="4063" spans="1:7" x14ac:dyDescent="0.25">
      <c r="A4063" s="101">
        <v>36108</v>
      </c>
      <c r="B4063" s="9">
        <v>154</v>
      </c>
      <c r="C4063" s="9">
        <v>165.38</v>
      </c>
      <c r="D4063" s="9">
        <v>153.88</v>
      </c>
      <c r="E4063" s="9">
        <v>164.75</v>
      </c>
      <c r="F4063" s="9">
        <v>73947200</v>
      </c>
      <c r="G4063" s="9">
        <v>20.59</v>
      </c>
    </row>
    <row r="4064" spans="1:7" x14ac:dyDescent="0.25">
      <c r="A4064" s="101">
        <v>36105</v>
      </c>
      <c r="B4064" s="9">
        <v>151.94</v>
      </c>
      <c r="C4064" s="9">
        <v>154.31</v>
      </c>
      <c r="D4064" s="9">
        <v>151</v>
      </c>
      <c r="E4064" s="9">
        <v>153.56</v>
      </c>
      <c r="F4064" s="9">
        <v>39160800</v>
      </c>
      <c r="G4064" s="9">
        <v>19.2</v>
      </c>
    </row>
    <row r="4065" spans="1:7" x14ac:dyDescent="0.25">
      <c r="A4065" s="101">
        <v>36104</v>
      </c>
      <c r="B4065" s="9">
        <v>149.81</v>
      </c>
      <c r="C4065" s="9">
        <v>154.06</v>
      </c>
      <c r="D4065" s="9">
        <v>149.81</v>
      </c>
      <c r="E4065" s="9">
        <v>151.69</v>
      </c>
      <c r="F4065" s="9">
        <v>82464800</v>
      </c>
      <c r="G4065" s="9">
        <v>18.96</v>
      </c>
    </row>
    <row r="4066" spans="1:7" x14ac:dyDescent="0.25">
      <c r="A4066" s="101">
        <v>36103</v>
      </c>
      <c r="B4066" s="9">
        <v>147.62</v>
      </c>
      <c r="C4066" s="9">
        <v>151.5</v>
      </c>
      <c r="D4066" s="9">
        <v>145.5</v>
      </c>
      <c r="E4066" s="9">
        <v>151.38</v>
      </c>
      <c r="F4066" s="9">
        <v>75329600</v>
      </c>
      <c r="G4066" s="9">
        <v>18.920000000000002</v>
      </c>
    </row>
    <row r="4067" spans="1:7" x14ac:dyDescent="0.25">
      <c r="A4067" s="101">
        <v>36102</v>
      </c>
      <c r="B4067" s="9">
        <v>144.75</v>
      </c>
      <c r="C4067" s="9">
        <v>149</v>
      </c>
      <c r="D4067" s="9">
        <v>141.06</v>
      </c>
      <c r="E4067" s="9">
        <v>142.12</v>
      </c>
      <c r="F4067" s="9">
        <v>88573600</v>
      </c>
      <c r="G4067" s="9">
        <v>17.77</v>
      </c>
    </row>
    <row r="4068" spans="1:7" x14ac:dyDescent="0.25">
      <c r="A4068" s="101">
        <v>36101</v>
      </c>
      <c r="B4068" s="9">
        <v>133.06</v>
      </c>
      <c r="C4068" s="9">
        <v>145.75</v>
      </c>
      <c r="D4068" s="9">
        <v>131.75</v>
      </c>
      <c r="E4068" s="9">
        <v>145.44</v>
      </c>
      <c r="F4068" s="9">
        <v>82252800</v>
      </c>
      <c r="G4068" s="9">
        <v>18.18</v>
      </c>
    </row>
    <row r="4069" spans="1:7" x14ac:dyDescent="0.25">
      <c r="A4069" s="101">
        <v>36098</v>
      </c>
      <c r="B4069" s="9">
        <v>129.88</v>
      </c>
      <c r="C4069" s="9">
        <v>133.12</v>
      </c>
      <c r="D4069" s="9">
        <v>129.25</v>
      </c>
      <c r="E4069" s="9">
        <v>130.84</v>
      </c>
      <c r="F4069" s="9">
        <v>39603200</v>
      </c>
      <c r="G4069" s="9">
        <v>16.36</v>
      </c>
    </row>
    <row r="4070" spans="1:7" x14ac:dyDescent="0.25">
      <c r="A4070" s="101">
        <v>36097</v>
      </c>
      <c r="B4070" s="9">
        <v>128.25</v>
      </c>
      <c r="C4070" s="9">
        <v>131.25</v>
      </c>
      <c r="D4070" s="9">
        <v>126</v>
      </c>
      <c r="E4070" s="9">
        <v>131.19</v>
      </c>
      <c r="F4070" s="9">
        <v>41452000</v>
      </c>
      <c r="G4070" s="9">
        <v>16.399999999999999</v>
      </c>
    </row>
    <row r="4071" spans="1:7" x14ac:dyDescent="0.25">
      <c r="A4071" s="101">
        <v>36096</v>
      </c>
      <c r="B4071" s="9">
        <v>123.62</v>
      </c>
      <c r="C4071" s="9">
        <v>128</v>
      </c>
      <c r="D4071" s="9">
        <v>121</v>
      </c>
      <c r="E4071" s="9">
        <v>126.75</v>
      </c>
      <c r="F4071" s="9">
        <v>42363200</v>
      </c>
      <c r="G4071" s="9">
        <v>15.84</v>
      </c>
    </row>
    <row r="4072" spans="1:7" x14ac:dyDescent="0.25">
      <c r="A4072" s="101">
        <v>36095</v>
      </c>
      <c r="B4072" s="9">
        <v>130.5</v>
      </c>
      <c r="C4072" s="9">
        <v>132.12</v>
      </c>
      <c r="D4072" s="9">
        <v>123.5</v>
      </c>
      <c r="E4072" s="9">
        <v>123.75</v>
      </c>
      <c r="F4072" s="9">
        <v>47267200</v>
      </c>
      <c r="G4072" s="9">
        <v>15.47</v>
      </c>
    </row>
    <row r="4073" spans="1:7" x14ac:dyDescent="0.25">
      <c r="A4073" s="101">
        <v>36094</v>
      </c>
      <c r="B4073" s="9">
        <v>123.25</v>
      </c>
      <c r="C4073" s="9">
        <v>128</v>
      </c>
      <c r="D4073" s="9">
        <v>123.25</v>
      </c>
      <c r="E4073" s="9">
        <v>127.94</v>
      </c>
      <c r="F4073" s="9">
        <v>40869600</v>
      </c>
      <c r="G4073" s="9">
        <v>15.99</v>
      </c>
    </row>
    <row r="4074" spans="1:7" x14ac:dyDescent="0.25">
      <c r="A4074" s="101">
        <v>36091</v>
      </c>
      <c r="B4074" s="9">
        <v>121.69</v>
      </c>
      <c r="C4074" s="9">
        <v>124</v>
      </c>
      <c r="D4074" s="9">
        <v>120.5</v>
      </c>
      <c r="E4074" s="9">
        <v>122.12</v>
      </c>
      <c r="F4074" s="9">
        <v>28093600</v>
      </c>
      <c r="G4074" s="9">
        <v>15.27</v>
      </c>
    </row>
    <row r="4075" spans="1:7" x14ac:dyDescent="0.25">
      <c r="A4075" s="101">
        <v>36090</v>
      </c>
      <c r="B4075" s="9">
        <v>118.94</v>
      </c>
      <c r="C4075" s="9">
        <v>124.25</v>
      </c>
      <c r="D4075" s="9">
        <v>117.25</v>
      </c>
      <c r="E4075" s="9">
        <v>122.12</v>
      </c>
      <c r="F4075" s="9">
        <v>60401600</v>
      </c>
      <c r="G4075" s="9">
        <v>15.27</v>
      </c>
    </row>
    <row r="4076" spans="1:7" x14ac:dyDescent="0.25">
      <c r="A4076" s="101">
        <v>36089</v>
      </c>
      <c r="B4076" s="9">
        <v>117.62</v>
      </c>
      <c r="C4076" s="9">
        <v>119.88</v>
      </c>
      <c r="D4076" s="9">
        <v>115.66</v>
      </c>
      <c r="E4076" s="9">
        <v>119.75</v>
      </c>
      <c r="F4076" s="9">
        <v>35041600</v>
      </c>
      <c r="G4076" s="9">
        <v>14.97</v>
      </c>
    </row>
    <row r="4077" spans="1:7" x14ac:dyDescent="0.25">
      <c r="A4077" s="101">
        <v>36088</v>
      </c>
      <c r="B4077" s="9">
        <v>120.25</v>
      </c>
      <c r="C4077" s="9">
        <v>121.12</v>
      </c>
      <c r="D4077" s="9">
        <v>115.38</v>
      </c>
      <c r="E4077" s="9">
        <v>115.5</v>
      </c>
      <c r="F4077" s="9">
        <v>48166400</v>
      </c>
      <c r="G4077" s="9">
        <v>14.44</v>
      </c>
    </row>
    <row r="4078" spans="1:7" x14ac:dyDescent="0.25">
      <c r="A4078" s="101">
        <v>36087</v>
      </c>
      <c r="B4078" s="9">
        <v>114.62</v>
      </c>
      <c r="C4078" s="9">
        <v>119.25</v>
      </c>
      <c r="D4078" s="9">
        <v>113.5</v>
      </c>
      <c r="E4078" s="9">
        <v>117.5</v>
      </c>
      <c r="F4078" s="9">
        <v>42296000</v>
      </c>
      <c r="G4078" s="9">
        <v>14.69</v>
      </c>
    </row>
    <row r="4079" spans="1:7" x14ac:dyDescent="0.25">
      <c r="A4079" s="101">
        <v>36084</v>
      </c>
      <c r="B4079" s="9">
        <v>120.12</v>
      </c>
      <c r="C4079" s="9">
        <v>122</v>
      </c>
      <c r="D4079" s="9">
        <v>115.12</v>
      </c>
      <c r="E4079" s="9">
        <v>115.62</v>
      </c>
      <c r="F4079" s="9">
        <v>54677600</v>
      </c>
      <c r="G4079" s="9">
        <v>14.45</v>
      </c>
    </row>
    <row r="4080" spans="1:7" x14ac:dyDescent="0.25">
      <c r="A4080" s="101">
        <v>36083</v>
      </c>
      <c r="B4080" s="9">
        <v>112.88</v>
      </c>
      <c r="C4080" s="9">
        <v>120.12</v>
      </c>
      <c r="D4080" s="9">
        <v>110.25</v>
      </c>
      <c r="E4080" s="9">
        <v>119.38</v>
      </c>
      <c r="F4080" s="9">
        <v>71287200</v>
      </c>
      <c r="G4080" s="9">
        <v>14.92</v>
      </c>
    </row>
    <row r="4081" spans="1:7" x14ac:dyDescent="0.25">
      <c r="A4081" s="101">
        <v>36082</v>
      </c>
      <c r="B4081" s="9">
        <v>108.5</v>
      </c>
      <c r="C4081" s="9">
        <v>116.5</v>
      </c>
      <c r="D4081" s="9">
        <v>108.5</v>
      </c>
      <c r="E4081" s="9">
        <v>111.88</v>
      </c>
      <c r="F4081" s="9">
        <v>59580000</v>
      </c>
      <c r="G4081" s="9">
        <v>13.98</v>
      </c>
    </row>
    <row r="4082" spans="1:7" x14ac:dyDescent="0.25">
      <c r="A4082" s="101">
        <v>36081</v>
      </c>
      <c r="B4082" s="9">
        <v>113.44</v>
      </c>
      <c r="C4082" s="9">
        <v>114.38</v>
      </c>
      <c r="D4082" s="9">
        <v>109.62</v>
      </c>
      <c r="E4082" s="9">
        <v>109.94</v>
      </c>
      <c r="F4082" s="9">
        <v>51824000</v>
      </c>
      <c r="G4082" s="9">
        <v>13.74</v>
      </c>
    </row>
    <row r="4083" spans="1:7" x14ac:dyDescent="0.25">
      <c r="A4083" s="101">
        <v>36080</v>
      </c>
      <c r="B4083" s="9">
        <v>110.5</v>
      </c>
      <c r="C4083" s="9">
        <v>118</v>
      </c>
      <c r="D4083" s="9">
        <v>108.69</v>
      </c>
      <c r="E4083" s="9">
        <v>114.44</v>
      </c>
      <c r="F4083" s="9">
        <v>103243200</v>
      </c>
      <c r="G4083" s="9">
        <v>14.3</v>
      </c>
    </row>
    <row r="4084" spans="1:7" x14ac:dyDescent="0.25">
      <c r="A4084" s="101">
        <v>36077</v>
      </c>
      <c r="B4084" s="9">
        <v>107.88</v>
      </c>
      <c r="C4084" s="9">
        <v>110</v>
      </c>
      <c r="D4084" s="9">
        <v>102</v>
      </c>
      <c r="E4084" s="9">
        <v>105.62</v>
      </c>
      <c r="F4084" s="9">
        <v>74280000</v>
      </c>
      <c r="G4084" s="9">
        <v>13.2</v>
      </c>
    </row>
    <row r="4085" spans="1:7" x14ac:dyDescent="0.25">
      <c r="A4085" s="101">
        <v>36076</v>
      </c>
      <c r="B4085" s="9">
        <v>104.12</v>
      </c>
      <c r="C4085" s="9">
        <v>108.5</v>
      </c>
      <c r="D4085" s="9">
        <v>97.5</v>
      </c>
      <c r="E4085" s="9">
        <v>104.81</v>
      </c>
      <c r="F4085" s="9">
        <v>172985600</v>
      </c>
      <c r="G4085" s="9">
        <v>13.1</v>
      </c>
    </row>
    <row r="4086" spans="1:7" x14ac:dyDescent="0.25">
      <c r="A4086" s="101">
        <v>36075</v>
      </c>
      <c r="B4086" s="9">
        <v>122.69</v>
      </c>
      <c r="C4086" s="9">
        <v>123</v>
      </c>
      <c r="D4086" s="9">
        <v>110.5</v>
      </c>
      <c r="E4086" s="9">
        <v>114.38</v>
      </c>
      <c r="F4086" s="9">
        <v>137588800</v>
      </c>
      <c r="G4086" s="9">
        <v>14.3</v>
      </c>
    </row>
    <row r="4087" spans="1:7" x14ac:dyDescent="0.25">
      <c r="A4087" s="101">
        <v>36074</v>
      </c>
      <c r="B4087" s="9">
        <v>131.12</v>
      </c>
      <c r="C4087" s="9">
        <v>132.12</v>
      </c>
      <c r="D4087" s="9">
        <v>121.75</v>
      </c>
      <c r="E4087" s="9">
        <v>124.81</v>
      </c>
      <c r="F4087" s="9">
        <v>123448000</v>
      </c>
      <c r="G4087" s="9">
        <v>15.6</v>
      </c>
    </row>
    <row r="4088" spans="1:7" x14ac:dyDescent="0.25">
      <c r="A4088" s="101">
        <v>36073</v>
      </c>
      <c r="B4088" s="9">
        <v>126.12</v>
      </c>
      <c r="C4088" s="9">
        <v>129.56</v>
      </c>
      <c r="D4088" s="9">
        <v>117.06</v>
      </c>
      <c r="E4088" s="9">
        <v>125.81</v>
      </c>
      <c r="F4088" s="9">
        <v>130274400</v>
      </c>
      <c r="G4088" s="9">
        <v>15.73</v>
      </c>
    </row>
    <row r="4089" spans="1:7" x14ac:dyDescent="0.25">
      <c r="A4089" s="101">
        <v>36070</v>
      </c>
      <c r="B4089" s="9">
        <v>115.56</v>
      </c>
      <c r="C4089" s="9">
        <v>127.5</v>
      </c>
      <c r="D4089" s="9">
        <v>113.75</v>
      </c>
      <c r="E4089" s="9">
        <v>127</v>
      </c>
      <c r="F4089" s="9">
        <v>135588000</v>
      </c>
      <c r="G4089" s="9">
        <v>15.88</v>
      </c>
    </row>
    <row r="4090" spans="1:7" x14ac:dyDescent="0.25">
      <c r="A4090" s="101">
        <v>36069</v>
      </c>
      <c r="B4090" s="9">
        <v>123.38</v>
      </c>
      <c r="C4090" s="9">
        <v>126.38</v>
      </c>
      <c r="D4090" s="9">
        <v>112.69</v>
      </c>
      <c r="E4090" s="9">
        <v>112.94</v>
      </c>
      <c r="F4090" s="9">
        <v>122895200</v>
      </c>
      <c r="G4090" s="9">
        <v>14.12</v>
      </c>
    </row>
    <row r="4091" spans="1:7" x14ac:dyDescent="0.25">
      <c r="A4091" s="101">
        <v>36068</v>
      </c>
      <c r="B4091" s="9">
        <v>128.97</v>
      </c>
      <c r="C4091" s="9">
        <v>132.19</v>
      </c>
      <c r="D4091" s="9">
        <v>124.75</v>
      </c>
      <c r="E4091" s="9">
        <v>129.5</v>
      </c>
      <c r="F4091" s="9">
        <v>83716800</v>
      </c>
      <c r="G4091" s="9">
        <v>16.190000000000001</v>
      </c>
    </row>
    <row r="4092" spans="1:7" x14ac:dyDescent="0.25">
      <c r="A4092" s="101">
        <v>36067</v>
      </c>
      <c r="B4092" s="9">
        <v>128.75</v>
      </c>
      <c r="C4092" s="9">
        <v>134.62</v>
      </c>
      <c r="D4092" s="9">
        <v>124.75</v>
      </c>
      <c r="E4092" s="9">
        <v>131.5</v>
      </c>
      <c r="F4092" s="9">
        <v>87640800</v>
      </c>
      <c r="G4092" s="9">
        <v>16.440000000000001</v>
      </c>
    </row>
    <row r="4093" spans="1:7" x14ac:dyDescent="0.25">
      <c r="A4093" s="101">
        <v>36066</v>
      </c>
      <c r="B4093" s="9">
        <v>126</v>
      </c>
      <c r="C4093" s="9">
        <v>129.5</v>
      </c>
      <c r="D4093" s="9">
        <v>121.81</v>
      </c>
      <c r="E4093" s="9">
        <v>127.94</v>
      </c>
      <c r="F4093" s="9">
        <v>85004800</v>
      </c>
      <c r="G4093" s="9">
        <v>15.99</v>
      </c>
    </row>
    <row r="4094" spans="1:7" x14ac:dyDescent="0.25">
      <c r="A4094" s="101">
        <v>36063</v>
      </c>
      <c r="B4094" s="9">
        <v>112</v>
      </c>
      <c r="C4094" s="9">
        <v>121.25</v>
      </c>
      <c r="D4094" s="9">
        <v>111.25</v>
      </c>
      <c r="E4094" s="9">
        <v>121</v>
      </c>
      <c r="F4094" s="9">
        <v>80061600</v>
      </c>
      <c r="G4094" s="9">
        <v>15.12</v>
      </c>
    </row>
    <row r="4095" spans="1:7" x14ac:dyDescent="0.25">
      <c r="A4095" s="101">
        <v>36062</v>
      </c>
      <c r="B4095" s="9">
        <v>118.75</v>
      </c>
      <c r="C4095" s="9">
        <v>125.38</v>
      </c>
      <c r="D4095" s="9">
        <v>112.75</v>
      </c>
      <c r="E4095" s="9">
        <v>115.25</v>
      </c>
      <c r="F4095" s="9">
        <v>119551200</v>
      </c>
      <c r="G4095" s="9">
        <v>14.41</v>
      </c>
    </row>
    <row r="4096" spans="1:7" x14ac:dyDescent="0.25">
      <c r="A4096" s="101">
        <v>36061</v>
      </c>
      <c r="B4096" s="9">
        <v>104.75</v>
      </c>
      <c r="C4096" s="9">
        <v>118</v>
      </c>
      <c r="D4096" s="9">
        <v>104.5</v>
      </c>
      <c r="E4096" s="9">
        <v>117.88</v>
      </c>
      <c r="F4096" s="9">
        <v>121677600</v>
      </c>
      <c r="G4096" s="9">
        <v>14.73</v>
      </c>
    </row>
    <row r="4097" spans="1:7" x14ac:dyDescent="0.25">
      <c r="A4097" s="101">
        <v>36060</v>
      </c>
      <c r="B4097" s="9">
        <v>98.25</v>
      </c>
      <c r="C4097" s="9">
        <v>105</v>
      </c>
      <c r="D4097" s="9">
        <v>98</v>
      </c>
      <c r="E4097" s="9">
        <v>102.94</v>
      </c>
      <c r="F4097" s="9">
        <v>88165600</v>
      </c>
      <c r="G4097" s="9">
        <v>12.87</v>
      </c>
    </row>
    <row r="4098" spans="1:7" x14ac:dyDescent="0.25">
      <c r="A4098" s="101">
        <v>36059</v>
      </c>
      <c r="B4098" s="9">
        <v>87.25</v>
      </c>
      <c r="C4098" s="9">
        <v>97</v>
      </c>
      <c r="D4098" s="9">
        <v>86.81</v>
      </c>
      <c r="E4098" s="9">
        <v>96.31</v>
      </c>
      <c r="F4098" s="9">
        <v>61918400</v>
      </c>
      <c r="G4098" s="9">
        <v>12.04</v>
      </c>
    </row>
    <row r="4099" spans="1:7" x14ac:dyDescent="0.25">
      <c r="A4099" s="101">
        <v>36056</v>
      </c>
      <c r="B4099" s="9">
        <v>90</v>
      </c>
      <c r="C4099" s="9">
        <v>92.38</v>
      </c>
      <c r="D4099" s="9">
        <v>89.88</v>
      </c>
      <c r="E4099" s="9">
        <v>90.44</v>
      </c>
      <c r="F4099" s="9">
        <v>40134400</v>
      </c>
      <c r="G4099" s="9">
        <v>11.3</v>
      </c>
    </row>
    <row r="4100" spans="1:7" x14ac:dyDescent="0.25">
      <c r="A4100" s="101">
        <v>36055</v>
      </c>
      <c r="B4100" s="9">
        <v>89.38</v>
      </c>
      <c r="C4100" s="9">
        <v>93.75</v>
      </c>
      <c r="D4100" s="9">
        <v>89.31</v>
      </c>
      <c r="E4100" s="9">
        <v>90.06</v>
      </c>
      <c r="F4100" s="9">
        <v>103429600</v>
      </c>
      <c r="G4100" s="9">
        <v>11.26</v>
      </c>
    </row>
    <row r="4101" spans="1:7" x14ac:dyDescent="0.25">
      <c r="A4101" s="101">
        <v>36054</v>
      </c>
      <c r="B4101" s="9">
        <v>85.81</v>
      </c>
      <c r="C4101" s="9">
        <v>93.75</v>
      </c>
      <c r="D4101" s="9">
        <v>85</v>
      </c>
      <c r="E4101" s="9">
        <v>93.38</v>
      </c>
      <c r="F4101" s="9">
        <v>97708000</v>
      </c>
      <c r="G4101" s="9">
        <v>11.67</v>
      </c>
    </row>
    <row r="4102" spans="1:7" x14ac:dyDescent="0.25">
      <c r="A4102" s="101">
        <v>36053</v>
      </c>
      <c r="B4102" s="9">
        <v>82.62</v>
      </c>
      <c r="C4102" s="9">
        <v>84.5</v>
      </c>
      <c r="D4102" s="9">
        <v>82</v>
      </c>
      <c r="E4102" s="9">
        <v>84.38</v>
      </c>
      <c r="F4102" s="9">
        <v>33928800</v>
      </c>
      <c r="G4102" s="9">
        <v>10.55</v>
      </c>
    </row>
    <row r="4103" spans="1:7" x14ac:dyDescent="0.25">
      <c r="A4103" s="101">
        <v>36052</v>
      </c>
      <c r="B4103" s="9">
        <v>82.25</v>
      </c>
      <c r="C4103" s="9">
        <v>84.88</v>
      </c>
      <c r="D4103" s="9">
        <v>81.62</v>
      </c>
      <c r="E4103" s="9">
        <v>83.88</v>
      </c>
      <c r="F4103" s="9">
        <v>35400800</v>
      </c>
      <c r="G4103" s="9">
        <v>10.48</v>
      </c>
    </row>
    <row r="4104" spans="1:7" x14ac:dyDescent="0.25">
      <c r="A4104" s="101">
        <v>36049</v>
      </c>
      <c r="B4104" s="9">
        <v>80.5</v>
      </c>
      <c r="C4104" s="9">
        <v>81.88</v>
      </c>
      <c r="D4104" s="9">
        <v>76.75</v>
      </c>
      <c r="E4104" s="9">
        <v>79.88</v>
      </c>
      <c r="F4104" s="9">
        <v>45369600</v>
      </c>
      <c r="G4104" s="9">
        <v>9.98</v>
      </c>
    </row>
    <row r="4105" spans="1:7" x14ac:dyDescent="0.25">
      <c r="A4105" s="101">
        <v>36048</v>
      </c>
      <c r="B4105" s="9">
        <v>76.75</v>
      </c>
      <c r="C4105" s="9">
        <v>80.5</v>
      </c>
      <c r="D4105" s="9">
        <v>73</v>
      </c>
      <c r="E4105" s="9">
        <v>79.88</v>
      </c>
      <c r="F4105" s="9">
        <v>61207200</v>
      </c>
      <c r="G4105" s="9">
        <v>9.98</v>
      </c>
    </row>
    <row r="4106" spans="1:7" x14ac:dyDescent="0.25">
      <c r="A4106" s="101">
        <v>36047</v>
      </c>
      <c r="B4106" s="9">
        <v>83.62</v>
      </c>
      <c r="C4106" s="9">
        <v>85.81</v>
      </c>
      <c r="D4106" s="9">
        <v>79.75</v>
      </c>
      <c r="E4106" s="9">
        <v>80</v>
      </c>
      <c r="F4106" s="9">
        <v>38174400</v>
      </c>
      <c r="G4106" s="9">
        <v>10</v>
      </c>
    </row>
    <row r="4107" spans="1:7" x14ac:dyDescent="0.25">
      <c r="A4107" s="101">
        <v>36046</v>
      </c>
      <c r="B4107" s="9">
        <v>82.88</v>
      </c>
      <c r="C4107" s="9">
        <v>85</v>
      </c>
      <c r="D4107" s="9">
        <v>79.12</v>
      </c>
      <c r="E4107" s="9">
        <v>84.62</v>
      </c>
      <c r="F4107" s="9">
        <v>54988000</v>
      </c>
      <c r="G4107" s="9">
        <v>10.58</v>
      </c>
    </row>
    <row r="4108" spans="1:7" x14ac:dyDescent="0.25">
      <c r="A4108" s="101">
        <v>36042</v>
      </c>
      <c r="B4108" s="9">
        <v>76.94</v>
      </c>
      <c r="C4108" s="9">
        <v>78.12</v>
      </c>
      <c r="D4108" s="9">
        <v>72.5</v>
      </c>
      <c r="E4108" s="9">
        <v>75.38</v>
      </c>
      <c r="F4108" s="9">
        <v>33694400</v>
      </c>
      <c r="G4108" s="9">
        <v>9.42</v>
      </c>
    </row>
    <row r="4109" spans="1:7" x14ac:dyDescent="0.25">
      <c r="A4109" s="101">
        <v>36041</v>
      </c>
      <c r="B4109" s="9">
        <v>74</v>
      </c>
      <c r="C4109" s="9">
        <v>77.88</v>
      </c>
      <c r="D4109" s="9">
        <v>71.5</v>
      </c>
      <c r="E4109" s="9">
        <v>75.19</v>
      </c>
      <c r="F4109" s="9">
        <v>63705600</v>
      </c>
      <c r="G4109" s="9">
        <v>9.4</v>
      </c>
    </row>
    <row r="4110" spans="1:7" x14ac:dyDescent="0.25">
      <c r="A4110" s="101">
        <v>36040</v>
      </c>
      <c r="B4110" s="9">
        <v>77</v>
      </c>
      <c r="C4110" s="9">
        <v>83.94</v>
      </c>
      <c r="D4110" s="9">
        <v>74.62</v>
      </c>
      <c r="E4110" s="9">
        <v>77.75</v>
      </c>
      <c r="F4110" s="9">
        <v>78278400</v>
      </c>
      <c r="G4110" s="9">
        <v>9.7200000000000006</v>
      </c>
    </row>
    <row r="4111" spans="1:7" x14ac:dyDescent="0.25">
      <c r="A4111" s="101">
        <v>36039</v>
      </c>
      <c r="B4111" s="9">
        <v>66.12</v>
      </c>
      <c r="C4111" s="9">
        <v>76.5</v>
      </c>
      <c r="D4111" s="9">
        <v>59</v>
      </c>
      <c r="E4111" s="9">
        <v>72.25</v>
      </c>
      <c r="F4111" s="9">
        <v>96534400</v>
      </c>
      <c r="G4111" s="9">
        <v>9.0299999999999994</v>
      </c>
    </row>
    <row r="4112" spans="1:7" x14ac:dyDescent="0.25">
      <c r="A4112" s="101">
        <v>36038</v>
      </c>
      <c r="B4112" s="9">
        <v>83</v>
      </c>
      <c r="C4112" s="9">
        <v>84.12</v>
      </c>
      <c r="D4112" s="9">
        <v>66.5</v>
      </c>
      <c r="E4112" s="9">
        <v>69</v>
      </c>
      <c r="F4112" s="9">
        <v>77024800</v>
      </c>
      <c r="G4112" s="9">
        <v>8.6199999999999992</v>
      </c>
    </row>
    <row r="4113" spans="1:7" x14ac:dyDescent="0.25">
      <c r="A4113" s="101">
        <v>36035</v>
      </c>
      <c r="B4113" s="9">
        <v>90.88</v>
      </c>
      <c r="C4113" s="9">
        <v>92.38</v>
      </c>
      <c r="D4113" s="9">
        <v>81.75</v>
      </c>
      <c r="E4113" s="9">
        <v>83.06</v>
      </c>
      <c r="F4113" s="9">
        <v>62074400</v>
      </c>
      <c r="G4113" s="9">
        <v>10.38</v>
      </c>
    </row>
    <row r="4114" spans="1:7" x14ac:dyDescent="0.25">
      <c r="A4114" s="101">
        <v>36034</v>
      </c>
      <c r="B4114" s="9">
        <v>94.5</v>
      </c>
      <c r="C4114" s="9">
        <v>95</v>
      </c>
      <c r="D4114" s="9">
        <v>90.75</v>
      </c>
      <c r="E4114" s="9">
        <v>91.06</v>
      </c>
      <c r="F4114" s="9">
        <v>39107200</v>
      </c>
      <c r="G4114" s="9">
        <v>11.38</v>
      </c>
    </row>
    <row r="4115" spans="1:7" x14ac:dyDescent="0.25">
      <c r="A4115" s="101">
        <v>36033</v>
      </c>
      <c r="B4115" s="9">
        <v>95.75</v>
      </c>
      <c r="C4115" s="9">
        <v>96.94</v>
      </c>
      <c r="D4115" s="9">
        <v>94.12</v>
      </c>
      <c r="E4115" s="9">
        <v>96.88</v>
      </c>
      <c r="F4115" s="9">
        <v>22042400</v>
      </c>
      <c r="G4115" s="9">
        <v>12.11</v>
      </c>
    </row>
    <row r="4116" spans="1:7" x14ac:dyDescent="0.25">
      <c r="A4116" s="101">
        <v>36032</v>
      </c>
      <c r="B4116" s="9">
        <v>98.94</v>
      </c>
      <c r="C4116" s="9">
        <v>99.25</v>
      </c>
      <c r="D4116" s="9">
        <v>95.75</v>
      </c>
      <c r="E4116" s="9">
        <v>97.5</v>
      </c>
      <c r="F4116" s="9">
        <v>19356800</v>
      </c>
      <c r="G4116" s="9">
        <v>12.19</v>
      </c>
    </row>
    <row r="4117" spans="1:7" x14ac:dyDescent="0.25">
      <c r="A4117" s="101">
        <v>36031</v>
      </c>
      <c r="B4117" s="9">
        <v>96</v>
      </c>
      <c r="C4117" s="9">
        <v>98</v>
      </c>
      <c r="D4117" s="9">
        <v>95.62</v>
      </c>
      <c r="E4117" s="9">
        <v>97.69</v>
      </c>
      <c r="F4117" s="9">
        <v>21888000</v>
      </c>
      <c r="G4117" s="9">
        <v>12.21</v>
      </c>
    </row>
    <row r="4118" spans="1:7" x14ac:dyDescent="0.25">
      <c r="A4118" s="101">
        <v>36028</v>
      </c>
      <c r="B4118" s="9">
        <v>96.12</v>
      </c>
      <c r="C4118" s="9">
        <v>97.38</v>
      </c>
      <c r="D4118" s="9">
        <v>93.25</v>
      </c>
      <c r="E4118" s="9">
        <v>95.38</v>
      </c>
      <c r="F4118" s="9">
        <v>30939200</v>
      </c>
      <c r="G4118" s="9">
        <v>11.92</v>
      </c>
    </row>
    <row r="4119" spans="1:7" x14ac:dyDescent="0.25">
      <c r="A4119" s="101">
        <v>36027</v>
      </c>
      <c r="B4119" s="9">
        <v>95.38</v>
      </c>
      <c r="C4119" s="9">
        <v>97.88</v>
      </c>
      <c r="D4119" s="9">
        <v>94.75</v>
      </c>
      <c r="E4119" s="9">
        <v>97.5</v>
      </c>
      <c r="F4119" s="9">
        <v>23878400</v>
      </c>
      <c r="G4119" s="9">
        <v>12.19</v>
      </c>
    </row>
    <row r="4120" spans="1:7" x14ac:dyDescent="0.25">
      <c r="A4120" s="101">
        <v>36026</v>
      </c>
      <c r="B4120" s="9">
        <v>98.88</v>
      </c>
      <c r="C4120" s="9">
        <v>100</v>
      </c>
      <c r="D4120" s="9">
        <v>94.88</v>
      </c>
      <c r="E4120" s="9">
        <v>95.25</v>
      </c>
      <c r="F4120" s="9">
        <v>33248000</v>
      </c>
      <c r="G4120" s="9">
        <v>11.91</v>
      </c>
    </row>
    <row r="4121" spans="1:7" x14ac:dyDescent="0.25">
      <c r="A4121" s="101">
        <v>36025</v>
      </c>
      <c r="B4121" s="9">
        <v>92.88</v>
      </c>
      <c r="C4121" s="9">
        <v>98</v>
      </c>
      <c r="D4121" s="9">
        <v>92.62</v>
      </c>
      <c r="E4121" s="9">
        <v>97.25</v>
      </c>
      <c r="F4121" s="9">
        <v>42212800</v>
      </c>
      <c r="G4121" s="9">
        <v>12.16</v>
      </c>
    </row>
    <row r="4122" spans="1:7" x14ac:dyDescent="0.25">
      <c r="A4122" s="101">
        <v>36024</v>
      </c>
      <c r="B4122" s="9">
        <v>90.88</v>
      </c>
      <c r="C4122" s="9">
        <v>92.5</v>
      </c>
      <c r="D4122" s="9">
        <v>90</v>
      </c>
      <c r="E4122" s="9">
        <v>92</v>
      </c>
      <c r="F4122" s="9">
        <v>20256800</v>
      </c>
      <c r="G4122" s="9">
        <v>11.5</v>
      </c>
    </row>
    <row r="4123" spans="1:7" x14ac:dyDescent="0.25">
      <c r="A4123" s="101">
        <v>36021</v>
      </c>
      <c r="B4123" s="9">
        <v>94</v>
      </c>
      <c r="C4123" s="9">
        <v>94.38</v>
      </c>
      <c r="D4123" s="9">
        <v>90</v>
      </c>
      <c r="E4123" s="9">
        <v>91.75</v>
      </c>
      <c r="F4123" s="9">
        <v>25372000</v>
      </c>
      <c r="G4123" s="9">
        <v>11.47</v>
      </c>
    </row>
    <row r="4124" spans="1:7" x14ac:dyDescent="0.25">
      <c r="A4124" s="101">
        <v>36020</v>
      </c>
      <c r="B4124" s="9">
        <v>95.12</v>
      </c>
      <c r="C4124" s="9">
        <v>96.75</v>
      </c>
      <c r="D4124" s="9">
        <v>92.62</v>
      </c>
      <c r="E4124" s="9">
        <v>92.75</v>
      </c>
      <c r="F4124" s="9">
        <v>26801600</v>
      </c>
      <c r="G4124" s="9">
        <v>11.59</v>
      </c>
    </row>
    <row r="4125" spans="1:7" x14ac:dyDescent="0.25">
      <c r="A4125" s="101">
        <v>36019</v>
      </c>
      <c r="B4125" s="9">
        <v>93.5</v>
      </c>
      <c r="C4125" s="9">
        <v>96.31</v>
      </c>
      <c r="D4125" s="9">
        <v>93</v>
      </c>
      <c r="E4125" s="9">
        <v>95.38</v>
      </c>
      <c r="F4125" s="9">
        <v>42176000</v>
      </c>
      <c r="G4125" s="9">
        <v>11.92</v>
      </c>
    </row>
    <row r="4126" spans="1:7" x14ac:dyDescent="0.25">
      <c r="A4126" s="101">
        <v>36018</v>
      </c>
      <c r="B4126" s="9">
        <v>89.69</v>
      </c>
      <c r="C4126" s="9">
        <v>94.25</v>
      </c>
      <c r="D4126" s="9">
        <v>88.38</v>
      </c>
      <c r="E4126" s="9">
        <v>91.38</v>
      </c>
      <c r="F4126" s="9">
        <v>50840800</v>
      </c>
      <c r="G4126" s="9">
        <v>11.42</v>
      </c>
    </row>
    <row r="4127" spans="1:7" x14ac:dyDescent="0.25">
      <c r="A4127" s="101">
        <v>36017</v>
      </c>
      <c r="B4127" s="9">
        <v>92</v>
      </c>
      <c r="C4127" s="9">
        <v>94</v>
      </c>
      <c r="D4127" s="9">
        <v>88.75</v>
      </c>
      <c r="E4127" s="9">
        <v>94</v>
      </c>
      <c r="F4127" s="9">
        <v>34913600</v>
      </c>
      <c r="G4127" s="9">
        <v>11.75</v>
      </c>
    </row>
    <row r="4128" spans="1:7" x14ac:dyDescent="0.25">
      <c r="A4128" s="101">
        <v>36014</v>
      </c>
      <c r="B4128" s="9">
        <v>88.62</v>
      </c>
      <c r="C4128" s="9">
        <v>93.25</v>
      </c>
      <c r="D4128" s="9">
        <v>87.31</v>
      </c>
      <c r="E4128" s="9">
        <v>91.62</v>
      </c>
      <c r="F4128" s="9">
        <v>51663200</v>
      </c>
      <c r="G4128" s="9">
        <v>11.45</v>
      </c>
    </row>
    <row r="4129" spans="1:7" x14ac:dyDescent="0.25">
      <c r="A4129" s="101">
        <v>36013</v>
      </c>
      <c r="B4129" s="9">
        <v>82</v>
      </c>
      <c r="C4129" s="9">
        <v>88.38</v>
      </c>
      <c r="D4129" s="9">
        <v>81.19</v>
      </c>
      <c r="E4129" s="9">
        <v>87.38</v>
      </c>
      <c r="F4129" s="9">
        <v>36946400</v>
      </c>
      <c r="G4129" s="9">
        <v>10.92</v>
      </c>
    </row>
    <row r="4130" spans="1:7" x14ac:dyDescent="0.25">
      <c r="A4130" s="101">
        <v>36012</v>
      </c>
      <c r="B4130" s="9">
        <v>85.88</v>
      </c>
      <c r="C4130" s="9">
        <v>87.75</v>
      </c>
      <c r="D4130" s="9">
        <v>79</v>
      </c>
      <c r="E4130" s="9">
        <v>83.88</v>
      </c>
      <c r="F4130" s="9">
        <v>54120000</v>
      </c>
      <c r="G4130" s="9">
        <v>10.48</v>
      </c>
    </row>
    <row r="4131" spans="1:7" x14ac:dyDescent="0.25">
      <c r="A4131" s="101">
        <v>36011</v>
      </c>
      <c r="B4131" s="9">
        <v>88.62</v>
      </c>
      <c r="C4131" s="9">
        <v>89.75</v>
      </c>
      <c r="D4131" s="9">
        <v>85</v>
      </c>
      <c r="E4131" s="9">
        <v>85.12</v>
      </c>
      <c r="F4131" s="9">
        <v>42092800</v>
      </c>
      <c r="G4131" s="9">
        <v>10.64</v>
      </c>
    </row>
    <row r="4132" spans="1:7" x14ac:dyDescent="0.25">
      <c r="A4132" s="101">
        <v>36010</v>
      </c>
      <c r="B4132" s="9">
        <v>90</v>
      </c>
      <c r="C4132" s="9">
        <v>90.5</v>
      </c>
      <c r="D4132" s="9">
        <v>86.12</v>
      </c>
      <c r="E4132" s="9">
        <v>86.44</v>
      </c>
      <c r="F4132" s="9">
        <v>34780000</v>
      </c>
      <c r="G4132" s="9">
        <v>10.8</v>
      </c>
    </row>
    <row r="4133" spans="1:7" x14ac:dyDescent="0.25">
      <c r="A4133" s="101">
        <v>36007</v>
      </c>
      <c r="B4133" s="9">
        <v>183.75</v>
      </c>
      <c r="C4133" s="9">
        <v>185</v>
      </c>
      <c r="D4133" s="9">
        <v>178.5</v>
      </c>
      <c r="E4133" s="9">
        <v>181.94</v>
      </c>
      <c r="F4133" s="9">
        <v>63755200</v>
      </c>
      <c r="G4133" s="9">
        <v>11.37</v>
      </c>
    </row>
    <row r="4134" spans="1:7" x14ac:dyDescent="0.25">
      <c r="A4134" s="101">
        <v>36006</v>
      </c>
      <c r="B4134" s="9">
        <v>177.38</v>
      </c>
      <c r="C4134" s="9">
        <v>185.38</v>
      </c>
      <c r="D4134" s="9">
        <v>170.5</v>
      </c>
      <c r="E4134" s="9">
        <v>182.69</v>
      </c>
      <c r="F4134" s="9">
        <v>96512000</v>
      </c>
      <c r="G4134" s="9">
        <v>11.42</v>
      </c>
    </row>
    <row r="4135" spans="1:7" x14ac:dyDescent="0.25">
      <c r="A4135" s="101">
        <v>36005</v>
      </c>
      <c r="B4135" s="9">
        <v>185.75</v>
      </c>
      <c r="C4135" s="9">
        <v>186.62</v>
      </c>
      <c r="D4135" s="9">
        <v>173.25</v>
      </c>
      <c r="E4135" s="9">
        <v>173.56</v>
      </c>
      <c r="F4135" s="9">
        <v>66641600</v>
      </c>
      <c r="G4135" s="9">
        <v>10.85</v>
      </c>
    </row>
    <row r="4136" spans="1:7" x14ac:dyDescent="0.25">
      <c r="A4136" s="101">
        <v>36004</v>
      </c>
      <c r="B4136" s="9">
        <v>188.5</v>
      </c>
      <c r="C4136" s="9">
        <v>190.5</v>
      </c>
      <c r="D4136" s="9">
        <v>182.25</v>
      </c>
      <c r="E4136" s="9">
        <v>183.25</v>
      </c>
      <c r="F4136" s="9">
        <v>61753600</v>
      </c>
      <c r="G4136" s="9">
        <v>11.45</v>
      </c>
    </row>
    <row r="4137" spans="1:7" x14ac:dyDescent="0.25">
      <c r="A4137" s="101">
        <v>36003</v>
      </c>
      <c r="B4137" s="9">
        <v>178.75</v>
      </c>
      <c r="C4137" s="9">
        <v>189.5</v>
      </c>
      <c r="D4137" s="9">
        <v>174</v>
      </c>
      <c r="E4137" s="9">
        <v>189.19</v>
      </c>
      <c r="F4137" s="9">
        <v>83516800</v>
      </c>
      <c r="G4137" s="9">
        <v>11.82</v>
      </c>
    </row>
    <row r="4138" spans="1:7" x14ac:dyDescent="0.25">
      <c r="A4138" s="101">
        <v>36000</v>
      </c>
      <c r="B4138" s="9">
        <v>191.5</v>
      </c>
      <c r="C4138" s="9">
        <v>193</v>
      </c>
      <c r="D4138" s="9">
        <v>177.62</v>
      </c>
      <c r="E4138" s="9">
        <v>182.12</v>
      </c>
      <c r="F4138" s="9">
        <v>87747200</v>
      </c>
      <c r="G4138" s="9">
        <v>11.38</v>
      </c>
    </row>
    <row r="4139" spans="1:7" x14ac:dyDescent="0.25">
      <c r="A4139" s="101">
        <v>35999</v>
      </c>
      <c r="B4139" s="9">
        <v>194.12</v>
      </c>
      <c r="C4139" s="9">
        <v>198.75</v>
      </c>
      <c r="D4139" s="9">
        <v>188.75</v>
      </c>
      <c r="E4139" s="9">
        <v>189.38</v>
      </c>
      <c r="F4139" s="9">
        <v>43572800</v>
      </c>
      <c r="G4139" s="9">
        <v>11.84</v>
      </c>
    </row>
    <row r="4140" spans="1:7" x14ac:dyDescent="0.25">
      <c r="A4140" s="101">
        <v>35998</v>
      </c>
      <c r="B4140" s="9">
        <v>190</v>
      </c>
      <c r="C4140" s="9">
        <v>196.62</v>
      </c>
      <c r="D4140" s="9">
        <v>188.5</v>
      </c>
      <c r="E4140" s="9">
        <v>193.75</v>
      </c>
      <c r="F4140" s="9">
        <v>68036800</v>
      </c>
      <c r="G4140" s="9">
        <v>12.11</v>
      </c>
    </row>
    <row r="4141" spans="1:7" x14ac:dyDescent="0.25">
      <c r="A4141" s="101">
        <v>35997</v>
      </c>
      <c r="B4141" s="9">
        <v>196.62</v>
      </c>
      <c r="C4141" s="9">
        <v>207.44</v>
      </c>
      <c r="D4141" s="9">
        <v>187.44</v>
      </c>
      <c r="E4141" s="9">
        <v>189</v>
      </c>
      <c r="F4141" s="9">
        <v>115219200</v>
      </c>
      <c r="G4141" s="9">
        <v>11.81</v>
      </c>
    </row>
    <row r="4142" spans="1:7" x14ac:dyDescent="0.25">
      <c r="A4142" s="101">
        <v>35996</v>
      </c>
      <c r="B4142" s="9">
        <v>186.5</v>
      </c>
      <c r="C4142" s="9">
        <v>197.25</v>
      </c>
      <c r="D4142" s="9">
        <v>184.75</v>
      </c>
      <c r="E4142" s="9">
        <v>196.31</v>
      </c>
      <c r="F4142" s="9">
        <v>63902400</v>
      </c>
      <c r="G4142" s="9">
        <v>12.27</v>
      </c>
    </row>
    <row r="4143" spans="1:7" x14ac:dyDescent="0.25">
      <c r="A4143" s="101">
        <v>35993</v>
      </c>
      <c r="B4143" s="9">
        <v>185.75</v>
      </c>
      <c r="C4143" s="9">
        <v>189.38</v>
      </c>
      <c r="D4143" s="9">
        <v>182.62</v>
      </c>
      <c r="E4143" s="9">
        <v>185.75</v>
      </c>
      <c r="F4143" s="9">
        <v>46369600</v>
      </c>
      <c r="G4143" s="9">
        <v>11.61</v>
      </c>
    </row>
    <row r="4144" spans="1:7" x14ac:dyDescent="0.25">
      <c r="A4144" s="101">
        <v>35992</v>
      </c>
      <c r="B4144" s="9">
        <v>182.38</v>
      </c>
      <c r="C4144" s="9">
        <v>187.5</v>
      </c>
      <c r="D4144" s="9">
        <v>179.62</v>
      </c>
      <c r="E4144" s="9">
        <v>186.69</v>
      </c>
      <c r="F4144" s="9">
        <v>51748800</v>
      </c>
      <c r="G4144" s="9">
        <v>11.67</v>
      </c>
    </row>
    <row r="4145" spans="1:7" x14ac:dyDescent="0.25">
      <c r="A4145" s="101">
        <v>35991</v>
      </c>
      <c r="B4145" s="9">
        <v>187.38</v>
      </c>
      <c r="C4145" s="9">
        <v>187.38</v>
      </c>
      <c r="D4145" s="9">
        <v>181.12</v>
      </c>
      <c r="E4145" s="9">
        <v>181.75</v>
      </c>
      <c r="F4145" s="9">
        <v>36636800</v>
      </c>
      <c r="G4145" s="9">
        <v>11.36</v>
      </c>
    </row>
    <row r="4146" spans="1:7" x14ac:dyDescent="0.25">
      <c r="A4146" s="101">
        <v>35990</v>
      </c>
      <c r="B4146" s="9">
        <v>188.75</v>
      </c>
      <c r="C4146" s="9">
        <v>191.38</v>
      </c>
      <c r="D4146" s="9">
        <v>184</v>
      </c>
      <c r="E4146" s="9">
        <v>186.5</v>
      </c>
      <c r="F4146" s="9">
        <v>59248000</v>
      </c>
      <c r="G4146" s="9">
        <v>11.66</v>
      </c>
    </row>
    <row r="4147" spans="1:7" x14ac:dyDescent="0.25">
      <c r="A4147" s="101">
        <v>35989</v>
      </c>
      <c r="B4147" s="9">
        <v>177.62</v>
      </c>
      <c r="C4147" s="9">
        <v>188.62</v>
      </c>
      <c r="D4147" s="9">
        <v>177</v>
      </c>
      <c r="E4147" s="9">
        <v>188.38</v>
      </c>
      <c r="F4147" s="9">
        <v>85763200</v>
      </c>
      <c r="G4147" s="9">
        <v>11.77</v>
      </c>
    </row>
    <row r="4148" spans="1:7" x14ac:dyDescent="0.25">
      <c r="A4148" s="101">
        <v>35986</v>
      </c>
      <c r="B4148" s="9">
        <v>181.38</v>
      </c>
      <c r="C4148" s="9">
        <v>186.12</v>
      </c>
      <c r="D4148" s="9">
        <v>177.62</v>
      </c>
      <c r="E4148" s="9">
        <v>182.5</v>
      </c>
      <c r="F4148" s="9">
        <v>112896000</v>
      </c>
      <c r="G4148" s="9">
        <v>11.41</v>
      </c>
    </row>
    <row r="4149" spans="1:7" x14ac:dyDescent="0.25">
      <c r="A4149" s="101">
        <v>35985</v>
      </c>
      <c r="B4149" s="9">
        <v>199.75</v>
      </c>
      <c r="C4149" s="9">
        <v>204</v>
      </c>
      <c r="D4149" s="9">
        <v>184</v>
      </c>
      <c r="E4149" s="9">
        <v>184</v>
      </c>
      <c r="F4149" s="9">
        <v>207491200</v>
      </c>
      <c r="G4149" s="9">
        <v>11.5</v>
      </c>
    </row>
    <row r="4150" spans="1:7" x14ac:dyDescent="0.25">
      <c r="A4150" s="101">
        <v>35984</v>
      </c>
      <c r="B4150" s="9">
        <v>185</v>
      </c>
      <c r="C4150" s="9">
        <v>198.5</v>
      </c>
      <c r="D4150" s="9">
        <v>175</v>
      </c>
      <c r="E4150" s="9">
        <v>186.19</v>
      </c>
      <c r="F4150" s="9">
        <v>224849600</v>
      </c>
      <c r="G4150" s="9">
        <v>11.64</v>
      </c>
    </row>
    <row r="4151" spans="1:7" x14ac:dyDescent="0.25">
      <c r="A4151" s="101">
        <v>35983</v>
      </c>
      <c r="B4151" s="9">
        <v>206.75</v>
      </c>
      <c r="C4151" s="9">
        <v>207.5</v>
      </c>
      <c r="D4151" s="9">
        <v>190</v>
      </c>
      <c r="E4151" s="9">
        <v>191</v>
      </c>
      <c r="F4151" s="9">
        <v>198368000</v>
      </c>
      <c r="G4151" s="9">
        <v>11.94</v>
      </c>
    </row>
    <row r="4152" spans="1:7" x14ac:dyDescent="0.25">
      <c r="A4152" s="101">
        <v>35982</v>
      </c>
      <c r="B4152" s="9">
        <v>178.88</v>
      </c>
      <c r="C4152" s="9">
        <v>200</v>
      </c>
      <c r="D4152" s="9">
        <v>176.94</v>
      </c>
      <c r="E4152" s="9">
        <v>199.25</v>
      </c>
      <c r="F4152" s="9">
        <v>216720000</v>
      </c>
      <c r="G4152" s="9">
        <v>12.45</v>
      </c>
    </row>
    <row r="4153" spans="1:7" x14ac:dyDescent="0.25">
      <c r="A4153" s="101">
        <v>35978</v>
      </c>
      <c r="B4153" s="9">
        <v>173.5</v>
      </c>
      <c r="C4153" s="9">
        <v>179.5</v>
      </c>
      <c r="D4153" s="9">
        <v>166</v>
      </c>
      <c r="E4153" s="9">
        <v>172.88</v>
      </c>
      <c r="F4153" s="9">
        <v>119217600</v>
      </c>
      <c r="G4153" s="9">
        <v>10.8</v>
      </c>
    </row>
    <row r="4154" spans="1:7" x14ac:dyDescent="0.25">
      <c r="A4154" s="101">
        <v>35977</v>
      </c>
      <c r="B4154" s="9">
        <v>160.12</v>
      </c>
      <c r="C4154" s="9">
        <v>170</v>
      </c>
      <c r="D4154" s="9">
        <v>160</v>
      </c>
      <c r="E4154" s="9">
        <v>169.88</v>
      </c>
      <c r="F4154" s="9">
        <v>73984000</v>
      </c>
      <c r="G4154" s="9">
        <v>10.62</v>
      </c>
    </row>
    <row r="4155" spans="1:7" x14ac:dyDescent="0.25">
      <c r="A4155" s="101">
        <v>35976</v>
      </c>
      <c r="B4155" s="9">
        <v>154.75</v>
      </c>
      <c r="C4155" s="9">
        <v>159.75</v>
      </c>
      <c r="D4155" s="9">
        <v>153.62</v>
      </c>
      <c r="E4155" s="9">
        <v>157.5</v>
      </c>
      <c r="F4155" s="9">
        <v>63260800</v>
      </c>
      <c r="G4155" s="9">
        <v>9.84</v>
      </c>
    </row>
    <row r="4156" spans="1:7" x14ac:dyDescent="0.25">
      <c r="A4156" s="101">
        <v>35975</v>
      </c>
      <c r="B4156" s="9">
        <v>149.5</v>
      </c>
      <c r="C4156" s="9">
        <v>154.75</v>
      </c>
      <c r="D4156" s="9">
        <v>149.38</v>
      </c>
      <c r="E4156" s="9">
        <v>154.44</v>
      </c>
      <c r="F4156" s="9">
        <v>51121600</v>
      </c>
      <c r="G4156" s="9">
        <v>9.65</v>
      </c>
    </row>
    <row r="4157" spans="1:7" x14ac:dyDescent="0.25">
      <c r="A4157" s="101">
        <v>35972</v>
      </c>
      <c r="B4157" s="9">
        <v>150.75</v>
      </c>
      <c r="C4157" s="9">
        <v>153.62</v>
      </c>
      <c r="D4157" s="9">
        <v>146.5</v>
      </c>
      <c r="E4157" s="9">
        <v>148.69</v>
      </c>
      <c r="F4157" s="9">
        <v>67873600</v>
      </c>
      <c r="G4157" s="9">
        <v>9.2899999999999991</v>
      </c>
    </row>
    <row r="4158" spans="1:7" x14ac:dyDescent="0.25">
      <c r="A4158" s="101">
        <v>35971</v>
      </c>
      <c r="B4158" s="9">
        <v>148.5</v>
      </c>
      <c r="C4158" s="9">
        <v>156.25</v>
      </c>
      <c r="D4158" s="9">
        <v>147</v>
      </c>
      <c r="E4158" s="9">
        <v>152.25</v>
      </c>
      <c r="F4158" s="9">
        <v>99208000</v>
      </c>
      <c r="G4158" s="9">
        <v>9.52</v>
      </c>
    </row>
    <row r="4159" spans="1:7" x14ac:dyDescent="0.25">
      <c r="A4159" s="101">
        <v>35970</v>
      </c>
      <c r="B4159" s="9">
        <v>148.94</v>
      </c>
      <c r="C4159" s="9">
        <v>152</v>
      </c>
      <c r="D4159" s="9">
        <v>143</v>
      </c>
      <c r="E4159" s="9">
        <v>148.75</v>
      </c>
      <c r="F4159" s="9">
        <v>96169600</v>
      </c>
      <c r="G4159" s="9">
        <v>9.3000000000000007</v>
      </c>
    </row>
    <row r="4160" spans="1:7" x14ac:dyDescent="0.25">
      <c r="A4160" s="101">
        <v>35969</v>
      </c>
      <c r="B4160" s="9">
        <v>139.25</v>
      </c>
      <c r="C4160" s="9">
        <v>150.38</v>
      </c>
      <c r="D4160" s="9">
        <v>138</v>
      </c>
      <c r="E4160" s="9">
        <v>148.06</v>
      </c>
      <c r="F4160" s="9">
        <v>122494400</v>
      </c>
      <c r="G4160" s="9">
        <v>9.25</v>
      </c>
    </row>
    <row r="4161" spans="1:7" x14ac:dyDescent="0.25">
      <c r="A4161" s="101">
        <v>35968</v>
      </c>
      <c r="B4161" s="9">
        <v>129</v>
      </c>
      <c r="C4161" s="9">
        <v>140.38</v>
      </c>
      <c r="D4161" s="9">
        <v>128.5</v>
      </c>
      <c r="E4161" s="9">
        <v>139.56</v>
      </c>
      <c r="F4161" s="9">
        <v>81326400</v>
      </c>
      <c r="G4161" s="9">
        <v>8.7200000000000006</v>
      </c>
    </row>
    <row r="4162" spans="1:7" x14ac:dyDescent="0.25">
      <c r="A4162" s="101">
        <v>35965</v>
      </c>
      <c r="B4162" s="9">
        <v>127.12</v>
      </c>
      <c r="C4162" s="9">
        <v>130.5</v>
      </c>
      <c r="D4162" s="9">
        <v>124.75</v>
      </c>
      <c r="E4162" s="9">
        <v>129.25</v>
      </c>
      <c r="F4162" s="9">
        <v>59110400</v>
      </c>
      <c r="G4162" s="9">
        <v>8.08</v>
      </c>
    </row>
    <row r="4163" spans="1:7" x14ac:dyDescent="0.25">
      <c r="A4163" s="101">
        <v>35964</v>
      </c>
      <c r="B4163" s="9">
        <v>132.75</v>
      </c>
      <c r="C4163" s="9">
        <v>136.38</v>
      </c>
      <c r="D4163" s="9">
        <v>127.62</v>
      </c>
      <c r="E4163" s="9">
        <v>127.75</v>
      </c>
      <c r="F4163" s="9">
        <v>81768000</v>
      </c>
      <c r="G4163" s="9">
        <v>7.98</v>
      </c>
    </row>
    <row r="4164" spans="1:7" x14ac:dyDescent="0.25">
      <c r="A4164" s="101">
        <v>35963</v>
      </c>
      <c r="B4164" s="9">
        <v>124.62</v>
      </c>
      <c r="C4164" s="9">
        <v>131.62</v>
      </c>
      <c r="D4164" s="9">
        <v>124.25</v>
      </c>
      <c r="E4164" s="9">
        <v>130.62</v>
      </c>
      <c r="F4164" s="9">
        <v>130657600</v>
      </c>
      <c r="G4164" s="9">
        <v>8.16</v>
      </c>
    </row>
    <row r="4165" spans="1:7" x14ac:dyDescent="0.25">
      <c r="A4165" s="101">
        <v>35962</v>
      </c>
      <c r="B4165" s="9">
        <v>116.38</v>
      </c>
      <c r="C4165" s="9">
        <v>122.38</v>
      </c>
      <c r="D4165" s="9">
        <v>114.5</v>
      </c>
      <c r="E4165" s="9">
        <v>121.94</v>
      </c>
      <c r="F4165" s="9">
        <v>63780800</v>
      </c>
      <c r="G4165" s="9">
        <v>7.62</v>
      </c>
    </row>
    <row r="4166" spans="1:7" x14ac:dyDescent="0.25">
      <c r="A4166" s="101">
        <v>35961</v>
      </c>
      <c r="B4166" s="9">
        <v>111.88</v>
      </c>
      <c r="C4166" s="9">
        <v>116.38</v>
      </c>
      <c r="D4166" s="9">
        <v>111.5</v>
      </c>
      <c r="E4166" s="9">
        <v>115.25</v>
      </c>
      <c r="F4166" s="9">
        <v>53963200</v>
      </c>
      <c r="G4166" s="9">
        <v>7.2</v>
      </c>
    </row>
    <row r="4167" spans="1:7" x14ac:dyDescent="0.25">
      <c r="A4167" s="101">
        <v>35958</v>
      </c>
      <c r="B4167" s="9">
        <v>116</v>
      </c>
      <c r="C4167" s="9">
        <v>116</v>
      </c>
      <c r="D4167" s="9">
        <v>111</v>
      </c>
      <c r="E4167" s="9">
        <v>113.81</v>
      </c>
      <c r="F4167" s="9">
        <v>48417600</v>
      </c>
      <c r="G4167" s="9">
        <v>7.11</v>
      </c>
    </row>
    <row r="4168" spans="1:7" x14ac:dyDescent="0.25">
      <c r="A4168" s="101">
        <v>35957</v>
      </c>
      <c r="B4168" s="9">
        <v>115.12</v>
      </c>
      <c r="C4168" s="9">
        <v>116.75</v>
      </c>
      <c r="D4168" s="9">
        <v>113.44</v>
      </c>
      <c r="E4168" s="9">
        <v>115.25</v>
      </c>
      <c r="F4168" s="9">
        <v>51329600</v>
      </c>
      <c r="G4168" s="9">
        <v>7.2</v>
      </c>
    </row>
    <row r="4169" spans="1:7" x14ac:dyDescent="0.25">
      <c r="A4169" s="101">
        <v>35956</v>
      </c>
      <c r="B4169" s="9">
        <v>117</v>
      </c>
      <c r="C4169" s="9">
        <v>119.25</v>
      </c>
      <c r="D4169" s="9">
        <v>114.38</v>
      </c>
      <c r="E4169" s="9">
        <v>114.44</v>
      </c>
      <c r="F4169" s="9">
        <v>69064000</v>
      </c>
      <c r="G4169" s="9">
        <v>7.15</v>
      </c>
    </row>
    <row r="4170" spans="1:7" x14ac:dyDescent="0.25">
      <c r="A4170" s="101">
        <v>35955</v>
      </c>
      <c r="B4170" s="9">
        <v>111.06</v>
      </c>
      <c r="C4170" s="9">
        <v>118.5</v>
      </c>
      <c r="D4170" s="9">
        <v>109.75</v>
      </c>
      <c r="E4170" s="9">
        <v>117.88</v>
      </c>
      <c r="F4170" s="9">
        <v>95710400</v>
      </c>
      <c r="G4170" s="9">
        <v>7.37</v>
      </c>
    </row>
    <row r="4171" spans="1:7" x14ac:dyDescent="0.25">
      <c r="A4171" s="101">
        <v>35954</v>
      </c>
      <c r="B4171" s="9">
        <v>105</v>
      </c>
      <c r="C4171" s="9">
        <v>109.5</v>
      </c>
      <c r="D4171" s="9">
        <v>104.88</v>
      </c>
      <c r="E4171" s="9">
        <v>109.38</v>
      </c>
      <c r="F4171" s="9">
        <v>33300800</v>
      </c>
      <c r="G4171" s="9">
        <v>6.84</v>
      </c>
    </row>
    <row r="4172" spans="1:7" x14ac:dyDescent="0.25">
      <c r="A4172" s="101">
        <v>35951</v>
      </c>
      <c r="B4172" s="9">
        <v>102.5</v>
      </c>
      <c r="C4172" s="9">
        <v>106</v>
      </c>
      <c r="D4172" s="9">
        <v>101.5</v>
      </c>
      <c r="E4172" s="9">
        <v>105</v>
      </c>
      <c r="F4172" s="9">
        <v>37105600</v>
      </c>
      <c r="G4172" s="9">
        <v>6.56</v>
      </c>
    </row>
    <row r="4173" spans="1:7" x14ac:dyDescent="0.25">
      <c r="A4173" s="101">
        <v>35950</v>
      </c>
      <c r="B4173" s="9">
        <v>102</v>
      </c>
      <c r="C4173" s="9">
        <v>104.12</v>
      </c>
      <c r="D4173" s="9">
        <v>100.5</v>
      </c>
      <c r="E4173" s="9">
        <v>102.62</v>
      </c>
      <c r="F4173" s="9">
        <v>49841600</v>
      </c>
      <c r="G4173" s="9">
        <v>6.41</v>
      </c>
    </row>
    <row r="4174" spans="1:7" x14ac:dyDescent="0.25">
      <c r="A4174" s="101">
        <v>35949</v>
      </c>
      <c r="B4174" s="9">
        <v>105.75</v>
      </c>
      <c r="C4174" s="9">
        <v>105.75</v>
      </c>
      <c r="D4174" s="9">
        <v>101.62</v>
      </c>
      <c r="E4174" s="9">
        <v>102</v>
      </c>
      <c r="F4174" s="9">
        <v>71544000</v>
      </c>
      <c r="G4174" s="9">
        <v>6.38</v>
      </c>
    </row>
    <row r="4175" spans="1:7" x14ac:dyDescent="0.25">
      <c r="A4175" s="101">
        <v>35948</v>
      </c>
      <c r="B4175" s="9">
        <v>105</v>
      </c>
      <c r="C4175" s="9">
        <v>105.75</v>
      </c>
      <c r="D4175" s="9">
        <v>99.12</v>
      </c>
      <c r="E4175" s="9">
        <v>104.81</v>
      </c>
      <c r="F4175" s="9">
        <v>114208000</v>
      </c>
      <c r="G4175" s="9">
        <v>6.55</v>
      </c>
    </row>
    <row r="4176" spans="1:7" x14ac:dyDescent="0.25">
      <c r="A4176" s="101">
        <v>35947</v>
      </c>
      <c r="B4176" s="9">
        <v>108.25</v>
      </c>
      <c r="C4176" s="9">
        <v>109.25</v>
      </c>
      <c r="D4176" s="9">
        <v>101.5</v>
      </c>
      <c r="E4176" s="9">
        <v>104.38</v>
      </c>
      <c r="F4176" s="9">
        <v>72801600</v>
      </c>
      <c r="G4176" s="9">
        <v>6.52</v>
      </c>
    </row>
    <row r="4177" spans="1:7" x14ac:dyDescent="0.25">
      <c r="A4177" s="101">
        <v>35944</v>
      </c>
      <c r="B4177" s="9">
        <v>110.5</v>
      </c>
      <c r="C4177" s="9">
        <v>112</v>
      </c>
      <c r="D4177" s="9">
        <v>108.69</v>
      </c>
      <c r="E4177" s="9">
        <v>109.5</v>
      </c>
      <c r="F4177" s="9">
        <v>36216000</v>
      </c>
      <c r="G4177" s="9">
        <v>6.84</v>
      </c>
    </row>
    <row r="4178" spans="1:7" x14ac:dyDescent="0.25">
      <c r="A4178" s="101">
        <v>35943</v>
      </c>
      <c r="B4178" s="9">
        <v>114.12</v>
      </c>
      <c r="C4178" s="9">
        <v>115</v>
      </c>
      <c r="D4178" s="9">
        <v>109.88</v>
      </c>
      <c r="E4178" s="9">
        <v>110</v>
      </c>
      <c r="F4178" s="9">
        <v>47590400</v>
      </c>
      <c r="G4178" s="9">
        <v>6.88</v>
      </c>
    </row>
    <row r="4179" spans="1:7" x14ac:dyDescent="0.25">
      <c r="A4179" s="101">
        <v>35942</v>
      </c>
      <c r="B4179" s="9">
        <v>106.5</v>
      </c>
      <c r="C4179" s="9">
        <v>115.25</v>
      </c>
      <c r="D4179" s="9">
        <v>106.38</v>
      </c>
      <c r="E4179" s="9">
        <v>115.12</v>
      </c>
      <c r="F4179" s="9">
        <v>103491200</v>
      </c>
      <c r="G4179" s="9">
        <v>7.2</v>
      </c>
    </row>
    <row r="4180" spans="1:7" x14ac:dyDescent="0.25">
      <c r="A4180" s="101">
        <v>35941</v>
      </c>
      <c r="B4180" s="9">
        <v>115.12</v>
      </c>
      <c r="C4180" s="9">
        <v>115.5</v>
      </c>
      <c r="D4180" s="9">
        <v>108.12</v>
      </c>
      <c r="E4180" s="9">
        <v>108.25</v>
      </c>
      <c r="F4180" s="9">
        <v>46486400</v>
      </c>
      <c r="G4180" s="9">
        <v>6.77</v>
      </c>
    </row>
    <row r="4181" spans="1:7" x14ac:dyDescent="0.25">
      <c r="A4181" s="101">
        <v>35937</v>
      </c>
      <c r="B4181" s="9">
        <v>116.38</v>
      </c>
      <c r="C4181" s="9">
        <v>116.75</v>
      </c>
      <c r="D4181" s="9">
        <v>113</v>
      </c>
      <c r="E4181" s="9">
        <v>114.38</v>
      </c>
      <c r="F4181" s="9">
        <v>15713600</v>
      </c>
      <c r="G4181" s="9">
        <v>7.15</v>
      </c>
    </row>
    <row r="4182" spans="1:7" x14ac:dyDescent="0.25">
      <c r="A4182" s="101">
        <v>35936</v>
      </c>
      <c r="B4182" s="9">
        <v>118.5</v>
      </c>
      <c r="C4182" s="9">
        <v>118.5</v>
      </c>
      <c r="D4182" s="9">
        <v>115.75</v>
      </c>
      <c r="E4182" s="9">
        <v>117</v>
      </c>
      <c r="F4182" s="9">
        <v>18348800</v>
      </c>
      <c r="G4182" s="9">
        <v>7.31</v>
      </c>
    </row>
    <row r="4183" spans="1:7" x14ac:dyDescent="0.25">
      <c r="A4183" s="101">
        <v>35935</v>
      </c>
      <c r="B4183" s="9">
        <v>119.38</v>
      </c>
      <c r="C4183" s="9">
        <v>119.38</v>
      </c>
      <c r="D4183" s="9">
        <v>115.75</v>
      </c>
      <c r="E4183" s="9">
        <v>116.88</v>
      </c>
      <c r="F4183" s="9">
        <v>15969600</v>
      </c>
      <c r="G4183" s="9">
        <v>7.3</v>
      </c>
    </row>
    <row r="4184" spans="1:7" x14ac:dyDescent="0.25">
      <c r="A4184" s="101">
        <v>35934</v>
      </c>
      <c r="B4184" s="9">
        <v>117.75</v>
      </c>
      <c r="C4184" s="9">
        <v>119.75</v>
      </c>
      <c r="D4184" s="9">
        <v>116.75</v>
      </c>
      <c r="E4184" s="9">
        <v>118.16</v>
      </c>
      <c r="F4184" s="9">
        <v>23678400</v>
      </c>
      <c r="G4184" s="9">
        <v>7.38</v>
      </c>
    </row>
    <row r="4185" spans="1:7" x14ac:dyDescent="0.25">
      <c r="A4185" s="101">
        <v>35933</v>
      </c>
      <c r="B4185" s="9">
        <v>118.88</v>
      </c>
      <c r="C4185" s="9">
        <v>119.44</v>
      </c>
      <c r="D4185" s="9">
        <v>114.19</v>
      </c>
      <c r="E4185" s="9">
        <v>116.56</v>
      </c>
      <c r="F4185" s="9">
        <v>33620800</v>
      </c>
      <c r="G4185" s="9">
        <v>7.29</v>
      </c>
    </row>
    <row r="4186" spans="1:7" x14ac:dyDescent="0.25">
      <c r="A4186" s="101">
        <v>35930</v>
      </c>
      <c r="B4186" s="9">
        <v>122</v>
      </c>
      <c r="C4186" s="9">
        <v>123</v>
      </c>
      <c r="D4186" s="9">
        <v>117.75</v>
      </c>
      <c r="E4186" s="9">
        <v>118.06</v>
      </c>
      <c r="F4186" s="9">
        <v>25552000</v>
      </c>
      <c r="G4186" s="9">
        <v>7.38</v>
      </c>
    </row>
    <row r="4187" spans="1:7" x14ac:dyDescent="0.25">
      <c r="A4187" s="101">
        <v>35929</v>
      </c>
      <c r="B4187" s="9">
        <v>123.06</v>
      </c>
      <c r="C4187" s="9">
        <v>126.38</v>
      </c>
      <c r="D4187" s="9">
        <v>120.25</v>
      </c>
      <c r="E4187" s="9">
        <v>120.25</v>
      </c>
      <c r="F4187" s="9">
        <v>57985600</v>
      </c>
      <c r="G4187" s="9">
        <v>7.52</v>
      </c>
    </row>
    <row r="4188" spans="1:7" x14ac:dyDescent="0.25">
      <c r="A4188" s="101">
        <v>35928</v>
      </c>
      <c r="B4188" s="9">
        <v>116</v>
      </c>
      <c r="C4188" s="9">
        <v>124.06</v>
      </c>
      <c r="D4188" s="9">
        <v>115.25</v>
      </c>
      <c r="E4188" s="9">
        <v>124</v>
      </c>
      <c r="F4188" s="9">
        <v>60171200</v>
      </c>
      <c r="G4188" s="9">
        <v>7.75</v>
      </c>
    </row>
    <row r="4189" spans="1:7" x14ac:dyDescent="0.25">
      <c r="A4189" s="101">
        <v>35927</v>
      </c>
      <c r="B4189" s="9">
        <v>113.5</v>
      </c>
      <c r="C4189" s="9">
        <v>116.5</v>
      </c>
      <c r="D4189" s="9">
        <v>112.56</v>
      </c>
      <c r="E4189" s="9">
        <v>115.69</v>
      </c>
      <c r="F4189" s="9">
        <v>33731200</v>
      </c>
      <c r="G4189" s="9">
        <v>7.23</v>
      </c>
    </row>
    <row r="4190" spans="1:7" x14ac:dyDescent="0.25">
      <c r="A4190" s="101">
        <v>35926</v>
      </c>
      <c r="B4190" s="9">
        <v>118.62</v>
      </c>
      <c r="C4190" s="9">
        <v>118.88</v>
      </c>
      <c r="D4190" s="9">
        <v>114</v>
      </c>
      <c r="E4190" s="9">
        <v>114.19</v>
      </c>
      <c r="F4190" s="9">
        <v>27179200</v>
      </c>
      <c r="G4190" s="9">
        <v>7.14</v>
      </c>
    </row>
    <row r="4191" spans="1:7" x14ac:dyDescent="0.25">
      <c r="A4191" s="101">
        <v>35923</v>
      </c>
      <c r="B4191" s="9">
        <v>114.75</v>
      </c>
      <c r="C4191" s="9">
        <v>117.75</v>
      </c>
      <c r="D4191" s="9">
        <v>113.69</v>
      </c>
      <c r="E4191" s="9">
        <v>117.75</v>
      </c>
      <c r="F4191" s="9">
        <v>26433600</v>
      </c>
      <c r="G4191" s="9">
        <v>7.36</v>
      </c>
    </row>
    <row r="4192" spans="1:7" x14ac:dyDescent="0.25">
      <c r="A4192" s="101">
        <v>35922</v>
      </c>
      <c r="B4192" s="9">
        <v>115</v>
      </c>
      <c r="C4192" s="9">
        <v>118.38</v>
      </c>
      <c r="D4192" s="9">
        <v>114.5</v>
      </c>
      <c r="E4192" s="9">
        <v>115.19</v>
      </c>
      <c r="F4192" s="9">
        <v>26564800</v>
      </c>
      <c r="G4192" s="9">
        <v>7.2</v>
      </c>
    </row>
    <row r="4193" spans="1:7" x14ac:dyDescent="0.25">
      <c r="A4193" s="101">
        <v>35921</v>
      </c>
      <c r="B4193" s="9">
        <v>117.12</v>
      </c>
      <c r="C4193" s="9">
        <v>117.25</v>
      </c>
      <c r="D4193" s="9">
        <v>114.25</v>
      </c>
      <c r="E4193" s="9">
        <v>115.06</v>
      </c>
      <c r="F4193" s="9">
        <v>22596800</v>
      </c>
      <c r="G4193" s="9">
        <v>7.19</v>
      </c>
    </row>
    <row r="4194" spans="1:7" x14ac:dyDescent="0.25">
      <c r="A4194" s="101">
        <v>35920</v>
      </c>
      <c r="B4194" s="9">
        <v>118.38</v>
      </c>
      <c r="C4194" s="9">
        <v>120.38</v>
      </c>
      <c r="D4194" s="9">
        <v>116.5</v>
      </c>
      <c r="E4194" s="9">
        <v>116.75</v>
      </c>
      <c r="F4194" s="9">
        <v>23513600</v>
      </c>
      <c r="G4194" s="9">
        <v>7.3</v>
      </c>
    </row>
    <row r="4195" spans="1:7" x14ac:dyDescent="0.25">
      <c r="A4195" s="101">
        <v>35919</v>
      </c>
      <c r="B4195" s="9">
        <v>120.06</v>
      </c>
      <c r="C4195" s="9">
        <v>122</v>
      </c>
      <c r="D4195" s="9">
        <v>119.25</v>
      </c>
      <c r="E4195" s="9">
        <v>120.88</v>
      </c>
      <c r="F4195" s="9">
        <v>15729600</v>
      </c>
      <c r="G4195" s="9">
        <v>7.55</v>
      </c>
    </row>
    <row r="4196" spans="1:7" x14ac:dyDescent="0.25">
      <c r="A4196" s="101">
        <v>35916</v>
      </c>
      <c r="B4196" s="9">
        <v>119.38</v>
      </c>
      <c r="C4196" s="9">
        <v>119.38</v>
      </c>
      <c r="D4196" s="9">
        <v>116.75</v>
      </c>
      <c r="E4196" s="9">
        <v>118.62</v>
      </c>
      <c r="F4196" s="9">
        <v>20518400</v>
      </c>
      <c r="G4196" s="9">
        <v>7.41</v>
      </c>
    </row>
    <row r="4197" spans="1:7" x14ac:dyDescent="0.25">
      <c r="A4197" s="101">
        <v>35915</v>
      </c>
      <c r="B4197" s="9">
        <v>120.25</v>
      </c>
      <c r="C4197" s="9">
        <v>121.62</v>
      </c>
      <c r="D4197" s="9">
        <v>118</v>
      </c>
      <c r="E4197" s="9">
        <v>118.94</v>
      </c>
      <c r="F4197" s="9">
        <v>35766400</v>
      </c>
      <c r="G4197" s="9">
        <v>7.43</v>
      </c>
    </row>
    <row r="4198" spans="1:7" x14ac:dyDescent="0.25">
      <c r="A4198" s="101">
        <v>35914</v>
      </c>
      <c r="B4198" s="9">
        <v>118</v>
      </c>
      <c r="C4198" s="9">
        <v>119.5</v>
      </c>
      <c r="D4198" s="9">
        <v>116.56</v>
      </c>
      <c r="E4198" s="9">
        <v>118.25</v>
      </c>
      <c r="F4198" s="9">
        <v>38995200</v>
      </c>
      <c r="G4198" s="9">
        <v>7.39</v>
      </c>
    </row>
    <row r="4199" spans="1:7" x14ac:dyDescent="0.25">
      <c r="A4199" s="101">
        <v>35913</v>
      </c>
      <c r="B4199" s="9">
        <v>117.19</v>
      </c>
      <c r="C4199" s="9">
        <v>119.38</v>
      </c>
      <c r="D4199" s="9">
        <v>115.25</v>
      </c>
      <c r="E4199" s="9">
        <v>118.5</v>
      </c>
      <c r="F4199" s="9">
        <v>75300800</v>
      </c>
      <c r="G4199" s="9">
        <v>7.41</v>
      </c>
    </row>
    <row r="4200" spans="1:7" x14ac:dyDescent="0.25">
      <c r="A4200" s="101">
        <v>35912</v>
      </c>
      <c r="B4200" s="9">
        <v>111.62</v>
      </c>
      <c r="C4200" s="9">
        <v>112.75</v>
      </c>
      <c r="D4200" s="9">
        <v>109.31</v>
      </c>
      <c r="E4200" s="9">
        <v>112.12</v>
      </c>
      <c r="F4200" s="9">
        <v>67828800</v>
      </c>
      <c r="G4200" s="9">
        <v>7.01</v>
      </c>
    </row>
    <row r="4201" spans="1:7" x14ac:dyDescent="0.25">
      <c r="A4201" s="101">
        <v>35909</v>
      </c>
      <c r="B4201" s="9">
        <v>113.88</v>
      </c>
      <c r="C4201" s="9">
        <v>117.75</v>
      </c>
      <c r="D4201" s="9">
        <v>111.12</v>
      </c>
      <c r="E4201" s="9">
        <v>114.75</v>
      </c>
      <c r="F4201" s="9">
        <v>78507200</v>
      </c>
      <c r="G4201" s="9">
        <v>7.17</v>
      </c>
    </row>
    <row r="4202" spans="1:7" x14ac:dyDescent="0.25">
      <c r="A4202" s="101">
        <v>35908</v>
      </c>
      <c r="B4202" s="9">
        <v>115.62</v>
      </c>
      <c r="C4202" s="9">
        <v>116</v>
      </c>
      <c r="D4202" s="9">
        <v>111.06</v>
      </c>
      <c r="E4202" s="9">
        <v>112.19</v>
      </c>
      <c r="F4202" s="9">
        <v>82996800</v>
      </c>
      <c r="G4202" s="9">
        <v>7.01</v>
      </c>
    </row>
    <row r="4203" spans="1:7" x14ac:dyDescent="0.25">
      <c r="A4203" s="101">
        <v>35907</v>
      </c>
      <c r="B4203" s="9">
        <v>124.25</v>
      </c>
      <c r="C4203" s="9">
        <v>124.62</v>
      </c>
      <c r="D4203" s="9">
        <v>117.12</v>
      </c>
      <c r="E4203" s="9">
        <v>118.38</v>
      </c>
      <c r="F4203" s="9">
        <v>57531200</v>
      </c>
      <c r="G4203" s="9">
        <v>7.4</v>
      </c>
    </row>
    <row r="4204" spans="1:7" x14ac:dyDescent="0.25">
      <c r="A4204" s="101">
        <v>35906</v>
      </c>
      <c r="B4204" s="9">
        <v>126.75</v>
      </c>
      <c r="C4204" s="9">
        <v>129</v>
      </c>
      <c r="D4204" s="9">
        <v>122</v>
      </c>
      <c r="E4204" s="9">
        <v>123.28</v>
      </c>
      <c r="F4204" s="9">
        <v>51115200</v>
      </c>
      <c r="G4204" s="9">
        <v>7.71</v>
      </c>
    </row>
    <row r="4205" spans="1:7" x14ac:dyDescent="0.25">
      <c r="A4205" s="101">
        <v>35905</v>
      </c>
      <c r="B4205" s="9">
        <v>122.25</v>
      </c>
      <c r="C4205" s="9">
        <v>128.88</v>
      </c>
      <c r="D4205" s="9">
        <v>120.62</v>
      </c>
      <c r="E4205" s="9">
        <v>125.75</v>
      </c>
      <c r="F4205" s="9">
        <v>67028800</v>
      </c>
      <c r="G4205" s="9">
        <v>7.86</v>
      </c>
    </row>
    <row r="4206" spans="1:7" x14ac:dyDescent="0.25">
      <c r="A4206" s="101">
        <v>35902</v>
      </c>
      <c r="B4206" s="9">
        <v>123.62</v>
      </c>
      <c r="C4206" s="9">
        <v>125.5</v>
      </c>
      <c r="D4206" s="9">
        <v>120.12</v>
      </c>
      <c r="E4206" s="9">
        <v>121.5</v>
      </c>
      <c r="F4206" s="9">
        <v>93952000</v>
      </c>
      <c r="G4206" s="9">
        <v>7.59</v>
      </c>
    </row>
    <row r="4207" spans="1:7" x14ac:dyDescent="0.25">
      <c r="A4207" s="101">
        <v>35901</v>
      </c>
      <c r="B4207" s="9">
        <v>119</v>
      </c>
      <c r="C4207" s="9">
        <v>129.62</v>
      </c>
      <c r="D4207" s="9">
        <v>117</v>
      </c>
      <c r="E4207" s="9">
        <v>128.38999999999999</v>
      </c>
      <c r="F4207" s="9">
        <v>146963200</v>
      </c>
      <c r="G4207" s="9">
        <v>8.02</v>
      </c>
    </row>
    <row r="4208" spans="1:7" x14ac:dyDescent="0.25">
      <c r="A4208" s="101">
        <v>35900</v>
      </c>
      <c r="B4208" s="9">
        <v>116.75</v>
      </c>
      <c r="C4208" s="9">
        <v>118.62</v>
      </c>
      <c r="D4208" s="9">
        <v>115.81</v>
      </c>
      <c r="E4208" s="9">
        <v>118.19</v>
      </c>
      <c r="F4208" s="9">
        <v>40574400</v>
      </c>
      <c r="G4208" s="9">
        <v>7.39</v>
      </c>
    </row>
    <row r="4209" spans="1:7" x14ac:dyDescent="0.25">
      <c r="A4209" s="101">
        <v>35899</v>
      </c>
      <c r="B4209" s="9">
        <v>112.75</v>
      </c>
      <c r="C4209" s="9">
        <v>118.25</v>
      </c>
      <c r="D4209" s="9">
        <v>111.62</v>
      </c>
      <c r="E4209" s="9">
        <v>114.88</v>
      </c>
      <c r="F4209" s="9">
        <v>77942400</v>
      </c>
      <c r="G4209" s="9">
        <v>7.18</v>
      </c>
    </row>
    <row r="4210" spans="1:7" x14ac:dyDescent="0.25">
      <c r="A4210" s="101">
        <v>35898</v>
      </c>
      <c r="B4210" s="9">
        <v>112.5</v>
      </c>
      <c r="C4210" s="9">
        <v>116.62</v>
      </c>
      <c r="D4210" s="9">
        <v>108.81</v>
      </c>
      <c r="E4210" s="9">
        <v>113</v>
      </c>
      <c r="F4210" s="9">
        <v>114054400</v>
      </c>
      <c r="G4210" s="9">
        <v>7.06</v>
      </c>
    </row>
    <row r="4211" spans="1:7" x14ac:dyDescent="0.25">
      <c r="A4211" s="101">
        <v>35894</v>
      </c>
      <c r="B4211" s="9">
        <v>107.75</v>
      </c>
      <c r="C4211" s="9">
        <v>114.75</v>
      </c>
      <c r="D4211" s="9">
        <v>106</v>
      </c>
      <c r="E4211" s="9">
        <v>114.5</v>
      </c>
      <c r="F4211" s="9">
        <v>176787200</v>
      </c>
      <c r="G4211" s="9">
        <v>7.16</v>
      </c>
    </row>
    <row r="4212" spans="1:7" x14ac:dyDescent="0.25">
      <c r="A4212" s="101">
        <v>35893</v>
      </c>
      <c r="B4212" s="9">
        <v>94</v>
      </c>
      <c r="C4212" s="9">
        <v>98.75</v>
      </c>
      <c r="D4212" s="9">
        <v>93.88</v>
      </c>
      <c r="E4212" s="9">
        <v>97.25</v>
      </c>
      <c r="F4212" s="9">
        <v>93374400</v>
      </c>
      <c r="G4212" s="9">
        <v>6.08</v>
      </c>
    </row>
    <row r="4213" spans="1:7" x14ac:dyDescent="0.25">
      <c r="A4213" s="101">
        <v>35892</v>
      </c>
      <c r="B4213" s="9">
        <v>98.5</v>
      </c>
      <c r="C4213" s="9">
        <v>98.5</v>
      </c>
      <c r="D4213" s="9">
        <v>91.75</v>
      </c>
      <c r="E4213" s="9">
        <v>93.25</v>
      </c>
      <c r="F4213" s="9">
        <v>81860800</v>
      </c>
      <c r="G4213" s="9">
        <v>5.83</v>
      </c>
    </row>
    <row r="4214" spans="1:7" x14ac:dyDescent="0.25">
      <c r="A4214" s="101">
        <v>35891</v>
      </c>
      <c r="B4214" s="9">
        <v>103.75</v>
      </c>
      <c r="C4214" s="9">
        <v>103.75</v>
      </c>
      <c r="D4214" s="9">
        <v>98.5</v>
      </c>
      <c r="E4214" s="9">
        <v>99.06</v>
      </c>
      <c r="F4214" s="9">
        <v>47131200</v>
      </c>
      <c r="G4214" s="9">
        <v>6.19</v>
      </c>
    </row>
    <row r="4215" spans="1:7" x14ac:dyDescent="0.25">
      <c r="A4215" s="101">
        <v>35888</v>
      </c>
      <c r="B4215" s="9">
        <v>105.06</v>
      </c>
      <c r="C4215" s="9">
        <v>105.75</v>
      </c>
      <c r="D4215" s="9">
        <v>101</v>
      </c>
      <c r="E4215" s="9">
        <v>102.44</v>
      </c>
      <c r="F4215" s="9">
        <v>58545600</v>
      </c>
      <c r="G4215" s="9">
        <v>6.4</v>
      </c>
    </row>
    <row r="4216" spans="1:7" x14ac:dyDescent="0.25">
      <c r="A4216" s="101">
        <v>35887</v>
      </c>
      <c r="B4216" s="9">
        <v>99</v>
      </c>
      <c r="C4216" s="9">
        <v>104.56</v>
      </c>
      <c r="D4216" s="9">
        <v>98.5</v>
      </c>
      <c r="E4216" s="9">
        <v>103.88</v>
      </c>
      <c r="F4216" s="9">
        <v>64988800</v>
      </c>
      <c r="G4216" s="9">
        <v>6.49</v>
      </c>
    </row>
    <row r="4217" spans="1:7" x14ac:dyDescent="0.25">
      <c r="A4217" s="101">
        <v>35886</v>
      </c>
      <c r="B4217" s="9">
        <v>92.44</v>
      </c>
      <c r="C4217" s="9">
        <v>97.81</v>
      </c>
      <c r="D4217" s="9">
        <v>90.88</v>
      </c>
      <c r="E4217" s="9">
        <v>97.81</v>
      </c>
      <c r="F4217" s="9">
        <v>39004800</v>
      </c>
      <c r="G4217" s="9">
        <v>6.11</v>
      </c>
    </row>
    <row r="4218" spans="1:7" x14ac:dyDescent="0.25">
      <c r="A4218" s="101">
        <v>35885</v>
      </c>
      <c r="B4218" s="9">
        <v>94</v>
      </c>
      <c r="C4218" s="9">
        <v>94.12</v>
      </c>
      <c r="D4218" s="9">
        <v>91.75</v>
      </c>
      <c r="E4218" s="9">
        <v>92.44</v>
      </c>
      <c r="F4218" s="9">
        <v>19136000</v>
      </c>
      <c r="G4218" s="9">
        <v>5.78</v>
      </c>
    </row>
    <row r="4219" spans="1:7" x14ac:dyDescent="0.25">
      <c r="A4219" s="101">
        <v>35884</v>
      </c>
      <c r="B4219" s="9">
        <v>91.62</v>
      </c>
      <c r="C4219" s="9">
        <v>94.25</v>
      </c>
      <c r="D4219" s="9">
        <v>91.12</v>
      </c>
      <c r="E4219" s="9">
        <v>93.06</v>
      </c>
      <c r="F4219" s="9">
        <v>30766400</v>
      </c>
      <c r="G4219" s="9">
        <v>5.82</v>
      </c>
    </row>
    <row r="4220" spans="1:7" x14ac:dyDescent="0.25">
      <c r="A4220" s="101">
        <v>35881</v>
      </c>
      <c r="B4220" s="9">
        <v>90.19</v>
      </c>
      <c r="C4220" s="9">
        <v>92.19</v>
      </c>
      <c r="D4220" s="9">
        <v>88.75</v>
      </c>
      <c r="E4220" s="9">
        <v>90.62</v>
      </c>
      <c r="F4220" s="9">
        <v>28928000</v>
      </c>
      <c r="G4220" s="9">
        <v>5.66</v>
      </c>
    </row>
    <row r="4221" spans="1:7" x14ac:dyDescent="0.25">
      <c r="A4221" s="101">
        <v>35880</v>
      </c>
      <c r="B4221" s="9">
        <v>88.12</v>
      </c>
      <c r="C4221" s="9">
        <v>90.5</v>
      </c>
      <c r="D4221" s="9">
        <v>87.34</v>
      </c>
      <c r="E4221" s="9">
        <v>88.94</v>
      </c>
      <c r="F4221" s="9">
        <v>27820800</v>
      </c>
      <c r="G4221" s="9">
        <v>5.56</v>
      </c>
    </row>
    <row r="4222" spans="1:7" x14ac:dyDescent="0.25">
      <c r="A4222" s="101">
        <v>35879</v>
      </c>
      <c r="B4222" s="9">
        <v>88.12</v>
      </c>
      <c r="C4222" s="9">
        <v>89.94</v>
      </c>
      <c r="D4222" s="9">
        <v>87.38</v>
      </c>
      <c r="E4222" s="9">
        <v>88.25</v>
      </c>
      <c r="F4222" s="9">
        <v>38163200</v>
      </c>
      <c r="G4222" s="9">
        <v>5.52</v>
      </c>
    </row>
    <row r="4223" spans="1:7" x14ac:dyDescent="0.25">
      <c r="A4223" s="101">
        <v>35878</v>
      </c>
      <c r="B4223" s="9">
        <v>82.75</v>
      </c>
      <c r="C4223" s="9">
        <v>87</v>
      </c>
      <c r="D4223" s="9">
        <v>82.75</v>
      </c>
      <c r="E4223" s="9">
        <v>86.81</v>
      </c>
      <c r="F4223" s="9">
        <v>28342400</v>
      </c>
      <c r="G4223" s="9">
        <v>5.43</v>
      </c>
    </row>
    <row r="4224" spans="1:7" x14ac:dyDescent="0.25">
      <c r="A4224" s="101">
        <v>35877</v>
      </c>
      <c r="B4224" s="9">
        <v>82.5</v>
      </c>
      <c r="C4224" s="9">
        <v>83.81</v>
      </c>
      <c r="D4224" s="9">
        <v>82.38</v>
      </c>
      <c r="E4224" s="9">
        <v>83</v>
      </c>
      <c r="F4224" s="9">
        <v>10816000</v>
      </c>
      <c r="G4224" s="9">
        <v>5.19</v>
      </c>
    </row>
    <row r="4225" spans="1:7" x14ac:dyDescent="0.25">
      <c r="A4225" s="101">
        <v>35874</v>
      </c>
      <c r="B4225" s="9">
        <v>84.38</v>
      </c>
      <c r="C4225" s="9">
        <v>84.94</v>
      </c>
      <c r="D4225" s="9">
        <v>82.75</v>
      </c>
      <c r="E4225" s="9">
        <v>83.16</v>
      </c>
      <c r="F4225" s="9">
        <v>18041600</v>
      </c>
      <c r="G4225" s="9">
        <v>5.2</v>
      </c>
    </row>
    <row r="4226" spans="1:7" x14ac:dyDescent="0.25">
      <c r="A4226" s="101">
        <v>35873</v>
      </c>
      <c r="B4226" s="9">
        <v>85.75</v>
      </c>
      <c r="C4226" s="9">
        <v>87.44</v>
      </c>
      <c r="D4226" s="9">
        <v>83.88</v>
      </c>
      <c r="E4226" s="9">
        <v>83.88</v>
      </c>
      <c r="F4226" s="9">
        <v>33745600</v>
      </c>
      <c r="G4226" s="9">
        <v>5.24</v>
      </c>
    </row>
    <row r="4227" spans="1:7" x14ac:dyDescent="0.25">
      <c r="A4227" s="101">
        <v>35872</v>
      </c>
      <c r="B4227" s="9">
        <v>82.5</v>
      </c>
      <c r="C4227" s="9">
        <v>86.88</v>
      </c>
      <c r="D4227" s="9">
        <v>81.62</v>
      </c>
      <c r="E4227" s="9">
        <v>86.28</v>
      </c>
      <c r="F4227" s="9">
        <v>41563200</v>
      </c>
      <c r="G4227" s="9">
        <v>5.39</v>
      </c>
    </row>
    <row r="4228" spans="1:7" x14ac:dyDescent="0.25">
      <c r="A4228" s="101">
        <v>35871</v>
      </c>
      <c r="B4228" s="9">
        <v>85.12</v>
      </c>
      <c r="C4228" s="9">
        <v>85.25</v>
      </c>
      <c r="D4228" s="9">
        <v>82.62</v>
      </c>
      <c r="E4228" s="9">
        <v>83.84</v>
      </c>
      <c r="F4228" s="9">
        <v>14350400</v>
      </c>
      <c r="G4228" s="9">
        <v>5.24</v>
      </c>
    </row>
    <row r="4229" spans="1:7" x14ac:dyDescent="0.25">
      <c r="A4229" s="101">
        <v>35870</v>
      </c>
      <c r="B4229" s="9">
        <v>85.5</v>
      </c>
      <c r="C4229" s="9">
        <v>86.5</v>
      </c>
      <c r="D4229" s="9">
        <v>84.5</v>
      </c>
      <c r="E4229" s="9">
        <v>85</v>
      </c>
      <c r="F4229" s="9">
        <v>24947200</v>
      </c>
      <c r="G4229" s="9">
        <v>5.31</v>
      </c>
    </row>
    <row r="4230" spans="1:7" x14ac:dyDescent="0.25">
      <c r="A4230" s="101">
        <v>35867</v>
      </c>
      <c r="B4230" s="9">
        <v>82.25</v>
      </c>
      <c r="C4230" s="9">
        <v>85</v>
      </c>
      <c r="D4230" s="9">
        <v>81.5</v>
      </c>
      <c r="E4230" s="9">
        <v>83.38</v>
      </c>
      <c r="F4230" s="9">
        <v>31441600</v>
      </c>
      <c r="G4230" s="9">
        <v>5.21</v>
      </c>
    </row>
    <row r="4231" spans="1:7" x14ac:dyDescent="0.25">
      <c r="A4231" s="101">
        <v>35866</v>
      </c>
      <c r="B4231" s="9">
        <v>83.88</v>
      </c>
      <c r="C4231" s="9">
        <v>85</v>
      </c>
      <c r="D4231" s="9">
        <v>81.25</v>
      </c>
      <c r="E4231" s="9">
        <v>82</v>
      </c>
      <c r="F4231" s="9">
        <v>69780800</v>
      </c>
      <c r="G4231" s="9">
        <v>5.12</v>
      </c>
    </row>
    <row r="4232" spans="1:7" x14ac:dyDescent="0.25">
      <c r="A4232" s="101">
        <v>35865</v>
      </c>
      <c r="B4232" s="9">
        <v>85.38</v>
      </c>
      <c r="C4232" s="9">
        <v>86.75</v>
      </c>
      <c r="D4232" s="9">
        <v>83</v>
      </c>
      <c r="E4232" s="9">
        <v>84.25</v>
      </c>
      <c r="F4232" s="9">
        <v>66195200</v>
      </c>
      <c r="G4232" s="9">
        <v>5.27</v>
      </c>
    </row>
    <row r="4233" spans="1:7" x14ac:dyDescent="0.25">
      <c r="A4233" s="101">
        <v>35864</v>
      </c>
      <c r="B4233" s="9">
        <v>90.5</v>
      </c>
      <c r="C4233" s="9">
        <v>92.38</v>
      </c>
      <c r="D4233" s="9">
        <v>84.31</v>
      </c>
      <c r="E4233" s="9">
        <v>87.5</v>
      </c>
      <c r="F4233" s="9">
        <v>105219200</v>
      </c>
      <c r="G4233" s="9">
        <v>5.47</v>
      </c>
    </row>
    <row r="4234" spans="1:7" x14ac:dyDescent="0.25">
      <c r="A4234" s="101">
        <v>35863</v>
      </c>
      <c r="B4234" s="9">
        <v>81.75</v>
      </c>
      <c r="C4234" s="9">
        <v>88.5</v>
      </c>
      <c r="D4234" s="9">
        <v>81.62</v>
      </c>
      <c r="E4234" s="9">
        <v>87.81</v>
      </c>
      <c r="F4234" s="9">
        <v>66227200</v>
      </c>
      <c r="G4234" s="9">
        <v>5.49</v>
      </c>
    </row>
    <row r="4235" spans="1:7" x14ac:dyDescent="0.25">
      <c r="A4235" s="101">
        <v>35860</v>
      </c>
      <c r="B4235" s="9">
        <v>76.75</v>
      </c>
      <c r="C4235" s="9">
        <v>81.75</v>
      </c>
      <c r="D4235" s="9">
        <v>75.75</v>
      </c>
      <c r="E4235" s="9">
        <v>80.56</v>
      </c>
      <c r="F4235" s="9">
        <v>52110400</v>
      </c>
      <c r="G4235" s="9">
        <v>5.04</v>
      </c>
    </row>
    <row r="4236" spans="1:7" x14ac:dyDescent="0.25">
      <c r="A4236" s="101">
        <v>35859</v>
      </c>
      <c r="B4236" s="9">
        <v>69.5</v>
      </c>
      <c r="C4236" s="9">
        <v>75.62</v>
      </c>
      <c r="D4236" s="9">
        <v>68.75</v>
      </c>
      <c r="E4236" s="9">
        <v>75.31</v>
      </c>
      <c r="F4236" s="9">
        <v>53112000</v>
      </c>
      <c r="G4236" s="9">
        <v>4.71</v>
      </c>
    </row>
    <row r="4237" spans="1:7" x14ac:dyDescent="0.25">
      <c r="A4237" s="101">
        <v>35858</v>
      </c>
      <c r="B4237" s="9">
        <v>71.75</v>
      </c>
      <c r="C4237" s="9">
        <v>72.5</v>
      </c>
      <c r="D4237" s="9">
        <v>70.75</v>
      </c>
      <c r="E4237" s="9">
        <v>71.62</v>
      </c>
      <c r="F4237" s="9">
        <v>22900800</v>
      </c>
      <c r="G4237" s="9">
        <v>4.4800000000000004</v>
      </c>
    </row>
    <row r="4238" spans="1:7" x14ac:dyDescent="0.25">
      <c r="A4238" s="101">
        <v>35857</v>
      </c>
      <c r="B4238" s="9">
        <v>72</v>
      </c>
      <c r="C4238" s="9">
        <v>74</v>
      </c>
      <c r="D4238" s="9">
        <v>70.75</v>
      </c>
      <c r="E4238" s="9">
        <v>72.94</v>
      </c>
      <c r="F4238" s="9">
        <v>22182400</v>
      </c>
      <c r="G4238" s="9">
        <v>4.5599999999999996</v>
      </c>
    </row>
    <row r="4239" spans="1:7" x14ac:dyDescent="0.25">
      <c r="A4239" s="101">
        <v>35856</v>
      </c>
      <c r="B4239" s="9">
        <v>74.75</v>
      </c>
      <c r="C4239" s="9">
        <v>74.94</v>
      </c>
      <c r="D4239" s="9">
        <v>71.75</v>
      </c>
      <c r="E4239" s="9">
        <v>73.19</v>
      </c>
      <c r="F4239" s="9">
        <v>32520000</v>
      </c>
      <c r="G4239" s="9">
        <v>4.57</v>
      </c>
    </row>
    <row r="4240" spans="1:7" x14ac:dyDescent="0.25">
      <c r="A4240" s="101">
        <v>35853</v>
      </c>
      <c r="B4240" s="9">
        <v>68.25</v>
      </c>
      <c r="C4240" s="9">
        <v>74.25</v>
      </c>
      <c r="D4240" s="9">
        <v>67.75</v>
      </c>
      <c r="E4240" s="9">
        <v>73.19</v>
      </c>
      <c r="F4240" s="9">
        <v>99968000</v>
      </c>
      <c r="G4240" s="9">
        <v>4.57</v>
      </c>
    </row>
    <row r="4241" spans="1:7" x14ac:dyDescent="0.25">
      <c r="A4241" s="101">
        <v>35852</v>
      </c>
      <c r="B4241" s="9">
        <v>62</v>
      </c>
      <c r="C4241" s="9">
        <v>68.5</v>
      </c>
      <c r="D4241" s="9">
        <v>61.75</v>
      </c>
      <c r="E4241" s="9">
        <v>68.12</v>
      </c>
      <c r="F4241" s="9">
        <v>39760000</v>
      </c>
      <c r="G4241" s="9">
        <v>4.26</v>
      </c>
    </row>
    <row r="4242" spans="1:7" x14ac:dyDescent="0.25">
      <c r="A4242" s="101">
        <v>35851</v>
      </c>
      <c r="B4242" s="9">
        <v>61.88</v>
      </c>
      <c r="C4242" s="9">
        <v>62.25</v>
      </c>
      <c r="D4242" s="9">
        <v>60.88</v>
      </c>
      <c r="E4242" s="9">
        <v>61.72</v>
      </c>
      <c r="F4242" s="9">
        <v>20102400</v>
      </c>
      <c r="G4242" s="9">
        <v>3.86</v>
      </c>
    </row>
    <row r="4243" spans="1:7" x14ac:dyDescent="0.25">
      <c r="A4243" s="101">
        <v>35850</v>
      </c>
      <c r="B4243" s="9">
        <v>63.88</v>
      </c>
      <c r="C4243" s="9">
        <v>63.88</v>
      </c>
      <c r="D4243" s="9">
        <v>61.12</v>
      </c>
      <c r="E4243" s="9">
        <v>61.53</v>
      </c>
      <c r="F4243" s="9">
        <v>14260800</v>
      </c>
      <c r="G4243" s="9">
        <v>3.85</v>
      </c>
    </row>
    <row r="4244" spans="1:7" x14ac:dyDescent="0.25">
      <c r="A4244" s="101">
        <v>35849</v>
      </c>
      <c r="B4244" s="9">
        <v>64.38</v>
      </c>
      <c r="C4244" s="9">
        <v>64.62</v>
      </c>
      <c r="D4244" s="9">
        <v>62.94</v>
      </c>
      <c r="E4244" s="9">
        <v>63.28</v>
      </c>
      <c r="F4244" s="9">
        <v>11187200</v>
      </c>
      <c r="G4244" s="9">
        <v>3.96</v>
      </c>
    </row>
    <row r="4245" spans="1:7" x14ac:dyDescent="0.25">
      <c r="A4245" s="101">
        <v>35846</v>
      </c>
      <c r="B4245" s="9">
        <v>64.5</v>
      </c>
      <c r="C4245" s="9">
        <v>64.75</v>
      </c>
      <c r="D4245" s="9">
        <v>61.62</v>
      </c>
      <c r="E4245" s="9">
        <v>64.12</v>
      </c>
      <c r="F4245" s="9">
        <v>12539200</v>
      </c>
      <c r="G4245" s="9">
        <v>4.01</v>
      </c>
    </row>
    <row r="4246" spans="1:7" x14ac:dyDescent="0.25">
      <c r="A4246" s="101">
        <v>35845</v>
      </c>
      <c r="B4246" s="9">
        <v>63.5</v>
      </c>
      <c r="C4246" s="9">
        <v>65.62</v>
      </c>
      <c r="D4246" s="9">
        <v>63.25</v>
      </c>
      <c r="E4246" s="9">
        <v>64.03</v>
      </c>
      <c r="F4246" s="9">
        <v>13486400</v>
      </c>
      <c r="G4246" s="9">
        <v>4</v>
      </c>
    </row>
    <row r="4247" spans="1:7" x14ac:dyDescent="0.25">
      <c r="A4247" s="101">
        <v>35844</v>
      </c>
      <c r="B4247" s="9">
        <v>64.25</v>
      </c>
      <c r="C4247" s="9">
        <v>64.75</v>
      </c>
      <c r="D4247" s="9">
        <v>62.62</v>
      </c>
      <c r="E4247" s="9">
        <v>63.5</v>
      </c>
      <c r="F4247" s="9">
        <v>11323200</v>
      </c>
      <c r="G4247" s="9">
        <v>3.97</v>
      </c>
    </row>
    <row r="4248" spans="1:7" x14ac:dyDescent="0.25">
      <c r="A4248" s="101">
        <v>35843</v>
      </c>
      <c r="B4248" s="9">
        <v>64.5</v>
      </c>
      <c r="C4248" s="9">
        <v>65</v>
      </c>
      <c r="D4248" s="9">
        <v>63.5</v>
      </c>
      <c r="E4248" s="9">
        <v>64.25</v>
      </c>
      <c r="F4248" s="9">
        <v>11427200</v>
      </c>
      <c r="G4248" s="9">
        <v>4.0199999999999996</v>
      </c>
    </row>
    <row r="4249" spans="1:7" x14ac:dyDescent="0.25">
      <c r="A4249" s="101">
        <v>35839</v>
      </c>
      <c r="B4249" s="9">
        <v>64.75</v>
      </c>
      <c r="C4249" s="9">
        <v>66.75</v>
      </c>
      <c r="D4249" s="9">
        <v>64.38</v>
      </c>
      <c r="E4249" s="9">
        <v>64.75</v>
      </c>
      <c r="F4249" s="9">
        <v>13256000</v>
      </c>
      <c r="G4249" s="9">
        <v>4.05</v>
      </c>
    </row>
    <row r="4250" spans="1:7" x14ac:dyDescent="0.25">
      <c r="A4250" s="101">
        <v>35838</v>
      </c>
      <c r="B4250" s="9">
        <v>64.25</v>
      </c>
      <c r="C4250" s="9">
        <v>65.25</v>
      </c>
      <c r="D4250" s="9">
        <v>63.75</v>
      </c>
      <c r="E4250" s="9">
        <v>65.12</v>
      </c>
      <c r="F4250" s="9">
        <v>9059200</v>
      </c>
      <c r="G4250" s="9">
        <v>4.07</v>
      </c>
    </row>
    <row r="4251" spans="1:7" x14ac:dyDescent="0.25">
      <c r="A4251" s="101">
        <v>35837</v>
      </c>
      <c r="B4251" s="9">
        <v>64.62</v>
      </c>
      <c r="C4251" s="9">
        <v>65.75</v>
      </c>
      <c r="D4251" s="9">
        <v>64</v>
      </c>
      <c r="E4251" s="9">
        <v>65.09</v>
      </c>
      <c r="F4251" s="9">
        <v>11950400</v>
      </c>
      <c r="G4251" s="9">
        <v>4.07</v>
      </c>
    </row>
    <row r="4252" spans="1:7" x14ac:dyDescent="0.25">
      <c r="A4252" s="101">
        <v>35836</v>
      </c>
      <c r="B4252" s="9">
        <v>64</v>
      </c>
      <c r="C4252" s="9">
        <v>65.5</v>
      </c>
      <c r="D4252" s="9">
        <v>63</v>
      </c>
      <c r="E4252" s="9">
        <v>64.62</v>
      </c>
      <c r="F4252" s="9">
        <v>20785600</v>
      </c>
      <c r="G4252" s="9">
        <v>4.04</v>
      </c>
    </row>
    <row r="4253" spans="1:7" x14ac:dyDescent="0.25">
      <c r="A4253" s="101">
        <v>35835</v>
      </c>
      <c r="B4253" s="9">
        <v>64.75</v>
      </c>
      <c r="C4253" s="9">
        <v>65.25</v>
      </c>
      <c r="D4253" s="9">
        <v>63</v>
      </c>
      <c r="E4253" s="9">
        <v>63.89</v>
      </c>
      <c r="F4253" s="9">
        <v>16547200</v>
      </c>
      <c r="G4253" s="9">
        <v>3.99</v>
      </c>
    </row>
    <row r="4254" spans="1:7" x14ac:dyDescent="0.25">
      <c r="A4254" s="101">
        <v>35832</v>
      </c>
      <c r="B4254" s="9">
        <v>62.12</v>
      </c>
      <c r="C4254" s="9">
        <v>64.62</v>
      </c>
      <c r="D4254" s="9">
        <v>61.62</v>
      </c>
      <c r="E4254" s="9">
        <v>64.25</v>
      </c>
      <c r="F4254" s="9">
        <v>14387200</v>
      </c>
      <c r="G4254" s="9">
        <v>4.0199999999999996</v>
      </c>
    </row>
    <row r="4255" spans="1:7" x14ac:dyDescent="0.25">
      <c r="A4255" s="101">
        <v>35831</v>
      </c>
      <c r="B4255" s="9">
        <v>64.38</v>
      </c>
      <c r="C4255" s="9">
        <v>64.88</v>
      </c>
      <c r="D4255" s="9">
        <v>61.62</v>
      </c>
      <c r="E4255" s="9">
        <v>62.25</v>
      </c>
      <c r="F4255" s="9">
        <v>18446400</v>
      </c>
      <c r="G4255" s="9">
        <v>3.89</v>
      </c>
    </row>
    <row r="4256" spans="1:7" x14ac:dyDescent="0.25">
      <c r="A4256" s="101">
        <v>35830</v>
      </c>
      <c r="B4256" s="9">
        <v>64.62</v>
      </c>
      <c r="C4256" s="9">
        <v>64.62</v>
      </c>
      <c r="D4256" s="9">
        <v>63.19</v>
      </c>
      <c r="E4256" s="9">
        <v>63.69</v>
      </c>
      <c r="F4256" s="9">
        <v>13721600</v>
      </c>
      <c r="G4256" s="9">
        <v>3.98</v>
      </c>
    </row>
    <row r="4257" spans="1:7" x14ac:dyDescent="0.25">
      <c r="A4257" s="101">
        <v>35829</v>
      </c>
      <c r="B4257" s="9">
        <v>65.75</v>
      </c>
      <c r="C4257" s="9">
        <v>66.12</v>
      </c>
      <c r="D4257" s="9">
        <v>63.88</v>
      </c>
      <c r="E4257" s="9">
        <v>64.84</v>
      </c>
      <c r="F4257" s="9">
        <v>33953600</v>
      </c>
      <c r="G4257" s="9">
        <v>4.05</v>
      </c>
    </row>
    <row r="4258" spans="1:7" x14ac:dyDescent="0.25">
      <c r="A4258" s="101">
        <v>35828</v>
      </c>
      <c r="B4258" s="9">
        <v>64.25</v>
      </c>
      <c r="C4258" s="9">
        <v>66.12</v>
      </c>
      <c r="D4258" s="9">
        <v>63.88</v>
      </c>
      <c r="E4258" s="9">
        <v>66</v>
      </c>
      <c r="F4258" s="9">
        <v>24558400</v>
      </c>
      <c r="G4258" s="9">
        <v>4.12</v>
      </c>
    </row>
    <row r="4259" spans="1:7" x14ac:dyDescent="0.25">
      <c r="A4259" s="101">
        <v>35825</v>
      </c>
      <c r="B4259" s="9">
        <v>63</v>
      </c>
      <c r="C4259" s="9">
        <v>64.5</v>
      </c>
      <c r="D4259" s="9">
        <v>61.25</v>
      </c>
      <c r="E4259" s="9">
        <v>63.38</v>
      </c>
      <c r="F4259" s="9">
        <v>32681600</v>
      </c>
      <c r="G4259" s="9">
        <v>3.96</v>
      </c>
    </row>
    <row r="4260" spans="1:7" x14ac:dyDescent="0.25">
      <c r="A4260" s="101">
        <v>35824</v>
      </c>
      <c r="B4260" s="9">
        <v>58</v>
      </c>
      <c r="C4260" s="9">
        <v>62.25</v>
      </c>
      <c r="D4260" s="9">
        <v>57.62</v>
      </c>
      <c r="E4260" s="9">
        <v>61.88</v>
      </c>
      <c r="F4260" s="9">
        <v>33180800</v>
      </c>
      <c r="G4260" s="9">
        <v>3.87</v>
      </c>
    </row>
    <row r="4261" spans="1:7" x14ac:dyDescent="0.25">
      <c r="A4261" s="101">
        <v>35823</v>
      </c>
      <c r="B4261" s="9">
        <v>60.62</v>
      </c>
      <c r="C4261" s="9">
        <v>60.62</v>
      </c>
      <c r="D4261" s="9">
        <v>57.81</v>
      </c>
      <c r="E4261" s="9">
        <v>58.06</v>
      </c>
      <c r="F4261" s="9">
        <v>29641600</v>
      </c>
      <c r="G4261" s="9">
        <v>3.63</v>
      </c>
    </row>
    <row r="4262" spans="1:7" x14ac:dyDescent="0.25">
      <c r="A4262" s="101">
        <v>35822</v>
      </c>
      <c r="B4262" s="9">
        <v>60.25</v>
      </c>
      <c r="C4262" s="9">
        <v>61.25</v>
      </c>
      <c r="D4262" s="9">
        <v>60</v>
      </c>
      <c r="E4262" s="9">
        <v>60.06</v>
      </c>
      <c r="F4262" s="9">
        <v>15113600</v>
      </c>
      <c r="G4262" s="9">
        <v>3.75</v>
      </c>
    </row>
    <row r="4263" spans="1:7" x14ac:dyDescent="0.25">
      <c r="A4263" s="101">
        <v>35821</v>
      </c>
      <c r="B4263" s="9">
        <v>62.38</v>
      </c>
      <c r="C4263" s="9">
        <v>62.5</v>
      </c>
      <c r="D4263" s="9">
        <v>59.5</v>
      </c>
      <c r="E4263" s="9">
        <v>59.88</v>
      </c>
      <c r="F4263" s="9">
        <v>10534400</v>
      </c>
      <c r="G4263" s="9">
        <v>3.74</v>
      </c>
    </row>
    <row r="4264" spans="1:7" x14ac:dyDescent="0.25">
      <c r="A4264" s="101">
        <v>35818</v>
      </c>
      <c r="B4264" s="9">
        <v>62.75</v>
      </c>
      <c r="C4264" s="9">
        <v>62.94</v>
      </c>
      <c r="D4264" s="9">
        <v>61.12</v>
      </c>
      <c r="E4264" s="9">
        <v>61.75</v>
      </c>
      <c r="F4264" s="9">
        <v>10700800</v>
      </c>
      <c r="G4264" s="9">
        <v>3.86</v>
      </c>
    </row>
    <row r="4265" spans="1:7" x14ac:dyDescent="0.25">
      <c r="A4265" s="101">
        <v>35817</v>
      </c>
      <c r="B4265" s="9">
        <v>63.38</v>
      </c>
      <c r="C4265" s="9">
        <v>64</v>
      </c>
      <c r="D4265" s="9">
        <v>62.25</v>
      </c>
      <c r="E4265" s="9">
        <v>62.31</v>
      </c>
      <c r="F4265" s="9">
        <v>11137600</v>
      </c>
      <c r="G4265" s="9">
        <v>3.89</v>
      </c>
    </row>
    <row r="4266" spans="1:7" x14ac:dyDescent="0.25">
      <c r="A4266" s="101">
        <v>35816</v>
      </c>
      <c r="B4266" s="9">
        <v>64.12</v>
      </c>
      <c r="C4266" s="9">
        <v>64.5</v>
      </c>
      <c r="D4266" s="9">
        <v>62.88</v>
      </c>
      <c r="E4266" s="9">
        <v>63.88</v>
      </c>
      <c r="F4266" s="9">
        <v>18336000</v>
      </c>
      <c r="G4266" s="9">
        <v>3.99</v>
      </c>
    </row>
    <row r="4267" spans="1:7" x14ac:dyDescent="0.25">
      <c r="A4267" s="101">
        <v>35815</v>
      </c>
      <c r="B4267" s="9">
        <v>65.25</v>
      </c>
      <c r="C4267" s="9">
        <v>65.25</v>
      </c>
      <c r="D4267" s="9">
        <v>63</v>
      </c>
      <c r="E4267" s="9">
        <v>64.5</v>
      </c>
      <c r="F4267" s="9">
        <v>35096000</v>
      </c>
      <c r="G4267" s="9">
        <v>4.03</v>
      </c>
    </row>
    <row r="4268" spans="1:7" x14ac:dyDescent="0.25">
      <c r="A4268" s="101">
        <v>35811</v>
      </c>
      <c r="B4268" s="9">
        <v>66</v>
      </c>
      <c r="C4268" s="9">
        <v>67.5</v>
      </c>
      <c r="D4268" s="9">
        <v>65</v>
      </c>
      <c r="E4268" s="9">
        <v>65.25</v>
      </c>
      <c r="F4268" s="9">
        <v>18288000</v>
      </c>
      <c r="G4268" s="9">
        <v>4.08</v>
      </c>
    </row>
    <row r="4269" spans="1:7" x14ac:dyDescent="0.25">
      <c r="A4269" s="101">
        <v>35810</v>
      </c>
      <c r="B4269" s="9">
        <v>65.25</v>
      </c>
      <c r="C4269" s="9">
        <v>66.75</v>
      </c>
      <c r="D4269" s="9">
        <v>64</v>
      </c>
      <c r="E4269" s="9">
        <v>65.34</v>
      </c>
      <c r="F4269" s="9">
        <v>27916800</v>
      </c>
      <c r="G4269" s="9">
        <v>4.08</v>
      </c>
    </row>
    <row r="4270" spans="1:7" x14ac:dyDescent="0.25">
      <c r="A4270" s="101">
        <v>35809</v>
      </c>
      <c r="B4270" s="9">
        <v>66.75</v>
      </c>
      <c r="C4270" s="9">
        <v>67.88</v>
      </c>
      <c r="D4270" s="9">
        <v>66</v>
      </c>
      <c r="E4270" s="9">
        <v>67</v>
      </c>
      <c r="F4270" s="9">
        <v>26678400</v>
      </c>
      <c r="G4270" s="9">
        <v>4.1900000000000004</v>
      </c>
    </row>
    <row r="4271" spans="1:7" x14ac:dyDescent="0.25">
      <c r="A4271" s="101">
        <v>35808</v>
      </c>
      <c r="B4271" s="9">
        <v>64.75</v>
      </c>
      <c r="C4271" s="9">
        <v>68.25</v>
      </c>
      <c r="D4271" s="9">
        <v>64.56</v>
      </c>
      <c r="E4271" s="9">
        <v>65.78</v>
      </c>
      <c r="F4271" s="9">
        <v>52755200</v>
      </c>
      <c r="G4271" s="9">
        <v>4.1100000000000003</v>
      </c>
    </row>
    <row r="4272" spans="1:7" x14ac:dyDescent="0.25">
      <c r="A4272" s="101">
        <v>35807</v>
      </c>
      <c r="B4272" s="9">
        <v>60</v>
      </c>
      <c r="C4272" s="9">
        <v>64.12</v>
      </c>
      <c r="D4272" s="9">
        <v>59</v>
      </c>
      <c r="E4272" s="9">
        <v>62.5</v>
      </c>
      <c r="F4272" s="9">
        <v>38262400</v>
      </c>
      <c r="G4272" s="9">
        <v>3.91</v>
      </c>
    </row>
    <row r="4273" spans="1:7" x14ac:dyDescent="0.25">
      <c r="A4273" s="101">
        <v>35804</v>
      </c>
      <c r="B4273" s="9">
        <v>64.5</v>
      </c>
      <c r="C4273" s="9">
        <v>65.25</v>
      </c>
      <c r="D4273" s="9">
        <v>60.75</v>
      </c>
      <c r="E4273" s="9">
        <v>61.88</v>
      </c>
      <c r="F4273" s="9">
        <v>30296000</v>
      </c>
      <c r="G4273" s="9">
        <v>3.87</v>
      </c>
    </row>
    <row r="4274" spans="1:7" x14ac:dyDescent="0.25">
      <c r="A4274" s="101">
        <v>35803</v>
      </c>
      <c r="B4274" s="9">
        <v>64</v>
      </c>
      <c r="C4274" s="9">
        <v>65.97</v>
      </c>
      <c r="D4274" s="9">
        <v>62.75</v>
      </c>
      <c r="E4274" s="9">
        <v>64.25</v>
      </c>
      <c r="F4274" s="9">
        <v>21748800</v>
      </c>
      <c r="G4274" s="9">
        <v>4.0199999999999996</v>
      </c>
    </row>
    <row r="4275" spans="1:7" x14ac:dyDescent="0.25">
      <c r="A4275" s="101">
        <v>35802</v>
      </c>
      <c r="B4275" s="9">
        <v>62.75</v>
      </c>
      <c r="C4275" s="9">
        <v>64.88</v>
      </c>
      <c r="D4275" s="9">
        <v>62.75</v>
      </c>
      <c r="E4275" s="9">
        <v>63.81</v>
      </c>
      <c r="F4275" s="9">
        <v>15758400</v>
      </c>
      <c r="G4275" s="9">
        <v>3.99</v>
      </c>
    </row>
    <row r="4276" spans="1:7" x14ac:dyDescent="0.25">
      <c r="A4276" s="101">
        <v>35801</v>
      </c>
      <c r="B4276" s="9">
        <v>61.75</v>
      </c>
      <c r="C4276" s="9">
        <v>65.12</v>
      </c>
      <c r="D4276" s="9">
        <v>61.25</v>
      </c>
      <c r="E4276" s="9">
        <v>64</v>
      </c>
      <c r="F4276" s="9">
        <v>28688000</v>
      </c>
      <c r="G4276" s="9">
        <v>4</v>
      </c>
    </row>
    <row r="4277" spans="1:7" x14ac:dyDescent="0.25">
      <c r="A4277" s="101">
        <v>35800</v>
      </c>
      <c r="B4277" s="9">
        <v>64.38</v>
      </c>
      <c r="C4277" s="9">
        <v>65.38</v>
      </c>
      <c r="D4277" s="9">
        <v>62.62</v>
      </c>
      <c r="E4277" s="9">
        <v>62.94</v>
      </c>
      <c r="F4277" s="9">
        <v>26601600</v>
      </c>
      <c r="G4277" s="9">
        <v>3.93</v>
      </c>
    </row>
    <row r="4278" spans="1:7" x14ac:dyDescent="0.25">
      <c r="A4278" s="101">
        <v>35797</v>
      </c>
      <c r="B4278" s="9">
        <v>69.25</v>
      </c>
      <c r="C4278" s="9">
        <v>69.5</v>
      </c>
      <c r="D4278" s="9">
        <v>65</v>
      </c>
      <c r="E4278" s="9">
        <v>66.25</v>
      </c>
      <c r="F4278" s="9">
        <v>17828800</v>
      </c>
      <c r="G4278" s="9">
        <v>4.1399999999999997</v>
      </c>
    </row>
    <row r="4279" spans="1:7" x14ac:dyDescent="0.25">
      <c r="A4279" s="101">
        <v>35795</v>
      </c>
      <c r="B4279" s="9">
        <v>70.62</v>
      </c>
      <c r="C4279" s="9">
        <v>70.88</v>
      </c>
      <c r="D4279" s="9">
        <v>69.12</v>
      </c>
      <c r="E4279" s="9">
        <v>69.25</v>
      </c>
      <c r="F4279" s="9">
        <v>15467200</v>
      </c>
      <c r="G4279" s="9">
        <v>4.33</v>
      </c>
    </row>
    <row r="4280" spans="1:7" x14ac:dyDescent="0.25">
      <c r="A4280" s="101">
        <v>35794</v>
      </c>
      <c r="B4280" s="9">
        <v>68.88</v>
      </c>
      <c r="C4280" s="9">
        <v>71</v>
      </c>
      <c r="D4280" s="9">
        <v>68</v>
      </c>
      <c r="E4280" s="9">
        <v>71</v>
      </c>
      <c r="F4280" s="9">
        <v>16508800</v>
      </c>
      <c r="G4280" s="9">
        <v>4.4400000000000004</v>
      </c>
    </row>
    <row r="4281" spans="1:7" x14ac:dyDescent="0.25">
      <c r="A4281" s="101">
        <v>35793</v>
      </c>
      <c r="B4281" s="9">
        <v>67</v>
      </c>
      <c r="C4281" s="9">
        <v>69</v>
      </c>
      <c r="D4281" s="9">
        <v>66.38</v>
      </c>
      <c r="E4281" s="9">
        <v>68.94</v>
      </c>
      <c r="F4281" s="9">
        <v>15100800</v>
      </c>
      <c r="G4281" s="9">
        <v>4.3099999999999996</v>
      </c>
    </row>
    <row r="4282" spans="1:7" x14ac:dyDescent="0.25">
      <c r="A4282" s="101">
        <v>35790</v>
      </c>
      <c r="B4282" s="9">
        <v>64.31</v>
      </c>
      <c r="C4282" s="9">
        <v>66.38</v>
      </c>
      <c r="D4282" s="9">
        <v>64.25</v>
      </c>
      <c r="E4282" s="9">
        <v>66.12</v>
      </c>
      <c r="F4282" s="9">
        <v>9587200</v>
      </c>
      <c r="G4282" s="9">
        <v>4.13</v>
      </c>
    </row>
    <row r="4283" spans="1:7" x14ac:dyDescent="0.25">
      <c r="A4283" s="101">
        <v>35788</v>
      </c>
      <c r="B4283" s="9">
        <v>65.19</v>
      </c>
      <c r="C4283" s="9">
        <v>66</v>
      </c>
      <c r="D4283" s="9">
        <v>64.5</v>
      </c>
      <c r="E4283" s="9">
        <v>64.5</v>
      </c>
      <c r="F4283" s="9">
        <v>6185600</v>
      </c>
      <c r="G4283" s="9">
        <v>4.03</v>
      </c>
    </row>
    <row r="4284" spans="1:7" x14ac:dyDescent="0.25">
      <c r="A4284" s="101">
        <v>35787</v>
      </c>
      <c r="B4284" s="9">
        <v>64</v>
      </c>
      <c r="C4284" s="9">
        <v>67.88</v>
      </c>
      <c r="D4284" s="9">
        <v>63.62</v>
      </c>
      <c r="E4284" s="9">
        <v>65.12</v>
      </c>
      <c r="F4284" s="9">
        <v>22833600</v>
      </c>
      <c r="G4284" s="9">
        <v>4.07</v>
      </c>
    </row>
    <row r="4285" spans="1:7" x14ac:dyDescent="0.25">
      <c r="A4285" s="101">
        <v>35786</v>
      </c>
      <c r="B4285" s="9">
        <v>61.88</v>
      </c>
      <c r="C4285" s="9">
        <v>65.38</v>
      </c>
      <c r="D4285" s="9">
        <v>61.88</v>
      </c>
      <c r="E4285" s="9">
        <v>64.44</v>
      </c>
      <c r="F4285" s="9">
        <v>23824000</v>
      </c>
      <c r="G4285" s="9">
        <v>4.03</v>
      </c>
    </row>
    <row r="4286" spans="1:7" x14ac:dyDescent="0.25">
      <c r="A4286" s="101">
        <v>35783</v>
      </c>
      <c r="B4286" s="9">
        <v>57.5</v>
      </c>
      <c r="C4286" s="9">
        <v>63</v>
      </c>
      <c r="D4286" s="9">
        <v>56.25</v>
      </c>
      <c r="E4286" s="9">
        <v>61.88</v>
      </c>
      <c r="F4286" s="9">
        <v>29721600</v>
      </c>
      <c r="G4286" s="9">
        <v>3.87</v>
      </c>
    </row>
    <row r="4287" spans="1:7" x14ac:dyDescent="0.25">
      <c r="A4287" s="101">
        <v>35782</v>
      </c>
      <c r="B4287" s="9">
        <v>59.5</v>
      </c>
      <c r="C4287" s="9">
        <v>59.5</v>
      </c>
      <c r="D4287" s="9">
        <v>57.25</v>
      </c>
      <c r="E4287" s="9">
        <v>58.12</v>
      </c>
      <c r="F4287" s="9">
        <v>12747200</v>
      </c>
      <c r="G4287" s="9">
        <v>3.63</v>
      </c>
    </row>
    <row r="4288" spans="1:7" x14ac:dyDescent="0.25">
      <c r="A4288" s="101">
        <v>35781</v>
      </c>
      <c r="B4288" s="9">
        <v>60.5</v>
      </c>
      <c r="C4288" s="9">
        <v>61.5</v>
      </c>
      <c r="D4288" s="9">
        <v>59.5</v>
      </c>
      <c r="E4288" s="9">
        <v>59.56</v>
      </c>
      <c r="F4288" s="9">
        <v>10875200</v>
      </c>
      <c r="G4288" s="9">
        <v>3.72</v>
      </c>
    </row>
    <row r="4289" spans="1:7" x14ac:dyDescent="0.25">
      <c r="A4289" s="101">
        <v>35780</v>
      </c>
      <c r="B4289" s="9">
        <v>57.88</v>
      </c>
      <c r="C4289" s="9">
        <v>60.5</v>
      </c>
      <c r="D4289" s="9">
        <v>57.12</v>
      </c>
      <c r="E4289" s="9">
        <v>60.31</v>
      </c>
      <c r="F4289" s="9">
        <v>13553600</v>
      </c>
      <c r="G4289" s="9">
        <v>3.77</v>
      </c>
    </row>
    <row r="4290" spans="1:7" x14ac:dyDescent="0.25">
      <c r="A4290" s="101">
        <v>35779</v>
      </c>
      <c r="B4290" s="9">
        <v>60</v>
      </c>
      <c r="C4290" s="9">
        <v>60.25</v>
      </c>
      <c r="D4290" s="9">
        <v>56.5</v>
      </c>
      <c r="E4290" s="9">
        <v>58</v>
      </c>
      <c r="F4290" s="9">
        <v>14430400</v>
      </c>
      <c r="G4290" s="9">
        <v>3.62</v>
      </c>
    </row>
    <row r="4291" spans="1:7" x14ac:dyDescent="0.25">
      <c r="A4291" s="101">
        <v>35776</v>
      </c>
      <c r="B4291" s="9">
        <v>58.75</v>
      </c>
      <c r="C4291" s="9">
        <v>60</v>
      </c>
      <c r="D4291" s="9">
        <v>57</v>
      </c>
      <c r="E4291" s="9">
        <v>59.5</v>
      </c>
      <c r="F4291" s="9">
        <v>14584000</v>
      </c>
      <c r="G4291" s="9">
        <v>3.72</v>
      </c>
    </row>
    <row r="4292" spans="1:7" x14ac:dyDescent="0.25">
      <c r="A4292" s="101">
        <v>35775</v>
      </c>
      <c r="B4292" s="9">
        <v>57</v>
      </c>
      <c r="C4292" s="9">
        <v>58.88</v>
      </c>
      <c r="D4292" s="9">
        <v>56.38</v>
      </c>
      <c r="E4292" s="9">
        <v>58.62</v>
      </c>
      <c r="F4292" s="9">
        <v>17451200</v>
      </c>
      <c r="G4292" s="9">
        <v>3.66</v>
      </c>
    </row>
    <row r="4293" spans="1:7" x14ac:dyDescent="0.25">
      <c r="A4293" s="101">
        <v>35774</v>
      </c>
      <c r="B4293" s="9">
        <v>58.5</v>
      </c>
      <c r="C4293" s="9">
        <v>59.38</v>
      </c>
      <c r="D4293" s="9">
        <v>57</v>
      </c>
      <c r="E4293" s="9">
        <v>58.88</v>
      </c>
      <c r="F4293" s="9">
        <v>14763200</v>
      </c>
      <c r="G4293" s="9">
        <v>3.68</v>
      </c>
    </row>
    <row r="4294" spans="1:7" x14ac:dyDescent="0.25">
      <c r="A4294" s="101">
        <v>35773</v>
      </c>
      <c r="B4294" s="9">
        <v>58.88</v>
      </c>
      <c r="C4294" s="9">
        <v>61</v>
      </c>
      <c r="D4294" s="9">
        <v>58</v>
      </c>
      <c r="E4294" s="9">
        <v>59.31</v>
      </c>
      <c r="F4294" s="9">
        <v>27473600</v>
      </c>
      <c r="G4294" s="9">
        <v>3.71</v>
      </c>
    </row>
    <row r="4295" spans="1:7" x14ac:dyDescent="0.25">
      <c r="A4295" s="101">
        <v>35772</v>
      </c>
      <c r="B4295" s="9">
        <v>56.5</v>
      </c>
      <c r="C4295" s="9">
        <v>59.75</v>
      </c>
      <c r="D4295" s="9">
        <v>55.62</v>
      </c>
      <c r="E4295" s="9">
        <v>59.62</v>
      </c>
      <c r="F4295" s="9">
        <v>30825600</v>
      </c>
      <c r="G4295" s="9">
        <v>3.73</v>
      </c>
    </row>
    <row r="4296" spans="1:7" x14ac:dyDescent="0.25">
      <c r="A4296" s="101">
        <v>35769</v>
      </c>
      <c r="B4296" s="9">
        <v>53.56</v>
      </c>
      <c r="C4296" s="9">
        <v>56.38</v>
      </c>
      <c r="D4296" s="9">
        <v>52.62</v>
      </c>
      <c r="E4296" s="9">
        <v>56.25</v>
      </c>
      <c r="F4296" s="9">
        <v>25928000</v>
      </c>
      <c r="G4296" s="9">
        <v>3.52</v>
      </c>
    </row>
    <row r="4297" spans="1:7" x14ac:dyDescent="0.25">
      <c r="A4297" s="101">
        <v>35768</v>
      </c>
      <c r="B4297" s="9">
        <v>54.38</v>
      </c>
      <c r="C4297" s="9">
        <v>55</v>
      </c>
      <c r="D4297" s="9">
        <v>53.38</v>
      </c>
      <c r="E4297" s="9">
        <v>53.81</v>
      </c>
      <c r="F4297" s="9">
        <v>10012800</v>
      </c>
      <c r="G4297" s="9">
        <v>3.36</v>
      </c>
    </row>
    <row r="4298" spans="1:7" x14ac:dyDescent="0.25">
      <c r="A4298" s="101">
        <v>35767</v>
      </c>
      <c r="B4298" s="9">
        <v>52.5</v>
      </c>
      <c r="C4298" s="9">
        <v>54.25</v>
      </c>
      <c r="D4298" s="9">
        <v>51.88</v>
      </c>
      <c r="E4298" s="9">
        <v>53.88</v>
      </c>
      <c r="F4298" s="9">
        <v>9440000</v>
      </c>
      <c r="G4298" s="9">
        <v>3.37</v>
      </c>
    </row>
    <row r="4299" spans="1:7" x14ac:dyDescent="0.25">
      <c r="A4299" s="101">
        <v>35766</v>
      </c>
      <c r="B4299" s="9">
        <v>53.75</v>
      </c>
      <c r="C4299" s="9">
        <v>54.88</v>
      </c>
      <c r="D4299" s="9">
        <v>52</v>
      </c>
      <c r="E4299" s="9">
        <v>53</v>
      </c>
      <c r="F4299" s="9">
        <v>15512000</v>
      </c>
      <c r="G4299" s="9">
        <v>3.31</v>
      </c>
    </row>
    <row r="4300" spans="1:7" x14ac:dyDescent="0.25">
      <c r="A4300" s="101">
        <v>35765</v>
      </c>
      <c r="B4300" s="9">
        <v>51.5</v>
      </c>
      <c r="C4300" s="9">
        <v>54.38</v>
      </c>
      <c r="D4300" s="9">
        <v>51.25</v>
      </c>
      <c r="E4300" s="9">
        <v>54</v>
      </c>
      <c r="F4300" s="9">
        <v>16558400</v>
      </c>
      <c r="G4300" s="9">
        <v>3.38</v>
      </c>
    </row>
    <row r="4301" spans="1:7" x14ac:dyDescent="0.25">
      <c r="A4301" s="101">
        <v>35762</v>
      </c>
      <c r="B4301" s="9">
        <v>51.12</v>
      </c>
      <c r="C4301" s="9">
        <v>51.5</v>
      </c>
      <c r="D4301" s="9">
        <v>50.75</v>
      </c>
      <c r="E4301" s="9">
        <v>51.12</v>
      </c>
      <c r="F4301" s="9">
        <v>2153600</v>
      </c>
      <c r="G4301" s="9">
        <v>3.2</v>
      </c>
    </row>
    <row r="4302" spans="1:7" x14ac:dyDescent="0.25">
      <c r="A4302" s="101">
        <v>35760</v>
      </c>
      <c r="B4302" s="9">
        <v>51.75</v>
      </c>
      <c r="C4302" s="9">
        <v>52.25</v>
      </c>
      <c r="D4302" s="9">
        <v>50.25</v>
      </c>
      <c r="E4302" s="9">
        <v>50.88</v>
      </c>
      <c r="F4302" s="9">
        <v>8777600</v>
      </c>
      <c r="G4302" s="9">
        <v>3.18</v>
      </c>
    </row>
    <row r="4303" spans="1:7" x14ac:dyDescent="0.25">
      <c r="A4303" s="101">
        <v>35759</v>
      </c>
      <c r="B4303" s="9">
        <v>50.25</v>
      </c>
      <c r="C4303" s="9">
        <v>51.75</v>
      </c>
      <c r="D4303" s="9">
        <v>48</v>
      </c>
      <c r="E4303" s="9">
        <v>50.81</v>
      </c>
      <c r="F4303" s="9">
        <v>29675200</v>
      </c>
      <c r="G4303" s="9">
        <v>3.18</v>
      </c>
    </row>
    <row r="4304" spans="1:7" x14ac:dyDescent="0.25">
      <c r="A4304" s="101">
        <v>35758</v>
      </c>
      <c r="B4304" s="9">
        <v>52.5</v>
      </c>
      <c r="C4304" s="9">
        <v>52.5</v>
      </c>
      <c r="D4304" s="9">
        <v>48.12</v>
      </c>
      <c r="E4304" s="9">
        <v>48.5</v>
      </c>
      <c r="F4304" s="9">
        <v>20104000</v>
      </c>
      <c r="G4304" s="9">
        <v>3.03</v>
      </c>
    </row>
    <row r="4305" spans="1:7" x14ac:dyDescent="0.25">
      <c r="A4305" s="101">
        <v>35755</v>
      </c>
      <c r="B4305" s="9">
        <v>54.12</v>
      </c>
      <c r="C4305" s="9">
        <v>54.5</v>
      </c>
      <c r="D4305" s="9">
        <v>51.62</v>
      </c>
      <c r="E4305" s="9">
        <v>52.88</v>
      </c>
      <c r="F4305" s="9">
        <v>12600000</v>
      </c>
      <c r="G4305" s="9">
        <v>3.3</v>
      </c>
    </row>
    <row r="4306" spans="1:7" x14ac:dyDescent="0.25">
      <c r="A4306" s="101">
        <v>35754</v>
      </c>
      <c r="B4306" s="9">
        <v>51.25</v>
      </c>
      <c r="C4306" s="9">
        <v>54.12</v>
      </c>
      <c r="D4306" s="9">
        <v>50.88</v>
      </c>
      <c r="E4306" s="9">
        <v>53.62</v>
      </c>
      <c r="F4306" s="9">
        <v>24377600</v>
      </c>
      <c r="G4306" s="9">
        <v>3.35</v>
      </c>
    </row>
    <row r="4307" spans="1:7" x14ac:dyDescent="0.25">
      <c r="A4307" s="101">
        <v>35753</v>
      </c>
      <c r="B4307" s="9">
        <v>50.88</v>
      </c>
      <c r="C4307" s="9">
        <v>51.62</v>
      </c>
      <c r="D4307" s="9">
        <v>49.56</v>
      </c>
      <c r="E4307" s="9">
        <v>50.62</v>
      </c>
      <c r="F4307" s="9">
        <v>13123200</v>
      </c>
      <c r="G4307" s="9">
        <v>3.16</v>
      </c>
    </row>
    <row r="4308" spans="1:7" x14ac:dyDescent="0.25">
      <c r="A4308" s="101">
        <v>35752</v>
      </c>
      <c r="B4308" s="9">
        <v>51.62</v>
      </c>
      <c r="C4308" s="9">
        <v>54.25</v>
      </c>
      <c r="D4308" s="9">
        <v>51.38</v>
      </c>
      <c r="E4308" s="9">
        <v>51.75</v>
      </c>
      <c r="F4308" s="9">
        <v>22524800</v>
      </c>
      <c r="G4308" s="9">
        <v>3.23</v>
      </c>
    </row>
    <row r="4309" spans="1:7" x14ac:dyDescent="0.25">
      <c r="A4309" s="101">
        <v>35751</v>
      </c>
      <c r="B4309" s="9">
        <v>49.88</v>
      </c>
      <c r="C4309" s="9">
        <v>52.75</v>
      </c>
      <c r="D4309" s="9">
        <v>49.62</v>
      </c>
      <c r="E4309" s="9">
        <v>52</v>
      </c>
      <c r="F4309" s="9">
        <v>25088000</v>
      </c>
      <c r="G4309" s="9">
        <v>3.25</v>
      </c>
    </row>
    <row r="4310" spans="1:7" x14ac:dyDescent="0.25">
      <c r="A4310" s="101">
        <v>35748</v>
      </c>
      <c r="B4310" s="9">
        <v>46</v>
      </c>
      <c r="C4310" s="9">
        <v>49.12</v>
      </c>
      <c r="D4310" s="9">
        <v>46</v>
      </c>
      <c r="E4310" s="9">
        <v>47.88</v>
      </c>
      <c r="F4310" s="9">
        <v>24700800</v>
      </c>
      <c r="G4310" s="9">
        <v>2.99</v>
      </c>
    </row>
    <row r="4311" spans="1:7" x14ac:dyDescent="0.25">
      <c r="A4311" s="101">
        <v>35747</v>
      </c>
      <c r="B4311" s="9">
        <v>45.12</v>
      </c>
      <c r="C4311" s="9">
        <v>46.5</v>
      </c>
      <c r="D4311" s="9">
        <v>42</v>
      </c>
      <c r="E4311" s="9">
        <v>45.69</v>
      </c>
      <c r="F4311" s="9">
        <v>29244800</v>
      </c>
      <c r="G4311" s="9">
        <v>2.86</v>
      </c>
    </row>
    <row r="4312" spans="1:7" x14ac:dyDescent="0.25">
      <c r="A4312" s="101">
        <v>35746</v>
      </c>
      <c r="B4312" s="9">
        <v>44.75</v>
      </c>
      <c r="C4312" s="9">
        <v>47.38</v>
      </c>
      <c r="D4312" s="9">
        <v>42.88</v>
      </c>
      <c r="E4312" s="9">
        <v>43.5</v>
      </c>
      <c r="F4312" s="9">
        <v>25264000</v>
      </c>
      <c r="G4312" s="9">
        <v>2.72</v>
      </c>
    </row>
    <row r="4313" spans="1:7" x14ac:dyDescent="0.25">
      <c r="A4313" s="101">
        <v>35745</v>
      </c>
      <c r="B4313" s="9">
        <v>49.12</v>
      </c>
      <c r="C4313" s="9">
        <v>49.5</v>
      </c>
      <c r="D4313" s="9">
        <v>45.5</v>
      </c>
      <c r="E4313" s="9">
        <v>46</v>
      </c>
      <c r="F4313" s="9">
        <v>20819200</v>
      </c>
      <c r="G4313" s="9">
        <v>2.88</v>
      </c>
    </row>
    <row r="4314" spans="1:7" x14ac:dyDescent="0.25">
      <c r="A4314" s="101">
        <v>35744</v>
      </c>
      <c r="B4314" s="9">
        <v>49.62</v>
      </c>
      <c r="C4314" s="9">
        <v>51</v>
      </c>
      <c r="D4314" s="9">
        <v>48</v>
      </c>
      <c r="E4314" s="9">
        <v>48.62</v>
      </c>
      <c r="F4314" s="9">
        <v>13699200</v>
      </c>
      <c r="G4314" s="9">
        <v>3.04</v>
      </c>
    </row>
    <row r="4315" spans="1:7" x14ac:dyDescent="0.25">
      <c r="A4315" s="101">
        <v>35741</v>
      </c>
      <c r="B4315" s="9">
        <v>49</v>
      </c>
      <c r="C4315" s="9">
        <v>51.75</v>
      </c>
      <c r="D4315" s="9">
        <v>48.75</v>
      </c>
      <c r="E4315" s="9">
        <v>49.5</v>
      </c>
      <c r="F4315" s="9">
        <v>23028800</v>
      </c>
      <c r="G4315" s="9">
        <v>3.09</v>
      </c>
    </row>
    <row r="4316" spans="1:7" x14ac:dyDescent="0.25">
      <c r="A4316" s="101">
        <v>35740</v>
      </c>
      <c r="B4316" s="9">
        <v>53</v>
      </c>
      <c r="C4316" s="9">
        <v>55.75</v>
      </c>
      <c r="D4316" s="9">
        <v>52.25</v>
      </c>
      <c r="E4316" s="9">
        <v>52.75</v>
      </c>
      <c r="F4316" s="9">
        <v>29057600</v>
      </c>
      <c r="G4316" s="9">
        <v>3.3</v>
      </c>
    </row>
    <row r="4317" spans="1:7" x14ac:dyDescent="0.25">
      <c r="A4317" s="101">
        <v>35739</v>
      </c>
      <c r="B4317" s="9">
        <v>50.88</v>
      </c>
      <c r="C4317" s="9">
        <v>54.5</v>
      </c>
      <c r="D4317" s="9">
        <v>50.88</v>
      </c>
      <c r="E4317" s="9">
        <v>53.62</v>
      </c>
      <c r="F4317" s="9">
        <v>39339200</v>
      </c>
      <c r="G4317" s="9">
        <v>3.35</v>
      </c>
    </row>
    <row r="4318" spans="1:7" x14ac:dyDescent="0.25">
      <c r="A4318" s="101">
        <v>35738</v>
      </c>
      <c r="B4318" s="9">
        <v>45.62</v>
      </c>
      <c r="C4318" s="9">
        <v>51.38</v>
      </c>
      <c r="D4318" s="9">
        <v>44.5</v>
      </c>
      <c r="E4318" s="9">
        <v>51</v>
      </c>
      <c r="F4318" s="9">
        <v>25473600</v>
      </c>
      <c r="G4318" s="9">
        <v>3.19</v>
      </c>
    </row>
    <row r="4319" spans="1:7" x14ac:dyDescent="0.25">
      <c r="A4319" s="101">
        <v>35737</v>
      </c>
      <c r="B4319" s="9">
        <v>45</v>
      </c>
      <c r="C4319" s="9">
        <v>46.5</v>
      </c>
      <c r="D4319" s="9">
        <v>44.75</v>
      </c>
      <c r="E4319" s="9">
        <v>46.09</v>
      </c>
      <c r="F4319" s="9">
        <v>13121600</v>
      </c>
      <c r="G4319" s="9">
        <v>2.88</v>
      </c>
    </row>
    <row r="4320" spans="1:7" x14ac:dyDescent="0.25">
      <c r="A4320" s="101">
        <v>35734</v>
      </c>
      <c r="B4320" s="9">
        <v>43.12</v>
      </c>
      <c r="C4320" s="9">
        <v>44.25</v>
      </c>
      <c r="D4320" s="9">
        <v>42.5</v>
      </c>
      <c r="E4320" s="9">
        <v>43.84</v>
      </c>
      <c r="F4320" s="9">
        <v>14144000</v>
      </c>
      <c r="G4320" s="9">
        <v>2.74</v>
      </c>
    </row>
    <row r="4321" spans="1:7" x14ac:dyDescent="0.25">
      <c r="A4321" s="101">
        <v>35733</v>
      </c>
      <c r="B4321" s="9">
        <v>39.380000000000003</v>
      </c>
      <c r="C4321" s="9">
        <v>43.25</v>
      </c>
      <c r="D4321" s="9">
        <v>39.25</v>
      </c>
      <c r="E4321" s="9">
        <v>41.69</v>
      </c>
      <c r="F4321" s="9">
        <v>17641600</v>
      </c>
      <c r="G4321" s="9">
        <v>2.61</v>
      </c>
    </row>
    <row r="4322" spans="1:7" x14ac:dyDescent="0.25">
      <c r="A4322" s="101">
        <v>35732</v>
      </c>
      <c r="B4322" s="9">
        <v>44.5</v>
      </c>
      <c r="C4322" s="9">
        <v>46.25</v>
      </c>
      <c r="D4322" s="9">
        <v>40.380000000000003</v>
      </c>
      <c r="E4322" s="9">
        <v>41.25</v>
      </c>
      <c r="F4322" s="9">
        <v>30163200</v>
      </c>
      <c r="G4322" s="9">
        <v>2.58</v>
      </c>
    </row>
    <row r="4323" spans="1:7" x14ac:dyDescent="0.25">
      <c r="A4323" s="101">
        <v>35731</v>
      </c>
      <c r="B4323" s="9">
        <v>34.119999999999997</v>
      </c>
      <c r="C4323" s="9">
        <v>46.75</v>
      </c>
      <c r="D4323" s="9">
        <v>34.119999999999997</v>
      </c>
      <c r="E4323" s="9">
        <v>43.12</v>
      </c>
      <c r="F4323" s="9">
        <v>51822400</v>
      </c>
      <c r="G4323" s="9">
        <v>2.7</v>
      </c>
    </row>
    <row r="4324" spans="1:7" x14ac:dyDescent="0.25">
      <c r="A4324" s="101">
        <v>35730</v>
      </c>
      <c r="B4324" s="9">
        <v>47</v>
      </c>
      <c r="C4324" s="9">
        <v>47</v>
      </c>
      <c r="D4324" s="9">
        <v>38</v>
      </c>
      <c r="E4324" s="9">
        <v>38</v>
      </c>
      <c r="F4324" s="9">
        <v>35051200</v>
      </c>
      <c r="G4324" s="9">
        <v>2.38</v>
      </c>
    </row>
    <row r="4325" spans="1:7" x14ac:dyDescent="0.25">
      <c r="A4325" s="101">
        <v>35727</v>
      </c>
      <c r="B4325" s="9">
        <v>51.75</v>
      </c>
      <c r="C4325" s="9">
        <v>51.75</v>
      </c>
      <c r="D4325" s="9">
        <v>46.5</v>
      </c>
      <c r="E4325" s="9">
        <v>47.56</v>
      </c>
      <c r="F4325" s="9">
        <v>15764800</v>
      </c>
      <c r="G4325" s="9">
        <v>2.97</v>
      </c>
    </row>
    <row r="4326" spans="1:7" x14ac:dyDescent="0.25">
      <c r="A4326" s="101">
        <v>35726</v>
      </c>
      <c r="B4326" s="9">
        <v>50.75</v>
      </c>
      <c r="C4326" s="9">
        <v>51.75</v>
      </c>
      <c r="D4326" s="9">
        <v>49.25</v>
      </c>
      <c r="E4326" s="9">
        <v>50.56</v>
      </c>
      <c r="F4326" s="9">
        <v>15209600</v>
      </c>
      <c r="G4326" s="9">
        <v>3.16</v>
      </c>
    </row>
    <row r="4327" spans="1:7" x14ac:dyDescent="0.25">
      <c r="A4327" s="101">
        <v>35725</v>
      </c>
      <c r="B4327" s="9">
        <v>52.38</v>
      </c>
      <c r="C4327" s="9">
        <v>53.38</v>
      </c>
      <c r="D4327" s="9">
        <v>50.62</v>
      </c>
      <c r="E4327" s="9">
        <v>52.94</v>
      </c>
      <c r="F4327" s="9">
        <v>14001600</v>
      </c>
      <c r="G4327" s="9">
        <v>3.31</v>
      </c>
    </row>
    <row r="4328" spans="1:7" x14ac:dyDescent="0.25">
      <c r="A4328" s="101">
        <v>35724</v>
      </c>
      <c r="B4328" s="9">
        <v>49.75</v>
      </c>
      <c r="C4328" s="9">
        <v>51.38</v>
      </c>
      <c r="D4328" s="9">
        <v>49.62</v>
      </c>
      <c r="E4328" s="9">
        <v>51.12</v>
      </c>
      <c r="F4328" s="9">
        <v>13385600</v>
      </c>
      <c r="G4328" s="9">
        <v>3.2</v>
      </c>
    </row>
    <row r="4329" spans="1:7" x14ac:dyDescent="0.25">
      <c r="A4329" s="101">
        <v>35723</v>
      </c>
      <c r="B4329" s="9">
        <v>48.75</v>
      </c>
      <c r="C4329" s="9">
        <v>49.25</v>
      </c>
      <c r="D4329" s="9">
        <v>46.88</v>
      </c>
      <c r="E4329" s="9">
        <v>48.88</v>
      </c>
      <c r="F4329" s="9">
        <v>20217600</v>
      </c>
      <c r="G4329" s="9">
        <v>3.05</v>
      </c>
    </row>
    <row r="4330" spans="1:7" x14ac:dyDescent="0.25">
      <c r="A4330" s="101">
        <v>35720</v>
      </c>
      <c r="B4330" s="9">
        <v>48.25</v>
      </c>
      <c r="C4330" s="9">
        <v>49</v>
      </c>
      <c r="D4330" s="9">
        <v>45.5</v>
      </c>
      <c r="E4330" s="9">
        <v>48.5</v>
      </c>
      <c r="F4330" s="9">
        <v>24849600</v>
      </c>
      <c r="G4330" s="9">
        <v>3.03</v>
      </c>
    </row>
    <row r="4331" spans="1:7" x14ac:dyDescent="0.25">
      <c r="A4331" s="101">
        <v>35719</v>
      </c>
      <c r="B4331" s="9">
        <v>51.75</v>
      </c>
      <c r="C4331" s="9">
        <v>53.12</v>
      </c>
      <c r="D4331" s="9">
        <v>48.25</v>
      </c>
      <c r="E4331" s="9">
        <v>48.62</v>
      </c>
      <c r="F4331" s="9">
        <v>21169600</v>
      </c>
      <c r="G4331" s="9">
        <v>3.04</v>
      </c>
    </row>
    <row r="4332" spans="1:7" x14ac:dyDescent="0.25">
      <c r="A4332" s="101">
        <v>35718</v>
      </c>
      <c r="B4332" s="9">
        <v>50.75</v>
      </c>
      <c r="C4332" s="9">
        <v>51.75</v>
      </c>
      <c r="D4332" s="9">
        <v>50.25</v>
      </c>
      <c r="E4332" s="9">
        <v>51.5</v>
      </c>
      <c r="F4332" s="9">
        <v>11564800</v>
      </c>
      <c r="G4332" s="9">
        <v>3.22</v>
      </c>
    </row>
    <row r="4333" spans="1:7" x14ac:dyDescent="0.25">
      <c r="A4333" s="101">
        <v>35717</v>
      </c>
      <c r="B4333" s="9">
        <v>51.62</v>
      </c>
      <c r="C4333" s="9">
        <v>52.62</v>
      </c>
      <c r="D4333" s="9">
        <v>49.5</v>
      </c>
      <c r="E4333" s="9">
        <v>51</v>
      </c>
      <c r="F4333" s="9">
        <v>14172800</v>
      </c>
      <c r="G4333" s="9">
        <v>3.19</v>
      </c>
    </row>
    <row r="4334" spans="1:7" x14ac:dyDescent="0.25">
      <c r="A4334" s="101">
        <v>35716</v>
      </c>
      <c r="B4334" s="9">
        <v>53.12</v>
      </c>
      <c r="C4334" s="9">
        <v>53.25</v>
      </c>
      <c r="D4334" s="9">
        <v>50.25</v>
      </c>
      <c r="E4334" s="9">
        <v>51.12</v>
      </c>
      <c r="F4334" s="9">
        <v>18051200</v>
      </c>
      <c r="G4334" s="9">
        <v>3.2</v>
      </c>
    </row>
    <row r="4335" spans="1:7" x14ac:dyDescent="0.25">
      <c r="A4335" s="101">
        <v>35713</v>
      </c>
      <c r="B4335" s="9">
        <v>54</v>
      </c>
      <c r="C4335" s="9">
        <v>55.5</v>
      </c>
      <c r="D4335" s="9">
        <v>52.75</v>
      </c>
      <c r="E4335" s="9">
        <v>52.81</v>
      </c>
      <c r="F4335" s="9">
        <v>18844800</v>
      </c>
      <c r="G4335" s="9">
        <v>3.3</v>
      </c>
    </row>
    <row r="4336" spans="1:7" x14ac:dyDescent="0.25">
      <c r="A4336" s="101">
        <v>35712</v>
      </c>
      <c r="B4336" s="9">
        <v>55.5</v>
      </c>
      <c r="C4336" s="9">
        <v>56.38</v>
      </c>
      <c r="D4336" s="9">
        <v>54.75</v>
      </c>
      <c r="E4336" s="9">
        <v>55.5</v>
      </c>
      <c r="F4336" s="9">
        <v>33960000</v>
      </c>
      <c r="G4336" s="9">
        <v>3.47</v>
      </c>
    </row>
    <row r="4337" spans="1:7" x14ac:dyDescent="0.25">
      <c r="A4337" s="101">
        <v>35711</v>
      </c>
      <c r="B4337" s="9">
        <v>57.25</v>
      </c>
      <c r="C4337" s="9">
        <v>58</v>
      </c>
      <c r="D4337" s="9">
        <v>56</v>
      </c>
      <c r="E4337" s="9">
        <v>56.75</v>
      </c>
      <c r="F4337" s="9">
        <v>32020800</v>
      </c>
      <c r="G4337" s="9">
        <v>3.55</v>
      </c>
    </row>
    <row r="4338" spans="1:7" x14ac:dyDescent="0.25">
      <c r="A4338" s="101">
        <v>35710</v>
      </c>
      <c r="B4338" s="9">
        <v>57.75</v>
      </c>
      <c r="C4338" s="9">
        <v>58.12</v>
      </c>
      <c r="D4338" s="9">
        <v>55.12</v>
      </c>
      <c r="E4338" s="9">
        <v>55.75</v>
      </c>
      <c r="F4338" s="9">
        <v>15825600</v>
      </c>
      <c r="G4338" s="9">
        <v>3.48</v>
      </c>
    </row>
    <row r="4339" spans="1:7" x14ac:dyDescent="0.25">
      <c r="A4339" s="101">
        <v>35709</v>
      </c>
      <c r="B4339" s="9">
        <v>55.25</v>
      </c>
      <c r="C4339" s="9">
        <v>58.62</v>
      </c>
      <c r="D4339" s="9">
        <v>55.25</v>
      </c>
      <c r="E4339" s="9">
        <v>58.25</v>
      </c>
      <c r="F4339" s="9">
        <v>15339200</v>
      </c>
      <c r="G4339" s="9">
        <v>3.64</v>
      </c>
    </row>
    <row r="4340" spans="1:7" x14ac:dyDescent="0.25">
      <c r="A4340" s="101">
        <v>35706</v>
      </c>
      <c r="B4340" s="9">
        <v>55</v>
      </c>
      <c r="C4340" s="9">
        <v>56.25</v>
      </c>
      <c r="D4340" s="9">
        <v>53.75</v>
      </c>
      <c r="E4340" s="9">
        <v>55.25</v>
      </c>
      <c r="F4340" s="9">
        <v>19518400</v>
      </c>
      <c r="G4340" s="9">
        <v>3.45</v>
      </c>
    </row>
    <row r="4341" spans="1:7" x14ac:dyDescent="0.25">
      <c r="A4341" s="101">
        <v>35705</v>
      </c>
      <c r="B4341" s="9">
        <v>51.12</v>
      </c>
      <c r="C4341" s="9">
        <v>55</v>
      </c>
      <c r="D4341" s="9">
        <v>50.12</v>
      </c>
      <c r="E4341" s="9">
        <v>55</v>
      </c>
      <c r="F4341" s="9">
        <v>22676800</v>
      </c>
      <c r="G4341" s="9">
        <v>3.44</v>
      </c>
    </row>
    <row r="4342" spans="1:7" x14ac:dyDescent="0.25">
      <c r="A4342" s="101">
        <v>35704</v>
      </c>
      <c r="B4342" s="9">
        <v>50.25</v>
      </c>
      <c r="C4342" s="9">
        <v>51.62</v>
      </c>
      <c r="D4342" s="9">
        <v>50.12</v>
      </c>
      <c r="E4342" s="9">
        <v>51.12</v>
      </c>
      <c r="F4342" s="9">
        <v>14475200</v>
      </c>
      <c r="G4342" s="9">
        <v>3.2</v>
      </c>
    </row>
    <row r="4343" spans="1:7" x14ac:dyDescent="0.25">
      <c r="A4343" s="101">
        <v>35703</v>
      </c>
      <c r="B4343" s="9">
        <v>50.62</v>
      </c>
      <c r="C4343" s="9">
        <v>50.62</v>
      </c>
      <c r="D4343" s="9">
        <v>49.75</v>
      </c>
      <c r="E4343" s="9">
        <v>50.12</v>
      </c>
      <c r="F4343" s="9">
        <v>3744000</v>
      </c>
      <c r="G4343" s="9">
        <v>3.13</v>
      </c>
    </row>
    <row r="4344" spans="1:7" x14ac:dyDescent="0.25">
      <c r="A4344" s="101">
        <v>35702</v>
      </c>
      <c r="B4344" s="9">
        <v>50.5</v>
      </c>
      <c r="C4344" s="9">
        <v>51</v>
      </c>
      <c r="D4344" s="9">
        <v>49.38</v>
      </c>
      <c r="E4344" s="9">
        <v>50.69</v>
      </c>
      <c r="F4344" s="9">
        <v>6649600</v>
      </c>
      <c r="G4344" s="9">
        <v>3.17</v>
      </c>
    </row>
    <row r="4345" spans="1:7" x14ac:dyDescent="0.25">
      <c r="A4345" s="101">
        <v>35699</v>
      </c>
      <c r="B4345" s="9">
        <v>50.5</v>
      </c>
      <c r="C4345" s="9">
        <v>51.75</v>
      </c>
      <c r="D4345" s="9">
        <v>50</v>
      </c>
      <c r="E4345" s="9">
        <v>50.25</v>
      </c>
      <c r="F4345" s="9">
        <v>10222400</v>
      </c>
      <c r="G4345" s="9">
        <v>3.14</v>
      </c>
    </row>
    <row r="4346" spans="1:7" x14ac:dyDescent="0.25">
      <c r="A4346" s="101">
        <v>35698</v>
      </c>
      <c r="B4346" s="9">
        <v>51.75</v>
      </c>
      <c r="C4346" s="9">
        <v>52</v>
      </c>
      <c r="D4346" s="9">
        <v>48.75</v>
      </c>
      <c r="E4346" s="9">
        <v>50.06</v>
      </c>
      <c r="F4346" s="9">
        <v>14795200</v>
      </c>
      <c r="G4346" s="9">
        <v>3.13</v>
      </c>
    </row>
    <row r="4347" spans="1:7" x14ac:dyDescent="0.25">
      <c r="A4347" s="101">
        <v>35697</v>
      </c>
      <c r="B4347" s="9">
        <v>51.12</v>
      </c>
      <c r="C4347" s="9">
        <v>53.12</v>
      </c>
      <c r="D4347" s="9">
        <v>50.88</v>
      </c>
      <c r="E4347" s="9">
        <v>51.5</v>
      </c>
      <c r="F4347" s="9">
        <v>12670400</v>
      </c>
      <c r="G4347" s="9">
        <v>3.22</v>
      </c>
    </row>
    <row r="4348" spans="1:7" x14ac:dyDescent="0.25">
      <c r="A4348" s="101">
        <v>35696</v>
      </c>
      <c r="B4348" s="9">
        <v>54.12</v>
      </c>
      <c r="C4348" s="9">
        <v>55</v>
      </c>
      <c r="D4348" s="9">
        <v>50.12</v>
      </c>
      <c r="E4348" s="9">
        <v>50.69</v>
      </c>
      <c r="F4348" s="9">
        <v>14896000</v>
      </c>
      <c r="G4348" s="9">
        <v>3.17</v>
      </c>
    </row>
    <row r="4349" spans="1:7" x14ac:dyDescent="0.25">
      <c r="A4349" s="101">
        <v>35695</v>
      </c>
      <c r="B4349" s="9">
        <v>52.12</v>
      </c>
      <c r="C4349" s="9">
        <v>55.38</v>
      </c>
      <c r="D4349" s="9">
        <v>52</v>
      </c>
      <c r="E4349" s="9">
        <v>53.62</v>
      </c>
      <c r="F4349" s="9">
        <v>17758400</v>
      </c>
      <c r="G4349" s="9">
        <v>3.35</v>
      </c>
    </row>
    <row r="4350" spans="1:7" x14ac:dyDescent="0.25">
      <c r="A4350" s="101">
        <v>35692</v>
      </c>
      <c r="B4350" s="9">
        <v>49.5</v>
      </c>
      <c r="C4350" s="9">
        <v>52.62</v>
      </c>
      <c r="D4350" s="9">
        <v>49.25</v>
      </c>
      <c r="E4350" s="9">
        <v>51.38</v>
      </c>
      <c r="F4350" s="9">
        <v>24308800</v>
      </c>
      <c r="G4350" s="9">
        <v>3.21</v>
      </c>
    </row>
    <row r="4351" spans="1:7" x14ac:dyDescent="0.25">
      <c r="A4351" s="101">
        <v>35691</v>
      </c>
      <c r="B4351" s="9">
        <v>49.12</v>
      </c>
      <c r="C4351" s="9">
        <v>50.25</v>
      </c>
      <c r="D4351" s="9">
        <v>48.38</v>
      </c>
      <c r="E4351" s="9">
        <v>49.75</v>
      </c>
      <c r="F4351" s="9">
        <v>12360000</v>
      </c>
      <c r="G4351" s="9">
        <v>3.11</v>
      </c>
    </row>
    <row r="4352" spans="1:7" x14ac:dyDescent="0.25">
      <c r="A4352" s="101">
        <v>35690</v>
      </c>
      <c r="B4352" s="9">
        <v>51.5</v>
      </c>
      <c r="C4352" s="9">
        <v>51.88</v>
      </c>
      <c r="D4352" s="9">
        <v>47.38</v>
      </c>
      <c r="E4352" s="9">
        <v>48.88</v>
      </c>
      <c r="F4352" s="9">
        <v>20712000</v>
      </c>
      <c r="G4352" s="9">
        <v>3.05</v>
      </c>
    </row>
    <row r="4353" spans="1:7" x14ac:dyDescent="0.25">
      <c r="A4353" s="101">
        <v>35689</v>
      </c>
      <c r="B4353" s="9">
        <v>48.25</v>
      </c>
      <c r="C4353" s="9">
        <v>51.12</v>
      </c>
      <c r="D4353" s="9">
        <v>45.25</v>
      </c>
      <c r="E4353" s="9">
        <v>51.12</v>
      </c>
      <c r="F4353" s="9">
        <v>37563200</v>
      </c>
      <c r="G4353" s="9">
        <v>3.2</v>
      </c>
    </row>
    <row r="4354" spans="1:7" x14ac:dyDescent="0.25">
      <c r="A4354" s="101">
        <v>35688</v>
      </c>
      <c r="B4354" s="9">
        <v>53</v>
      </c>
      <c r="C4354" s="9">
        <v>53.75</v>
      </c>
      <c r="D4354" s="9">
        <v>48</v>
      </c>
      <c r="E4354" s="9">
        <v>48.19</v>
      </c>
      <c r="F4354" s="9">
        <v>31624000</v>
      </c>
      <c r="G4354" s="9">
        <v>3.01</v>
      </c>
    </row>
    <row r="4355" spans="1:7" x14ac:dyDescent="0.25">
      <c r="A4355" s="101">
        <v>35685</v>
      </c>
      <c r="B4355" s="9">
        <v>56.62</v>
      </c>
      <c r="C4355" s="9">
        <v>58</v>
      </c>
      <c r="D4355" s="9">
        <v>52.75</v>
      </c>
      <c r="E4355" s="9">
        <v>53.94</v>
      </c>
      <c r="F4355" s="9">
        <v>22862400</v>
      </c>
      <c r="G4355" s="9">
        <v>3.37</v>
      </c>
    </row>
    <row r="4356" spans="1:7" x14ac:dyDescent="0.25">
      <c r="A4356" s="101">
        <v>35684</v>
      </c>
      <c r="B4356" s="9">
        <v>53</v>
      </c>
      <c r="C4356" s="9">
        <v>56.75</v>
      </c>
      <c r="D4356" s="9">
        <v>52.5</v>
      </c>
      <c r="E4356" s="9">
        <v>55.38</v>
      </c>
      <c r="F4356" s="9">
        <v>33902400</v>
      </c>
      <c r="G4356" s="9">
        <v>3.46</v>
      </c>
    </row>
    <row r="4357" spans="1:7" x14ac:dyDescent="0.25">
      <c r="A4357" s="101">
        <v>35683</v>
      </c>
      <c r="B4357" s="9">
        <v>51.69</v>
      </c>
      <c r="C4357" s="9">
        <v>54</v>
      </c>
      <c r="D4357" s="9">
        <v>50.38</v>
      </c>
      <c r="E4357" s="9">
        <v>53.31</v>
      </c>
      <c r="F4357" s="9">
        <v>23131200</v>
      </c>
      <c r="G4357" s="9">
        <v>3.33</v>
      </c>
    </row>
    <row r="4358" spans="1:7" x14ac:dyDescent="0.25">
      <c r="A4358" s="101">
        <v>35682</v>
      </c>
      <c r="B4358" s="9">
        <v>48.12</v>
      </c>
      <c r="C4358" s="9">
        <v>50.38</v>
      </c>
      <c r="D4358" s="9">
        <v>48</v>
      </c>
      <c r="E4358" s="9">
        <v>50.38</v>
      </c>
      <c r="F4358" s="9">
        <v>17556800</v>
      </c>
      <c r="G4358" s="9">
        <v>3.15</v>
      </c>
    </row>
    <row r="4359" spans="1:7" x14ac:dyDescent="0.25">
      <c r="A4359" s="101">
        <v>35681</v>
      </c>
      <c r="B4359" s="9">
        <v>46.75</v>
      </c>
      <c r="C4359" s="9">
        <v>49.12</v>
      </c>
      <c r="D4359" s="9">
        <v>46.75</v>
      </c>
      <c r="E4359" s="9">
        <v>47.19</v>
      </c>
      <c r="F4359" s="9">
        <v>21164800</v>
      </c>
      <c r="G4359" s="9">
        <v>2.95</v>
      </c>
    </row>
    <row r="4360" spans="1:7" x14ac:dyDescent="0.25">
      <c r="A4360" s="101">
        <v>35678</v>
      </c>
      <c r="B4360" s="9">
        <v>42.25</v>
      </c>
      <c r="C4360" s="9">
        <v>45.75</v>
      </c>
      <c r="D4360" s="9">
        <v>42</v>
      </c>
      <c r="E4360" s="9">
        <v>45.38</v>
      </c>
      <c r="F4360" s="9">
        <v>16643200</v>
      </c>
      <c r="G4360" s="9">
        <v>2.84</v>
      </c>
    </row>
    <row r="4361" spans="1:7" x14ac:dyDescent="0.25">
      <c r="A4361" s="101">
        <v>35677</v>
      </c>
      <c r="B4361" s="9">
        <v>41.25</v>
      </c>
      <c r="C4361" s="9">
        <v>42.38</v>
      </c>
      <c r="D4361" s="9">
        <v>40.619999999999997</v>
      </c>
      <c r="E4361" s="9">
        <v>41.75</v>
      </c>
      <c r="F4361" s="9">
        <v>9294400</v>
      </c>
      <c r="G4361" s="9">
        <v>2.61</v>
      </c>
    </row>
    <row r="4362" spans="1:7" x14ac:dyDescent="0.25">
      <c r="A4362" s="101">
        <v>35676</v>
      </c>
      <c r="B4362" s="9">
        <v>40.380000000000003</v>
      </c>
      <c r="C4362" s="9">
        <v>41.88</v>
      </c>
      <c r="D4362" s="9">
        <v>39.880000000000003</v>
      </c>
      <c r="E4362" s="9">
        <v>40.619999999999997</v>
      </c>
      <c r="F4362" s="9">
        <v>11555200</v>
      </c>
      <c r="G4362" s="9">
        <v>2.54</v>
      </c>
    </row>
    <row r="4363" spans="1:7" x14ac:dyDescent="0.25">
      <c r="A4363" s="101">
        <v>35675</v>
      </c>
      <c r="B4363" s="9">
        <v>40.25</v>
      </c>
      <c r="C4363" s="9">
        <v>40.75</v>
      </c>
      <c r="D4363" s="9">
        <v>39.119999999999997</v>
      </c>
      <c r="E4363" s="9">
        <v>39.880000000000003</v>
      </c>
      <c r="F4363" s="9">
        <v>10619200</v>
      </c>
      <c r="G4363" s="9">
        <v>2.4900000000000002</v>
      </c>
    </row>
    <row r="4364" spans="1:7" x14ac:dyDescent="0.25">
      <c r="A4364" s="101">
        <v>35671</v>
      </c>
      <c r="B4364" s="9">
        <v>56.5</v>
      </c>
      <c r="C4364" s="9">
        <v>59.87</v>
      </c>
      <c r="D4364" s="9">
        <v>56.25</v>
      </c>
      <c r="E4364" s="9">
        <v>59.5</v>
      </c>
      <c r="F4364" s="9">
        <v>13696000</v>
      </c>
      <c r="G4364" s="9">
        <v>2.48</v>
      </c>
    </row>
    <row r="4365" spans="1:7" x14ac:dyDescent="0.25">
      <c r="A4365" s="101">
        <v>35670</v>
      </c>
      <c r="B4365" s="9">
        <v>55.37</v>
      </c>
      <c r="C4365" s="9">
        <v>57.69</v>
      </c>
      <c r="D4365" s="9">
        <v>53.5</v>
      </c>
      <c r="E4365" s="9">
        <v>56.12</v>
      </c>
      <c r="F4365" s="9">
        <v>24696000</v>
      </c>
      <c r="G4365" s="9">
        <v>2.34</v>
      </c>
    </row>
    <row r="4366" spans="1:7" x14ac:dyDescent="0.25">
      <c r="A4366" s="101">
        <v>35669</v>
      </c>
      <c r="B4366" s="9">
        <v>55.87</v>
      </c>
      <c r="C4366" s="9">
        <v>56.38</v>
      </c>
      <c r="D4366" s="9">
        <v>54.75</v>
      </c>
      <c r="E4366" s="9">
        <v>55.81</v>
      </c>
      <c r="F4366" s="9">
        <v>11371200</v>
      </c>
      <c r="G4366" s="9">
        <v>2.33</v>
      </c>
    </row>
    <row r="4367" spans="1:7" x14ac:dyDescent="0.25">
      <c r="A4367" s="101">
        <v>35668</v>
      </c>
      <c r="B4367" s="9">
        <v>56.5</v>
      </c>
      <c r="C4367" s="9">
        <v>56.75</v>
      </c>
      <c r="D4367" s="9">
        <v>55.5</v>
      </c>
      <c r="E4367" s="9">
        <v>55.87</v>
      </c>
      <c r="F4367" s="9">
        <v>6016000</v>
      </c>
      <c r="G4367" s="9">
        <v>2.33</v>
      </c>
    </row>
    <row r="4368" spans="1:7" x14ac:dyDescent="0.25">
      <c r="A4368" s="101">
        <v>35667</v>
      </c>
      <c r="B4368" s="9">
        <v>56</v>
      </c>
      <c r="C4368" s="9">
        <v>57.25</v>
      </c>
      <c r="D4368" s="9">
        <v>55.87</v>
      </c>
      <c r="E4368" s="9">
        <v>56.75</v>
      </c>
      <c r="F4368" s="9">
        <v>10302400</v>
      </c>
      <c r="G4368" s="9">
        <v>2.36</v>
      </c>
    </row>
    <row r="4369" spans="1:7" x14ac:dyDescent="0.25">
      <c r="A4369" s="101">
        <v>35664</v>
      </c>
      <c r="B4369" s="9">
        <v>53.5</v>
      </c>
      <c r="C4369" s="9">
        <v>56.12</v>
      </c>
      <c r="D4369" s="9">
        <v>53.12</v>
      </c>
      <c r="E4369" s="9">
        <v>55.69</v>
      </c>
      <c r="F4369" s="9">
        <v>12489600</v>
      </c>
      <c r="G4369" s="9">
        <v>2.3199999999999998</v>
      </c>
    </row>
    <row r="4370" spans="1:7" x14ac:dyDescent="0.25">
      <c r="A4370" s="101">
        <v>35663</v>
      </c>
      <c r="B4370" s="9">
        <v>57.5</v>
      </c>
      <c r="C4370" s="9">
        <v>57.75</v>
      </c>
      <c r="D4370" s="9">
        <v>55.25</v>
      </c>
      <c r="E4370" s="9">
        <v>55.75</v>
      </c>
      <c r="F4370" s="9">
        <v>10432000</v>
      </c>
      <c r="G4370" s="9">
        <v>2.3199999999999998</v>
      </c>
    </row>
    <row r="4371" spans="1:7" x14ac:dyDescent="0.25">
      <c r="A4371" s="101">
        <v>35662</v>
      </c>
      <c r="B4371" s="9">
        <v>55.5</v>
      </c>
      <c r="C4371" s="9">
        <v>57.75</v>
      </c>
      <c r="D4371" s="9">
        <v>54.25</v>
      </c>
      <c r="E4371" s="9">
        <v>57.37</v>
      </c>
      <c r="F4371" s="9">
        <v>21724800</v>
      </c>
      <c r="G4371" s="9">
        <v>2.39</v>
      </c>
    </row>
    <row r="4372" spans="1:7" x14ac:dyDescent="0.25">
      <c r="A4372" s="101">
        <v>35661</v>
      </c>
      <c r="B4372" s="9">
        <v>52.63</v>
      </c>
      <c r="C4372" s="9">
        <v>56</v>
      </c>
      <c r="D4372" s="9">
        <v>52.5</v>
      </c>
      <c r="E4372" s="9">
        <v>55.25</v>
      </c>
      <c r="F4372" s="9">
        <v>20222400</v>
      </c>
      <c r="G4372" s="9">
        <v>2.2999999999999998</v>
      </c>
    </row>
    <row r="4373" spans="1:7" x14ac:dyDescent="0.25">
      <c r="A4373" s="101">
        <v>35660</v>
      </c>
      <c r="B4373" s="9">
        <v>48.62</v>
      </c>
      <c r="C4373" s="9">
        <v>52.5</v>
      </c>
      <c r="D4373" s="9">
        <v>48.25</v>
      </c>
      <c r="E4373" s="9">
        <v>52.37</v>
      </c>
      <c r="F4373" s="9">
        <v>18100800</v>
      </c>
      <c r="G4373" s="9">
        <v>2.1800000000000002</v>
      </c>
    </row>
    <row r="4374" spans="1:7" x14ac:dyDescent="0.25">
      <c r="A4374" s="101">
        <v>35657</v>
      </c>
      <c r="B4374" s="9">
        <v>49.5</v>
      </c>
      <c r="C4374" s="9">
        <v>49.75</v>
      </c>
      <c r="D4374" s="9">
        <v>48.5</v>
      </c>
      <c r="E4374" s="9">
        <v>48.5</v>
      </c>
      <c r="F4374" s="9">
        <v>9004800</v>
      </c>
      <c r="G4374" s="9">
        <v>2.02</v>
      </c>
    </row>
    <row r="4375" spans="1:7" x14ac:dyDescent="0.25">
      <c r="A4375" s="101">
        <v>35656</v>
      </c>
      <c r="B4375" s="9">
        <v>50.38</v>
      </c>
      <c r="C4375" s="9">
        <v>51</v>
      </c>
      <c r="D4375" s="9">
        <v>49.37</v>
      </c>
      <c r="E4375" s="9">
        <v>49.56</v>
      </c>
      <c r="F4375" s="9">
        <v>5505600</v>
      </c>
      <c r="G4375" s="9">
        <v>2.0699999999999998</v>
      </c>
    </row>
    <row r="4376" spans="1:7" x14ac:dyDescent="0.25">
      <c r="A4376" s="101">
        <v>35655</v>
      </c>
      <c r="B4376" s="9">
        <v>51</v>
      </c>
      <c r="C4376" s="9">
        <v>52.5</v>
      </c>
      <c r="D4376" s="9">
        <v>49.63</v>
      </c>
      <c r="E4376" s="9">
        <v>50.38</v>
      </c>
      <c r="F4376" s="9">
        <v>18326400</v>
      </c>
      <c r="G4376" s="9">
        <v>2.1</v>
      </c>
    </row>
    <row r="4377" spans="1:7" x14ac:dyDescent="0.25">
      <c r="A4377" s="101">
        <v>35654</v>
      </c>
      <c r="B4377" s="9">
        <v>53.5</v>
      </c>
      <c r="C4377" s="9">
        <v>54.25</v>
      </c>
      <c r="D4377" s="9">
        <v>50.63</v>
      </c>
      <c r="E4377" s="9">
        <v>50.94</v>
      </c>
      <c r="F4377" s="9">
        <v>10715200</v>
      </c>
      <c r="G4377" s="9">
        <v>2.12</v>
      </c>
    </row>
    <row r="4378" spans="1:7" x14ac:dyDescent="0.25">
      <c r="A4378" s="101">
        <v>35653</v>
      </c>
      <c r="B4378" s="9">
        <v>54</v>
      </c>
      <c r="C4378" s="9">
        <v>54</v>
      </c>
      <c r="D4378" s="9">
        <v>51.75</v>
      </c>
      <c r="E4378" s="9">
        <v>53.25</v>
      </c>
      <c r="F4378" s="9">
        <v>18528000</v>
      </c>
      <c r="G4378" s="9">
        <v>2.2200000000000002</v>
      </c>
    </row>
    <row r="4379" spans="1:7" x14ac:dyDescent="0.25">
      <c r="A4379" s="101">
        <v>35650</v>
      </c>
      <c r="B4379" s="9">
        <v>53.5</v>
      </c>
      <c r="C4379" s="9">
        <v>54.62</v>
      </c>
      <c r="D4379" s="9">
        <v>51.25</v>
      </c>
      <c r="E4379" s="9">
        <v>54</v>
      </c>
      <c r="F4379" s="9">
        <v>13401600</v>
      </c>
      <c r="G4379" s="9">
        <v>2.25</v>
      </c>
    </row>
    <row r="4380" spans="1:7" x14ac:dyDescent="0.25">
      <c r="A4380" s="101">
        <v>35649</v>
      </c>
      <c r="B4380" s="9">
        <v>55.5</v>
      </c>
      <c r="C4380" s="9">
        <v>56.12</v>
      </c>
      <c r="D4380" s="9">
        <v>53.75</v>
      </c>
      <c r="E4380" s="9">
        <v>53.81</v>
      </c>
      <c r="F4380" s="9">
        <v>8430400</v>
      </c>
      <c r="G4380" s="9">
        <v>2.2400000000000002</v>
      </c>
    </row>
    <row r="4381" spans="1:7" x14ac:dyDescent="0.25">
      <c r="A4381" s="101">
        <v>35648</v>
      </c>
      <c r="B4381" s="9">
        <v>54.62</v>
      </c>
      <c r="C4381" s="9">
        <v>56</v>
      </c>
      <c r="D4381" s="9">
        <v>54</v>
      </c>
      <c r="E4381" s="9">
        <v>55</v>
      </c>
      <c r="F4381" s="9">
        <v>7033600</v>
      </c>
      <c r="G4381" s="9">
        <v>2.29</v>
      </c>
    </row>
    <row r="4382" spans="1:7" x14ac:dyDescent="0.25">
      <c r="A4382" s="101">
        <v>35647</v>
      </c>
      <c r="B4382" s="9">
        <v>53.75</v>
      </c>
      <c r="C4382" s="9">
        <v>55.5</v>
      </c>
      <c r="D4382" s="9">
        <v>53.25</v>
      </c>
      <c r="E4382" s="9">
        <v>54.37</v>
      </c>
      <c r="F4382" s="9">
        <v>11304000</v>
      </c>
      <c r="G4382" s="9">
        <v>2.27</v>
      </c>
    </row>
    <row r="4383" spans="1:7" x14ac:dyDescent="0.25">
      <c r="A4383" s="101">
        <v>35646</v>
      </c>
      <c r="B4383" s="9">
        <v>54.75</v>
      </c>
      <c r="C4383" s="9">
        <v>54.75</v>
      </c>
      <c r="D4383" s="9">
        <v>53.12</v>
      </c>
      <c r="E4383" s="9">
        <v>53.38</v>
      </c>
      <c r="F4383" s="9">
        <v>12841600</v>
      </c>
      <c r="G4383" s="9">
        <v>2.2200000000000002</v>
      </c>
    </row>
    <row r="4384" spans="1:7" x14ac:dyDescent="0.25">
      <c r="A4384" s="101">
        <v>35643</v>
      </c>
      <c r="B4384" s="9">
        <v>56</v>
      </c>
      <c r="C4384" s="9">
        <v>56</v>
      </c>
      <c r="D4384" s="9">
        <v>53.38</v>
      </c>
      <c r="E4384" s="9">
        <v>55.25</v>
      </c>
      <c r="F4384" s="9">
        <v>19910400</v>
      </c>
      <c r="G4384" s="9">
        <v>2.2999999999999998</v>
      </c>
    </row>
    <row r="4385" spans="1:7" x14ac:dyDescent="0.25">
      <c r="A4385" s="101">
        <v>35642</v>
      </c>
      <c r="B4385" s="9">
        <v>55</v>
      </c>
      <c r="C4385" s="9">
        <v>56.5</v>
      </c>
      <c r="D4385" s="9">
        <v>52.37</v>
      </c>
      <c r="E4385" s="9">
        <v>56.5</v>
      </c>
      <c r="F4385" s="9">
        <v>33768000</v>
      </c>
      <c r="G4385" s="9">
        <v>2.35</v>
      </c>
    </row>
    <row r="4386" spans="1:7" x14ac:dyDescent="0.25">
      <c r="A4386" s="101">
        <v>35641</v>
      </c>
      <c r="B4386" s="9">
        <v>49.75</v>
      </c>
      <c r="C4386" s="9">
        <v>55</v>
      </c>
      <c r="D4386" s="9">
        <v>49.63</v>
      </c>
      <c r="E4386" s="9">
        <v>54.62</v>
      </c>
      <c r="F4386" s="9">
        <v>47521600</v>
      </c>
      <c r="G4386" s="9">
        <v>2.2799999999999998</v>
      </c>
    </row>
    <row r="4387" spans="1:7" x14ac:dyDescent="0.25">
      <c r="A4387" s="101">
        <v>35640</v>
      </c>
      <c r="B4387" s="9">
        <v>47.63</v>
      </c>
      <c r="C4387" s="9">
        <v>48.25</v>
      </c>
      <c r="D4387" s="9">
        <v>47</v>
      </c>
      <c r="E4387" s="9">
        <v>48.25</v>
      </c>
      <c r="F4387" s="9">
        <v>4523200</v>
      </c>
      <c r="G4387" s="9">
        <v>2.0099999999999998</v>
      </c>
    </row>
    <row r="4388" spans="1:7" x14ac:dyDescent="0.25">
      <c r="A4388" s="101">
        <v>35639</v>
      </c>
      <c r="B4388" s="9">
        <v>48.25</v>
      </c>
      <c r="C4388" s="9">
        <v>49</v>
      </c>
      <c r="D4388" s="9">
        <v>47.5</v>
      </c>
      <c r="E4388" s="9">
        <v>47.56</v>
      </c>
      <c r="F4388" s="9">
        <v>3806400</v>
      </c>
      <c r="G4388" s="9">
        <v>1.98</v>
      </c>
    </row>
    <row r="4389" spans="1:7" x14ac:dyDescent="0.25">
      <c r="A4389" s="101">
        <v>35636</v>
      </c>
      <c r="B4389" s="9">
        <v>47.75</v>
      </c>
      <c r="C4389" s="9">
        <v>48.13</v>
      </c>
      <c r="D4389" s="9">
        <v>46.19</v>
      </c>
      <c r="E4389" s="9">
        <v>47.87</v>
      </c>
      <c r="F4389" s="9">
        <v>9232000</v>
      </c>
      <c r="G4389" s="9">
        <v>1.99</v>
      </c>
    </row>
    <row r="4390" spans="1:7" x14ac:dyDescent="0.25">
      <c r="A4390" s="101">
        <v>35635</v>
      </c>
      <c r="B4390" s="9">
        <v>49</v>
      </c>
      <c r="C4390" s="9">
        <v>49.5</v>
      </c>
      <c r="D4390" s="9">
        <v>46.75</v>
      </c>
      <c r="E4390" s="9">
        <v>47.5</v>
      </c>
      <c r="F4390" s="9">
        <v>15115200</v>
      </c>
      <c r="G4390" s="9">
        <v>1.98</v>
      </c>
    </row>
    <row r="4391" spans="1:7" x14ac:dyDescent="0.25">
      <c r="A4391" s="101">
        <v>35634</v>
      </c>
      <c r="B4391" s="9">
        <v>50.75</v>
      </c>
      <c r="C4391" s="9">
        <v>50.75</v>
      </c>
      <c r="D4391" s="9">
        <v>49.13</v>
      </c>
      <c r="E4391" s="9">
        <v>49.13</v>
      </c>
      <c r="F4391" s="9">
        <v>7364800</v>
      </c>
      <c r="G4391" s="9">
        <v>2.0499999999999998</v>
      </c>
    </row>
    <row r="4392" spans="1:7" x14ac:dyDescent="0.25">
      <c r="A4392" s="101">
        <v>35633</v>
      </c>
      <c r="B4392" s="9">
        <v>49.75</v>
      </c>
      <c r="C4392" s="9">
        <v>51.13</v>
      </c>
      <c r="D4392" s="9">
        <v>48.25</v>
      </c>
      <c r="E4392" s="9">
        <v>50.44</v>
      </c>
      <c r="F4392" s="9">
        <v>11822400</v>
      </c>
      <c r="G4392" s="9">
        <v>2.1</v>
      </c>
    </row>
    <row r="4393" spans="1:7" x14ac:dyDescent="0.25">
      <c r="A4393" s="101">
        <v>35632</v>
      </c>
      <c r="B4393" s="9">
        <v>47.5</v>
      </c>
      <c r="C4393" s="9">
        <v>50</v>
      </c>
      <c r="D4393" s="9">
        <v>47</v>
      </c>
      <c r="E4393" s="9">
        <v>49.63</v>
      </c>
      <c r="F4393" s="9">
        <v>11200000</v>
      </c>
      <c r="G4393" s="9">
        <v>2.0699999999999998</v>
      </c>
    </row>
    <row r="4394" spans="1:7" x14ac:dyDescent="0.25">
      <c r="A4394" s="101">
        <v>35629</v>
      </c>
      <c r="B4394" s="9">
        <v>46.37</v>
      </c>
      <c r="C4394" s="9">
        <v>48.37</v>
      </c>
      <c r="D4394" s="9">
        <v>44.87</v>
      </c>
      <c r="E4394" s="9">
        <v>46.87</v>
      </c>
      <c r="F4394" s="9">
        <v>12059200</v>
      </c>
      <c r="G4394" s="9">
        <v>1.95</v>
      </c>
    </row>
    <row r="4395" spans="1:7" x14ac:dyDescent="0.25">
      <c r="A4395" s="101">
        <v>35628</v>
      </c>
      <c r="B4395" s="9">
        <v>49.13</v>
      </c>
      <c r="C4395" s="9">
        <v>49.13</v>
      </c>
      <c r="D4395" s="9">
        <v>46.5</v>
      </c>
      <c r="E4395" s="9">
        <v>46.87</v>
      </c>
      <c r="F4395" s="9">
        <v>12688000</v>
      </c>
      <c r="G4395" s="9">
        <v>1.95</v>
      </c>
    </row>
    <row r="4396" spans="1:7" x14ac:dyDescent="0.25">
      <c r="A4396" s="101">
        <v>35627</v>
      </c>
      <c r="B4396" s="9">
        <v>51.25</v>
      </c>
      <c r="C4396" s="9">
        <v>51.25</v>
      </c>
      <c r="D4396" s="9">
        <v>49</v>
      </c>
      <c r="E4396" s="9">
        <v>49.13</v>
      </c>
      <c r="F4396" s="9">
        <v>11449600</v>
      </c>
      <c r="G4396" s="9">
        <v>2.0499999999999998</v>
      </c>
    </row>
    <row r="4397" spans="1:7" x14ac:dyDescent="0.25">
      <c r="A4397" s="101">
        <v>35626</v>
      </c>
      <c r="B4397" s="9">
        <v>48.25</v>
      </c>
      <c r="C4397" s="9">
        <v>50.75</v>
      </c>
      <c r="D4397" s="9">
        <v>47.75</v>
      </c>
      <c r="E4397" s="9">
        <v>50.5</v>
      </c>
      <c r="F4397" s="9">
        <v>33832000</v>
      </c>
      <c r="G4397" s="9">
        <v>2.1</v>
      </c>
    </row>
    <row r="4398" spans="1:7" x14ac:dyDescent="0.25">
      <c r="A4398" s="101">
        <v>35625</v>
      </c>
      <c r="B4398" s="9">
        <v>44</v>
      </c>
      <c r="C4398" s="9">
        <v>48.5</v>
      </c>
      <c r="D4398" s="9">
        <v>43.87</v>
      </c>
      <c r="E4398" s="9">
        <v>48.5</v>
      </c>
      <c r="F4398" s="9">
        <v>24980800</v>
      </c>
      <c r="G4398" s="9">
        <v>2.02</v>
      </c>
    </row>
    <row r="4399" spans="1:7" x14ac:dyDescent="0.25">
      <c r="A4399" s="101">
        <v>35622</v>
      </c>
      <c r="B4399" s="9">
        <v>43</v>
      </c>
      <c r="C4399" s="9">
        <v>45.13</v>
      </c>
      <c r="D4399" s="9">
        <v>42.25</v>
      </c>
      <c r="E4399" s="9">
        <v>44</v>
      </c>
      <c r="F4399" s="9">
        <v>15331200</v>
      </c>
      <c r="G4399" s="9">
        <v>1.83</v>
      </c>
    </row>
    <row r="4400" spans="1:7" x14ac:dyDescent="0.25">
      <c r="A4400" s="101">
        <v>35621</v>
      </c>
      <c r="B4400" s="9">
        <v>45.37</v>
      </c>
      <c r="C4400" s="9">
        <v>46.13</v>
      </c>
      <c r="D4400" s="9">
        <v>41.75</v>
      </c>
      <c r="E4400" s="9">
        <v>43</v>
      </c>
      <c r="F4400" s="9">
        <v>44035200</v>
      </c>
      <c r="G4400" s="9">
        <v>1.79</v>
      </c>
    </row>
    <row r="4401" spans="1:7" x14ac:dyDescent="0.25">
      <c r="A4401" s="101">
        <v>35620</v>
      </c>
      <c r="B4401" s="9">
        <v>40.75</v>
      </c>
      <c r="C4401" s="9">
        <v>45.13</v>
      </c>
      <c r="D4401" s="9">
        <v>40.75</v>
      </c>
      <c r="E4401" s="9">
        <v>44</v>
      </c>
      <c r="F4401" s="9">
        <v>37545600</v>
      </c>
      <c r="G4401" s="9">
        <v>1.83</v>
      </c>
    </row>
    <row r="4402" spans="1:7" x14ac:dyDescent="0.25">
      <c r="A4402" s="101">
        <v>35619</v>
      </c>
      <c r="B4402" s="9">
        <v>37.75</v>
      </c>
      <c r="C4402" s="9">
        <v>40</v>
      </c>
      <c r="D4402" s="9">
        <v>37.630000000000003</v>
      </c>
      <c r="E4402" s="9">
        <v>39.75</v>
      </c>
      <c r="F4402" s="9">
        <v>17337600</v>
      </c>
      <c r="G4402" s="9">
        <v>1.66</v>
      </c>
    </row>
    <row r="4403" spans="1:7" x14ac:dyDescent="0.25">
      <c r="A4403" s="101">
        <v>35618</v>
      </c>
      <c r="B4403" s="9">
        <v>34</v>
      </c>
      <c r="C4403" s="9">
        <v>37.75</v>
      </c>
      <c r="D4403" s="9">
        <v>33.880000000000003</v>
      </c>
      <c r="E4403" s="9">
        <v>37.75</v>
      </c>
      <c r="F4403" s="9">
        <v>14356800</v>
      </c>
      <c r="G4403" s="9">
        <v>1.57</v>
      </c>
    </row>
    <row r="4404" spans="1:7" x14ac:dyDescent="0.25">
      <c r="A4404" s="101">
        <v>35614</v>
      </c>
      <c r="B4404" s="9">
        <v>34.369999999999997</v>
      </c>
      <c r="C4404" s="9">
        <v>34.5</v>
      </c>
      <c r="D4404" s="9">
        <v>33.5</v>
      </c>
      <c r="E4404" s="9">
        <v>33.5</v>
      </c>
      <c r="F4404" s="9">
        <v>4416000</v>
      </c>
      <c r="G4404" s="9">
        <v>1.4</v>
      </c>
    </row>
    <row r="4405" spans="1:7" x14ac:dyDescent="0.25">
      <c r="A4405" s="101">
        <v>35613</v>
      </c>
      <c r="B4405" s="9">
        <v>34.130000000000003</v>
      </c>
      <c r="C4405" s="9">
        <v>34.5</v>
      </c>
      <c r="D4405" s="9">
        <v>33.5</v>
      </c>
      <c r="E4405" s="9">
        <v>33.75</v>
      </c>
      <c r="F4405" s="9">
        <v>5891200</v>
      </c>
      <c r="G4405" s="9">
        <v>1.41</v>
      </c>
    </row>
    <row r="4406" spans="1:7" x14ac:dyDescent="0.25">
      <c r="A4406" s="101">
        <v>35612</v>
      </c>
      <c r="B4406" s="9">
        <v>35</v>
      </c>
      <c r="C4406" s="9">
        <v>35.25</v>
      </c>
      <c r="D4406" s="9">
        <v>33.75</v>
      </c>
      <c r="E4406" s="9">
        <v>34.06</v>
      </c>
      <c r="F4406" s="9">
        <v>4000000</v>
      </c>
      <c r="G4406" s="9">
        <v>1.42</v>
      </c>
    </row>
    <row r="4407" spans="1:7" x14ac:dyDescent="0.25">
      <c r="A4407" s="101">
        <v>35611</v>
      </c>
      <c r="B4407" s="9">
        <v>34.369999999999997</v>
      </c>
      <c r="C4407" s="9">
        <v>35.5</v>
      </c>
      <c r="D4407" s="9">
        <v>32.44</v>
      </c>
      <c r="E4407" s="9">
        <v>35.25</v>
      </c>
      <c r="F4407" s="9">
        <v>14171200</v>
      </c>
      <c r="G4407" s="9">
        <v>1.47</v>
      </c>
    </row>
    <row r="4408" spans="1:7" x14ac:dyDescent="0.25">
      <c r="A4408" s="101">
        <v>35608</v>
      </c>
      <c r="B4408" s="9">
        <v>36.130000000000003</v>
      </c>
      <c r="C4408" s="9">
        <v>36.880000000000003</v>
      </c>
      <c r="D4408" s="9">
        <v>34.25</v>
      </c>
      <c r="E4408" s="9">
        <v>34.5</v>
      </c>
      <c r="F4408" s="9">
        <v>8419200</v>
      </c>
      <c r="G4408" s="9">
        <v>1.44</v>
      </c>
    </row>
    <row r="4409" spans="1:7" x14ac:dyDescent="0.25">
      <c r="A4409" s="101">
        <v>35607</v>
      </c>
      <c r="B4409" s="9">
        <v>36.619999999999997</v>
      </c>
      <c r="C4409" s="9">
        <v>36.75</v>
      </c>
      <c r="D4409" s="9">
        <v>35.75</v>
      </c>
      <c r="E4409" s="9">
        <v>36.25</v>
      </c>
      <c r="F4409" s="9">
        <v>5118400</v>
      </c>
      <c r="G4409" s="9">
        <v>1.51</v>
      </c>
    </row>
    <row r="4410" spans="1:7" x14ac:dyDescent="0.25">
      <c r="A4410" s="101">
        <v>35606</v>
      </c>
      <c r="B4410" s="9">
        <v>37.56</v>
      </c>
      <c r="C4410" s="9">
        <v>38.5</v>
      </c>
      <c r="D4410" s="9">
        <v>37</v>
      </c>
      <c r="E4410" s="9">
        <v>37.25</v>
      </c>
      <c r="F4410" s="9">
        <v>6720000</v>
      </c>
      <c r="G4410" s="9">
        <v>1.55</v>
      </c>
    </row>
    <row r="4411" spans="1:7" x14ac:dyDescent="0.25">
      <c r="A4411" s="101">
        <v>35605</v>
      </c>
      <c r="B4411" s="9">
        <v>37.25</v>
      </c>
      <c r="C4411" s="9">
        <v>37.869999999999997</v>
      </c>
      <c r="D4411" s="9">
        <v>36.25</v>
      </c>
      <c r="E4411" s="9">
        <v>37.19</v>
      </c>
      <c r="F4411" s="9">
        <v>6438400</v>
      </c>
      <c r="G4411" s="9">
        <v>1.55</v>
      </c>
    </row>
    <row r="4412" spans="1:7" x14ac:dyDescent="0.25">
      <c r="A4412" s="101">
        <v>35604</v>
      </c>
      <c r="B4412" s="9">
        <v>38.119999999999997</v>
      </c>
      <c r="C4412" s="9">
        <v>38.630000000000003</v>
      </c>
      <c r="D4412" s="9">
        <v>35.869999999999997</v>
      </c>
      <c r="E4412" s="9">
        <v>37</v>
      </c>
      <c r="F4412" s="9">
        <v>17841600</v>
      </c>
      <c r="G4412" s="9">
        <v>1.54</v>
      </c>
    </row>
    <row r="4413" spans="1:7" x14ac:dyDescent="0.25">
      <c r="A4413" s="101">
        <v>35601</v>
      </c>
      <c r="B4413" s="9">
        <v>35</v>
      </c>
      <c r="C4413" s="9">
        <v>39.369999999999997</v>
      </c>
      <c r="D4413" s="9">
        <v>34.75</v>
      </c>
      <c r="E4413" s="9">
        <v>39.25</v>
      </c>
      <c r="F4413" s="9">
        <v>22753600</v>
      </c>
      <c r="G4413" s="9">
        <v>1.64</v>
      </c>
    </row>
    <row r="4414" spans="1:7" x14ac:dyDescent="0.25">
      <c r="A4414" s="101">
        <v>35600</v>
      </c>
      <c r="B4414" s="9">
        <v>34.5</v>
      </c>
      <c r="C4414" s="9">
        <v>35.25</v>
      </c>
      <c r="D4414" s="9">
        <v>33.75</v>
      </c>
      <c r="E4414" s="9">
        <v>34.75</v>
      </c>
      <c r="F4414" s="9">
        <v>5457600</v>
      </c>
      <c r="G4414" s="9">
        <v>1.45</v>
      </c>
    </row>
    <row r="4415" spans="1:7" x14ac:dyDescent="0.25">
      <c r="A4415" s="101">
        <v>35599</v>
      </c>
      <c r="B4415" s="9">
        <v>34.75</v>
      </c>
      <c r="C4415" s="9">
        <v>35.380000000000003</v>
      </c>
      <c r="D4415" s="9">
        <v>33.75</v>
      </c>
      <c r="E4415" s="9">
        <v>34.130000000000003</v>
      </c>
      <c r="F4415" s="9">
        <v>8027200</v>
      </c>
      <c r="G4415" s="9">
        <v>1.42</v>
      </c>
    </row>
    <row r="4416" spans="1:7" x14ac:dyDescent="0.25">
      <c r="A4416" s="101">
        <v>35598</v>
      </c>
      <c r="B4416" s="9">
        <v>34.75</v>
      </c>
      <c r="C4416" s="9">
        <v>35.119999999999997</v>
      </c>
      <c r="D4416" s="9">
        <v>33.880000000000003</v>
      </c>
      <c r="E4416" s="9">
        <v>35</v>
      </c>
      <c r="F4416" s="9">
        <v>5377600</v>
      </c>
      <c r="G4416" s="9">
        <v>1.46</v>
      </c>
    </row>
    <row r="4417" spans="1:7" x14ac:dyDescent="0.25">
      <c r="A4417" s="101">
        <v>35597</v>
      </c>
      <c r="B4417" s="9">
        <v>32.5</v>
      </c>
      <c r="C4417" s="9">
        <v>35.25</v>
      </c>
      <c r="D4417" s="9">
        <v>32.380000000000003</v>
      </c>
      <c r="E4417" s="9">
        <v>34.69</v>
      </c>
      <c r="F4417" s="9">
        <v>15921600</v>
      </c>
      <c r="G4417" s="9">
        <v>1.45</v>
      </c>
    </row>
    <row r="4418" spans="1:7" x14ac:dyDescent="0.25">
      <c r="A4418" s="101">
        <v>35594</v>
      </c>
      <c r="B4418" s="9">
        <v>32</v>
      </c>
      <c r="C4418" s="9">
        <v>33</v>
      </c>
      <c r="D4418" s="9">
        <v>32</v>
      </c>
      <c r="E4418" s="9">
        <v>32.25</v>
      </c>
      <c r="F4418" s="9">
        <v>3307200</v>
      </c>
      <c r="G4418" s="9">
        <v>1.34</v>
      </c>
    </row>
    <row r="4419" spans="1:7" x14ac:dyDescent="0.25">
      <c r="A4419" s="101">
        <v>35593</v>
      </c>
      <c r="B4419" s="9">
        <v>31.25</v>
      </c>
      <c r="C4419" s="9">
        <v>32.119999999999997</v>
      </c>
      <c r="D4419" s="9">
        <v>31.06</v>
      </c>
      <c r="E4419" s="9">
        <v>32</v>
      </c>
      <c r="F4419" s="9">
        <v>5771200</v>
      </c>
      <c r="G4419" s="9">
        <v>1.33</v>
      </c>
    </row>
    <row r="4420" spans="1:7" x14ac:dyDescent="0.25">
      <c r="A4420" s="101">
        <v>35592</v>
      </c>
      <c r="B4420" s="9">
        <v>32.380000000000003</v>
      </c>
      <c r="C4420" s="9">
        <v>32.5</v>
      </c>
      <c r="D4420" s="9">
        <v>30.88</v>
      </c>
      <c r="E4420" s="9">
        <v>31</v>
      </c>
      <c r="F4420" s="9">
        <v>17387200</v>
      </c>
      <c r="G4420" s="9">
        <v>1.29</v>
      </c>
    </row>
    <row r="4421" spans="1:7" x14ac:dyDescent="0.25">
      <c r="A4421" s="101">
        <v>35591</v>
      </c>
      <c r="B4421" s="9">
        <v>32.5</v>
      </c>
      <c r="C4421" s="9">
        <v>33.130000000000003</v>
      </c>
      <c r="D4421" s="9">
        <v>32</v>
      </c>
      <c r="E4421" s="9">
        <v>32.380000000000003</v>
      </c>
      <c r="F4421" s="9">
        <v>5601600</v>
      </c>
      <c r="G4421" s="9">
        <v>1.35</v>
      </c>
    </row>
    <row r="4422" spans="1:7" x14ac:dyDescent="0.25">
      <c r="A4422" s="101">
        <v>35590</v>
      </c>
      <c r="B4422" s="9">
        <v>32</v>
      </c>
      <c r="C4422" s="9">
        <v>34</v>
      </c>
      <c r="D4422" s="9">
        <v>32</v>
      </c>
      <c r="E4422" s="9">
        <v>32.56</v>
      </c>
      <c r="F4422" s="9">
        <v>6096000</v>
      </c>
      <c r="G4422" s="9">
        <v>1.36</v>
      </c>
    </row>
    <row r="4423" spans="1:7" x14ac:dyDescent="0.25">
      <c r="A4423" s="101">
        <v>35587</v>
      </c>
      <c r="B4423" s="9">
        <v>32</v>
      </c>
      <c r="C4423" s="9">
        <v>33</v>
      </c>
      <c r="D4423" s="9">
        <v>31.5</v>
      </c>
      <c r="E4423" s="9">
        <v>32</v>
      </c>
      <c r="F4423" s="9">
        <v>6145600</v>
      </c>
      <c r="G4423" s="9">
        <v>1.33</v>
      </c>
    </row>
    <row r="4424" spans="1:7" x14ac:dyDescent="0.25">
      <c r="A4424" s="101">
        <v>35586</v>
      </c>
      <c r="B4424" s="9">
        <v>32.119999999999997</v>
      </c>
      <c r="C4424" s="9">
        <v>32.630000000000003</v>
      </c>
      <c r="D4424" s="9">
        <v>32</v>
      </c>
      <c r="E4424" s="9">
        <v>32.44</v>
      </c>
      <c r="F4424" s="9">
        <v>2003200</v>
      </c>
      <c r="G4424" s="9">
        <v>1.35</v>
      </c>
    </row>
    <row r="4425" spans="1:7" x14ac:dyDescent="0.25">
      <c r="A4425" s="101">
        <v>35585</v>
      </c>
      <c r="B4425" s="9">
        <v>32.75</v>
      </c>
      <c r="C4425" s="9">
        <v>33</v>
      </c>
      <c r="D4425" s="9">
        <v>31.13</v>
      </c>
      <c r="E4425" s="9">
        <v>31.5</v>
      </c>
      <c r="F4425" s="9">
        <v>2668800</v>
      </c>
      <c r="G4425" s="9">
        <v>1.31</v>
      </c>
    </row>
    <row r="4426" spans="1:7" x14ac:dyDescent="0.25">
      <c r="A4426" s="101">
        <v>35584</v>
      </c>
      <c r="B4426" s="9">
        <v>33.130000000000003</v>
      </c>
      <c r="C4426" s="9">
        <v>33.25</v>
      </c>
      <c r="D4426" s="9">
        <v>31.94</v>
      </c>
      <c r="E4426" s="9">
        <v>32.5</v>
      </c>
      <c r="F4426" s="9">
        <v>2300800</v>
      </c>
      <c r="G4426" s="9">
        <v>1.35</v>
      </c>
    </row>
    <row r="4427" spans="1:7" x14ac:dyDescent="0.25">
      <c r="A4427" s="101">
        <v>35583</v>
      </c>
      <c r="B4427" s="9">
        <v>32.75</v>
      </c>
      <c r="C4427" s="9">
        <v>33.5</v>
      </c>
      <c r="D4427" s="9">
        <v>32.5</v>
      </c>
      <c r="E4427" s="9">
        <v>33.130000000000003</v>
      </c>
      <c r="F4427" s="9">
        <v>3259200</v>
      </c>
      <c r="G4427" s="9">
        <v>1.38</v>
      </c>
    </row>
    <row r="4428" spans="1:7" x14ac:dyDescent="0.25">
      <c r="A4428" s="101">
        <v>35580</v>
      </c>
      <c r="B4428" s="9">
        <v>31.5</v>
      </c>
      <c r="C4428" s="9">
        <v>33.5</v>
      </c>
      <c r="D4428" s="9">
        <v>30.88</v>
      </c>
      <c r="E4428" s="9">
        <v>32.25</v>
      </c>
      <c r="F4428" s="9">
        <v>9692800</v>
      </c>
      <c r="G4428" s="9">
        <v>1.34</v>
      </c>
    </row>
    <row r="4429" spans="1:7" x14ac:dyDescent="0.25">
      <c r="A4429" s="101">
        <v>35579</v>
      </c>
      <c r="B4429" s="9">
        <v>31.87</v>
      </c>
      <c r="C4429" s="9">
        <v>32.5</v>
      </c>
      <c r="D4429" s="9">
        <v>31.25</v>
      </c>
      <c r="E4429" s="9">
        <v>31.87</v>
      </c>
      <c r="F4429" s="9">
        <v>5289600</v>
      </c>
      <c r="G4429" s="9">
        <v>1.33</v>
      </c>
    </row>
    <row r="4430" spans="1:7" x14ac:dyDescent="0.25">
      <c r="A4430" s="101">
        <v>35578</v>
      </c>
      <c r="B4430" s="9">
        <v>31.63</v>
      </c>
      <c r="C4430" s="9">
        <v>33.369999999999997</v>
      </c>
      <c r="D4430" s="9">
        <v>31.25</v>
      </c>
      <c r="E4430" s="9">
        <v>32</v>
      </c>
      <c r="F4430" s="9">
        <v>5318400</v>
      </c>
      <c r="G4430" s="9">
        <v>1.33</v>
      </c>
    </row>
    <row r="4431" spans="1:7" x14ac:dyDescent="0.25">
      <c r="A4431" s="101">
        <v>35577</v>
      </c>
      <c r="B4431" s="9">
        <v>31.37</v>
      </c>
      <c r="C4431" s="9">
        <v>32.380000000000003</v>
      </c>
      <c r="D4431" s="9">
        <v>31</v>
      </c>
      <c r="E4431" s="9">
        <v>31.69</v>
      </c>
      <c r="F4431" s="9">
        <v>2836800</v>
      </c>
      <c r="G4431" s="9">
        <v>1.32</v>
      </c>
    </row>
    <row r="4432" spans="1:7" x14ac:dyDescent="0.25">
      <c r="A4432" s="101">
        <v>35573</v>
      </c>
      <c r="B4432" s="9">
        <v>31.25</v>
      </c>
      <c r="C4432" s="9">
        <v>32</v>
      </c>
      <c r="D4432" s="9">
        <v>31.13</v>
      </c>
      <c r="E4432" s="9">
        <v>31.44</v>
      </c>
      <c r="F4432" s="9">
        <v>2622400</v>
      </c>
      <c r="G4432" s="9">
        <v>1.31</v>
      </c>
    </row>
    <row r="4433" spans="1:7" x14ac:dyDescent="0.25">
      <c r="A4433" s="101">
        <v>35572</v>
      </c>
      <c r="B4433" s="9">
        <v>33.25</v>
      </c>
      <c r="C4433" s="9">
        <v>33.25</v>
      </c>
      <c r="D4433" s="9">
        <v>30.88</v>
      </c>
      <c r="E4433" s="9">
        <v>31.31</v>
      </c>
      <c r="F4433" s="9">
        <v>5865600</v>
      </c>
      <c r="G4433" s="9">
        <v>1.3</v>
      </c>
    </row>
    <row r="4434" spans="1:7" x14ac:dyDescent="0.25">
      <c r="A4434" s="101">
        <v>35571</v>
      </c>
      <c r="B4434" s="9">
        <v>32.380000000000003</v>
      </c>
      <c r="C4434" s="9">
        <v>34.130000000000003</v>
      </c>
      <c r="D4434" s="9">
        <v>32.119999999999997</v>
      </c>
      <c r="E4434" s="9">
        <v>33.130000000000003</v>
      </c>
      <c r="F4434" s="9">
        <v>14593600</v>
      </c>
      <c r="G4434" s="9">
        <v>1.38</v>
      </c>
    </row>
    <row r="4435" spans="1:7" x14ac:dyDescent="0.25">
      <c r="A4435" s="101">
        <v>35570</v>
      </c>
      <c r="B4435" s="9">
        <v>32.119999999999997</v>
      </c>
      <c r="C4435" s="9">
        <v>32.5</v>
      </c>
      <c r="D4435" s="9">
        <v>31.75</v>
      </c>
      <c r="E4435" s="9">
        <v>32.44</v>
      </c>
      <c r="F4435" s="9">
        <v>6846400</v>
      </c>
      <c r="G4435" s="9">
        <v>1.35</v>
      </c>
    </row>
    <row r="4436" spans="1:7" x14ac:dyDescent="0.25">
      <c r="A4436" s="101">
        <v>35569</v>
      </c>
      <c r="B4436" s="9">
        <v>31.75</v>
      </c>
      <c r="C4436" s="9">
        <v>32.31</v>
      </c>
      <c r="D4436" s="9">
        <v>31.37</v>
      </c>
      <c r="E4436" s="9">
        <v>32.25</v>
      </c>
      <c r="F4436" s="9">
        <v>6510400</v>
      </c>
      <c r="G4436" s="9">
        <v>1.34</v>
      </c>
    </row>
    <row r="4437" spans="1:7" x14ac:dyDescent="0.25">
      <c r="A4437" s="101">
        <v>35566</v>
      </c>
      <c r="B4437" s="9">
        <v>30.62</v>
      </c>
      <c r="C4437" s="9">
        <v>32.380000000000003</v>
      </c>
      <c r="D4437" s="9">
        <v>30.37</v>
      </c>
      <c r="E4437" s="9">
        <v>31.87</v>
      </c>
      <c r="F4437" s="9">
        <v>12323200</v>
      </c>
      <c r="G4437" s="9">
        <v>1.33</v>
      </c>
    </row>
    <row r="4438" spans="1:7" x14ac:dyDescent="0.25">
      <c r="A4438" s="101">
        <v>35565</v>
      </c>
      <c r="B4438" s="9">
        <v>30.25</v>
      </c>
      <c r="C4438" s="9">
        <v>31.13</v>
      </c>
      <c r="D4438" s="9">
        <v>30.13</v>
      </c>
      <c r="E4438" s="9">
        <v>31.13</v>
      </c>
      <c r="F4438" s="9">
        <v>11044800</v>
      </c>
      <c r="G4438" s="9">
        <v>1.3</v>
      </c>
    </row>
    <row r="4439" spans="1:7" x14ac:dyDescent="0.25">
      <c r="A4439" s="101">
        <v>35564</v>
      </c>
      <c r="B4439" s="9">
        <v>30.5</v>
      </c>
      <c r="C4439" s="9">
        <v>31.75</v>
      </c>
      <c r="D4439" s="9">
        <v>30</v>
      </c>
      <c r="E4439" s="9">
        <v>30.25</v>
      </c>
      <c r="F4439" s="9">
        <v>14406400</v>
      </c>
      <c r="G4439" s="9">
        <v>1.26</v>
      </c>
    </row>
    <row r="4440" spans="1:7" x14ac:dyDescent="0.25">
      <c r="A4440" s="101">
        <v>35563</v>
      </c>
      <c r="B4440" s="9">
        <v>32.75</v>
      </c>
      <c r="C4440" s="9">
        <v>32.75</v>
      </c>
      <c r="D4440" s="9">
        <v>29.87</v>
      </c>
      <c r="E4440" s="9">
        <v>30.37</v>
      </c>
      <c r="F4440" s="9">
        <v>25048000</v>
      </c>
      <c r="G4440" s="9">
        <v>1.27</v>
      </c>
    </row>
    <row r="4441" spans="1:7" x14ac:dyDescent="0.25">
      <c r="A4441" s="101">
        <v>35562</v>
      </c>
      <c r="B4441" s="9">
        <v>34</v>
      </c>
      <c r="C4441" s="9">
        <v>34</v>
      </c>
      <c r="D4441" s="9">
        <v>32</v>
      </c>
      <c r="E4441" s="9">
        <v>32.75</v>
      </c>
      <c r="F4441" s="9">
        <v>9524800</v>
      </c>
      <c r="G4441" s="9">
        <v>1.36</v>
      </c>
    </row>
    <row r="4442" spans="1:7" x14ac:dyDescent="0.25">
      <c r="A4442" s="101">
        <v>35559</v>
      </c>
      <c r="B4442" s="9">
        <v>34.369999999999997</v>
      </c>
      <c r="C4442" s="9">
        <v>34.869999999999997</v>
      </c>
      <c r="D4442" s="9">
        <v>33.69</v>
      </c>
      <c r="E4442" s="9">
        <v>33.75</v>
      </c>
      <c r="F4442" s="9">
        <v>9508800</v>
      </c>
      <c r="G4442" s="9">
        <v>1.41</v>
      </c>
    </row>
    <row r="4443" spans="1:7" x14ac:dyDescent="0.25">
      <c r="A4443" s="101">
        <v>35558</v>
      </c>
      <c r="B4443" s="9">
        <v>33.880000000000003</v>
      </c>
      <c r="C4443" s="9">
        <v>35.5</v>
      </c>
      <c r="D4443" s="9">
        <v>33.75</v>
      </c>
      <c r="E4443" s="9">
        <v>34.130000000000003</v>
      </c>
      <c r="F4443" s="9">
        <v>7969600</v>
      </c>
      <c r="G4443" s="9">
        <v>1.42</v>
      </c>
    </row>
    <row r="4444" spans="1:7" x14ac:dyDescent="0.25">
      <c r="A4444" s="101">
        <v>35557</v>
      </c>
      <c r="B4444" s="9">
        <v>32.630000000000003</v>
      </c>
      <c r="C4444" s="9">
        <v>34.75</v>
      </c>
      <c r="D4444" s="9">
        <v>32.5</v>
      </c>
      <c r="E4444" s="9">
        <v>33.5</v>
      </c>
      <c r="F4444" s="9">
        <v>16603200</v>
      </c>
      <c r="G4444" s="9">
        <v>1.4</v>
      </c>
    </row>
    <row r="4445" spans="1:7" x14ac:dyDescent="0.25">
      <c r="A4445" s="101">
        <v>35556</v>
      </c>
      <c r="B4445" s="9">
        <v>35.380000000000003</v>
      </c>
      <c r="C4445" s="9">
        <v>35.5</v>
      </c>
      <c r="D4445" s="9">
        <v>32</v>
      </c>
      <c r="E4445" s="9">
        <v>32.94</v>
      </c>
      <c r="F4445" s="9">
        <v>19278400</v>
      </c>
      <c r="G4445" s="9">
        <v>1.37</v>
      </c>
    </row>
    <row r="4446" spans="1:7" x14ac:dyDescent="0.25">
      <c r="A4446" s="101">
        <v>35555</v>
      </c>
      <c r="B4446" s="9">
        <v>35.5</v>
      </c>
      <c r="C4446" s="9">
        <v>37</v>
      </c>
      <c r="D4446" s="9">
        <v>35</v>
      </c>
      <c r="E4446" s="9">
        <v>36</v>
      </c>
      <c r="F4446" s="9">
        <v>16374400</v>
      </c>
      <c r="G4446" s="9">
        <v>1.5</v>
      </c>
    </row>
    <row r="4447" spans="1:7" x14ac:dyDescent="0.25">
      <c r="A4447" s="101">
        <v>35552</v>
      </c>
      <c r="B4447" s="9">
        <v>33.75</v>
      </c>
      <c r="C4447" s="9">
        <v>35.5</v>
      </c>
      <c r="D4447" s="9">
        <v>33.75</v>
      </c>
      <c r="E4447" s="9">
        <v>35</v>
      </c>
      <c r="F4447" s="9">
        <v>13300800</v>
      </c>
      <c r="G4447" s="9">
        <v>1.46</v>
      </c>
    </row>
    <row r="4448" spans="1:7" x14ac:dyDescent="0.25">
      <c r="A4448" s="101">
        <v>35551</v>
      </c>
      <c r="B4448" s="9">
        <v>34.5</v>
      </c>
      <c r="C4448" s="9">
        <v>34.5</v>
      </c>
      <c r="D4448" s="9">
        <v>32.630000000000003</v>
      </c>
      <c r="E4448" s="9">
        <v>34</v>
      </c>
      <c r="F4448" s="9">
        <v>9956800</v>
      </c>
      <c r="G4448" s="9">
        <v>1.42</v>
      </c>
    </row>
    <row r="4449" spans="1:7" x14ac:dyDescent="0.25">
      <c r="A4449" s="101">
        <v>35550</v>
      </c>
      <c r="B4449" s="9">
        <v>31.87</v>
      </c>
      <c r="C4449" s="9">
        <v>34.630000000000003</v>
      </c>
      <c r="D4449" s="9">
        <v>31.37</v>
      </c>
      <c r="E4449" s="9">
        <v>34.130000000000003</v>
      </c>
      <c r="F4449" s="9">
        <v>23041600</v>
      </c>
      <c r="G4449" s="9">
        <v>1.42</v>
      </c>
    </row>
    <row r="4450" spans="1:7" x14ac:dyDescent="0.25">
      <c r="A4450" s="101">
        <v>35549</v>
      </c>
      <c r="B4450" s="9">
        <v>31.63</v>
      </c>
      <c r="C4450" s="9">
        <v>32</v>
      </c>
      <c r="D4450" s="9">
        <v>30.75</v>
      </c>
      <c r="E4450" s="9">
        <v>31.75</v>
      </c>
      <c r="F4450" s="9">
        <v>20836800</v>
      </c>
      <c r="G4450" s="9">
        <v>1.32</v>
      </c>
    </row>
    <row r="4451" spans="1:7" x14ac:dyDescent="0.25">
      <c r="A4451" s="101">
        <v>35548</v>
      </c>
      <c r="B4451" s="9">
        <v>30.25</v>
      </c>
      <c r="C4451" s="9">
        <v>32.869999999999997</v>
      </c>
      <c r="D4451" s="9">
        <v>30</v>
      </c>
      <c r="E4451" s="9">
        <v>31.37</v>
      </c>
      <c r="F4451" s="9">
        <v>12057600</v>
      </c>
      <c r="G4451" s="9">
        <v>1.31</v>
      </c>
    </row>
    <row r="4452" spans="1:7" x14ac:dyDescent="0.25">
      <c r="A4452" s="101">
        <v>35545</v>
      </c>
      <c r="B4452" s="9">
        <v>30.62</v>
      </c>
      <c r="C4452" s="9">
        <v>30.62</v>
      </c>
      <c r="D4452" s="9">
        <v>30.25</v>
      </c>
      <c r="E4452" s="9">
        <v>30.25</v>
      </c>
      <c r="F4452" s="9">
        <v>6452800</v>
      </c>
      <c r="G4452" s="9">
        <v>1.26</v>
      </c>
    </row>
    <row r="4453" spans="1:7" x14ac:dyDescent="0.25">
      <c r="A4453" s="101">
        <v>35544</v>
      </c>
      <c r="B4453" s="9">
        <v>31.25</v>
      </c>
      <c r="C4453" s="9">
        <v>31.37</v>
      </c>
      <c r="D4453" s="9">
        <v>29.75</v>
      </c>
      <c r="E4453" s="9">
        <v>30.5</v>
      </c>
      <c r="F4453" s="9">
        <v>17889600</v>
      </c>
      <c r="G4453" s="9">
        <v>1.27</v>
      </c>
    </row>
    <row r="4454" spans="1:7" x14ac:dyDescent="0.25">
      <c r="A4454" s="101">
        <v>35543</v>
      </c>
      <c r="B4454" s="9">
        <v>27.75</v>
      </c>
      <c r="C4454" s="9">
        <v>31.37</v>
      </c>
      <c r="D4454" s="9">
        <v>27.62</v>
      </c>
      <c r="E4454" s="9">
        <v>31.25</v>
      </c>
      <c r="F4454" s="9">
        <v>13531200</v>
      </c>
      <c r="G4454" s="9">
        <v>1.3</v>
      </c>
    </row>
    <row r="4455" spans="1:7" x14ac:dyDescent="0.25">
      <c r="A4455" s="101">
        <v>35542</v>
      </c>
      <c r="B4455" s="9">
        <v>28.09</v>
      </c>
      <c r="C4455" s="9">
        <v>28.13</v>
      </c>
      <c r="D4455" s="9">
        <v>24.75</v>
      </c>
      <c r="E4455" s="9">
        <v>27.44</v>
      </c>
      <c r="F4455" s="9">
        <v>27371200</v>
      </c>
      <c r="G4455" s="9">
        <v>1.1399999999999999</v>
      </c>
    </row>
    <row r="4456" spans="1:7" x14ac:dyDescent="0.25">
      <c r="A4456" s="101">
        <v>35541</v>
      </c>
      <c r="B4456" s="9">
        <v>30.5</v>
      </c>
      <c r="C4456" s="9">
        <v>31</v>
      </c>
      <c r="D4456" s="9">
        <v>26.75</v>
      </c>
      <c r="E4456" s="9">
        <v>28.25</v>
      </c>
      <c r="F4456" s="9">
        <v>12880000</v>
      </c>
      <c r="G4456" s="9">
        <v>1.18</v>
      </c>
    </row>
    <row r="4457" spans="1:7" x14ac:dyDescent="0.25">
      <c r="A4457" s="101">
        <v>35538</v>
      </c>
      <c r="B4457" s="9">
        <v>33.130000000000003</v>
      </c>
      <c r="C4457" s="9">
        <v>33.369999999999997</v>
      </c>
      <c r="D4457" s="9">
        <v>30.75</v>
      </c>
      <c r="E4457" s="9">
        <v>31</v>
      </c>
      <c r="F4457" s="9">
        <v>10238400</v>
      </c>
      <c r="G4457" s="9">
        <v>1.29</v>
      </c>
    </row>
    <row r="4458" spans="1:7" x14ac:dyDescent="0.25">
      <c r="A4458" s="101">
        <v>35537</v>
      </c>
      <c r="B4458" s="9">
        <v>31.5</v>
      </c>
      <c r="C4458" s="9">
        <v>33.619999999999997</v>
      </c>
      <c r="D4458" s="9">
        <v>31.25</v>
      </c>
      <c r="E4458" s="9">
        <v>32.44</v>
      </c>
      <c r="F4458" s="9">
        <v>10315200</v>
      </c>
      <c r="G4458" s="9">
        <v>1.35</v>
      </c>
    </row>
    <row r="4459" spans="1:7" x14ac:dyDescent="0.25">
      <c r="A4459" s="101">
        <v>35536</v>
      </c>
      <c r="B4459" s="9">
        <v>31</v>
      </c>
      <c r="C4459" s="9">
        <v>32.380000000000003</v>
      </c>
      <c r="D4459" s="9">
        <v>30.5</v>
      </c>
      <c r="E4459" s="9">
        <v>31.31</v>
      </c>
      <c r="F4459" s="9">
        <v>16086400</v>
      </c>
      <c r="G4459" s="9">
        <v>1.3</v>
      </c>
    </row>
    <row r="4460" spans="1:7" x14ac:dyDescent="0.25">
      <c r="A4460" s="101">
        <v>35535</v>
      </c>
      <c r="B4460" s="9">
        <v>33</v>
      </c>
      <c r="C4460" s="9">
        <v>34.130000000000003</v>
      </c>
      <c r="D4460" s="9">
        <v>31</v>
      </c>
      <c r="E4460" s="9">
        <v>31.31</v>
      </c>
      <c r="F4460" s="9">
        <v>14208000</v>
      </c>
      <c r="G4460" s="9">
        <v>1.3</v>
      </c>
    </row>
    <row r="4461" spans="1:7" x14ac:dyDescent="0.25">
      <c r="A4461" s="101">
        <v>35534</v>
      </c>
      <c r="B4461" s="9">
        <v>33.880000000000003</v>
      </c>
      <c r="C4461" s="9">
        <v>34.369999999999997</v>
      </c>
      <c r="D4461" s="9">
        <v>32.380000000000003</v>
      </c>
      <c r="E4461" s="9">
        <v>32.869999999999997</v>
      </c>
      <c r="F4461" s="9">
        <v>10651200</v>
      </c>
      <c r="G4461" s="9">
        <v>1.37</v>
      </c>
    </row>
    <row r="4462" spans="1:7" x14ac:dyDescent="0.25">
      <c r="A4462" s="101">
        <v>35531</v>
      </c>
      <c r="B4462" s="9">
        <v>31.5</v>
      </c>
      <c r="C4462" s="9">
        <v>34.5</v>
      </c>
      <c r="D4462" s="9">
        <v>30.88</v>
      </c>
      <c r="E4462" s="9">
        <v>34.31</v>
      </c>
      <c r="F4462" s="9">
        <v>21049600</v>
      </c>
      <c r="G4462" s="9">
        <v>1.43</v>
      </c>
    </row>
    <row r="4463" spans="1:7" x14ac:dyDescent="0.25">
      <c r="A4463" s="101">
        <v>35530</v>
      </c>
      <c r="B4463" s="9">
        <v>34.869999999999997</v>
      </c>
      <c r="C4463" s="9">
        <v>35</v>
      </c>
      <c r="D4463" s="9">
        <v>31.37</v>
      </c>
      <c r="E4463" s="9">
        <v>32.69</v>
      </c>
      <c r="F4463" s="9">
        <v>34768000</v>
      </c>
      <c r="G4463" s="9">
        <v>1.36</v>
      </c>
    </row>
    <row r="4464" spans="1:7" x14ac:dyDescent="0.25">
      <c r="A4464" s="101">
        <v>35529</v>
      </c>
      <c r="B4464" s="9">
        <v>34.630000000000003</v>
      </c>
      <c r="C4464" s="9">
        <v>36</v>
      </c>
      <c r="D4464" s="9">
        <v>34.369999999999997</v>
      </c>
      <c r="E4464" s="9">
        <v>34.44</v>
      </c>
      <c r="F4464" s="9">
        <v>25516800</v>
      </c>
      <c r="G4464" s="9">
        <v>1.43</v>
      </c>
    </row>
    <row r="4465" spans="1:7" x14ac:dyDescent="0.25">
      <c r="A4465" s="101">
        <v>35528</v>
      </c>
      <c r="B4465" s="9">
        <v>33.619999999999997</v>
      </c>
      <c r="C4465" s="9">
        <v>33.75</v>
      </c>
      <c r="D4465" s="9">
        <v>32</v>
      </c>
      <c r="E4465" s="9">
        <v>33.25</v>
      </c>
      <c r="F4465" s="9">
        <v>10574400</v>
      </c>
      <c r="G4465" s="9">
        <v>1.39</v>
      </c>
    </row>
    <row r="4466" spans="1:7" x14ac:dyDescent="0.25">
      <c r="A4466" s="101">
        <v>35527</v>
      </c>
      <c r="B4466" s="9">
        <v>32.75</v>
      </c>
      <c r="C4466" s="9">
        <v>34.25</v>
      </c>
      <c r="D4466" s="9">
        <v>31.75</v>
      </c>
      <c r="E4466" s="9">
        <v>33.619999999999997</v>
      </c>
      <c r="F4466" s="9">
        <v>23224000</v>
      </c>
      <c r="G4466" s="9">
        <v>1.4</v>
      </c>
    </row>
    <row r="4467" spans="1:7" x14ac:dyDescent="0.25">
      <c r="A4467" s="101">
        <v>35524</v>
      </c>
      <c r="B4467" s="9">
        <v>29.12</v>
      </c>
      <c r="C4467" s="9">
        <v>32.380000000000003</v>
      </c>
      <c r="D4467" s="9">
        <v>29.12</v>
      </c>
      <c r="E4467" s="9">
        <v>31.63</v>
      </c>
      <c r="F4467" s="9">
        <v>17539200</v>
      </c>
      <c r="G4467" s="9">
        <v>1.32</v>
      </c>
    </row>
    <row r="4468" spans="1:7" x14ac:dyDescent="0.25">
      <c r="A4468" s="101">
        <v>35523</v>
      </c>
      <c r="B4468" s="9">
        <v>30</v>
      </c>
      <c r="C4468" s="9">
        <v>30.75</v>
      </c>
      <c r="D4468" s="9">
        <v>28.06</v>
      </c>
      <c r="E4468" s="9">
        <v>29.25</v>
      </c>
      <c r="F4468" s="9">
        <v>9009600</v>
      </c>
      <c r="G4468" s="9">
        <v>1.22</v>
      </c>
    </row>
    <row r="4469" spans="1:7" x14ac:dyDescent="0.25">
      <c r="A4469" s="101">
        <v>35522</v>
      </c>
      <c r="B4469" s="9">
        <v>29.38</v>
      </c>
      <c r="C4469" s="9">
        <v>30</v>
      </c>
      <c r="D4469" s="9">
        <v>28.5</v>
      </c>
      <c r="E4469" s="9">
        <v>29.94</v>
      </c>
      <c r="F4469" s="9">
        <v>7403200</v>
      </c>
      <c r="G4469" s="9">
        <v>1.25</v>
      </c>
    </row>
    <row r="4470" spans="1:7" x14ac:dyDescent="0.25">
      <c r="A4470" s="101">
        <v>35521</v>
      </c>
      <c r="B4470" s="9">
        <v>27.88</v>
      </c>
      <c r="C4470" s="9">
        <v>29.5</v>
      </c>
      <c r="D4470" s="9">
        <v>27.75</v>
      </c>
      <c r="E4470" s="9">
        <v>29.5</v>
      </c>
      <c r="F4470" s="9">
        <v>6278400</v>
      </c>
      <c r="G4470" s="9">
        <v>1.23</v>
      </c>
    </row>
    <row r="4471" spans="1:7" x14ac:dyDescent="0.25">
      <c r="A4471" s="101">
        <v>35520</v>
      </c>
      <c r="B4471" s="9">
        <v>28.87</v>
      </c>
      <c r="C4471" s="9">
        <v>28.87</v>
      </c>
      <c r="D4471" s="9">
        <v>27</v>
      </c>
      <c r="E4471" s="9">
        <v>28.13</v>
      </c>
      <c r="F4471" s="9">
        <v>5640000</v>
      </c>
      <c r="G4471" s="9">
        <v>1.17</v>
      </c>
    </row>
    <row r="4472" spans="1:7" x14ac:dyDescent="0.25">
      <c r="A4472" s="101">
        <v>35516</v>
      </c>
      <c r="B4472" s="9">
        <v>30</v>
      </c>
      <c r="C4472" s="9">
        <v>30</v>
      </c>
      <c r="D4472" s="9">
        <v>28.25</v>
      </c>
      <c r="E4472" s="9">
        <v>28.56</v>
      </c>
      <c r="F4472" s="9">
        <v>7811200</v>
      </c>
      <c r="G4472" s="9">
        <v>1.19</v>
      </c>
    </row>
    <row r="4473" spans="1:7" x14ac:dyDescent="0.25">
      <c r="A4473" s="101">
        <v>35515</v>
      </c>
      <c r="B4473" s="9">
        <v>28.13</v>
      </c>
      <c r="C4473" s="9">
        <v>30</v>
      </c>
      <c r="D4473" s="9">
        <v>27.62</v>
      </c>
      <c r="E4473" s="9">
        <v>29.63</v>
      </c>
      <c r="F4473" s="9">
        <v>10580800</v>
      </c>
      <c r="G4473" s="9">
        <v>1.23</v>
      </c>
    </row>
    <row r="4474" spans="1:7" x14ac:dyDescent="0.25">
      <c r="A4474" s="101">
        <v>35514</v>
      </c>
      <c r="B4474" s="9">
        <v>29.38</v>
      </c>
      <c r="C4474" s="9">
        <v>30.13</v>
      </c>
      <c r="D4474" s="9">
        <v>27</v>
      </c>
      <c r="E4474" s="9">
        <v>28.06</v>
      </c>
      <c r="F4474" s="9">
        <v>10316800</v>
      </c>
      <c r="G4474" s="9">
        <v>1.17</v>
      </c>
    </row>
    <row r="4475" spans="1:7" x14ac:dyDescent="0.25">
      <c r="A4475" s="101">
        <v>35513</v>
      </c>
      <c r="B4475" s="9">
        <v>28.75</v>
      </c>
      <c r="C4475" s="9">
        <v>30</v>
      </c>
      <c r="D4475" s="9">
        <v>27.25</v>
      </c>
      <c r="E4475" s="9">
        <v>28.75</v>
      </c>
      <c r="F4475" s="9">
        <v>14780800</v>
      </c>
      <c r="G4475" s="9">
        <v>1.2</v>
      </c>
    </row>
    <row r="4476" spans="1:7" x14ac:dyDescent="0.25">
      <c r="A4476" s="101">
        <v>35510</v>
      </c>
      <c r="B4476" s="9">
        <v>29.38</v>
      </c>
      <c r="C4476" s="9">
        <v>30.62</v>
      </c>
      <c r="D4476" s="9">
        <v>26.5</v>
      </c>
      <c r="E4476" s="9">
        <v>28.75</v>
      </c>
      <c r="F4476" s="9">
        <v>27048000</v>
      </c>
      <c r="G4476" s="9">
        <v>1.2</v>
      </c>
    </row>
    <row r="4477" spans="1:7" x14ac:dyDescent="0.25">
      <c r="A4477" s="101">
        <v>35509</v>
      </c>
      <c r="B4477" s="9">
        <v>27.13</v>
      </c>
      <c r="C4477" s="9">
        <v>29.5</v>
      </c>
      <c r="D4477" s="9">
        <v>27</v>
      </c>
      <c r="E4477" s="9">
        <v>29</v>
      </c>
      <c r="F4477" s="9">
        <v>29731200</v>
      </c>
      <c r="G4477" s="9">
        <v>1.21</v>
      </c>
    </row>
    <row r="4478" spans="1:7" x14ac:dyDescent="0.25">
      <c r="A4478" s="101">
        <v>35508</v>
      </c>
      <c r="B4478" s="9">
        <v>22.75</v>
      </c>
      <c r="C4478" s="9">
        <v>25.37</v>
      </c>
      <c r="D4478" s="9">
        <v>22.63</v>
      </c>
      <c r="E4478" s="9">
        <v>24.75</v>
      </c>
      <c r="F4478" s="9">
        <v>21164800</v>
      </c>
      <c r="G4478" s="9">
        <v>1.03</v>
      </c>
    </row>
    <row r="4479" spans="1:7" x14ac:dyDescent="0.25">
      <c r="A4479" s="101">
        <v>35507</v>
      </c>
      <c r="B4479" s="9">
        <v>23.25</v>
      </c>
      <c r="C4479" s="9">
        <v>24.13</v>
      </c>
      <c r="D4479" s="9">
        <v>22</v>
      </c>
      <c r="E4479" s="9">
        <v>22.63</v>
      </c>
      <c r="F4479" s="9">
        <v>11500800</v>
      </c>
      <c r="G4479" s="9">
        <v>0.94</v>
      </c>
    </row>
    <row r="4480" spans="1:7" x14ac:dyDescent="0.25">
      <c r="A4480" s="101">
        <v>35506</v>
      </c>
      <c r="B4480" s="9">
        <v>25.5</v>
      </c>
      <c r="C4480" s="9">
        <v>26.38</v>
      </c>
      <c r="D4480" s="9">
        <v>22.5</v>
      </c>
      <c r="E4480" s="9">
        <v>23.12</v>
      </c>
      <c r="F4480" s="9">
        <v>24931200</v>
      </c>
      <c r="G4480" s="9">
        <v>0.96</v>
      </c>
    </row>
    <row r="4481" spans="1:7" x14ac:dyDescent="0.25">
      <c r="A4481" s="101">
        <v>35503</v>
      </c>
      <c r="B4481" s="9">
        <v>23.12</v>
      </c>
      <c r="C4481" s="9">
        <v>25.37</v>
      </c>
      <c r="D4481" s="9">
        <v>22.37</v>
      </c>
      <c r="E4481" s="9">
        <v>25.25</v>
      </c>
      <c r="F4481" s="9">
        <v>11526400</v>
      </c>
      <c r="G4481" s="9">
        <v>1.05</v>
      </c>
    </row>
    <row r="4482" spans="1:7" x14ac:dyDescent="0.25">
      <c r="A4482" s="101">
        <v>35502</v>
      </c>
      <c r="B4482" s="9">
        <v>25.63</v>
      </c>
      <c r="C4482" s="9">
        <v>25.63</v>
      </c>
      <c r="D4482" s="9">
        <v>22.75</v>
      </c>
      <c r="E4482" s="9">
        <v>22.81</v>
      </c>
      <c r="F4482" s="9">
        <v>13540800</v>
      </c>
      <c r="G4482" s="9">
        <v>0.95</v>
      </c>
    </row>
    <row r="4483" spans="1:7" x14ac:dyDescent="0.25">
      <c r="A4483" s="101">
        <v>35501</v>
      </c>
      <c r="B4483" s="9">
        <v>26</v>
      </c>
      <c r="C4483" s="9">
        <v>26.75</v>
      </c>
      <c r="D4483" s="9">
        <v>25</v>
      </c>
      <c r="E4483" s="9">
        <v>25.63</v>
      </c>
      <c r="F4483" s="9">
        <v>7958400</v>
      </c>
      <c r="G4483" s="9">
        <v>1.07</v>
      </c>
    </row>
    <row r="4484" spans="1:7" x14ac:dyDescent="0.25">
      <c r="A4484" s="101">
        <v>35500</v>
      </c>
      <c r="B4484" s="9">
        <v>26.75</v>
      </c>
      <c r="C4484" s="9">
        <v>27.37</v>
      </c>
      <c r="D4484" s="9">
        <v>26</v>
      </c>
      <c r="E4484" s="9">
        <v>26</v>
      </c>
      <c r="F4484" s="9">
        <v>7019200</v>
      </c>
      <c r="G4484" s="9">
        <v>1.08</v>
      </c>
    </row>
    <row r="4485" spans="1:7" x14ac:dyDescent="0.25">
      <c r="A4485" s="101">
        <v>35499</v>
      </c>
      <c r="B4485" s="9">
        <v>27.25</v>
      </c>
      <c r="C4485" s="9">
        <v>27.25</v>
      </c>
      <c r="D4485" s="9">
        <v>26.5</v>
      </c>
      <c r="E4485" s="9">
        <v>26.63</v>
      </c>
      <c r="F4485" s="9">
        <v>3513600</v>
      </c>
      <c r="G4485" s="9">
        <v>1.1100000000000001</v>
      </c>
    </row>
    <row r="4486" spans="1:7" x14ac:dyDescent="0.25">
      <c r="A4486" s="101">
        <v>35496</v>
      </c>
      <c r="B4486" s="9">
        <v>26.25</v>
      </c>
      <c r="C4486" s="9">
        <v>27.37</v>
      </c>
      <c r="D4486" s="9">
        <v>26.12</v>
      </c>
      <c r="E4486" s="9">
        <v>27.25</v>
      </c>
      <c r="F4486" s="9">
        <v>6217600</v>
      </c>
      <c r="G4486" s="9">
        <v>1.1399999999999999</v>
      </c>
    </row>
    <row r="4487" spans="1:7" x14ac:dyDescent="0.25">
      <c r="A4487" s="101">
        <v>35495</v>
      </c>
      <c r="B4487" s="9">
        <v>26.75</v>
      </c>
      <c r="C4487" s="9">
        <v>27.25</v>
      </c>
      <c r="D4487" s="9">
        <v>25.5</v>
      </c>
      <c r="E4487" s="9">
        <v>26.25</v>
      </c>
      <c r="F4487" s="9">
        <v>12792000</v>
      </c>
      <c r="G4487" s="9">
        <v>1.0900000000000001</v>
      </c>
    </row>
    <row r="4488" spans="1:7" x14ac:dyDescent="0.25">
      <c r="A4488" s="101">
        <v>35494</v>
      </c>
      <c r="B4488" s="9">
        <v>28.63</v>
      </c>
      <c r="C4488" s="9">
        <v>28.75</v>
      </c>
      <c r="D4488" s="9">
        <v>26.63</v>
      </c>
      <c r="E4488" s="9">
        <v>27</v>
      </c>
      <c r="F4488" s="9">
        <v>12091200</v>
      </c>
      <c r="G4488" s="9">
        <v>1.1200000000000001</v>
      </c>
    </row>
    <row r="4489" spans="1:7" x14ac:dyDescent="0.25">
      <c r="A4489" s="101">
        <v>35493</v>
      </c>
      <c r="B4489" s="9">
        <v>30.13</v>
      </c>
      <c r="C4489" s="9">
        <v>30.13</v>
      </c>
      <c r="D4489" s="9">
        <v>28.63</v>
      </c>
      <c r="E4489" s="9">
        <v>28.69</v>
      </c>
      <c r="F4489" s="9">
        <v>7508800</v>
      </c>
      <c r="G4489" s="9">
        <v>1.2</v>
      </c>
    </row>
    <row r="4490" spans="1:7" x14ac:dyDescent="0.25">
      <c r="A4490" s="101">
        <v>35492</v>
      </c>
      <c r="B4490" s="9">
        <v>29.87</v>
      </c>
      <c r="C4490" s="9">
        <v>31.87</v>
      </c>
      <c r="D4490" s="9">
        <v>29.75</v>
      </c>
      <c r="E4490" s="9">
        <v>30</v>
      </c>
      <c r="F4490" s="9">
        <v>10776000</v>
      </c>
      <c r="G4490" s="9">
        <v>1.25</v>
      </c>
    </row>
    <row r="4491" spans="1:7" x14ac:dyDescent="0.25">
      <c r="A4491" s="101">
        <v>35489</v>
      </c>
      <c r="B4491" s="9">
        <v>30.62</v>
      </c>
      <c r="C4491" s="9">
        <v>30.88</v>
      </c>
      <c r="D4491" s="9">
        <v>29.63</v>
      </c>
      <c r="E4491" s="9">
        <v>30.25</v>
      </c>
      <c r="F4491" s="9">
        <v>8812800</v>
      </c>
      <c r="G4491" s="9">
        <v>1.26</v>
      </c>
    </row>
    <row r="4492" spans="1:7" x14ac:dyDescent="0.25">
      <c r="A4492" s="101">
        <v>35488</v>
      </c>
      <c r="B4492" s="9">
        <v>31.25</v>
      </c>
      <c r="C4492" s="9">
        <v>31.63</v>
      </c>
      <c r="D4492" s="9">
        <v>30.5</v>
      </c>
      <c r="E4492" s="9">
        <v>30.5</v>
      </c>
      <c r="F4492" s="9">
        <v>4944000</v>
      </c>
      <c r="G4492" s="9">
        <v>1.27</v>
      </c>
    </row>
    <row r="4493" spans="1:7" x14ac:dyDescent="0.25">
      <c r="A4493" s="101">
        <v>35487</v>
      </c>
      <c r="B4493" s="9">
        <v>32</v>
      </c>
      <c r="C4493" s="9">
        <v>32.380000000000003</v>
      </c>
      <c r="D4493" s="9">
        <v>30.75</v>
      </c>
      <c r="E4493" s="9">
        <v>31.25</v>
      </c>
      <c r="F4493" s="9">
        <v>12100800</v>
      </c>
      <c r="G4493" s="9">
        <v>1.3</v>
      </c>
    </row>
    <row r="4494" spans="1:7" x14ac:dyDescent="0.25">
      <c r="A4494" s="101">
        <v>35486</v>
      </c>
      <c r="B4494" s="9">
        <v>31.25</v>
      </c>
      <c r="C4494" s="9">
        <v>34</v>
      </c>
      <c r="D4494" s="9">
        <v>31</v>
      </c>
      <c r="E4494" s="9">
        <v>32.380000000000003</v>
      </c>
      <c r="F4494" s="9">
        <v>13734400</v>
      </c>
      <c r="G4494" s="9">
        <v>1.35</v>
      </c>
    </row>
    <row r="4495" spans="1:7" x14ac:dyDescent="0.25">
      <c r="A4495" s="101">
        <v>35485</v>
      </c>
      <c r="B4495" s="9">
        <v>31.25</v>
      </c>
      <c r="C4495" s="9">
        <v>33</v>
      </c>
      <c r="D4495" s="9">
        <v>30.37</v>
      </c>
      <c r="E4495" s="9">
        <v>30.37</v>
      </c>
      <c r="F4495" s="9">
        <v>9985600</v>
      </c>
      <c r="G4495" s="9">
        <v>1.27</v>
      </c>
    </row>
    <row r="4496" spans="1:7" x14ac:dyDescent="0.25">
      <c r="A4496" s="101">
        <v>35482</v>
      </c>
      <c r="B4496" s="9">
        <v>32</v>
      </c>
      <c r="C4496" s="9">
        <v>32.119999999999997</v>
      </c>
      <c r="D4496" s="9">
        <v>30.75</v>
      </c>
      <c r="E4496" s="9">
        <v>31.13</v>
      </c>
      <c r="F4496" s="9">
        <v>6304000</v>
      </c>
      <c r="G4496" s="9">
        <v>1.3</v>
      </c>
    </row>
    <row r="4497" spans="1:7" x14ac:dyDescent="0.25">
      <c r="A4497" s="101">
        <v>35481</v>
      </c>
      <c r="B4497" s="9">
        <v>32.75</v>
      </c>
      <c r="C4497" s="9">
        <v>33</v>
      </c>
      <c r="D4497" s="9">
        <v>31.25</v>
      </c>
      <c r="E4497" s="9">
        <v>31.87</v>
      </c>
      <c r="F4497" s="9">
        <v>7259200</v>
      </c>
      <c r="G4497" s="9">
        <v>1.33</v>
      </c>
    </row>
    <row r="4498" spans="1:7" x14ac:dyDescent="0.25">
      <c r="A4498" s="101">
        <v>35480</v>
      </c>
      <c r="B4498" s="9">
        <v>34</v>
      </c>
      <c r="C4498" s="9">
        <v>34</v>
      </c>
      <c r="D4498" s="9">
        <v>32.25</v>
      </c>
      <c r="E4498" s="9">
        <v>33</v>
      </c>
      <c r="F4498" s="9">
        <v>9553600</v>
      </c>
      <c r="G4498" s="9">
        <v>1.38</v>
      </c>
    </row>
    <row r="4499" spans="1:7" x14ac:dyDescent="0.25">
      <c r="A4499" s="101">
        <v>35479</v>
      </c>
      <c r="B4499" s="9">
        <v>34.25</v>
      </c>
      <c r="C4499" s="9">
        <v>34.5</v>
      </c>
      <c r="D4499" s="9">
        <v>31.63</v>
      </c>
      <c r="E4499" s="9">
        <v>34.130000000000003</v>
      </c>
      <c r="F4499" s="9">
        <v>10705600</v>
      </c>
      <c r="G4499" s="9">
        <v>1.42</v>
      </c>
    </row>
    <row r="4500" spans="1:7" x14ac:dyDescent="0.25">
      <c r="A4500" s="101">
        <v>35475</v>
      </c>
      <c r="B4500" s="9">
        <v>35.5</v>
      </c>
      <c r="C4500" s="9">
        <v>35.75</v>
      </c>
      <c r="D4500" s="9">
        <v>33.369999999999997</v>
      </c>
      <c r="E4500" s="9">
        <v>34.369999999999997</v>
      </c>
      <c r="F4500" s="9">
        <v>10555200</v>
      </c>
      <c r="G4500" s="9">
        <v>1.43</v>
      </c>
    </row>
    <row r="4501" spans="1:7" x14ac:dyDescent="0.25">
      <c r="A4501" s="101">
        <v>35474</v>
      </c>
      <c r="B4501" s="9">
        <v>35.5</v>
      </c>
      <c r="C4501" s="9">
        <v>36.130000000000003</v>
      </c>
      <c r="D4501" s="9">
        <v>34.5</v>
      </c>
      <c r="E4501" s="9">
        <v>35.869999999999997</v>
      </c>
      <c r="F4501" s="9">
        <v>17510400</v>
      </c>
      <c r="G4501" s="9">
        <v>1.49</v>
      </c>
    </row>
    <row r="4502" spans="1:7" x14ac:dyDescent="0.25">
      <c r="A4502" s="101">
        <v>35473</v>
      </c>
      <c r="B4502" s="9">
        <v>32.119999999999997</v>
      </c>
      <c r="C4502" s="9">
        <v>36.25</v>
      </c>
      <c r="D4502" s="9">
        <v>31.5</v>
      </c>
      <c r="E4502" s="9">
        <v>35.630000000000003</v>
      </c>
      <c r="F4502" s="9">
        <v>28483200</v>
      </c>
      <c r="G4502" s="9">
        <v>1.48</v>
      </c>
    </row>
    <row r="4503" spans="1:7" x14ac:dyDescent="0.25">
      <c r="A4503" s="101">
        <v>35472</v>
      </c>
      <c r="B4503" s="9">
        <v>29.25</v>
      </c>
      <c r="C4503" s="9">
        <v>31.37</v>
      </c>
      <c r="D4503" s="9">
        <v>29.25</v>
      </c>
      <c r="E4503" s="9">
        <v>31.37</v>
      </c>
      <c r="F4503" s="9">
        <v>12691200</v>
      </c>
      <c r="G4503" s="9">
        <v>1.31</v>
      </c>
    </row>
    <row r="4504" spans="1:7" x14ac:dyDescent="0.25">
      <c r="A4504" s="101">
        <v>35471</v>
      </c>
      <c r="B4504" s="9">
        <v>30.13</v>
      </c>
      <c r="C4504" s="9">
        <v>30.37</v>
      </c>
      <c r="D4504" s="9">
        <v>28.75</v>
      </c>
      <c r="E4504" s="9">
        <v>29.12</v>
      </c>
      <c r="F4504" s="9">
        <v>9270400</v>
      </c>
      <c r="G4504" s="9">
        <v>1.21</v>
      </c>
    </row>
    <row r="4505" spans="1:7" x14ac:dyDescent="0.25">
      <c r="A4505" s="101">
        <v>35468</v>
      </c>
      <c r="B4505" s="9">
        <v>31.75</v>
      </c>
      <c r="C4505" s="9">
        <v>31.75</v>
      </c>
      <c r="D4505" s="9">
        <v>29.75</v>
      </c>
      <c r="E4505" s="9">
        <v>30.13</v>
      </c>
      <c r="F4505" s="9">
        <v>18787200</v>
      </c>
      <c r="G4505" s="9">
        <v>1.26</v>
      </c>
    </row>
    <row r="4506" spans="1:7" x14ac:dyDescent="0.25">
      <c r="A4506" s="101">
        <v>35467</v>
      </c>
      <c r="B4506" s="9">
        <v>33.5</v>
      </c>
      <c r="C4506" s="9">
        <v>34.130000000000003</v>
      </c>
      <c r="D4506" s="9">
        <v>31.87</v>
      </c>
      <c r="E4506" s="9">
        <v>32.25</v>
      </c>
      <c r="F4506" s="9">
        <v>11481600</v>
      </c>
      <c r="G4506" s="9">
        <v>1.34</v>
      </c>
    </row>
    <row r="4507" spans="1:7" x14ac:dyDescent="0.25">
      <c r="A4507" s="101">
        <v>35466</v>
      </c>
      <c r="B4507" s="9">
        <v>34.369999999999997</v>
      </c>
      <c r="C4507" s="9">
        <v>35</v>
      </c>
      <c r="D4507" s="9">
        <v>33.130000000000003</v>
      </c>
      <c r="E4507" s="9">
        <v>33.880000000000003</v>
      </c>
      <c r="F4507" s="9">
        <v>7427200</v>
      </c>
      <c r="G4507" s="9">
        <v>1.41</v>
      </c>
    </row>
    <row r="4508" spans="1:7" x14ac:dyDescent="0.25">
      <c r="A4508" s="101">
        <v>35465</v>
      </c>
      <c r="B4508" s="9">
        <v>34.630000000000003</v>
      </c>
      <c r="C4508" s="9">
        <v>36.25</v>
      </c>
      <c r="D4508" s="9">
        <v>34</v>
      </c>
      <c r="E4508" s="9">
        <v>34.630000000000003</v>
      </c>
      <c r="F4508" s="9">
        <v>13686400</v>
      </c>
      <c r="G4508" s="9">
        <v>1.44</v>
      </c>
    </row>
    <row r="4509" spans="1:7" x14ac:dyDescent="0.25">
      <c r="A4509" s="101">
        <v>35464</v>
      </c>
      <c r="B4509" s="9">
        <v>33.880000000000003</v>
      </c>
      <c r="C4509" s="9">
        <v>35</v>
      </c>
      <c r="D4509" s="9">
        <v>33.5</v>
      </c>
      <c r="E4509" s="9">
        <v>34.869999999999997</v>
      </c>
      <c r="F4509" s="9">
        <v>16043200</v>
      </c>
      <c r="G4509" s="9">
        <v>1.45</v>
      </c>
    </row>
    <row r="4510" spans="1:7" x14ac:dyDescent="0.25">
      <c r="A4510" s="101">
        <v>35461</v>
      </c>
      <c r="B4510" s="9">
        <v>34.5</v>
      </c>
      <c r="C4510" s="9">
        <v>35.119999999999997</v>
      </c>
      <c r="D4510" s="9">
        <v>33.75</v>
      </c>
      <c r="E4510" s="9">
        <v>33.880000000000003</v>
      </c>
      <c r="F4510" s="9">
        <v>6904000</v>
      </c>
      <c r="G4510" s="9">
        <v>1.41</v>
      </c>
    </row>
    <row r="4511" spans="1:7" x14ac:dyDescent="0.25">
      <c r="A4511" s="101">
        <v>35460</v>
      </c>
      <c r="B4511" s="9">
        <v>33</v>
      </c>
      <c r="C4511" s="9">
        <v>35.380000000000003</v>
      </c>
      <c r="D4511" s="9">
        <v>32.5</v>
      </c>
      <c r="E4511" s="9">
        <v>34.130000000000003</v>
      </c>
      <c r="F4511" s="9">
        <v>21408000</v>
      </c>
      <c r="G4511" s="9">
        <v>1.42</v>
      </c>
    </row>
    <row r="4512" spans="1:7" x14ac:dyDescent="0.25">
      <c r="A4512" s="101">
        <v>35459</v>
      </c>
      <c r="B4512" s="9">
        <v>32.630000000000003</v>
      </c>
      <c r="C4512" s="9">
        <v>33.75</v>
      </c>
      <c r="D4512" s="9">
        <v>31.87</v>
      </c>
      <c r="E4512" s="9">
        <v>33.619999999999997</v>
      </c>
      <c r="F4512" s="9">
        <v>17718400</v>
      </c>
      <c r="G4512" s="9">
        <v>1.4</v>
      </c>
    </row>
    <row r="4513" spans="1:7" x14ac:dyDescent="0.25">
      <c r="A4513" s="101">
        <v>35458</v>
      </c>
      <c r="B4513" s="9">
        <v>36.619999999999997</v>
      </c>
      <c r="C4513" s="9">
        <v>36.619999999999997</v>
      </c>
      <c r="D4513" s="9">
        <v>31.63</v>
      </c>
      <c r="E4513" s="9">
        <v>32.630000000000003</v>
      </c>
      <c r="F4513" s="9">
        <v>27313600</v>
      </c>
      <c r="G4513" s="9">
        <v>1.36</v>
      </c>
    </row>
    <row r="4514" spans="1:7" x14ac:dyDescent="0.25">
      <c r="A4514" s="101">
        <v>35457</v>
      </c>
      <c r="B4514" s="9">
        <v>33.130000000000003</v>
      </c>
      <c r="C4514" s="9">
        <v>37.369999999999997</v>
      </c>
      <c r="D4514" s="9">
        <v>33.130000000000003</v>
      </c>
      <c r="E4514" s="9">
        <v>36.44</v>
      </c>
      <c r="F4514" s="9">
        <v>41558400</v>
      </c>
      <c r="G4514" s="9">
        <v>1.52</v>
      </c>
    </row>
    <row r="4515" spans="1:7" x14ac:dyDescent="0.25">
      <c r="A4515" s="101">
        <v>35454</v>
      </c>
      <c r="B4515" s="9">
        <v>34.630000000000003</v>
      </c>
      <c r="C4515" s="9">
        <v>35</v>
      </c>
      <c r="D4515" s="9">
        <v>32</v>
      </c>
      <c r="E4515" s="9">
        <v>33.130000000000003</v>
      </c>
      <c r="F4515" s="9">
        <v>28099200</v>
      </c>
      <c r="G4515" s="9">
        <v>1.38</v>
      </c>
    </row>
    <row r="4516" spans="1:7" x14ac:dyDescent="0.25">
      <c r="A4516" s="101">
        <v>35453</v>
      </c>
      <c r="B4516" s="9">
        <v>32.119999999999997</v>
      </c>
      <c r="C4516" s="9">
        <v>35.25</v>
      </c>
      <c r="D4516" s="9">
        <v>32.119999999999997</v>
      </c>
      <c r="E4516" s="9">
        <v>35.25</v>
      </c>
      <c r="F4516" s="9">
        <v>28028800</v>
      </c>
      <c r="G4516" s="9">
        <v>1.47</v>
      </c>
    </row>
    <row r="4517" spans="1:7" x14ac:dyDescent="0.25">
      <c r="A4517" s="101">
        <v>35452</v>
      </c>
      <c r="B4517" s="9">
        <v>31.63</v>
      </c>
      <c r="C4517" s="9">
        <v>33.25</v>
      </c>
      <c r="D4517" s="9">
        <v>31</v>
      </c>
      <c r="E4517" s="9">
        <v>31.87</v>
      </c>
      <c r="F4517" s="9">
        <v>29809600</v>
      </c>
      <c r="G4517" s="9">
        <v>1.33</v>
      </c>
    </row>
    <row r="4518" spans="1:7" x14ac:dyDescent="0.25">
      <c r="A4518" s="101">
        <v>35451</v>
      </c>
      <c r="B4518" s="9">
        <v>28.87</v>
      </c>
      <c r="C4518" s="9">
        <v>32.25</v>
      </c>
      <c r="D4518" s="9">
        <v>28.63</v>
      </c>
      <c r="E4518" s="9">
        <v>31.87</v>
      </c>
      <c r="F4518" s="9">
        <v>30428800</v>
      </c>
      <c r="G4518" s="9">
        <v>1.33</v>
      </c>
    </row>
    <row r="4519" spans="1:7" x14ac:dyDescent="0.25">
      <c r="A4519" s="101">
        <v>35450</v>
      </c>
      <c r="B4519" s="9">
        <v>26.5</v>
      </c>
      <c r="C4519" s="9">
        <v>31.25</v>
      </c>
      <c r="D4519" s="9">
        <v>26.5</v>
      </c>
      <c r="E4519" s="9">
        <v>29.5</v>
      </c>
      <c r="F4519" s="9">
        <v>36244800</v>
      </c>
      <c r="G4519" s="9">
        <v>1.23</v>
      </c>
    </row>
    <row r="4520" spans="1:7" x14ac:dyDescent="0.25">
      <c r="A4520" s="101">
        <v>35447</v>
      </c>
      <c r="B4520" s="9">
        <v>26</v>
      </c>
      <c r="C4520" s="9">
        <v>26.87</v>
      </c>
      <c r="D4520" s="9">
        <v>24.88</v>
      </c>
      <c r="E4520" s="9">
        <v>26.63</v>
      </c>
      <c r="F4520" s="9">
        <v>24388800</v>
      </c>
      <c r="G4520" s="9">
        <v>1.1100000000000001</v>
      </c>
    </row>
    <row r="4521" spans="1:7" x14ac:dyDescent="0.25">
      <c r="A4521" s="101">
        <v>35446</v>
      </c>
      <c r="B4521" s="9">
        <v>25.37</v>
      </c>
      <c r="C4521" s="9">
        <v>27</v>
      </c>
      <c r="D4521" s="9">
        <v>24.75</v>
      </c>
      <c r="E4521" s="9">
        <v>26.12</v>
      </c>
      <c r="F4521" s="9">
        <v>20267200</v>
      </c>
      <c r="G4521" s="9">
        <v>1.0900000000000001</v>
      </c>
    </row>
    <row r="4522" spans="1:7" x14ac:dyDescent="0.25">
      <c r="A4522" s="101">
        <v>35445</v>
      </c>
      <c r="B4522" s="9">
        <v>23</v>
      </c>
      <c r="C4522" s="9">
        <v>26</v>
      </c>
      <c r="D4522" s="9">
        <v>22.87</v>
      </c>
      <c r="E4522" s="9">
        <v>25.37</v>
      </c>
      <c r="F4522" s="9">
        <v>50636800</v>
      </c>
      <c r="G4522" s="9">
        <v>1.06</v>
      </c>
    </row>
    <row r="4523" spans="1:7" x14ac:dyDescent="0.25">
      <c r="A4523" s="101">
        <v>35444</v>
      </c>
      <c r="B4523" s="9">
        <v>21.88</v>
      </c>
      <c r="C4523" s="9">
        <v>21.88</v>
      </c>
      <c r="D4523" s="9">
        <v>20.87</v>
      </c>
      <c r="E4523" s="9">
        <v>20.87</v>
      </c>
      <c r="F4523" s="9">
        <v>5376000</v>
      </c>
      <c r="G4523" s="9">
        <v>0.87</v>
      </c>
    </row>
    <row r="4524" spans="1:7" x14ac:dyDescent="0.25">
      <c r="A4524" s="101">
        <v>35443</v>
      </c>
      <c r="B4524" s="9">
        <v>19.87</v>
      </c>
      <c r="C4524" s="9">
        <v>22.13</v>
      </c>
      <c r="D4524" s="9">
        <v>19.75</v>
      </c>
      <c r="E4524" s="9">
        <v>21.75</v>
      </c>
      <c r="F4524" s="9">
        <v>18164800</v>
      </c>
      <c r="G4524" s="9">
        <v>0.91</v>
      </c>
    </row>
    <row r="4525" spans="1:7" x14ac:dyDescent="0.25">
      <c r="A4525" s="101">
        <v>35440</v>
      </c>
      <c r="B4525" s="9">
        <v>19</v>
      </c>
      <c r="C4525" s="9">
        <v>19.25</v>
      </c>
      <c r="D4525" s="9">
        <v>19</v>
      </c>
      <c r="E4525" s="9">
        <v>19.25</v>
      </c>
      <c r="F4525" s="9">
        <v>2577600</v>
      </c>
      <c r="G4525" s="9">
        <v>0.8</v>
      </c>
    </row>
    <row r="4526" spans="1:7" x14ac:dyDescent="0.25">
      <c r="A4526" s="101">
        <v>35439</v>
      </c>
      <c r="B4526" s="9">
        <v>18.88</v>
      </c>
      <c r="C4526" s="9">
        <v>19.75</v>
      </c>
      <c r="D4526" s="9">
        <v>18.88</v>
      </c>
      <c r="E4526" s="9">
        <v>19.37</v>
      </c>
      <c r="F4526" s="9">
        <v>4907200</v>
      </c>
      <c r="G4526" s="9">
        <v>0.81</v>
      </c>
    </row>
    <row r="4527" spans="1:7" x14ac:dyDescent="0.25">
      <c r="A4527" s="101">
        <v>35438</v>
      </c>
      <c r="B4527" s="9">
        <v>20.190000000000001</v>
      </c>
      <c r="C4527" s="9">
        <v>20.38</v>
      </c>
      <c r="D4527" s="9">
        <v>18.75</v>
      </c>
      <c r="E4527" s="9">
        <v>18.88</v>
      </c>
      <c r="F4527" s="9">
        <v>2924800</v>
      </c>
      <c r="G4527" s="9">
        <v>0.79</v>
      </c>
    </row>
    <row r="4528" spans="1:7" x14ac:dyDescent="0.25">
      <c r="A4528" s="101">
        <v>35437</v>
      </c>
      <c r="B4528" s="9">
        <v>19.87</v>
      </c>
      <c r="C4528" s="9">
        <v>20.5</v>
      </c>
      <c r="D4528" s="9">
        <v>19.440000000000001</v>
      </c>
      <c r="E4528" s="9">
        <v>20.12</v>
      </c>
      <c r="F4528" s="9">
        <v>5008000</v>
      </c>
      <c r="G4528" s="9">
        <v>0.84</v>
      </c>
    </row>
    <row r="4529" spans="1:7" x14ac:dyDescent="0.25">
      <c r="A4529" s="101">
        <v>35436</v>
      </c>
      <c r="B4529" s="9">
        <v>19.13</v>
      </c>
      <c r="C4529" s="9">
        <v>19.87</v>
      </c>
      <c r="D4529" s="9">
        <v>19</v>
      </c>
      <c r="E4529" s="9">
        <v>19.87</v>
      </c>
      <c r="F4529" s="9">
        <v>6640000</v>
      </c>
      <c r="G4529" s="9">
        <v>0.83</v>
      </c>
    </row>
    <row r="4530" spans="1:7" x14ac:dyDescent="0.25">
      <c r="A4530" s="101">
        <v>35433</v>
      </c>
      <c r="B4530" s="9">
        <v>17.63</v>
      </c>
      <c r="C4530" s="9">
        <v>18.75</v>
      </c>
      <c r="D4530" s="9">
        <v>17.52</v>
      </c>
      <c r="E4530" s="9">
        <v>18.37</v>
      </c>
      <c r="F4530" s="9">
        <v>2180800</v>
      </c>
      <c r="G4530" s="9">
        <v>0.77</v>
      </c>
    </row>
    <row r="4531" spans="1:7" x14ac:dyDescent="0.25">
      <c r="A4531" s="101">
        <v>35432</v>
      </c>
      <c r="B4531" s="9">
        <v>17</v>
      </c>
      <c r="C4531" s="9">
        <v>17.5</v>
      </c>
      <c r="D4531" s="9">
        <v>16.75</v>
      </c>
      <c r="E4531" s="9">
        <v>17.5</v>
      </c>
      <c r="F4531" s="9">
        <v>2579200</v>
      </c>
      <c r="G4531" s="9">
        <v>0.73</v>
      </c>
    </row>
    <row r="4532" spans="1:7" x14ac:dyDescent="0.25">
      <c r="A4532" s="101">
        <v>35430</v>
      </c>
      <c r="B4532" s="9">
        <v>17.5</v>
      </c>
      <c r="C4532" s="9">
        <v>17.63</v>
      </c>
      <c r="D4532" s="9">
        <v>16.75</v>
      </c>
      <c r="E4532" s="9">
        <v>17</v>
      </c>
      <c r="F4532" s="9">
        <v>3923200</v>
      </c>
      <c r="G4532" s="9">
        <v>0.71</v>
      </c>
    </row>
    <row r="4533" spans="1:7" x14ac:dyDescent="0.25">
      <c r="A4533" s="101">
        <v>35429</v>
      </c>
      <c r="B4533" s="9">
        <v>18.25</v>
      </c>
      <c r="C4533" s="9">
        <v>18.25</v>
      </c>
      <c r="D4533" s="9">
        <v>17.75</v>
      </c>
      <c r="E4533" s="9">
        <v>18</v>
      </c>
      <c r="F4533" s="9">
        <v>1396800</v>
      </c>
      <c r="G4533" s="9">
        <v>0.75</v>
      </c>
    </row>
    <row r="4534" spans="1:7" x14ac:dyDescent="0.25">
      <c r="A4534" s="101">
        <v>35426</v>
      </c>
      <c r="B4534" s="9">
        <v>18.25</v>
      </c>
      <c r="C4534" s="9">
        <v>18.75</v>
      </c>
      <c r="D4534" s="9">
        <v>17.87</v>
      </c>
      <c r="E4534" s="9">
        <v>18.25</v>
      </c>
      <c r="F4534" s="9">
        <v>1806400</v>
      </c>
      <c r="G4534" s="9">
        <v>0.76</v>
      </c>
    </row>
    <row r="4535" spans="1:7" x14ac:dyDescent="0.25">
      <c r="A4535" s="101">
        <v>35425</v>
      </c>
      <c r="B4535" s="9">
        <v>18</v>
      </c>
      <c r="C4535" s="9">
        <v>18.25</v>
      </c>
      <c r="D4535" s="9">
        <v>17.87</v>
      </c>
      <c r="E4535" s="9">
        <v>17.87</v>
      </c>
      <c r="F4535" s="9">
        <v>1513600</v>
      </c>
      <c r="G4535" s="9">
        <v>0.74</v>
      </c>
    </row>
    <row r="4536" spans="1:7" x14ac:dyDescent="0.25">
      <c r="A4536" s="101">
        <v>35423</v>
      </c>
      <c r="B4536" s="9">
        <v>18.13</v>
      </c>
      <c r="C4536" s="9">
        <v>18.13</v>
      </c>
      <c r="D4536" s="9">
        <v>17.75</v>
      </c>
      <c r="E4536" s="9">
        <v>18.13</v>
      </c>
      <c r="F4536" s="9">
        <v>715200</v>
      </c>
      <c r="G4536" s="9">
        <v>0.76</v>
      </c>
    </row>
    <row r="4537" spans="1:7" x14ac:dyDescent="0.25">
      <c r="A4537" s="101">
        <v>35422</v>
      </c>
      <c r="B4537" s="9">
        <v>17.5</v>
      </c>
      <c r="C4537" s="9">
        <v>18.5</v>
      </c>
      <c r="D4537" s="9">
        <v>17.38</v>
      </c>
      <c r="E4537" s="9">
        <v>17.940000000000001</v>
      </c>
      <c r="F4537" s="9">
        <v>3619200</v>
      </c>
      <c r="G4537" s="9">
        <v>0.75</v>
      </c>
    </row>
    <row r="4538" spans="1:7" x14ac:dyDescent="0.25">
      <c r="A4538" s="101">
        <v>35419</v>
      </c>
      <c r="B4538" s="9">
        <v>18.13</v>
      </c>
      <c r="C4538" s="9">
        <v>18.13</v>
      </c>
      <c r="D4538" s="9">
        <v>17</v>
      </c>
      <c r="E4538" s="9">
        <v>17</v>
      </c>
      <c r="F4538" s="9">
        <v>4926400</v>
      </c>
      <c r="G4538" s="9">
        <v>0.71</v>
      </c>
    </row>
    <row r="4539" spans="1:7" x14ac:dyDescent="0.25">
      <c r="A4539" s="101">
        <v>35418</v>
      </c>
      <c r="B4539" s="9">
        <v>18.5</v>
      </c>
      <c r="C4539" s="9">
        <v>18.62</v>
      </c>
      <c r="D4539" s="9">
        <v>17.87</v>
      </c>
      <c r="E4539" s="9">
        <v>18</v>
      </c>
      <c r="F4539" s="9">
        <v>2049600</v>
      </c>
      <c r="G4539" s="9">
        <v>0.75</v>
      </c>
    </row>
    <row r="4540" spans="1:7" x14ac:dyDescent="0.25">
      <c r="A4540" s="101">
        <v>35417</v>
      </c>
      <c r="B4540" s="9">
        <v>18</v>
      </c>
      <c r="C4540" s="9">
        <v>19.37</v>
      </c>
      <c r="D4540" s="9">
        <v>17.87</v>
      </c>
      <c r="E4540" s="9">
        <v>18.37</v>
      </c>
      <c r="F4540" s="9">
        <v>5496000</v>
      </c>
      <c r="G4540" s="9">
        <v>0.77</v>
      </c>
    </row>
    <row r="4541" spans="1:7" x14ac:dyDescent="0.25">
      <c r="A4541" s="101">
        <v>35416</v>
      </c>
      <c r="B4541" s="9">
        <v>18.62</v>
      </c>
      <c r="C4541" s="9">
        <v>18.75</v>
      </c>
      <c r="D4541" s="9">
        <v>17.87</v>
      </c>
      <c r="E4541" s="9">
        <v>18.13</v>
      </c>
      <c r="F4541" s="9">
        <v>1732800</v>
      </c>
      <c r="G4541" s="9">
        <v>0.76</v>
      </c>
    </row>
    <row r="4542" spans="1:7" x14ac:dyDescent="0.25">
      <c r="A4542" s="101">
        <v>35415</v>
      </c>
      <c r="B4542" s="9">
        <v>20</v>
      </c>
      <c r="C4542" s="9">
        <v>20.25</v>
      </c>
      <c r="D4542" s="9">
        <v>18.62</v>
      </c>
      <c r="E4542" s="9">
        <v>18.75</v>
      </c>
      <c r="F4542" s="9">
        <v>1886400</v>
      </c>
      <c r="G4542" s="9">
        <v>0.78</v>
      </c>
    </row>
    <row r="4543" spans="1:7" x14ac:dyDescent="0.25">
      <c r="A4543" s="101">
        <v>35412</v>
      </c>
      <c r="B4543" s="9">
        <v>19.5</v>
      </c>
      <c r="C4543" s="9">
        <v>20.25</v>
      </c>
      <c r="D4543" s="9">
        <v>19.5</v>
      </c>
      <c r="E4543" s="9">
        <v>19.87</v>
      </c>
      <c r="F4543" s="9">
        <v>1353600</v>
      </c>
      <c r="G4543" s="9">
        <v>0.83</v>
      </c>
    </row>
    <row r="4544" spans="1:7" x14ac:dyDescent="0.25">
      <c r="A4544" s="101">
        <v>35411</v>
      </c>
      <c r="B4544" s="9">
        <v>19.5</v>
      </c>
      <c r="C4544" s="9">
        <v>20.12</v>
      </c>
      <c r="D4544" s="9">
        <v>19</v>
      </c>
      <c r="E4544" s="9">
        <v>20</v>
      </c>
      <c r="F4544" s="9">
        <v>2851200</v>
      </c>
      <c r="G4544" s="9">
        <v>0.83</v>
      </c>
    </row>
    <row r="4545" spans="1:7" x14ac:dyDescent="0.25">
      <c r="A4545" s="101">
        <v>35410</v>
      </c>
      <c r="B4545" s="9">
        <v>19.87</v>
      </c>
      <c r="C4545" s="9">
        <v>19.87</v>
      </c>
      <c r="D4545" s="9">
        <v>19.13</v>
      </c>
      <c r="E4545" s="9">
        <v>19.37</v>
      </c>
      <c r="F4545" s="9">
        <v>2592000</v>
      </c>
      <c r="G4545" s="9">
        <v>0.81</v>
      </c>
    </row>
    <row r="4546" spans="1:7" x14ac:dyDescent="0.25">
      <c r="A4546" s="101">
        <v>35409</v>
      </c>
      <c r="B4546" s="9">
        <v>21.25</v>
      </c>
      <c r="C4546" s="9">
        <v>21.37</v>
      </c>
      <c r="D4546" s="9">
        <v>20.25</v>
      </c>
      <c r="E4546" s="9">
        <v>20.25</v>
      </c>
      <c r="F4546" s="9">
        <v>2521600</v>
      </c>
      <c r="G4546" s="9">
        <v>0.84</v>
      </c>
    </row>
    <row r="4547" spans="1:7" x14ac:dyDescent="0.25">
      <c r="A4547" s="101">
        <v>35408</v>
      </c>
      <c r="B4547" s="9">
        <v>20.38</v>
      </c>
      <c r="C4547" s="9">
        <v>21.37</v>
      </c>
      <c r="D4547" s="9">
        <v>20.25</v>
      </c>
      <c r="E4547" s="9">
        <v>21.25</v>
      </c>
      <c r="F4547" s="9">
        <v>3827200</v>
      </c>
      <c r="G4547" s="9">
        <v>0.89</v>
      </c>
    </row>
    <row r="4548" spans="1:7" x14ac:dyDescent="0.25">
      <c r="A4548" s="101">
        <v>35405</v>
      </c>
      <c r="B4548" s="9">
        <v>20.25</v>
      </c>
      <c r="C4548" s="9">
        <v>21.75</v>
      </c>
      <c r="D4548" s="9">
        <v>19.87</v>
      </c>
      <c r="E4548" s="9">
        <v>20.5</v>
      </c>
      <c r="F4548" s="9">
        <v>5596800</v>
      </c>
      <c r="G4548" s="9">
        <v>0.85</v>
      </c>
    </row>
    <row r="4549" spans="1:7" x14ac:dyDescent="0.25">
      <c r="A4549" s="101">
        <v>35404</v>
      </c>
      <c r="B4549" s="9">
        <v>19.75</v>
      </c>
      <c r="C4549" s="9">
        <v>22.13</v>
      </c>
      <c r="D4549" s="9">
        <v>19.75</v>
      </c>
      <c r="E4549" s="9">
        <v>21.31</v>
      </c>
      <c r="F4549" s="9">
        <v>8190400</v>
      </c>
      <c r="G4549" s="9">
        <v>0.89</v>
      </c>
    </row>
    <row r="4550" spans="1:7" x14ac:dyDescent="0.25">
      <c r="A4550" s="101">
        <v>35403</v>
      </c>
      <c r="B4550" s="9">
        <v>19.87</v>
      </c>
      <c r="C4550" s="9">
        <v>20.38</v>
      </c>
      <c r="D4550" s="9">
        <v>19.75</v>
      </c>
      <c r="E4550" s="9">
        <v>19.75</v>
      </c>
      <c r="F4550" s="9">
        <v>1633600</v>
      </c>
      <c r="G4550" s="9">
        <v>0.82</v>
      </c>
    </row>
    <row r="4551" spans="1:7" x14ac:dyDescent="0.25">
      <c r="A4551" s="101">
        <v>35402</v>
      </c>
      <c r="B4551" s="9">
        <v>18.75</v>
      </c>
      <c r="C4551" s="9">
        <v>20.63</v>
      </c>
      <c r="D4551" s="9">
        <v>18.75</v>
      </c>
      <c r="E4551" s="9">
        <v>20</v>
      </c>
      <c r="F4551" s="9">
        <v>9120000</v>
      </c>
      <c r="G4551" s="9">
        <v>0.83</v>
      </c>
    </row>
    <row r="4552" spans="1:7" x14ac:dyDescent="0.25">
      <c r="A4552" s="101">
        <v>35401</v>
      </c>
      <c r="B4552" s="9">
        <v>18.75</v>
      </c>
      <c r="C4552" s="9">
        <v>19.13</v>
      </c>
      <c r="D4552" s="9">
        <v>18.75</v>
      </c>
      <c r="E4552" s="9">
        <v>19</v>
      </c>
      <c r="F4552" s="9">
        <v>1081600</v>
      </c>
      <c r="G4552" s="9">
        <v>0.79</v>
      </c>
    </row>
    <row r="4553" spans="1:7" x14ac:dyDescent="0.25">
      <c r="A4553" s="101">
        <v>35398</v>
      </c>
      <c r="B4553" s="9">
        <v>18.5</v>
      </c>
      <c r="C4553" s="9">
        <v>19.13</v>
      </c>
      <c r="D4553" s="9">
        <v>18.5</v>
      </c>
      <c r="E4553" s="9">
        <v>19.13</v>
      </c>
      <c r="F4553" s="9">
        <v>803200</v>
      </c>
      <c r="G4553" s="9">
        <v>0.8</v>
      </c>
    </row>
    <row r="4554" spans="1:7" x14ac:dyDescent="0.25">
      <c r="A4554" s="101">
        <v>35396</v>
      </c>
      <c r="B4554" s="9">
        <v>19</v>
      </c>
      <c r="C4554" s="9">
        <v>19</v>
      </c>
      <c r="D4554" s="9">
        <v>18.5</v>
      </c>
      <c r="E4554" s="9">
        <v>18.559999999999999</v>
      </c>
      <c r="F4554" s="9">
        <v>1057600</v>
      </c>
      <c r="G4554" s="9">
        <v>0.77</v>
      </c>
    </row>
    <row r="4555" spans="1:7" x14ac:dyDescent="0.25">
      <c r="A4555" s="101">
        <v>35395</v>
      </c>
      <c r="B4555" s="9">
        <v>19.25</v>
      </c>
      <c r="C4555" s="9">
        <v>19.75</v>
      </c>
      <c r="D4555" s="9">
        <v>18.88</v>
      </c>
      <c r="E4555" s="9">
        <v>18.88</v>
      </c>
      <c r="F4555" s="9">
        <v>3419200</v>
      </c>
      <c r="G4555" s="9">
        <v>0.79</v>
      </c>
    </row>
    <row r="4556" spans="1:7" x14ac:dyDescent="0.25">
      <c r="A4556" s="101">
        <v>35394</v>
      </c>
      <c r="B4556" s="9">
        <v>17.63</v>
      </c>
      <c r="C4556" s="9">
        <v>19.25</v>
      </c>
      <c r="D4556" s="9">
        <v>17.38</v>
      </c>
      <c r="E4556" s="9">
        <v>19.13</v>
      </c>
      <c r="F4556" s="9">
        <v>6734400</v>
      </c>
      <c r="G4556" s="9">
        <v>0.8</v>
      </c>
    </row>
    <row r="4557" spans="1:7" x14ac:dyDescent="0.25">
      <c r="A4557" s="101">
        <v>35391</v>
      </c>
      <c r="B4557" s="9">
        <v>17.5</v>
      </c>
      <c r="C4557" s="9">
        <v>17.63</v>
      </c>
      <c r="D4557" s="9">
        <v>17.25</v>
      </c>
      <c r="E4557" s="9">
        <v>17.63</v>
      </c>
      <c r="F4557" s="9">
        <v>1124800</v>
      </c>
      <c r="G4557" s="9">
        <v>0.73</v>
      </c>
    </row>
    <row r="4558" spans="1:7" x14ac:dyDescent="0.25">
      <c r="A4558" s="101">
        <v>35390</v>
      </c>
      <c r="B4558" s="9">
        <v>17.63</v>
      </c>
      <c r="C4558" s="9">
        <v>17.75</v>
      </c>
      <c r="D4558" s="9">
        <v>17.25</v>
      </c>
      <c r="E4558" s="9">
        <v>17.38</v>
      </c>
      <c r="F4558" s="9">
        <v>1588800</v>
      </c>
      <c r="G4558" s="9">
        <v>0.72</v>
      </c>
    </row>
    <row r="4559" spans="1:7" x14ac:dyDescent="0.25">
      <c r="A4559" s="101">
        <v>35389</v>
      </c>
      <c r="B4559" s="9">
        <v>17.87</v>
      </c>
      <c r="C4559" s="9">
        <v>18.13</v>
      </c>
      <c r="D4559" s="9">
        <v>17.63</v>
      </c>
      <c r="E4559" s="9">
        <v>17.75</v>
      </c>
      <c r="F4559" s="9">
        <v>1022400</v>
      </c>
      <c r="G4559" s="9">
        <v>0.74</v>
      </c>
    </row>
    <row r="4560" spans="1:7" x14ac:dyDescent="0.25">
      <c r="A4560" s="101">
        <v>35388</v>
      </c>
      <c r="B4560" s="9">
        <v>18.13</v>
      </c>
      <c r="C4560" s="9">
        <v>18.13</v>
      </c>
      <c r="D4560" s="9">
        <v>17.75</v>
      </c>
      <c r="E4560" s="9">
        <v>17.87</v>
      </c>
      <c r="F4560" s="9">
        <v>2137600</v>
      </c>
      <c r="G4560" s="9">
        <v>0.74</v>
      </c>
    </row>
    <row r="4561" spans="1:7" x14ac:dyDescent="0.25">
      <c r="A4561" s="101">
        <v>35387</v>
      </c>
      <c r="B4561" s="9">
        <v>18.25</v>
      </c>
      <c r="C4561" s="9">
        <v>18.5</v>
      </c>
      <c r="D4561" s="9">
        <v>17.87</v>
      </c>
      <c r="E4561" s="9">
        <v>18.13</v>
      </c>
      <c r="F4561" s="9">
        <v>1729600</v>
      </c>
      <c r="G4561" s="9">
        <v>0.76</v>
      </c>
    </row>
    <row r="4562" spans="1:7" x14ac:dyDescent="0.25">
      <c r="A4562" s="101">
        <v>35384</v>
      </c>
      <c r="B4562" s="9">
        <v>18.37</v>
      </c>
      <c r="C4562" s="9">
        <v>18.62</v>
      </c>
      <c r="D4562" s="9">
        <v>18.25</v>
      </c>
      <c r="E4562" s="9">
        <v>18.5</v>
      </c>
      <c r="F4562" s="9">
        <v>1192000</v>
      </c>
      <c r="G4562" s="9">
        <v>0.77</v>
      </c>
    </row>
    <row r="4563" spans="1:7" x14ac:dyDescent="0.25">
      <c r="A4563" s="101">
        <v>35383</v>
      </c>
      <c r="B4563" s="9">
        <v>19</v>
      </c>
      <c r="C4563" s="9">
        <v>19</v>
      </c>
      <c r="D4563" s="9">
        <v>18.13</v>
      </c>
      <c r="E4563" s="9">
        <v>18.190000000000001</v>
      </c>
      <c r="F4563" s="9">
        <v>1681600</v>
      </c>
      <c r="G4563" s="9">
        <v>0.76</v>
      </c>
    </row>
    <row r="4564" spans="1:7" x14ac:dyDescent="0.25">
      <c r="A4564" s="101">
        <v>35382</v>
      </c>
      <c r="B4564" s="9">
        <v>19.75</v>
      </c>
      <c r="C4564" s="9">
        <v>19.75</v>
      </c>
      <c r="D4564" s="9">
        <v>18.62</v>
      </c>
      <c r="E4564" s="9">
        <v>19</v>
      </c>
      <c r="F4564" s="9">
        <v>1340800</v>
      </c>
      <c r="G4564" s="9">
        <v>0.79</v>
      </c>
    </row>
    <row r="4565" spans="1:7" x14ac:dyDescent="0.25">
      <c r="A4565" s="101">
        <v>35381</v>
      </c>
      <c r="B4565" s="9">
        <v>19.87</v>
      </c>
      <c r="C4565" s="9">
        <v>20.12</v>
      </c>
      <c r="D4565" s="9">
        <v>19.63</v>
      </c>
      <c r="E4565" s="9">
        <v>19.75</v>
      </c>
      <c r="F4565" s="9">
        <v>712000</v>
      </c>
      <c r="G4565" s="9">
        <v>0.82</v>
      </c>
    </row>
    <row r="4566" spans="1:7" x14ac:dyDescent="0.25">
      <c r="A4566" s="101">
        <v>35380</v>
      </c>
      <c r="B4566" s="9">
        <v>19.5</v>
      </c>
      <c r="C4566" s="9">
        <v>20.25</v>
      </c>
      <c r="D4566" s="9">
        <v>19.5</v>
      </c>
      <c r="E4566" s="9">
        <v>20.12</v>
      </c>
      <c r="F4566" s="9">
        <v>2348800</v>
      </c>
      <c r="G4566" s="9">
        <v>0.84</v>
      </c>
    </row>
    <row r="4567" spans="1:7" x14ac:dyDescent="0.25">
      <c r="A4567" s="101">
        <v>35377</v>
      </c>
      <c r="B4567" s="9">
        <v>18.13</v>
      </c>
      <c r="C4567" s="9">
        <v>19.5</v>
      </c>
      <c r="D4567" s="9">
        <v>18.13</v>
      </c>
      <c r="E4567" s="9">
        <v>19.5</v>
      </c>
      <c r="F4567" s="9">
        <v>2179200</v>
      </c>
      <c r="G4567" s="9">
        <v>0.81</v>
      </c>
    </row>
    <row r="4568" spans="1:7" x14ac:dyDescent="0.25">
      <c r="A4568" s="101">
        <v>35376</v>
      </c>
      <c r="B4568" s="9">
        <v>17.87</v>
      </c>
      <c r="C4568" s="9">
        <v>18.37</v>
      </c>
      <c r="D4568" s="9">
        <v>17.87</v>
      </c>
      <c r="E4568" s="9">
        <v>18.13</v>
      </c>
      <c r="F4568" s="9">
        <v>932800</v>
      </c>
      <c r="G4568" s="9">
        <v>0.76</v>
      </c>
    </row>
    <row r="4569" spans="1:7" x14ac:dyDescent="0.25">
      <c r="A4569" s="101">
        <v>35375</v>
      </c>
      <c r="B4569" s="9">
        <v>18</v>
      </c>
      <c r="C4569" s="9">
        <v>18.5</v>
      </c>
      <c r="D4569" s="9">
        <v>17.87</v>
      </c>
      <c r="E4569" s="9">
        <v>18</v>
      </c>
      <c r="F4569" s="9">
        <v>1656000</v>
      </c>
      <c r="G4569" s="9">
        <v>0.75</v>
      </c>
    </row>
    <row r="4570" spans="1:7" x14ac:dyDescent="0.25">
      <c r="A4570" s="101">
        <v>35374</v>
      </c>
      <c r="B4570" s="9">
        <v>19</v>
      </c>
      <c r="C4570" s="9">
        <v>19.25</v>
      </c>
      <c r="D4570" s="9">
        <v>17.63</v>
      </c>
      <c r="E4570" s="9">
        <v>18.25</v>
      </c>
      <c r="F4570" s="9">
        <v>2982400</v>
      </c>
      <c r="G4570" s="9">
        <v>0.76</v>
      </c>
    </row>
    <row r="4571" spans="1:7" x14ac:dyDescent="0.25">
      <c r="A4571" s="101">
        <v>35373</v>
      </c>
      <c r="B4571" s="9">
        <v>19.5</v>
      </c>
      <c r="C4571" s="9">
        <v>19.75</v>
      </c>
      <c r="D4571" s="9">
        <v>19</v>
      </c>
      <c r="E4571" s="9">
        <v>19</v>
      </c>
      <c r="F4571" s="9">
        <v>995200</v>
      </c>
      <c r="G4571" s="9">
        <v>0.79</v>
      </c>
    </row>
    <row r="4572" spans="1:7" x14ac:dyDescent="0.25">
      <c r="A4572" s="101">
        <v>35370</v>
      </c>
      <c r="B4572" s="9">
        <v>19.5</v>
      </c>
      <c r="C4572" s="9">
        <v>19.75</v>
      </c>
      <c r="D4572" s="9">
        <v>19.5</v>
      </c>
      <c r="E4572" s="9">
        <v>19.5</v>
      </c>
      <c r="F4572" s="9">
        <v>340800</v>
      </c>
      <c r="G4572" s="9">
        <v>0.81</v>
      </c>
    </row>
    <row r="4573" spans="1:7" x14ac:dyDescent="0.25">
      <c r="A4573" s="101">
        <v>35369</v>
      </c>
      <c r="B4573" s="9">
        <v>20</v>
      </c>
      <c r="C4573" s="9">
        <v>20.25</v>
      </c>
      <c r="D4573" s="9">
        <v>19.5</v>
      </c>
      <c r="E4573" s="9">
        <v>19.75</v>
      </c>
      <c r="F4573" s="9">
        <v>1646400</v>
      </c>
      <c r="G4573" s="9">
        <v>0.82</v>
      </c>
    </row>
    <row r="4574" spans="1:7" x14ac:dyDescent="0.25">
      <c r="A4574" s="101">
        <v>35368</v>
      </c>
      <c r="B4574" s="9">
        <v>20.5</v>
      </c>
      <c r="C4574" s="9">
        <v>20.63</v>
      </c>
      <c r="D4574" s="9">
        <v>20.12</v>
      </c>
      <c r="E4574" s="9">
        <v>20.12</v>
      </c>
      <c r="F4574" s="9">
        <v>969600</v>
      </c>
      <c r="G4574" s="9">
        <v>0.84</v>
      </c>
    </row>
    <row r="4575" spans="1:7" x14ac:dyDescent="0.25">
      <c r="A4575" s="101">
        <v>35367</v>
      </c>
      <c r="B4575" s="9">
        <v>20.63</v>
      </c>
      <c r="C4575" s="9">
        <v>20.75</v>
      </c>
      <c r="D4575" s="9">
        <v>20.5</v>
      </c>
      <c r="E4575" s="9">
        <v>20.5</v>
      </c>
      <c r="F4575" s="9">
        <v>625600</v>
      </c>
      <c r="G4575" s="9">
        <v>0.85</v>
      </c>
    </row>
    <row r="4576" spans="1:7" x14ac:dyDescent="0.25">
      <c r="A4576" s="101">
        <v>35366</v>
      </c>
      <c r="B4576" s="9">
        <v>20.5</v>
      </c>
      <c r="C4576" s="9">
        <v>20.75</v>
      </c>
      <c r="D4576" s="9">
        <v>20.5</v>
      </c>
      <c r="E4576" s="9">
        <v>20.63</v>
      </c>
      <c r="F4576" s="9">
        <v>558400</v>
      </c>
      <c r="G4576" s="9">
        <v>0.86</v>
      </c>
    </row>
    <row r="4577" spans="1:7" x14ac:dyDescent="0.25">
      <c r="A4577" s="101">
        <v>35363</v>
      </c>
      <c r="B4577" s="9">
        <v>20.87</v>
      </c>
      <c r="C4577" s="9">
        <v>21</v>
      </c>
      <c r="D4577" s="9">
        <v>20.5</v>
      </c>
      <c r="E4577" s="9">
        <v>20.5</v>
      </c>
      <c r="F4577" s="9">
        <v>1984000</v>
      </c>
      <c r="G4577" s="9">
        <v>0.85</v>
      </c>
    </row>
    <row r="4578" spans="1:7" x14ac:dyDescent="0.25">
      <c r="A4578" s="101">
        <v>35362</v>
      </c>
      <c r="B4578" s="9">
        <v>21</v>
      </c>
      <c r="C4578" s="9">
        <v>21.13</v>
      </c>
      <c r="D4578" s="9">
        <v>20.87</v>
      </c>
      <c r="E4578" s="9">
        <v>20.87</v>
      </c>
      <c r="F4578" s="9">
        <v>1244800</v>
      </c>
      <c r="G4578" s="9">
        <v>0.87</v>
      </c>
    </row>
    <row r="4579" spans="1:7" x14ac:dyDescent="0.25">
      <c r="A4579" s="101">
        <v>35361</v>
      </c>
      <c r="B4579" s="9">
        <v>21.25</v>
      </c>
      <c r="C4579" s="9">
        <v>21.5</v>
      </c>
      <c r="D4579" s="9">
        <v>21</v>
      </c>
      <c r="E4579" s="9">
        <v>21.13</v>
      </c>
      <c r="F4579" s="9">
        <v>1492800</v>
      </c>
      <c r="G4579" s="9">
        <v>0.88</v>
      </c>
    </row>
    <row r="4580" spans="1:7" x14ac:dyDescent="0.25">
      <c r="A4580" s="101">
        <v>35360</v>
      </c>
      <c r="B4580" s="9">
        <v>21.88</v>
      </c>
      <c r="C4580" s="9">
        <v>22.13</v>
      </c>
      <c r="D4580" s="9">
        <v>21.25</v>
      </c>
      <c r="E4580" s="9">
        <v>21.25</v>
      </c>
      <c r="F4580" s="9">
        <v>1868800</v>
      </c>
      <c r="G4580" s="9">
        <v>0.89</v>
      </c>
    </row>
    <row r="4581" spans="1:7" x14ac:dyDescent="0.25">
      <c r="A4581" s="101">
        <v>35359</v>
      </c>
      <c r="B4581" s="9">
        <v>21.75</v>
      </c>
      <c r="C4581" s="9">
        <v>22.25</v>
      </c>
      <c r="D4581" s="9">
        <v>21.75</v>
      </c>
      <c r="E4581" s="9">
        <v>21.88</v>
      </c>
      <c r="F4581" s="9">
        <v>2232000</v>
      </c>
      <c r="G4581" s="9">
        <v>0.91</v>
      </c>
    </row>
    <row r="4582" spans="1:7" x14ac:dyDescent="0.25">
      <c r="A4582" s="101">
        <v>35356</v>
      </c>
      <c r="B4582" s="9">
        <v>22.25</v>
      </c>
      <c r="C4582" s="9">
        <v>22.25</v>
      </c>
      <c r="D4582" s="9">
        <v>21.75</v>
      </c>
      <c r="E4582" s="9">
        <v>22</v>
      </c>
      <c r="F4582" s="9">
        <v>2582400</v>
      </c>
      <c r="G4582" s="9">
        <v>0.92</v>
      </c>
    </row>
    <row r="4583" spans="1:7" x14ac:dyDescent="0.25">
      <c r="A4583" s="101">
        <v>35355</v>
      </c>
      <c r="B4583" s="9">
        <v>21.13</v>
      </c>
      <c r="C4583" s="9">
        <v>22.13</v>
      </c>
      <c r="D4583" s="9">
        <v>21.13</v>
      </c>
      <c r="E4583" s="9">
        <v>22</v>
      </c>
      <c r="F4583" s="9">
        <v>3504000</v>
      </c>
      <c r="G4583" s="9">
        <v>0.92</v>
      </c>
    </row>
    <row r="4584" spans="1:7" x14ac:dyDescent="0.25">
      <c r="A4584" s="101">
        <v>35354</v>
      </c>
      <c r="B4584" s="9">
        <v>21.37</v>
      </c>
      <c r="C4584" s="9">
        <v>21.62</v>
      </c>
      <c r="D4584" s="9">
        <v>21</v>
      </c>
      <c r="E4584" s="9">
        <v>21.13</v>
      </c>
      <c r="F4584" s="9">
        <v>2702400</v>
      </c>
      <c r="G4584" s="9">
        <v>0.88</v>
      </c>
    </row>
    <row r="4585" spans="1:7" x14ac:dyDescent="0.25">
      <c r="A4585" s="101">
        <v>35353</v>
      </c>
      <c r="B4585" s="9">
        <v>21.5</v>
      </c>
      <c r="C4585" s="9">
        <v>21.75</v>
      </c>
      <c r="D4585" s="9">
        <v>21</v>
      </c>
      <c r="E4585" s="9">
        <v>21.5</v>
      </c>
      <c r="F4585" s="9">
        <v>3884800</v>
      </c>
      <c r="G4585" s="9">
        <v>0.9</v>
      </c>
    </row>
    <row r="4586" spans="1:7" x14ac:dyDescent="0.25">
      <c r="A4586" s="101">
        <v>35352</v>
      </c>
      <c r="B4586" s="9">
        <v>20.87</v>
      </c>
      <c r="C4586" s="9">
        <v>21.62</v>
      </c>
      <c r="D4586" s="9">
        <v>20.63</v>
      </c>
      <c r="E4586" s="9">
        <v>21.62</v>
      </c>
      <c r="F4586" s="9">
        <v>6452800</v>
      </c>
      <c r="G4586" s="9">
        <v>0.9</v>
      </c>
    </row>
    <row r="4587" spans="1:7" x14ac:dyDescent="0.25">
      <c r="A4587" s="101">
        <v>35349</v>
      </c>
      <c r="B4587" s="9">
        <v>20.38</v>
      </c>
      <c r="C4587" s="9">
        <v>20.87</v>
      </c>
      <c r="D4587" s="9">
        <v>20.38</v>
      </c>
      <c r="E4587" s="9">
        <v>20.63</v>
      </c>
      <c r="F4587" s="9">
        <v>2382400</v>
      </c>
      <c r="G4587" s="9">
        <v>0.86</v>
      </c>
    </row>
    <row r="4588" spans="1:7" x14ac:dyDescent="0.25">
      <c r="A4588" s="101">
        <v>35348</v>
      </c>
      <c r="B4588" s="9">
        <v>22.75</v>
      </c>
      <c r="C4588" s="9">
        <v>22.87</v>
      </c>
      <c r="D4588" s="9">
        <v>20.38</v>
      </c>
      <c r="E4588" s="9">
        <v>20.5</v>
      </c>
      <c r="F4588" s="9">
        <v>8673600</v>
      </c>
      <c r="G4588" s="9">
        <v>0.85</v>
      </c>
    </row>
    <row r="4589" spans="1:7" x14ac:dyDescent="0.25">
      <c r="A4589" s="101">
        <v>35347</v>
      </c>
      <c r="B4589" s="9">
        <v>20.87</v>
      </c>
      <c r="C4589" s="9">
        <v>22.5</v>
      </c>
      <c r="D4589" s="9">
        <v>20.87</v>
      </c>
      <c r="E4589" s="9">
        <v>22.5</v>
      </c>
      <c r="F4589" s="9">
        <v>2366400</v>
      </c>
      <c r="G4589" s="9">
        <v>0.94</v>
      </c>
    </row>
    <row r="4590" spans="1:7" x14ac:dyDescent="0.25">
      <c r="A4590" s="101">
        <v>35346</v>
      </c>
      <c r="B4590" s="9">
        <v>22.37</v>
      </c>
      <c r="C4590" s="9">
        <v>22.63</v>
      </c>
      <c r="D4590" s="9">
        <v>20.87</v>
      </c>
      <c r="E4590" s="9">
        <v>20.87</v>
      </c>
      <c r="F4590" s="9">
        <v>2299200</v>
      </c>
      <c r="G4590" s="9">
        <v>0.87</v>
      </c>
    </row>
    <row r="4591" spans="1:7" x14ac:dyDescent="0.25">
      <c r="A4591" s="101">
        <v>35345</v>
      </c>
      <c r="B4591" s="9">
        <v>22</v>
      </c>
      <c r="C4591" s="9">
        <v>22.63</v>
      </c>
      <c r="D4591" s="9">
        <v>22</v>
      </c>
      <c r="E4591" s="9">
        <v>22.25</v>
      </c>
      <c r="F4591" s="9">
        <v>715200</v>
      </c>
      <c r="G4591" s="9">
        <v>0.93</v>
      </c>
    </row>
    <row r="4592" spans="1:7" x14ac:dyDescent="0.25">
      <c r="A4592" s="101">
        <v>35342</v>
      </c>
      <c r="B4592" s="9">
        <v>23.12</v>
      </c>
      <c r="C4592" s="9">
        <v>23.25</v>
      </c>
      <c r="D4592" s="9">
        <v>22</v>
      </c>
      <c r="E4592" s="9">
        <v>22</v>
      </c>
      <c r="F4592" s="9">
        <v>2046400</v>
      </c>
      <c r="G4592" s="9">
        <v>0.92</v>
      </c>
    </row>
    <row r="4593" spans="1:7" x14ac:dyDescent="0.25">
      <c r="A4593" s="101">
        <v>35341</v>
      </c>
      <c r="B4593" s="9">
        <v>22.13</v>
      </c>
      <c r="C4593" s="9">
        <v>23.5</v>
      </c>
      <c r="D4593" s="9">
        <v>22</v>
      </c>
      <c r="E4593" s="9">
        <v>22.63</v>
      </c>
      <c r="F4593" s="9">
        <v>4324800</v>
      </c>
      <c r="G4593" s="9">
        <v>0.94</v>
      </c>
    </row>
    <row r="4594" spans="1:7" x14ac:dyDescent="0.25">
      <c r="A4594" s="101">
        <v>35340</v>
      </c>
      <c r="B4594" s="9">
        <v>20.38</v>
      </c>
      <c r="C4594" s="9">
        <v>22.63</v>
      </c>
      <c r="D4594" s="9">
        <v>20.38</v>
      </c>
      <c r="E4594" s="9">
        <v>21.75</v>
      </c>
      <c r="F4594" s="9">
        <v>5827200</v>
      </c>
      <c r="G4594" s="9">
        <v>0.91</v>
      </c>
    </row>
    <row r="4595" spans="1:7" x14ac:dyDescent="0.25">
      <c r="A4595" s="101">
        <v>35339</v>
      </c>
      <c r="B4595" s="9">
        <v>21</v>
      </c>
      <c r="C4595" s="9">
        <v>21.25</v>
      </c>
      <c r="D4595" s="9">
        <v>19.13</v>
      </c>
      <c r="E4595" s="9">
        <v>19.63</v>
      </c>
      <c r="F4595" s="9">
        <v>4105600</v>
      </c>
      <c r="G4595" s="9">
        <v>0.82</v>
      </c>
    </row>
    <row r="4596" spans="1:7" x14ac:dyDescent="0.25">
      <c r="A4596" s="101">
        <v>35338</v>
      </c>
      <c r="B4596" s="9">
        <v>21.75</v>
      </c>
      <c r="C4596" s="9">
        <v>21.75</v>
      </c>
      <c r="D4596" s="9">
        <v>21.25</v>
      </c>
      <c r="E4596" s="9">
        <v>21.25</v>
      </c>
      <c r="F4596" s="9">
        <v>849600</v>
      </c>
      <c r="G4596" s="9">
        <v>0.89</v>
      </c>
    </row>
    <row r="4597" spans="1:7" x14ac:dyDescent="0.25">
      <c r="A4597" s="101">
        <v>35335</v>
      </c>
      <c r="B4597" s="9">
        <v>21.88</v>
      </c>
      <c r="C4597" s="9">
        <v>22.13</v>
      </c>
      <c r="D4597" s="9">
        <v>21.5</v>
      </c>
      <c r="E4597" s="9">
        <v>21.75</v>
      </c>
      <c r="F4597" s="9">
        <v>688000</v>
      </c>
      <c r="G4597" s="9">
        <v>0.91</v>
      </c>
    </row>
    <row r="4598" spans="1:7" x14ac:dyDescent="0.25">
      <c r="A4598" s="101">
        <v>35334</v>
      </c>
      <c r="B4598" s="9">
        <v>21.62</v>
      </c>
      <c r="C4598" s="9">
        <v>22.13</v>
      </c>
      <c r="D4598" s="9">
        <v>21.62</v>
      </c>
      <c r="E4598" s="9">
        <v>21.88</v>
      </c>
      <c r="F4598" s="9">
        <v>1067200</v>
      </c>
      <c r="G4598" s="9">
        <v>0.91</v>
      </c>
    </row>
    <row r="4599" spans="1:7" x14ac:dyDescent="0.25">
      <c r="A4599" s="101">
        <v>35333</v>
      </c>
      <c r="B4599" s="9">
        <v>22.5</v>
      </c>
      <c r="C4599" s="9">
        <v>22.63</v>
      </c>
      <c r="D4599" s="9">
        <v>21.62</v>
      </c>
      <c r="E4599" s="9">
        <v>21.88</v>
      </c>
      <c r="F4599" s="9">
        <v>2040000</v>
      </c>
      <c r="G4599" s="9">
        <v>0.91</v>
      </c>
    </row>
    <row r="4600" spans="1:7" x14ac:dyDescent="0.25">
      <c r="A4600" s="101">
        <v>35332</v>
      </c>
      <c r="B4600" s="9">
        <v>23.75</v>
      </c>
      <c r="C4600" s="9">
        <v>23.87</v>
      </c>
      <c r="D4600" s="9">
        <v>22.5</v>
      </c>
      <c r="E4600" s="9">
        <v>22.75</v>
      </c>
      <c r="F4600" s="9">
        <v>3774400</v>
      </c>
      <c r="G4600" s="9">
        <v>0.95</v>
      </c>
    </row>
    <row r="4601" spans="1:7" x14ac:dyDescent="0.25">
      <c r="A4601" s="101">
        <v>35331</v>
      </c>
      <c r="B4601" s="9">
        <v>23.87</v>
      </c>
      <c r="C4601" s="9">
        <v>24.62</v>
      </c>
      <c r="D4601" s="9">
        <v>23.75</v>
      </c>
      <c r="E4601" s="9">
        <v>23.81</v>
      </c>
      <c r="F4601" s="9">
        <v>5332800</v>
      </c>
      <c r="G4601" s="9">
        <v>0.99</v>
      </c>
    </row>
    <row r="4602" spans="1:7" x14ac:dyDescent="0.25">
      <c r="A4602" s="101">
        <v>35328</v>
      </c>
      <c r="B4602" s="9">
        <v>21.5</v>
      </c>
      <c r="C4602" s="9">
        <v>24</v>
      </c>
      <c r="D4602" s="9">
        <v>21.37</v>
      </c>
      <c r="E4602" s="9">
        <v>24</v>
      </c>
      <c r="F4602" s="9">
        <v>7460800</v>
      </c>
      <c r="G4602" s="9">
        <v>1</v>
      </c>
    </row>
    <row r="4603" spans="1:7" x14ac:dyDescent="0.25">
      <c r="A4603" s="101">
        <v>35327</v>
      </c>
      <c r="B4603" s="9">
        <v>20.75</v>
      </c>
      <c r="C4603" s="9">
        <v>21.5</v>
      </c>
      <c r="D4603" s="9">
        <v>20.5</v>
      </c>
      <c r="E4603" s="9">
        <v>21.5</v>
      </c>
      <c r="F4603" s="9">
        <v>1761600</v>
      </c>
      <c r="G4603" s="9">
        <v>0.9</v>
      </c>
    </row>
    <row r="4604" spans="1:7" x14ac:dyDescent="0.25">
      <c r="A4604" s="101">
        <v>35326</v>
      </c>
      <c r="B4604" s="9">
        <v>21.5</v>
      </c>
      <c r="C4604" s="9">
        <v>21.62</v>
      </c>
      <c r="D4604" s="9">
        <v>20.38</v>
      </c>
      <c r="E4604" s="9">
        <v>20.75</v>
      </c>
      <c r="F4604" s="9">
        <v>1977600</v>
      </c>
      <c r="G4604" s="9">
        <v>0.86</v>
      </c>
    </row>
    <row r="4605" spans="1:7" x14ac:dyDescent="0.25">
      <c r="A4605" s="101">
        <v>35325</v>
      </c>
      <c r="B4605" s="9">
        <v>21.13</v>
      </c>
      <c r="C4605" s="9">
        <v>21.62</v>
      </c>
      <c r="D4605" s="9">
        <v>20.75</v>
      </c>
      <c r="E4605" s="9">
        <v>21.62</v>
      </c>
      <c r="F4605" s="9">
        <v>2665600</v>
      </c>
      <c r="G4605" s="9">
        <v>0.9</v>
      </c>
    </row>
    <row r="4606" spans="1:7" x14ac:dyDescent="0.25">
      <c r="A4606" s="101">
        <v>35324</v>
      </c>
      <c r="B4606" s="9">
        <v>20.63</v>
      </c>
      <c r="C4606" s="9">
        <v>21</v>
      </c>
      <c r="D4606" s="9">
        <v>20.5</v>
      </c>
      <c r="E4606" s="9">
        <v>20.63</v>
      </c>
      <c r="F4606" s="9">
        <v>1382400</v>
      </c>
      <c r="G4606" s="9">
        <v>0.86</v>
      </c>
    </row>
    <row r="4607" spans="1:7" x14ac:dyDescent="0.25">
      <c r="A4607" s="101">
        <v>35321</v>
      </c>
      <c r="B4607" s="9">
        <v>19.87</v>
      </c>
      <c r="C4607" s="9">
        <v>20.87</v>
      </c>
      <c r="D4607" s="9">
        <v>19.75</v>
      </c>
      <c r="E4607" s="9">
        <v>20.63</v>
      </c>
      <c r="F4607" s="9">
        <v>3193600</v>
      </c>
      <c r="G4607" s="9">
        <v>0.86</v>
      </c>
    </row>
    <row r="4608" spans="1:7" x14ac:dyDescent="0.25">
      <c r="A4608" s="101">
        <v>35320</v>
      </c>
      <c r="B4608" s="9">
        <v>18.75</v>
      </c>
      <c r="C4608" s="9">
        <v>19.5</v>
      </c>
      <c r="D4608" s="9">
        <v>18.75</v>
      </c>
      <c r="E4608" s="9">
        <v>19.5</v>
      </c>
      <c r="F4608" s="9">
        <v>1374400</v>
      </c>
      <c r="G4608" s="9">
        <v>0.81</v>
      </c>
    </row>
    <row r="4609" spans="1:7" x14ac:dyDescent="0.25">
      <c r="A4609" s="101">
        <v>35319</v>
      </c>
      <c r="B4609" s="9">
        <v>18.75</v>
      </c>
      <c r="C4609" s="9">
        <v>19</v>
      </c>
      <c r="D4609" s="9">
        <v>18.5</v>
      </c>
      <c r="E4609" s="9">
        <v>18.88</v>
      </c>
      <c r="F4609" s="9">
        <v>1267200</v>
      </c>
      <c r="G4609" s="9">
        <v>0.79</v>
      </c>
    </row>
    <row r="4610" spans="1:7" x14ac:dyDescent="0.25">
      <c r="A4610" s="101">
        <v>35318</v>
      </c>
      <c r="B4610" s="9">
        <v>18.75</v>
      </c>
      <c r="C4610" s="9">
        <v>19.13</v>
      </c>
      <c r="D4610" s="9">
        <v>18.5</v>
      </c>
      <c r="E4610" s="9">
        <v>18.5</v>
      </c>
      <c r="F4610" s="9">
        <v>907200</v>
      </c>
      <c r="G4610" s="9">
        <v>0.77</v>
      </c>
    </row>
    <row r="4611" spans="1:7" x14ac:dyDescent="0.25">
      <c r="A4611" s="101">
        <v>35317</v>
      </c>
      <c r="B4611" s="9">
        <v>18.13</v>
      </c>
      <c r="C4611" s="9">
        <v>18.88</v>
      </c>
      <c r="D4611" s="9">
        <v>18.13</v>
      </c>
      <c r="E4611" s="9">
        <v>18.75</v>
      </c>
      <c r="F4611" s="9">
        <v>835200</v>
      </c>
      <c r="G4611" s="9">
        <v>0.78</v>
      </c>
    </row>
    <row r="4612" spans="1:7" x14ac:dyDescent="0.25">
      <c r="A4612" s="101">
        <v>35314</v>
      </c>
      <c r="B4612" s="9">
        <v>18.25</v>
      </c>
      <c r="C4612" s="9">
        <v>18.62</v>
      </c>
      <c r="D4612" s="9">
        <v>18.13</v>
      </c>
      <c r="E4612" s="9">
        <v>18.37</v>
      </c>
      <c r="F4612" s="9">
        <v>753600</v>
      </c>
      <c r="G4612" s="9">
        <v>0.77</v>
      </c>
    </row>
    <row r="4613" spans="1:7" x14ac:dyDescent="0.25">
      <c r="A4613" s="101">
        <v>35313</v>
      </c>
      <c r="B4613" s="9">
        <v>18.37</v>
      </c>
      <c r="C4613" s="9">
        <v>18.62</v>
      </c>
      <c r="D4613" s="9">
        <v>18.37</v>
      </c>
      <c r="E4613" s="9">
        <v>18.37</v>
      </c>
      <c r="F4613" s="9">
        <v>148800</v>
      </c>
      <c r="G4613" s="9">
        <v>0.77</v>
      </c>
    </row>
    <row r="4614" spans="1:7" x14ac:dyDescent="0.25">
      <c r="A4614" s="101">
        <v>35312</v>
      </c>
      <c r="B4614" s="9">
        <v>19</v>
      </c>
      <c r="C4614" s="9">
        <v>19.25</v>
      </c>
      <c r="D4614" s="9">
        <v>18.62</v>
      </c>
      <c r="E4614" s="9">
        <v>18.88</v>
      </c>
      <c r="F4614" s="9">
        <v>528000</v>
      </c>
      <c r="G4614" s="9">
        <v>0.79</v>
      </c>
    </row>
    <row r="4615" spans="1:7" x14ac:dyDescent="0.25">
      <c r="A4615" s="101">
        <v>35311</v>
      </c>
      <c r="B4615" s="9">
        <v>19</v>
      </c>
      <c r="C4615" s="9">
        <v>19.37</v>
      </c>
      <c r="D4615" s="9">
        <v>18.75</v>
      </c>
      <c r="E4615" s="9">
        <v>19</v>
      </c>
      <c r="F4615" s="9">
        <v>1012800</v>
      </c>
      <c r="G4615" s="9">
        <v>0.79</v>
      </c>
    </row>
    <row r="4616" spans="1:7" x14ac:dyDescent="0.25">
      <c r="A4616" s="101">
        <v>35307</v>
      </c>
      <c r="B4616" s="9">
        <v>19.87</v>
      </c>
      <c r="C4616" s="9">
        <v>20.12</v>
      </c>
      <c r="D4616" s="9">
        <v>19.37</v>
      </c>
      <c r="E4616" s="9">
        <v>19.63</v>
      </c>
      <c r="F4616" s="9">
        <v>913600</v>
      </c>
      <c r="G4616" s="9">
        <v>0.82</v>
      </c>
    </row>
    <row r="4617" spans="1:7" x14ac:dyDescent="0.25">
      <c r="A4617" s="101">
        <v>35306</v>
      </c>
      <c r="B4617" s="9">
        <v>20.87</v>
      </c>
      <c r="C4617" s="9">
        <v>21.13</v>
      </c>
      <c r="D4617" s="9">
        <v>19.75</v>
      </c>
      <c r="E4617" s="9">
        <v>19.75</v>
      </c>
      <c r="F4617" s="9">
        <v>1987200</v>
      </c>
      <c r="G4617" s="9">
        <v>0.82</v>
      </c>
    </row>
    <row r="4618" spans="1:7" x14ac:dyDescent="0.25">
      <c r="A4618" s="101">
        <v>35305</v>
      </c>
      <c r="B4618" s="9">
        <v>20.12</v>
      </c>
      <c r="C4618" s="9">
        <v>22.13</v>
      </c>
      <c r="D4618" s="9">
        <v>20.12</v>
      </c>
      <c r="E4618" s="9">
        <v>21.13</v>
      </c>
      <c r="F4618" s="9">
        <v>5193600</v>
      </c>
      <c r="G4618" s="9">
        <v>0.88</v>
      </c>
    </row>
    <row r="4619" spans="1:7" x14ac:dyDescent="0.25">
      <c r="A4619" s="101">
        <v>35304</v>
      </c>
      <c r="B4619" s="9">
        <v>19.75</v>
      </c>
      <c r="C4619" s="9">
        <v>20.38</v>
      </c>
      <c r="D4619" s="9">
        <v>19.75</v>
      </c>
      <c r="E4619" s="9">
        <v>20.12</v>
      </c>
      <c r="F4619" s="9">
        <v>1897600</v>
      </c>
      <c r="G4619" s="9">
        <v>0.84</v>
      </c>
    </row>
    <row r="4620" spans="1:7" x14ac:dyDescent="0.25">
      <c r="A4620" s="101">
        <v>35303</v>
      </c>
      <c r="B4620" s="9">
        <v>20.12</v>
      </c>
      <c r="C4620" s="9">
        <v>20.12</v>
      </c>
      <c r="D4620" s="9">
        <v>19.75</v>
      </c>
      <c r="E4620" s="9">
        <v>19.75</v>
      </c>
      <c r="F4620" s="9">
        <v>388800</v>
      </c>
      <c r="G4620" s="9">
        <v>0.82</v>
      </c>
    </row>
    <row r="4621" spans="1:7" x14ac:dyDescent="0.25">
      <c r="A4621" s="101">
        <v>35300</v>
      </c>
      <c r="B4621" s="9">
        <v>19.75</v>
      </c>
      <c r="C4621" s="9">
        <v>20.25</v>
      </c>
      <c r="D4621" s="9">
        <v>19.75</v>
      </c>
      <c r="E4621" s="9">
        <v>19.75</v>
      </c>
      <c r="F4621" s="9">
        <v>1024000</v>
      </c>
      <c r="G4621" s="9">
        <v>0.82</v>
      </c>
    </row>
    <row r="4622" spans="1:7" x14ac:dyDescent="0.25">
      <c r="A4622" s="101">
        <v>35299</v>
      </c>
      <c r="B4622" s="9">
        <v>18.62</v>
      </c>
      <c r="C4622" s="9">
        <v>20</v>
      </c>
      <c r="D4622" s="9">
        <v>18.25</v>
      </c>
      <c r="E4622" s="9">
        <v>19.87</v>
      </c>
      <c r="F4622" s="9">
        <v>1921600</v>
      </c>
      <c r="G4622" s="9">
        <v>0.83</v>
      </c>
    </row>
    <row r="4623" spans="1:7" x14ac:dyDescent="0.25">
      <c r="A4623" s="101">
        <v>35298</v>
      </c>
      <c r="B4623" s="9">
        <v>19.13</v>
      </c>
      <c r="C4623" s="9">
        <v>19.25</v>
      </c>
      <c r="D4623" s="9">
        <v>18.25</v>
      </c>
      <c r="E4623" s="9">
        <v>18.62</v>
      </c>
      <c r="F4623" s="9">
        <v>688000</v>
      </c>
      <c r="G4623" s="9">
        <v>0.78</v>
      </c>
    </row>
    <row r="4624" spans="1:7" x14ac:dyDescent="0.25">
      <c r="A4624" s="101">
        <v>35297</v>
      </c>
      <c r="B4624" s="9">
        <v>19.63</v>
      </c>
      <c r="C4624" s="9">
        <v>19.63</v>
      </c>
      <c r="D4624" s="9">
        <v>19.13</v>
      </c>
      <c r="E4624" s="9">
        <v>19.13</v>
      </c>
      <c r="F4624" s="9">
        <v>494400</v>
      </c>
      <c r="G4624" s="9">
        <v>0.8</v>
      </c>
    </row>
    <row r="4625" spans="1:7" x14ac:dyDescent="0.25">
      <c r="A4625" s="101">
        <v>35296</v>
      </c>
      <c r="B4625" s="9">
        <v>19.37</v>
      </c>
      <c r="C4625" s="9">
        <v>19.63</v>
      </c>
      <c r="D4625" s="9">
        <v>19.37</v>
      </c>
      <c r="E4625" s="9">
        <v>19.63</v>
      </c>
      <c r="F4625" s="9">
        <v>428800</v>
      </c>
      <c r="G4625" s="9">
        <v>0.82</v>
      </c>
    </row>
    <row r="4626" spans="1:7" x14ac:dyDescent="0.25">
      <c r="A4626" s="101">
        <v>35293</v>
      </c>
      <c r="B4626" s="9">
        <v>19.5</v>
      </c>
      <c r="C4626" s="9">
        <v>19.87</v>
      </c>
      <c r="D4626" s="9">
        <v>19.13</v>
      </c>
      <c r="E4626" s="9">
        <v>19.37</v>
      </c>
      <c r="F4626" s="9">
        <v>864000</v>
      </c>
      <c r="G4626" s="9">
        <v>0.81</v>
      </c>
    </row>
    <row r="4627" spans="1:7" x14ac:dyDescent="0.25">
      <c r="A4627" s="101">
        <v>35292</v>
      </c>
      <c r="B4627" s="9">
        <v>20.38</v>
      </c>
      <c r="C4627" s="9">
        <v>20.38</v>
      </c>
      <c r="D4627" s="9">
        <v>19.63</v>
      </c>
      <c r="E4627" s="9">
        <v>19.87</v>
      </c>
      <c r="F4627" s="9">
        <v>1177600</v>
      </c>
      <c r="G4627" s="9">
        <v>0.83</v>
      </c>
    </row>
    <row r="4628" spans="1:7" x14ac:dyDescent="0.25">
      <c r="A4628" s="101">
        <v>35291</v>
      </c>
      <c r="B4628" s="9">
        <v>20.12</v>
      </c>
      <c r="C4628" s="9">
        <v>20.63</v>
      </c>
      <c r="D4628" s="9">
        <v>20</v>
      </c>
      <c r="E4628" s="9">
        <v>20.38</v>
      </c>
      <c r="F4628" s="9">
        <v>4852800</v>
      </c>
      <c r="G4628" s="9">
        <v>0.85</v>
      </c>
    </row>
    <row r="4629" spans="1:7" x14ac:dyDescent="0.25">
      <c r="A4629" s="101">
        <v>35290</v>
      </c>
      <c r="B4629" s="9">
        <v>17</v>
      </c>
      <c r="C4629" s="9">
        <v>20.5</v>
      </c>
      <c r="D4629" s="9">
        <v>17</v>
      </c>
      <c r="E4629" s="9">
        <v>19.87</v>
      </c>
      <c r="F4629" s="9">
        <v>10464000</v>
      </c>
      <c r="G4629" s="9">
        <v>0.83</v>
      </c>
    </row>
    <row r="4630" spans="1:7" x14ac:dyDescent="0.25">
      <c r="A4630" s="101">
        <v>35289</v>
      </c>
      <c r="B4630" s="9">
        <v>17.5</v>
      </c>
      <c r="C4630" s="9">
        <v>17.5</v>
      </c>
      <c r="D4630" s="9">
        <v>17</v>
      </c>
      <c r="E4630" s="9">
        <v>17.25</v>
      </c>
      <c r="F4630" s="9">
        <v>864000</v>
      </c>
      <c r="G4630" s="9">
        <v>0.72</v>
      </c>
    </row>
    <row r="4631" spans="1:7" x14ac:dyDescent="0.25">
      <c r="A4631" s="101">
        <v>35286</v>
      </c>
      <c r="B4631" s="9">
        <v>17.38</v>
      </c>
      <c r="C4631" s="9">
        <v>17.75</v>
      </c>
      <c r="D4631" s="9">
        <v>16.5</v>
      </c>
      <c r="E4631" s="9">
        <v>17.75</v>
      </c>
      <c r="F4631" s="9">
        <v>1833600</v>
      </c>
      <c r="G4631" s="9">
        <v>0.74</v>
      </c>
    </row>
    <row r="4632" spans="1:7" x14ac:dyDescent="0.25">
      <c r="A4632" s="101">
        <v>35285</v>
      </c>
      <c r="B4632" s="9">
        <v>18</v>
      </c>
      <c r="C4632" s="9">
        <v>18.5</v>
      </c>
      <c r="D4632" s="9">
        <v>17.75</v>
      </c>
      <c r="E4632" s="9">
        <v>18.5</v>
      </c>
      <c r="F4632" s="9">
        <v>1748800</v>
      </c>
      <c r="G4632" s="9">
        <v>0.77</v>
      </c>
    </row>
    <row r="4633" spans="1:7" x14ac:dyDescent="0.25">
      <c r="A4633" s="101">
        <v>35284</v>
      </c>
      <c r="B4633" s="9">
        <v>17.87</v>
      </c>
      <c r="C4633" s="9">
        <v>18.25</v>
      </c>
      <c r="D4633" s="9">
        <v>17.75</v>
      </c>
      <c r="E4633" s="9">
        <v>18</v>
      </c>
      <c r="F4633" s="9">
        <v>971200</v>
      </c>
      <c r="G4633" s="9">
        <v>0.75</v>
      </c>
    </row>
    <row r="4634" spans="1:7" x14ac:dyDescent="0.25">
      <c r="A4634" s="101">
        <v>35283</v>
      </c>
      <c r="B4634" s="9">
        <v>19.25</v>
      </c>
      <c r="C4634" s="9">
        <v>19.25</v>
      </c>
      <c r="D4634" s="9">
        <v>18.13</v>
      </c>
      <c r="E4634" s="9">
        <v>18.13</v>
      </c>
      <c r="F4634" s="9">
        <v>817600</v>
      </c>
      <c r="G4634" s="9">
        <v>0.76</v>
      </c>
    </row>
    <row r="4635" spans="1:7" x14ac:dyDescent="0.25">
      <c r="A4635" s="101">
        <v>35282</v>
      </c>
      <c r="B4635" s="9">
        <v>19</v>
      </c>
      <c r="C4635" s="9">
        <v>19.37</v>
      </c>
      <c r="D4635" s="9">
        <v>18.88</v>
      </c>
      <c r="E4635" s="9">
        <v>18.88</v>
      </c>
      <c r="F4635" s="9">
        <v>510400</v>
      </c>
      <c r="G4635" s="9">
        <v>0.79</v>
      </c>
    </row>
    <row r="4636" spans="1:7" x14ac:dyDescent="0.25">
      <c r="A4636" s="101">
        <v>35279</v>
      </c>
      <c r="B4636" s="9">
        <v>18.5</v>
      </c>
      <c r="C4636" s="9">
        <v>19.25</v>
      </c>
      <c r="D4636" s="9">
        <v>18.5</v>
      </c>
      <c r="E4636" s="9">
        <v>18.88</v>
      </c>
      <c r="F4636" s="9">
        <v>1168000</v>
      </c>
      <c r="G4636" s="9">
        <v>0.79</v>
      </c>
    </row>
    <row r="4637" spans="1:7" x14ac:dyDescent="0.25">
      <c r="A4637" s="101">
        <v>35278</v>
      </c>
      <c r="B4637" s="9">
        <v>18</v>
      </c>
      <c r="C4637" s="9">
        <v>19</v>
      </c>
      <c r="D4637" s="9">
        <v>17.5</v>
      </c>
      <c r="E4637" s="9">
        <v>19</v>
      </c>
      <c r="F4637" s="9">
        <v>1388800</v>
      </c>
      <c r="G4637" s="9">
        <v>0.79</v>
      </c>
    </row>
    <row r="4638" spans="1:7" x14ac:dyDescent="0.25">
      <c r="A4638" s="101">
        <v>35277</v>
      </c>
      <c r="B4638" s="9">
        <v>17</v>
      </c>
      <c r="C4638" s="9">
        <v>18</v>
      </c>
      <c r="D4638" s="9">
        <v>17</v>
      </c>
      <c r="E4638" s="9">
        <v>18</v>
      </c>
      <c r="F4638" s="9">
        <v>931200</v>
      </c>
      <c r="G4638" s="9">
        <v>0.75</v>
      </c>
    </row>
    <row r="4639" spans="1:7" x14ac:dyDescent="0.25">
      <c r="A4639" s="101">
        <v>35276</v>
      </c>
      <c r="B4639" s="9">
        <v>16.25</v>
      </c>
      <c r="C4639" s="9">
        <v>17.5</v>
      </c>
      <c r="D4639" s="9">
        <v>16.25</v>
      </c>
      <c r="E4639" s="9">
        <v>17</v>
      </c>
      <c r="F4639" s="9">
        <v>686400</v>
      </c>
      <c r="G4639" s="9">
        <v>0.71</v>
      </c>
    </row>
    <row r="4640" spans="1:7" x14ac:dyDescent="0.25">
      <c r="A4640" s="101">
        <v>35275</v>
      </c>
      <c r="B4640" s="9">
        <v>16.25</v>
      </c>
      <c r="C4640" s="9">
        <v>16.63</v>
      </c>
      <c r="D4640" s="9">
        <v>16.13</v>
      </c>
      <c r="E4640" s="9">
        <v>16.13</v>
      </c>
      <c r="F4640" s="9">
        <v>371200</v>
      </c>
      <c r="G4640" s="9">
        <v>0.67</v>
      </c>
    </row>
    <row r="4641" spans="1:7" x14ac:dyDescent="0.25">
      <c r="A4641" s="101">
        <v>35272</v>
      </c>
      <c r="B4641" s="9">
        <v>16.25</v>
      </c>
      <c r="C4641" s="9">
        <v>16.63</v>
      </c>
      <c r="D4641" s="9">
        <v>15.75</v>
      </c>
      <c r="E4641" s="9">
        <v>16.63</v>
      </c>
      <c r="F4641" s="9">
        <v>600000</v>
      </c>
      <c r="G4641" s="9">
        <v>0.69</v>
      </c>
    </row>
    <row r="4642" spans="1:7" x14ac:dyDescent="0.25">
      <c r="A4642" s="101">
        <v>35271</v>
      </c>
      <c r="B4642" s="9">
        <v>15.75</v>
      </c>
      <c r="C4642" s="9">
        <v>16.75</v>
      </c>
      <c r="D4642" s="9">
        <v>15.75</v>
      </c>
      <c r="E4642" s="9">
        <v>16.25</v>
      </c>
      <c r="F4642" s="9">
        <v>1283200</v>
      </c>
      <c r="G4642" s="9">
        <v>0.68</v>
      </c>
    </row>
    <row r="4643" spans="1:7" x14ac:dyDescent="0.25">
      <c r="A4643" s="101">
        <v>35270</v>
      </c>
      <c r="B4643" s="9">
        <v>16.25</v>
      </c>
      <c r="C4643" s="9">
        <v>16.37</v>
      </c>
      <c r="D4643" s="9">
        <v>15.5</v>
      </c>
      <c r="E4643" s="9">
        <v>15.75</v>
      </c>
      <c r="F4643" s="9">
        <v>888000</v>
      </c>
      <c r="G4643" s="9">
        <v>0.66</v>
      </c>
    </row>
    <row r="4644" spans="1:7" x14ac:dyDescent="0.25">
      <c r="A4644" s="101">
        <v>35269</v>
      </c>
      <c r="B4644" s="9">
        <v>17.5</v>
      </c>
      <c r="C4644" s="9">
        <v>18</v>
      </c>
      <c r="D4644" s="9">
        <v>16.25</v>
      </c>
      <c r="E4644" s="9">
        <v>16.25</v>
      </c>
      <c r="F4644" s="9">
        <v>1881600</v>
      </c>
      <c r="G4644" s="9">
        <v>0.68</v>
      </c>
    </row>
    <row r="4645" spans="1:7" x14ac:dyDescent="0.25">
      <c r="A4645" s="101">
        <v>35268</v>
      </c>
      <c r="B4645" s="9">
        <v>19</v>
      </c>
      <c r="C4645" s="9">
        <v>19</v>
      </c>
      <c r="D4645" s="9">
        <v>17.5</v>
      </c>
      <c r="E4645" s="9">
        <v>18</v>
      </c>
      <c r="F4645" s="9">
        <v>1132800</v>
      </c>
      <c r="G4645" s="9">
        <v>0.75</v>
      </c>
    </row>
    <row r="4646" spans="1:7" x14ac:dyDescent="0.25">
      <c r="A4646" s="101">
        <v>35265</v>
      </c>
      <c r="B4646" s="9">
        <v>19.87</v>
      </c>
      <c r="C4646" s="9">
        <v>19.87</v>
      </c>
      <c r="D4646" s="9">
        <v>18.75</v>
      </c>
      <c r="E4646" s="9">
        <v>18.88</v>
      </c>
      <c r="F4646" s="9">
        <v>1235200</v>
      </c>
      <c r="G4646" s="9">
        <v>0.79</v>
      </c>
    </row>
    <row r="4647" spans="1:7" x14ac:dyDescent="0.25">
      <c r="A4647" s="101">
        <v>35264</v>
      </c>
      <c r="B4647" s="9">
        <v>19.5</v>
      </c>
      <c r="C4647" s="9">
        <v>19.87</v>
      </c>
      <c r="D4647" s="9">
        <v>18.75</v>
      </c>
      <c r="E4647" s="9">
        <v>19.25</v>
      </c>
      <c r="F4647" s="9">
        <v>1608000</v>
      </c>
      <c r="G4647" s="9">
        <v>0.8</v>
      </c>
    </row>
    <row r="4648" spans="1:7" x14ac:dyDescent="0.25">
      <c r="A4648" s="101">
        <v>35263</v>
      </c>
      <c r="B4648" s="9">
        <v>18.13</v>
      </c>
      <c r="C4648" s="9">
        <v>19.25</v>
      </c>
      <c r="D4648" s="9">
        <v>17.75</v>
      </c>
      <c r="E4648" s="9">
        <v>19.25</v>
      </c>
      <c r="F4648" s="9">
        <v>1849600</v>
      </c>
      <c r="G4648" s="9">
        <v>0.8</v>
      </c>
    </row>
    <row r="4649" spans="1:7" x14ac:dyDescent="0.25">
      <c r="A4649" s="101">
        <v>35262</v>
      </c>
      <c r="B4649" s="9">
        <v>17.75</v>
      </c>
      <c r="C4649" s="9">
        <v>18.5</v>
      </c>
      <c r="D4649" s="9">
        <v>17.38</v>
      </c>
      <c r="E4649" s="9">
        <v>18</v>
      </c>
      <c r="F4649" s="9">
        <v>3726400</v>
      </c>
      <c r="G4649" s="9">
        <v>0.75</v>
      </c>
    </row>
    <row r="4650" spans="1:7" x14ac:dyDescent="0.25">
      <c r="A4650" s="101">
        <v>35261</v>
      </c>
      <c r="B4650" s="9">
        <v>18</v>
      </c>
      <c r="C4650" s="9">
        <v>18.5</v>
      </c>
      <c r="D4650" s="9">
        <v>17.5</v>
      </c>
      <c r="E4650" s="9">
        <v>17.87</v>
      </c>
      <c r="F4650" s="9">
        <v>1900800</v>
      </c>
      <c r="G4650" s="9">
        <v>0.74</v>
      </c>
    </row>
    <row r="4651" spans="1:7" x14ac:dyDescent="0.25">
      <c r="A4651" s="101">
        <v>35258</v>
      </c>
      <c r="B4651" s="9">
        <v>17</v>
      </c>
      <c r="C4651" s="9">
        <v>18</v>
      </c>
      <c r="D4651" s="9">
        <v>17</v>
      </c>
      <c r="E4651" s="9">
        <v>17.5</v>
      </c>
      <c r="F4651" s="9">
        <v>1696000</v>
      </c>
      <c r="G4651" s="9">
        <v>0.73</v>
      </c>
    </row>
    <row r="4652" spans="1:7" x14ac:dyDescent="0.25">
      <c r="A4652" s="101">
        <v>35257</v>
      </c>
      <c r="B4652" s="9">
        <v>16</v>
      </c>
      <c r="C4652" s="9">
        <v>17.25</v>
      </c>
      <c r="D4652" s="9">
        <v>15.5</v>
      </c>
      <c r="E4652" s="9">
        <v>17.25</v>
      </c>
      <c r="F4652" s="9">
        <v>3510400</v>
      </c>
      <c r="G4652" s="9">
        <v>0.72</v>
      </c>
    </row>
    <row r="4653" spans="1:7" x14ac:dyDescent="0.25">
      <c r="A4653" s="101">
        <v>35256</v>
      </c>
      <c r="B4653" s="9">
        <v>18.75</v>
      </c>
      <c r="C4653" s="9">
        <v>18.75</v>
      </c>
      <c r="D4653" s="9">
        <v>16</v>
      </c>
      <c r="E4653" s="9">
        <v>16.37</v>
      </c>
      <c r="F4653" s="9">
        <v>5899200</v>
      </c>
      <c r="G4653" s="9">
        <v>0.68</v>
      </c>
    </row>
    <row r="4654" spans="1:7" x14ac:dyDescent="0.25">
      <c r="A4654" s="101">
        <v>35255</v>
      </c>
      <c r="B4654" s="9">
        <v>19.5</v>
      </c>
      <c r="C4654" s="9">
        <v>20</v>
      </c>
      <c r="D4654" s="9">
        <v>18.5</v>
      </c>
      <c r="E4654" s="9">
        <v>18.5</v>
      </c>
      <c r="F4654" s="9">
        <v>2112000</v>
      </c>
      <c r="G4654" s="9">
        <v>0.77</v>
      </c>
    </row>
    <row r="4655" spans="1:7" x14ac:dyDescent="0.25">
      <c r="A4655" s="101">
        <v>35254</v>
      </c>
      <c r="B4655" s="9">
        <v>20</v>
      </c>
      <c r="C4655" s="9">
        <v>20</v>
      </c>
      <c r="D4655" s="9">
        <v>19.25</v>
      </c>
      <c r="E4655" s="9">
        <v>20</v>
      </c>
      <c r="F4655" s="9">
        <v>1211200</v>
      </c>
      <c r="G4655" s="9">
        <v>0.83</v>
      </c>
    </row>
    <row r="4656" spans="1:7" x14ac:dyDescent="0.25">
      <c r="A4656" s="101">
        <v>35251</v>
      </c>
      <c r="B4656" s="9">
        <v>20</v>
      </c>
      <c r="C4656" s="9">
        <v>20.63</v>
      </c>
      <c r="D4656" s="9">
        <v>19.75</v>
      </c>
      <c r="E4656" s="9">
        <v>20</v>
      </c>
      <c r="F4656" s="9">
        <v>748800</v>
      </c>
      <c r="G4656" s="9">
        <v>0.83</v>
      </c>
    </row>
    <row r="4657" spans="1:7" x14ac:dyDescent="0.25">
      <c r="A4657" s="101">
        <v>35249</v>
      </c>
      <c r="B4657" s="9">
        <v>21.75</v>
      </c>
      <c r="C4657" s="9">
        <v>21.75</v>
      </c>
      <c r="D4657" s="9">
        <v>20.5</v>
      </c>
      <c r="E4657" s="9">
        <v>21</v>
      </c>
      <c r="F4657" s="9">
        <v>1384000</v>
      </c>
      <c r="G4657" s="9">
        <v>0.88</v>
      </c>
    </row>
    <row r="4658" spans="1:7" x14ac:dyDescent="0.25">
      <c r="A4658" s="101">
        <v>35248</v>
      </c>
      <c r="B4658" s="9">
        <v>22.25</v>
      </c>
      <c r="C4658" s="9">
        <v>22.25</v>
      </c>
      <c r="D4658" s="9">
        <v>21.25</v>
      </c>
      <c r="E4658" s="9">
        <v>21.25</v>
      </c>
      <c r="F4658" s="9">
        <v>984000</v>
      </c>
      <c r="G4658" s="9">
        <v>0.89</v>
      </c>
    </row>
    <row r="4659" spans="1:7" x14ac:dyDescent="0.25">
      <c r="A4659" s="101">
        <v>35247</v>
      </c>
      <c r="B4659" s="9">
        <v>20.5</v>
      </c>
      <c r="C4659" s="9">
        <v>22.25</v>
      </c>
      <c r="D4659" s="9">
        <v>20.5</v>
      </c>
      <c r="E4659" s="9">
        <v>21.75</v>
      </c>
      <c r="F4659" s="9">
        <v>2286400</v>
      </c>
      <c r="G4659" s="9">
        <v>0.91</v>
      </c>
    </row>
    <row r="4660" spans="1:7" x14ac:dyDescent="0.25">
      <c r="A4660" s="101">
        <v>35244</v>
      </c>
      <c r="B4660" s="9">
        <v>19.5</v>
      </c>
      <c r="C4660" s="9">
        <v>21</v>
      </c>
      <c r="D4660" s="9">
        <v>19</v>
      </c>
      <c r="E4660" s="9">
        <v>21</v>
      </c>
      <c r="F4660" s="9">
        <v>4067200</v>
      </c>
      <c r="G4660" s="9">
        <v>0.88</v>
      </c>
    </row>
    <row r="4661" spans="1:7" x14ac:dyDescent="0.25">
      <c r="A4661" s="101">
        <v>35243</v>
      </c>
      <c r="B4661" s="9">
        <v>21.25</v>
      </c>
      <c r="C4661" s="9">
        <v>22</v>
      </c>
      <c r="D4661" s="9">
        <v>18.25</v>
      </c>
      <c r="E4661" s="9">
        <v>18.25</v>
      </c>
      <c r="F4661" s="9">
        <v>7392000</v>
      </c>
      <c r="G4661" s="9">
        <v>0.76</v>
      </c>
    </row>
    <row r="4662" spans="1:7" x14ac:dyDescent="0.25">
      <c r="A4662" s="101">
        <v>35242</v>
      </c>
      <c r="B4662" s="9">
        <v>21.5</v>
      </c>
      <c r="C4662" s="9">
        <v>22</v>
      </c>
      <c r="D4662" s="9">
        <v>20.75</v>
      </c>
      <c r="E4662" s="9">
        <v>21</v>
      </c>
      <c r="F4662" s="9">
        <v>1488000</v>
      </c>
      <c r="G4662" s="9">
        <v>0.88</v>
      </c>
    </row>
    <row r="4663" spans="1:7" x14ac:dyDescent="0.25">
      <c r="A4663" s="101">
        <v>35241</v>
      </c>
      <c r="B4663" s="9">
        <v>21.75</v>
      </c>
      <c r="C4663" s="9">
        <v>22.25</v>
      </c>
      <c r="D4663" s="9">
        <v>21.5</v>
      </c>
      <c r="E4663" s="9">
        <v>21.75</v>
      </c>
      <c r="F4663" s="9">
        <v>993600</v>
      </c>
      <c r="G4663" s="9">
        <v>0.91</v>
      </c>
    </row>
    <row r="4664" spans="1:7" x14ac:dyDescent="0.25">
      <c r="A4664" s="101">
        <v>35240</v>
      </c>
      <c r="B4664" s="9">
        <v>22.25</v>
      </c>
      <c r="C4664" s="9">
        <v>22.25</v>
      </c>
      <c r="D4664" s="9">
        <v>21.75</v>
      </c>
      <c r="E4664" s="9">
        <v>21.75</v>
      </c>
      <c r="F4664" s="9">
        <v>633600</v>
      </c>
      <c r="G4664" s="9">
        <v>0.91</v>
      </c>
    </row>
    <row r="4665" spans="1:7" x14ac:dyDescent="0.25">
      <c r="A4665" s="101">
        <v>35237</v>
      </c>
      <c r="B4665" s="9">
        <v>22.25</v>
      </c>
      <c r="C4665" s="9">
        <v>22.75</v>
      </c>
      <c r="D4665" s="9">
        <v>21.75</v>
      </c>
      <c r="E4665" s="9">
        <v>22.25</v>
      </c>
      <c r="F4665" s="9">
        <v>2544000</v>
      </c>
      <c r="G4665" s="9">
        <v>0.93</v>
      </c>
    </row>
    <row r="4666" spans="1:7" x14ac:dyDescent="0.25">
      <c r="A4666" s="101">
        <v>35236</v>
      </c>
      <c r="B4666" s="9">
        <v>21</v>
      </c>
      <c r="C4666" s="9">
        <v>21.75</v>
      </c>
      <c r="D4666" s="9">
        <v>20.5</v>
      </c>
      <c r="E4666" s="9">
        <v>21.75</v>
      </c>
      <c r="F4666" s="9">
        <v>2958400</v>
      </c>
      <c r="G4666" s="9">
        <v>0.91</v>
      </c>
    </row>
    <row r="4667" spans="1:7" x14ac:dyDescent="0.25">
      <c r="A4667" s="101">
        <v>35235</v>
      </c>
      <c r="B4667" s="9">
        <v>21</v>
      </c>
      <c r="C4667" s="9">
        <v>21.5</v>
      </c>
      <c r="D4667" s="9">
        <v>20.5</v>
      </c>
      <c r="E4667" s="9">
        <v>20.75</v>
      </c>
      <c r="F4667" s="9">
        <v>4033600</v>
      </c>
      <c r="G4667" s="9">
        <v>0.86</v>
      </c>
    </row>
    <row r="4668" spans="1:7" x14ac:dyDescent="0.25">
      <c r="A4668" s="101">
        <v>35234</v>
      </c>
      <c r="B4668" s="9">
        <v>21.75</v>
      </c>
      <c r="C4668" s="9">
        <v>22.25</v>
      </c>
      <c r="D4668" s="9">
        <v>20.5</v>
      </c>
      <c r="E4668" s="9">
        <v>20.5</v>
      </c>
      <c r="F4668" s="9">
        <v>5564800</v>
      </c>
      <c r="G4668" s="9">
        <v>0.85</v>
      </c>
    </row>
    <row r="4669" spans="1:7" x14ac:dyDescent="0.25">
      <c r="A4669" s="101">
        <v>35233</v>
      </c>
      <c r="B4669" s="9">
        <v>24.75</v>
      </c>
      <c r="C4669" s="9">
        <v>25</v>
      </c>
      <c r="D4669" s="9">
        <v>22.5</v>
      </c>
      <c r="E4669" s="9">
        <v>23</v>
      </c>
      <c r="F4669" s="9">
        <v>3249600</v>
      </c>
      <c r="G4669" s="9">
        <v>0.96</v>
      </c>
    </row>
    <row r="4670" spans="1:7" x14ac:dyDescent="0.25">
      <c r="A4670" s="101">
        <v>35230</v>
      </c>
      <c r="B4670" s="9">
        <v>24.75</v>
      </c>
      <c r="C4670" s="9">
        <v>25.5</v>
      </c>
      <c r="D4670" s="9">
        <v>24.75</v>
      </c>
      <c r="E4670" s="9">
        <v>24.75</v>
      </c>
      <c r="F4670" s="9">
        <v>2046400</v>
      </c>
      <c r="G4670" s="9">
        <v>1.03</v>
      </c>
    </row>
    <row r="4671" spans="1:7" x14ac:dyDescent="0.25">
      <c r="A4671" s="101">
        <v>35229</v>
      </c>
      <c r="B4671" s="9">
        <v>25.75</v>
      </c>
      <c r="C4671" s="9">
        <v>26.25</v>
      </c>
      <c r="D4671" s="9">
        <v>24.5</v>
      </c>
      <c r="E4671" s="9">
        <v>25.5</v>
      </c>
      <c r="F4671" s="9">
        <v>5668800</v>
      </c>
      <c r="G4671" s="9">
        <v>1.06</v>
      </c>
    </row>
    <row r="4672" spans="1:7" x14ac:dyDescent="0.25">
      <c r="A4672" s="101">
        <v>35228</v>
      </c>
      <c r="B4672" s="9">
        <v>25.75</v>
      </c>
      <c r="C4672" s="9">
        <v>26.75</v>
      </c>
      <c r="D4672" s="9">
        <v>25.75</v>
      </c>
      <c r="E4672" s="9">
        <v>26</v>
      </c>
      <c r="F4672" s="9">
        <v>2608000</v>
      </c>
      <c r="G4672" s="9">
        <v>1.08</v>
      </c>
    </row>
    <row r="4673" spans="1:7" x14ac:dyDescent="0.25">
      <c r="A4673" s="101">
        <v>35227</v>
      </c>
      <c r="B4673" s="9">
        <v>26.12</v>
      </c>
      <c r="C4673" s="9">
        <v>26.5</v>
      </c>
      <c r="D4673" s="9">
        <v>25.5</v>
      </c>
      <c r="E4673" s="9">
        <v>25.5</v>
      </c>
      <c r="F4673" s="9">
        <v>4243200</v>
      </c>
      <c r="G4673" s="9">
        <v>1.06</v>
      </c>
    </row>
    <row r="4674" spans="1:7" x14ac:dyDescent="0.25">
      <c r="A4674" s="101">
        <v>35226</v>
      </c>
      <c r="B4674" s="9">
        <v>26.87</v>
      </c>
      <c r="C4674" s="9">
        <v>26.87</v>
      </c>
      <c r="D4674" s="9">
        <v>26.12</v>
      </c>
      <c r="E4674" s="9">
        <v>26.5</v>
      </c>
      <c r="F4674" s="9">
        <v>1849600</v>
      </c>
      <c r="G4674" s="9">
        <v>1.1000000000000001</v>
      </c>
    </row>
    <row r="4675" spans="1:7" x14ac:dyDescent="0.25">
      <c r="A4675" s="101">
        <v>35223</v>
      </c>
      <c r="B4675" s="9">
        <v>27.25</v>
      </c>
      <c r="C4675" s="9">
        <v>27.25</v>
      </c>
      <c r="D4675" s="9">
        <v>26.5</v>
      </c>
      <c r="E4675" s="9">
        <v>26.87</v>
      </c>
      <c r="F4675" s="9">
        <v>3457600</v>
      </c>
      <c r="G4675" s="9">
        <v>1.1200000000000001</v>
      </c>
    </row>
    <row r="4676" spans="1:7" x14ac:dyDescent="0.25">
      <c r="A4676" s="101">
        <v>35222</v>
      </c>
      <c r="B4676" s="9">
        <v>28.5</v>
      </c>
      <c r="C4676" s="9">
        <v>28.75</v>
      </c>
      <c r="D4676" s="9">
        <v>27.5</v>
      </c>
      <c r="E4676" s="9">
        <v>27.75</v>
      </c>
      <c r="F4676" s="9">
        <v>3873600</v>
      </c>
      <c r="G4676" s="9">
        <v>1.1599999999999999</v>
      </c>
    </row>
    <row r="4677" spans="1:7" x14ac:dyDescent="0.25">
      <c r="A4677" s="101">
        <v>35221</v>
      </c>
      <c r="B4677" s="9">
        <v>27.5</v>
      </c>
      <c r="C4677" s="9">
        <v>27.5</v>
      </c>
      <c r="D4677" s="9">
        <v>27</v>
      </c>
      <c r="E4677" s="9">
        <v>27.13</v>
      </c>
      <c r="F4677" s="9">
        <v>1166400</v>
      </c>
      <c r="G4677" s="9">
        <v>1.1299999999999999</v>
      </c>
    </row>
    <row r="4678" spans="1:7" x14ac:dyDescent="0.25">
      <c r="A4678" s="101">
        <v>35220</v>
      </c>
      <c r="B4678" s="9">
        <v>27.25</v>
      </c>
      <c r="C4678" s="9">
        <v>28</v>
      </c>
      <c r="D4678" s="9">
        <v>27.13</v>
      </c>
      <c r="E4678" s="9">
        <v>27.13</v>
      </c>
      <c r="F4678" s="9">
        <v>2468800</v>
      </c>
      <c r="G4678" s="9">
        <v>1.1299999999999999</v>
      </c>
    </row>
    <row r="4679" spans="1:7" x14ac:dyDescent="0.25">
      <c r="A4679" s="101">
        <v>35219</v>
      </c>
      <c r="B4679" s="9">
        <v>27.75</v>
      </c>
      <c r="C4679" s="9">
        <v>28</v>
      </c>
      <c r="D4679" s="9">
        <v>27.25</v>
      </c>
      <c r="E4679" s="9">
        <v>27.25</v>
      </c>
      <c r="F4679" s="9">
        <v>1142400</v>
      </c>
      <c r="G4679" s="9">
        <v>1.1399999999999999</v>
      </c>
    </row>
    <row r="4680" spans="1:7" x14ac:dyDescent="0.25">
      <c r="A4680" s="101">
        <v>35216</v>
      </c>
      <c r="B4680" s="9">
        <v>28.75</v>
      </c>
      <c r="C4680" s="9">
        <v>28.75</v>
      </c>
      <c r="D4680" s="9">
        <v>27.25</v>
      </c>
      <c r="E4680" s="9">
        <v>28</v>
      </c>
      <c r="F4680" s="9">
        <v>1734400</v>
      </c>
      <c r="G4680" s="9">
        <v>1.17</v>
      </c>
    </row>
    <row r="4681" spans="1:7" x14ac:dyDescent="0.25">
      <c r="A4681" s="101">
        <v>35215</v>
      </c>
      <c r="B4681" s="9">
        <v>27.5</v>
      </c>
      <c r="C4681" s="9">
        <v>29</v>
      </c>
      <c r="D4681" s="9">
        <v>27.5</v>
      </c>
      <c r="E4681" s="9">
        <v>28.25</v>
      </c>
      <c r="F4681" s="9">
        <v>3038400</v>
      </c>
      <c r="G4681" s="9">
        <v>1.18</v>
      </c>
    </row>
    <row r="4682" spans="1:7" x14ac:dyDescent="0.25">
      <c r="A4682" s="101">
        <v>35214</v>
      </c>
      <c r="B4682" s="9">
        <v>28.75</v>
      </c>
      <c r="C4682" s="9">
        <v>28.75</v>
      </c>
      <c r="D4682" s="9">
        <v>27</v>
      </c>
      <c r="E4682" s="9">
        <v>27.5</v>
      </c>
      <c r="F4682" s="9">
        <v>3726400</v>
      </c>
      <c r="G4682" s="9">
        <v>1.1499999999999999</v>
      </c>
    </row>
    <row r="4683" spans="1:7" x14ac:dyDescent="0.25">
      <c r="A4683" s="101">
        <v>35213</v>
      </c>
      <c r="B4683" s="9">
        <v>29.25</v>
      </c>
      <c r="C4683" s="9">
        <v>29.63</v>
      </c>
      <c r="D4683" s="9">
        <v>28.5</v>
      </c>
      <c r="E4683" s="9">
        <v>29</v>
      </c>
      <c r="F4683" s="9">
        <v>2224000</v>
      </c>
      <c r="G4683" s="9">
        <v>1.21</v>
      </c>
    </row>
    <row r="4684" spans="1:7" x14ac:dyDescent="0.25">
      <c r="A4684" s="101">
        <v>35209</v>
      </c>
      <c r="B4684" s="9">
        <v>29.5</v>
      </c>
      <c r="C4684" s="9">
        <v>30</v>
      </c>
      <c r="D4684" s="9">
        <v>28.75</v>
      </c>
      <c r="E4684" s="9">
        <v>29.5</v>
      </c>
      <c r="F4684" s="9">
        <v>2491200</v>
      </c>
      <c r="G4684" s="9">
        <v>1.23</v>
      </c>
    </row>
    <row r="4685" spans="1:7" x14ac:dyDescent="0.25">
      <c r="A4685" s="101">
        <v>35208</v>
      </c>
      <c r="B4685" s="9">
        <v>27.5</v>
      </c>
      <c r="C4685" s="9">
        <v>29.5</v>
      </c>
      <c r="D4685" s="9">
        <v>27.5</v>
      </c>
      <c r="E4685" s="9">
        <v>29.5</v>
      </c>
      <c r="F4685" s="9">
        <v>2918400</v>
      </c>
      <c r="G4685" s="9">
        <v>1.23</v>
      </c>
    </row>
    <row r="4686" spans="1:7" x14ac:dyDescent="0.25">
      <c r="A4686" s="101">
        <v>35207</v>
      </c>
      <c r="B4686" s="9">
        <v>28</v>
      </c>
      <c r="C4686" s="9">
        <v>28</v>
      </c>
      <c r="D4686" s="9">
        <v>27</v>
      </c>
      <c r="E4686" s="9">
        <v>27.5</v>
      </c>
      <c r="F4686" s="9">
        <v>2563200</v>
      </c>
      <c r="G4686" s="9">
        <v>1.1499999999999999</v>
      </c>
    </row>
    <row r="4687" spans="1:7" x14ac:dyDescent="0.25">
      <c r="A4687" s="101">
        <v>35206</v>
      </c>
      <c r="B4687" s="9">
        <v>29</v>
      </c>
      <c r="C4687" s="9">
        <v>29.12</v>
      </c>
      <c r="D4687" s="9">
        <v>27.75</v>
      </c>
      <c r="E4687" s="9">
        <v>28</v>
      </c>
      <c r="F4687" s="9">
        <v>4048000</v>
      </c>
      <c r="G4687" s="9">
        <v>1.17</v>
      </c>
    </row>
    <row r="4688" spans="1:7" x14ac:dyDescent="0.25">
      <c r="A4688" s="101">
        <v>35205</v>
      </c>
      <c r="B4688" s="9">
        <v>30</v>
      </c>
      <c r="C4688" s="9">
        <v>30.37</v>
      </c>
      <c r="D4688" s="9">
        <v>29</v>
      </c>
      <c r="E4688" s="9">
        <v>29</v>
      </c>
      <c r="F4688" s="9">
        <v>4257600</v>
      </c>
      <c r="G4688" s="9">
        <v>1.21</v>
      </c>
    </row>
    <row r="4689" spans="1:7" x14ac:dyDescent="0.25">
      <c r="A4689" s="101">
        <v>35202</v>
      </c>
      <c r="B4689" s="9">
        <v>30.25</v>
      </c>
      <c r="C4689" s="9">
        <v>30.5</v>
      </c>
      <c r="D4689" s="9">
        <v>29.75</v>
      </c>
      <c r="E4689" s="9">
        <v>30</v>
      </c>
      <c r="F4689" s="9">
        <v>2448000</v>
      </c>
      <c r="G4689" s="9">
        <v>1.25</v>
      </c>
    </row>
    <row r="4690" spans="1:7" x14ac:dyDescent="0.25">
      <c r="A4690" s="101">
        <v>35201</v>
      </c>
      <c r="B4690" s="9">
        <v>29.75</v>
      </c>
      <c r="C4690" s="9">
        <v>30.5</v>
      </c>
      <c r="D4690" s="9">
        <v>29.75</v>
      </c>
      <c r="E4690" s="9">
        <v>30.25</v>
      </c>
      <c r="F4690" s="9">
        <v>3390400</v>
      </c>
      <c r="G4690" s="9">
        <v>1.26</v>
      </c>
    </row>
    <row r="4691" spans="1:7" x14ac:dyDescent="0.25">
      <c r="A4691" s="101">
        <v>35200</v>
      </c>
      <c r="B4691" s="9">
        <v>30</v>
      </c>
      <c r="C4691" s="9">
        <v>30.75</v>
      </c>
      <c r="D4691" s="9">
        <v>29.75</v>
      </c>
      <c r="E4691" s="9">
        <v>30.25</v>
      </c>
      <c r="F4691" s="9">
        <v>2200000</v>
      </c>
      <c r="G4691" s="9">
        <v>1.26</v>
      </c>
    </row>
    <row r="4692" spans="1:7" x14ac:dyDescent="0.25">
      <c r="A4692" s="101">
        <v>35199</v>
      </c>
      <c r="B4692" s="9">
        <v>30.75</v>
      </c>
      <c r="C4692" s="9">
        <v>31</v>
      </c>
      <c r="D4692" s="9">
        <v>29.5</v>
      </c>
      <c r="E4692" s="9">
        <v>29.5</v>
      </c>
      <c r="F4692" s="9">
        <v>4003200</v>
      </c>
      <c r="G4692" s="9">
        <v>1.23</v>
      </c>
    </row>
    <row r="4693" spans="1:7" x14ac:dyDescent="0.25">
      <c r="A4693" s="101">
        <v>35198</v>
      </c>
      <c r="B4693" s="9">
        <v>31.37</v>
      </c>
      <c r="C4693" s="9">
        <v>31.5</v>
      </c>
      <c r="D4693" s="9">
        <v>30</v>
      </c>
      <c r="E4693" s="9">
        <v>30.25</v>
      </c>
      <c r="F4693" s="9">
        <v>2747200</v>
      </c>
      <c r="G4693" s="9">
        <v>1.26</v>
      </c>
    </row>
    <row r="4694" spans="1:7" x14ac:dyDescent="0.25">
      <c r="A4694" s="101">
        <v>35195</v>
      </c>
      <c r="B4694" s="9">
        <v>30.75</v>
      </c>
      <c r="C4694" s="9">
        <v>31.75</v>
      </c>
      <c r="D4694" s="9">
        <v>30.5</v>
      </c>
      <c r="E4694" s="9">
        <v>31.25</v>
      </c>
      <c r="F4694" s="9">
        <v>5875200</v>
      </c>
      <c r="G4694" s="9">
        <v>1.3</v>
      </c>
    </row>
    <row r="4695" spans="1:7" x14ac:dyDescent="0.25">
      <c r="A4695" s="101">
        <v>35194</v>
      </c>
      <c r="B4695" s="9">
        <v>30</v>
      </c>
      <c r="C4695" s="9">
        <v>30.75</v>
      </c>
      <c r="D4695" s="9">
        <v>29.75</v>
      </c>
      <c r="E4695" s="9">
        <v>30.75</v>
      </c>
      <c r="F4695" s="9">
        <v>4032000</v>
      </c>
      <c r="G4695" s="9">
        <v>1.28</v>
      </c>
    </row>
    <row r="4696" spans="1:7" x14ac:dyDescent="0.25">
      <c r="A4696" s="101">
        <v>35193</v>
      </c>
      <c r="B4696" s="9">
        <v>30.5</v>
      </c>
      <c r="C4696" s="9">
        <v>30.75</v>
      </c>
      <c r="D4696" s="9">
        <v>29.12</v>
      </c>
      <c r="E4696" s="9">
        <v>30.25</v>
      </c>
      <c r="F4696" s="9">
        <v>6288000</v>
      </c>
      <c r="G4696" s="9">
        <v>1.26</v>
      </c>
    </row>
    <row r="4697" spans="1:7" x14ac:dyDescent="0.25">
      <c r="A4697" s="101">
        <v>35192</v>
      </c>
      <c r="B4697" s="9">
        <v>30</v>
      </c>
      <c r="C4697" s="9">
        <v>30.75</v>
      </c>
      <c r="D4697" s="9">
        <v>29.75</v>
      </c>
      <c r="E4697" s="9">
        <v>30.37</v>
      </c>
      <c r="F4697" s="9">
        <v>5569600</v>
      </c>
      <c r="G4697" s="9">
        <v>1.27</v>
      </c>
    </row>
    <row r="4698" spans="1:7" x14ac:dyDescent="0.25">
      <c r="A4698" s="101">
        <v>35191</v>
      </c>
      <c r="B4698" s="9">
        <v>32.5</v>
      </c>
      <c r="C4698" s="9">
        <v>32.5</v>
      </c>
      <c r="D4698" s="9">
        <v>29.38</v>
      </c>
      <c r="E4698" s="9">
        <v>30.13</v>
      </c>
      <c r="F4698" s="9">
        <v>8214400</v>
      </c>
      <c r="G4698" s="9">
        <v>1.26</v>
      </c>
    </row>
    <row r="4699" spans="1:7" x14ac:dyDescent="0.25">
      <c r="A4699" s="101">
        <v>35188</v>
      </c>
      <c r="B4699" s="9">
        <v>32.25</v>
      </c>
      <c r="C4699" s="9">
        <v>32.5</v>
      </c>
      <c r="D4699" s="9">
        <v>31.25</v>
      </c>
      <c r="E4699" s="9">
        <v>32</v>
      </c>
      <c r="F4699" s="9">
        <v>6116800</v>
      </c>
      <c r="G4699" s="9">
        <v>1.33</v>
      </c>
    </row>
    <row r="4700" spans="1:7" x14ac:dyDescent="0.25">
      <c r="A4700" s="101">
        <v>35187</v>
      </c>
      <c r="B4700" s="9">
        <v>31.5</v>
      </c>
      <c r="C4700" s="9">
        <v>33.25</v>
      </c>
      <c r="D4700" s="9">
        <v>31.5</v>
      </c>
      <c r="E4700" s="9">
        <v>32.869999999999997</v>
      </c>
      <c r="F4700" s="9">
        <v>9731200</v>
      </c>
      <c r="G4700" s="9">
        <v>1.37</v>
      </c>
    </row>
    <row r="4701" spans="1:7" x14ac:dyDescent="0.25">
      <c r="A4701" s="101">
        <v>35186</v>
      </c>
      <c r="B4701" s="9">
        <v>30.25</v>
      </c>
      <c r="C4701" s="9">
        <v>31.75</v>
      </c>
      <c r="D4701" s="9">
        <v>30</v>
      </c>
      <c r="E4701" s="9">
        <v>31.63</v>
      </c>
      <c r="F4701" s="9">
        <v>4881600</v>
      </c>
      <c r="G4701" s="9">
        <v>1.32</v>
      </c>
    </row>
    <row r="4702" spans="1:7" x14ac:dyDescent="0.25">
      <c r="A4702" s="101">
        <v>35185</v>
      </c>
      <c r="B4702" s="9">
        <v>31.25</v>
      </c>
      <c r="C4702" s="9">
        <v>31.5</v>
      </c>
      <c r="D4702" s="9">
        <v>29.5</v>
      </c>
      <c r="E4702" s="9">
        <v>29.75</v>
      </c>
      <c r="F4702" s="9">
        <v>5003200</v>
      </c>
      <c r="G4702" s="9">
        <v>1.24</v>
      </c>
    </row>
    <row r="4703" spans="1:7" x14ac:dyDescent="0.25">
      <c r="A4703" s="101">
        <v>35184</v>
      </c>
      <c r="B4703" s="9">
        <v>31.5</v>
      </c>
      <c r="C4703" s="9">
        <v>32</v>
      </c>
      <c r="D4703" s="9">
        <v>30.5</v>
      </c>
      <c r="E4703" s="9">
        <v>31</v>
      </c>
      <c r="F4703" s="9">
        <v>5928000</v>
      </c>
      <c r="G4703" s="9">
        <v>1.29</v>
      </c>
    </row>
    <row r="4704" spans="1:7" x14ac:dyDescent="0.25">
      <c r="A4704" s="101">
        <v>35181</v>
      </c>
      <c r="B4704" s="9">
        <v>32</v>
      </c>
      <c r="C4704" s="9">
        <v>32.25</v>
      </c>
      <c r="D4704" s="9">
        <v>31.25</v>
      </c>
      <c r="E4704" s="9">
        <v>31.75</v>
      </c>
      <c r="F4704" s="9">
        <v>7561600</v>
      </c>
      <c r="G4704" s="9">
        <v>1.32</v>
      </c>
    </row>
    <row r="4705" spans="1:7" x14ac:dyDescent="0.25">
      <c r="A4705" s="101">
        <v>35180</v>
      </c>
      <c r="B4705" s="9">
        <v>30</v>
      </c>
      <c r="C4705" s="9">
        <v>32.25</v>
      </c>
      <c r="D4705" s="9">
        <v>29</v>
      </c>
      <c r="E4705" s="9">
        <v>31.25</v>
      </c>
      <c r="F4705" s="9">
        <v>19478400</v>
      </c>
      <c r="G4705" s="9">
        <v>1.3</v>
      </c>
    </row>
    <row r="4706" spans="1:7" x14ac:dyDescent="0.25">
      <c r="A4706" s="101">
        <v>35179</v>
      </c>
      <c r="B4706" s="9">
        <v>28.5</v>
      </c>
      <c r="C4706" s="9">
        <v>29.12</v>
      </c>
      <c r="D4706" s="9">
        <v>27.75</v>
      </c>
      <c r="E4706" s="9">
        <v>29</v>
      </c>
      <c r="F4706" s="9">
        <v>7795200</v>
      </c>
      <c r="G4706" s="9">
        <v>1.21</v>
      </c>
    </row>
    <row r="4707" spans="1:7" x14ac:dyDescent="0.25">
      <c r="A4707" s="101">
        <v>35178</v>
      </c>
      <c r="B4707" s="9">
        <v>28.75</v>
      </c>
      <c r="C4707" s="9">
        <v>29</v>
      </c>
      <c r="D4707" s="9">
        <v>28</v>
      </c>
      <c r="E4707" s="9">
        <v>28</v>
      </c>
      <c r="F4707" s="9">
        <v>4297600</v>
      </c>
      <c r="G4707" s="9">
        <v>1.17</v>
      </c>
    </row>
    <row r="4708" spans="1:7" x14ac:dyDescent="0.25">
      <c r="A4708" s="101">
        <v>35177</v>
      </c>
      <c r="B4708" s="9">
        <v>29</v>
      </c>
      <c r="C4708" s="9">
        <v>29</v>
      </c>
      <c r="D4708" s="9">
        <v>27.5</v>
      </c>
      <c r="E4708" s="9">
        <v>28.25</v>
      </c>
      <c r="F4708" s="9">
        <v>8041600</v>
      </c>
      <c r="G4708" s="9">
        <v>1.18</v>
      </c>
    </row>
    <row r="4709" spans="1:7" x14ac:dyDescent="0.25">
      <c r="A4709" s="101">
        <v>35174</v>
      </c>
      <c r="B4709" s="9">
        <v>30.13</v>
      </c>
      <c r="C4709" s="9">
        <v>30.75</v>
      </c>
      <c r="D4709" s="9">
        <v>28.75</v>
      </c>
      <c r="E4709" s="9">
        <v>28.87</v>
      </c>
      <c r="F4709" s="9">
        <v>12913600</v>
      </c>
      <c r="G4709" s="9">
        <v>1.2</v>
      </c>
    </row>
    <row r="4710" spans="1:7" x14ac:dyDescent="0.25">
      <c r="A4710" s="101">
        <v>35173</v>
      </c>
      <c r="B4710" s="9">
        <v>30.13</v>
      </c>
      <c r="C4710" s="9">
        <v>30.13</v>
      </c>
      <c r="D4710" s="9">
        <v>28</v>
      </c>
      <c r="E4710" s="9">
        <v>29.25</v>
      </c>
      <c r="F4710" s="9">
        <v>27268800</v>
      </c>
      <c r="G4710" s="9">
        <v>1.22</v>
      </c>
    </row>
    <row r="4711" spans="1:7" x14ac:dyDescent="0.25">
      <c r="A4711" s="101">
        <v>35172</v>
      </c>
      <c r="B4711" s="9">
        <v>28.25</v>
      </c>
      <c r="C4711" s="9">
        <v>28.25</v>
      </c>
      <c r="D4711" s="9">
        <v>24.75</v>
      </c>
      <c r="E4711" s="9">
        <v>27</v>
      </c>
      <c r="F4711" s="9">
        <v>42816000</v>
      </c>
      <c r="G4711" s="9">
        <v>1.1200000000000001</v>
      </c>
    </row>
    <row r="4712" spans="1:7" x14ac:dyDescent="0.25">
      <c r="A4712" s="101">
        <v>35171</v>
      </c>
      <c r="B4712" s="9">
        <v>32.25</v>
      </c>
      <c r="C4712" s="9">
        <v>32.25</v>
      </c>
      <c r="D4712" s="9">
        <v>28</v>
      </c>
      <c r="E4712" s="9">
        <v>28.75</v>
      </c>
      <c r="F4712" s="9">
        <v>48016000</v>
      </c>
      <c r="G4712" s="9">
        <v>1.2</v>
      </c>
    </row>
    <row r="4713" spans="1:7" x14ac:dyDescent="0.25">
      <c r="A4713" s="101">
        <v>35170</v>
      </c>
      <c r="B4713" s="9">
        <v>35.75</v>
      </c>
      <c r="C4713" s="9">
        <v>36</v>
      </c>
      <c r="D4713" s="9">
        <v>30</v>
      </c>
      <c r="E4713" s="9">
        <v>32.25</v>
      </c>
      <c r="F4713" s="9">
        <v>79219200</v>
      </c>
      <c r="G4713" s="9">
        <v>1.34</v>
      </c>
    </row>
    <row r="4714" spans="1:7" x14ac:dyDescent="0.25">
      <c r="A4714" s="101">
        <v>35167</v>
      </c>
      <c r="B4714" s="9">
        <v>25.25</v>
      </c>
      <c r="C4714" s="9">
        <v>43</v>
      </c>
      <c r="D4714" s="9">
        <v>24.5</v>
      </c>
      <c r="E4714" s="9">
        <v>33</v>
      </c>
      <c r="F4714" s="9">
        <v>408720000</v>
      </c>
      <c r="G4714" s="9">
        <v>1.38</v>
      </c>
    </row>
  </sheetData>
  <printOptions horizontalCentered="1"/>
  <pageMargins left="0.7" right="0.7" top="0.75" bottom="0.75" header="0.3" footer="0.3"/>
  <pageSetup scale="175" orientation="landscape" r:id="rId1"/>
  <headerFooter>
    <oddFooter>&amp;L&amp;D - &amp;T&amp;CPage &amp;P of &amp;N&amp;R&amp;"-,Bold"Your Name</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H602"/>
  <sheetViews>
    <sheetView zoomScaleNormal="100" workbookViewId="0">
      <selection activeCell="B22" sqref="B22"/>
    </sheetView>
  </sheetViews>
  <sheetFormatPr defaultRowHeight="15" x14ac:dyDescent="0.25"/>
  <cols>
    <col min="1" max="1" width="34.5703125" bestFit="1" customWidth="1"/>
    <col min="2" max="2" width="12.85546875" bestFit="1" customWidth="1"/>
    <col min="3" max="3" width="11.140625" bestFit="1" customWidth="1"/>
    <col min="4" max="4" width="8.140625" bestFit="1" customWidth="1"/>
    <col min="5" max="5" width="8.85546875" bestFit="1" customWidth="1"/>
    <col min="6" max="6" width="8.140625" bestFit="1" customWidth="1"/>
    <col min="7" max="7" width="8.85546875" bestFit="1" customWidth="1"/>
    <col min="8" max="8" width="12.28515625" bestFit="1" customWidth="1"/>
    <col min="9" max="9" width="18.140625" bestFit="1" customWidth="1"/>
  </cols>
  <sheetData>
    <row r="1" spans="1:8" ht="37.5" x14ac:dyDescent="0.3">
      <c r="A1" s="22" t="s">
        <v>92</v>
      </c>
      <c r="B1" s="22"/>
      <c r="C1" s="22"/>
    </row>
    <row r="2" spans="1:8" ht="18" x14ac:dyDescent="0.35">
      <c r="A2" s="23" t="s">
        <v>93</v>
      </c>
      <c r="C2" s="24"/>
    </row>
    <row r="3" spans="1:8" ht="18" x14ac:dyDescent="0.35">
      <c r="A3" s="2" t="s">
        <v>94</v>
      </c>
      <c r="C3" s="24"/>
    </row>
    <row r="4" spans="1:8" x14ac:dyDescent="0.25">
      <c r="A4" s="23" t="s">
        <v>95</v>
      </c>
      <c r="B4" s="25">
        <v>10</v>
      </c>
      <c r="C4" s="23" t="s">
        <v>96</v>
      </c>
    </row>
    <row r="5" spans="1:8" x14ac:dyDescent="0.25">
      <c r="A5" s="2" t="s">
        <v>97</v>
      </c>
      <c r="B5" s="26">
        <v>0.5</v>
      </c>
      <c r="C5" s="2" t="s">
        <v>96</v>
      </c>
    </row>
    <row r="6" spans="1:8" x14ac:dyDescent="0.25">
      <c r="A6" s="27" t="s">
        <v>98</v>
      </c>
      <c r="B6" s="28">
        <v>0.05</v>
      </c>
    </row>
    <row r="7" spans="1:8" x14ac:dyDescent="0.25">
      <c r="A7" s="2" t="s">
        <v>99</v>
      </c>
      <c r="B7" s="26">
        <f>B6/2</f>
        <v>2.5000000000000001E-2</v>
      </c>
    </row>
    <row r="8" spans="1:8" x14ac:dyDescent="0.25">
      <c r="A8" s="23" t="s">
        <v>100</v>
      </c>
      <c r="B8" s="25">
        <f ca="1">AVERAGE(A22:A99)</f>
        <v>9.9171025641025654</v>
      </c>
      <c r="C8" s="23" t="s">
        <v>96</v>
      </c>
    </row>
    <row r="9" spans="1:8" x14ac:dyDescent="0.25">
      <c r="A9" s="2" t="s">
        <v>101</v>
      </c>
      <c r="B9" s="26">
        <f ca="1">STDEV(A22:A99)</f>
        <v>0.23686324564228442</v>
      </c>
      <c r="C9" s="2" t="s">
        <v>96</v>
      </c>
    </row>
    <row r="10" spans="1:8" x14ac:dyDescent="0.25">
      <c r="A10" s="23" t="s">
        <v>102</v>
      </c>
      <c r="B10" s="25">
        <f ca="1">COUNT($A$22:$A$99)</f>
        <v>78</v>
      </c>
    </row>
    <row r="11" spans="1:8" x14ac:dyDescent="0.25">
      <c r="A11" s="2" t="s">
        <v>103</v>
      </c>
      <c r="B11" s="26">
        <f ca="1">B5/SQRT(B10)</f>
        <v>5.6613851707229781E-2</v>
      </c>
      <c r="C11" s="2" t="s">
        <v>96</v>
      </c>
    </row>
    <row r="12" spans="1:8" x14ac:dyDescent="0.25">
      <c r="A12" s="23" t="s">
        <v>104</v>
      </c>
      <c r="B12" s="25">
        <f ca="1">(B8-B4)/B11</f>
        <v>-1.4642606605557682</v>
      </c>
    </row>
    <row r="13" spans="1:8" hidden="1" x14ac:dyDescent="0.25">
      <c r="A13" s="29" t="s">
        <v>105</v>
      </c>
      <c r="B13" s="30">
        <f ca="1">B12*B11+B4</f>
        <v>9.9171025641025654</v>
      </c>
      <c r="C13" s="2" t="str">
        <f ca="1">D102</f>
        <v>P(9.917)</v>
      </c>
      <c r="H13" s="2">
        <f ca="1">VLOOKUP(B13,B103:C602,2)</f>
        <v>0.78506296624084626</v>
      </c>
    </row>
    <row r="14" spans="1:8" x14ac:dyDescent="0.25">
      <c r="A14" s="31" t="s">
        <v>106</v>
      </c>
      <c r="B14" s="32">
        <f ca="1">IF(B8&lt;B4,2*NORMDIST(B8,B4,B5/SQRT(B10),1),2*(1-NORMDIST(B8,B4,B5/SQRT(B10),1)))</f>
        <v>0.14312274150928592</v>
      </c>
    </row>
    <row r="15" spans="1:8" hidden="1" x14ac:dyDescent="0.25">
      <c r="A15" s="33" t="s">
        <v>106</v>
      </c>
      <c r="B15" s="33">
        <f ca="1">2*(1-NORMSDIST(ABS(B12)))</f>
        <v>0.14312274150928594</v>
      </c>
    </row>
    <row r="16" spans="1:8" ht="30" x14ac:dyDescent="0.25">
      <c r="A16" s="34" t="str">
        <f ca="1">IF(B15&gt;B6,"Because the p-value is greater than our alpha, it is reasonable to assume that the machine is filling accurately"," Because the p-value is less than or equal to our alpha, it is reasonable to assume that the machine is not filling accurately")</f>
        <v>Because the p-value is greater than our alpha, it is reasonable to assume that the machine is filling accurately</v>
      </c>
      <c r="B16" s="34"/>
      <c r="C16" s="34"/>
    </row>
    <row r="21" spans="1:1" ht="15.75" thickBot="1" x14ac:dyDescent="0.3">
      <c r="A21" s="35" t="s">
        <v>107</v>
      </c>
    </row>
    <row r="22" spans="1:1" ht="15.75" thickTop="1" x14ac:dyDescent="0.25">
      <c r="A22" s="36">
        <f t="shared" ref="A22:A85" ca="1" si="0">RANDBETWEEN(9500,10300)/1000</f>
        <v>9.5990000000000002</v>
      </c>
    </row>
    <row r="23" spans="1:1" x14ac:dyDescent="0.25">
      <c r="A23" s="37">
        <f t="shared" ca="1" si="0"/>
        <v>9.8840000000000003</v>
      </c>
    </row>
    <row r="24" spans="1:1" x14ac:dyDescent="0.25">
      <c r="A24" s="36">
        <f t="shared" ca="1" si="0"/>
        <v>10.207000000000001</v>
      </c>
    </row>
    <row r="25" spans="1:1" x14ac:dyDescent="0.25">
      <c r="A25" s="37">
        <f t="shared" ca="1" si="0"/>
        <v>10.268000000000001</v>
      </c>
    </row>
    <row r="26" spans="1:1" x14ac:dyDescent="0.25">
      <c r="A26" s="36">
        <f t="shared" ca="1" si="0"/>
        <v>9.7200000000000006</v>
      </c>
    </row>
    <row r="27" spans="1:1" x14ac:dyDescent="0.25">
      <c r="A27" s="37">
        <f t="shared" ca="1" si="0"/>
        <v>9.7810000000000006</v>
      </c>
    </row>
    <row r="28" spans="1:1" x14ac:dyDescent="0.25">
      <c r="A28" s="36">
        <f t="shared" ca="1" si="0"/>
        <v>9.8469999999999995</v>
      </c>
    </row>
    <row r="29" spans="1:1" x14ac:dyDescent="0.25">
      <c r="A29" s="37">
        <f t="shared" ca="1" si="0"/>
        <v>9.5749999999999993</v>
      </c>
    </row>
    <row r="30" spans="1:1" x14ac:dyDescent="0.25">
      <c r="A30" s="36">
        <f t="shared" ca="1" si="0"/>
        <v>9.6229999999999993</v>
      </c>
    </row>
    <row r="31" spans="1:1" x14ac:dyDescent="0.25">
      <c r="A31" s="37">
        <f t="shared" ca="1" si="0"/>
        <v>9.9139999999999997</v>
      </c>
    </row>
    <row r="32" spans="1:1" x14ac:dyDescent="0.25">
      <c r="A32" s="36">
        <f t="shared" ca="1" si="0"/>
        <v>10.144</v>
      </c>
    </row>
    <row r="33" spans="1:1" x14ac:dyDescent="0.25">
      <c r="A33" s="37">
        <f t="shared" ca="1" si="0"/>
        <v>9.6679999999999993</v>
      </c>
    </row>
    <row r="34" spans="1:1" x14ac:dyDescent="0.25">
      <c r="A34" s="36">
        <f t="shared" ca="1" si="0"/>
        <v>10.050000000000001</v>
      </c>
    </row>
    <row r="35" spans="1:1" x14ac:dyDescent="0.25">
      <c r="A35" s="37">
        <f t="shared" ca="1" si="0"/>
        <v>9.76</v>
      </c>
    </row>
    <row r="36" spans="1:1" x14ac:dyDescent="0.25">
      <c r="A36" s="36">
        <f t="shared" ca="1" si="0"/>
        <v>10.101000000000001</v>
      </c>
    </row>
    <row r="37" spans="1:1" x14ac:dyDescent="0.25">
      <c r="A37" s="37">
        <f t="shared" ca="1" si="0"/>
        <v>10.026</v>
      </c>
    </row>
    <row r="38" spans="1:1" x14ac:dyDescent="0.25">
      <c r="A38" s="36">
        <f t="shared" ca="1" si="0"/>
        <v>9.6660000000000004</v>
      </c>
    </row>
    <row r="39" spans="1:1" x14ac:dyDescent="0.25">
      <c r="A39" s="37">
        <f t="shared" ca="1" si="0"/>
        <v>9.7919999999999998</v>
      </c>
    </row>
    <row r="40" spans="1:1" x14ac:dyDescent="0.25">
      <c r="A40" s="36">
        <f t="shared" ca="1" si="0"/>
        <v>10.117000000000001</v>
      </c>
    </row>
    <row r="41" spans="1:1" x14ac:dyDescent="0.25">
      <c r="A41" s="37">
        <f t="shared" ca="1" si="0"/>
        <v>9.5079999999999991</v>
      </c>
    </row>
    <row r="42" spans="1:1" x14ac:dyDescent="0.25">
      <c r="A42" s="36">
        <f t="shared" ca="1" si="0"/>
        <v>10.244999999999999</v>
      </c>
    </row>
    <row r="43" spans="1:1" x14ac:dyDescent="0.25">
      <c r="A43" s="37">
        <f t="shared" ca="1" si="0"/>
        <v>10.07</v>
      </c>
    </row>
    <row r="44" spans="1:1" x14ac:dyDescent="0.25">
      <c r="A44" s="36">
        <f t="shared" ca="1" si="0"/>
        <v>9.67</v>
      </c>
    </row>
    <row r="45" spans="1:1" x14ac:dyDescent="0.25">
      <c r="A45" s="37">
        <f t="shared" ca="1" si="0"/>
        <v>10.018000000000001</v>
      </c>
    </row>
    <row r="46" spans="1:1" x14ac:dyDescent="0.25">
      <c r="A46" s="36">
        <f t="shared" ca="1" si="0"/>
        <v>10.013999999999999</v>
      </c>
    </row>
    <row r="47" spans="1:1" x14ac:dyDescent="0.25">
      <c r="A47" s="37">
        <f t="shared" ca="1" si="0"/>
        <v>10.257999999999999</v>
      </c>
    </row>
    <row r="48" spans="1:1" x14ac:dyDescent="0.25">
      <c r="A48" s="36">
        <f t="shared" ca="1" si="0"/>
        <v>9.7509999999999994</v>
      </c>
    </row>
    <row r="49" spans="1:1" x14ac:dyDescent="0.25">
      <c r="A49" s="37">
        <f t="shared" ca="1" si="0"/>
        <v>10.237</v>
      </c>
    </row>
    <row r="50" spans="1:1" x14ac:dyDescent="0.25">
      <c r="A50" s="36">
        <f t="shared" ca="1" si="0"/>
        <v>10.06</v>
      </c>
    </row>
    <row r="51" spans="1:1" x14ac:dyDescent="0.25">
      <c r="A51" s="37">
        <f t="shared" ca="1" si="0"/>
        <v>9.7210000000000001</v>
      </c>
    </row>
    <row r="52" spans="1:1" x14ac:dyDescent="0.25">
      <c r="A52" s="36">
        <f t="shared" ca="1" si="0"/>
        <v>9.9220000000000006</v>
      </c>
    </row>
    <row r="53" spans="1:1" x14ac:dyDescent="0.25">
      <c r="A53" s="37">
        <f t="shared" ca="1" si="0"/>
        <v>10.039</v>
      </c>
    </row>
    <row r="54" spans="1:1" x14ac:dyDescent="0.25">
      <c r="A54" s="36">
        <f t="shared" ca="1" si="0"/>
        <v>9.7170000000000005</v>
      </c>
    </row>
    <row r="55" spans="1:1" x14ac:dyDescent="0.25">
      <c r="A55" s="37">
        <f t="shared" ca="1" si="0"/>
        <v>9.7490000000000006</v>
      </c>
    </row>
    <row r="56" spans="1:1" x14ac:dyDescent="0.25">
      <c r="A56" s="36">
        <f t="shared" ca="1" si="0"/>
        <v>10.124000000000001</v>
      </c>
    </row>
    <row r="57" spans="1:1" x14ac:dyDescent="0.25">
      <c r="A57" s="37">
        <f t="shared" ca="1" si="0"/>
        <v>10.067</v>
      </c>
    </row>
    <row r="58" spans="1:1" x14ac:dyDescent="0.25">
      <c r="A58" s="36">
        <f t="shared" ca="1" si="0"/>
        <v>9.8689999999999998</v>
      </c>
    </row>
    <row r="59" spans="1:1" x14ac:dyDescent="0.25">
      <c r="A59" s="37">
        <f t="shared" ca="1" si="0"/>
        <v>10.175000000000001</v>
      </c>
    </row>
    <row r="60" spans="1:1" x14ac:dyDescent="0.25">
      <c r="A60" s="36">
        <f t="shared" ca="1" si="0"/>
        <v>10.272</v>
      </c>
    </row>
    <row r="61" spans="1:1" x14ac:dyDescent="0.25">
      <c r="A61" s="37">
        <f t="shared" ca="1" si="0"/>
        <v>9.7490000000000006</v>
      </c>
    </row>
    <row r="62" spans="1:1" x14ac:dyDescent="0.25">
      <c r="A62" s="36">
        <f t="shared" ca="1" si="0"/>
        <v>9.609</v>
      </c>
    </row>
    <row r="63" spans="1:1" x14ac:dyDescent="0.25">
      <c r="A63" s="37">
        <f t="shared" ca="1" si="0"/>
        <v>9.5340000000000007</v>
      </c>
    </row>
    <row r="64" spans="1:1" x14ac:dyDescent="0.25">
      <c r="A64" s="36">
        <f t="shared" ca="1" si="0"/>
        <v>10.177</v>
      </c>
    </row>
    <row r="65" spans="1:1" x14ac:dyDescent="0.25">
      <c r="A65" s="37">
        <f t="shared" ca="1" si="0"/>
        <v>10.041</v>
      </c>
    </row>
    <row r="66" spans="1:1" x14ac:dyDescent="0.25">
      <c r="A66" s="36">
        <f t="shared" ca="1" si="0"/>
        <v>9.9700000000000006</v>
      </c>
    </row>
    <row r="67" spans="1:1" x14ac:dyDescent="0.25">
      <c r="A67" s="37">
        <f t="shared" ca="1" si="0"/>
        <v>10.146000000000001</v>
      </c>
    </row>
    <row r="68" spans="1:1" x14ac:dyDescent="0.25">
      <c r="A68" s="36">
        <f t="shared" ca="1" si="0"/>
        <v>9.5779999999999994</v>
      </c>
    </row>
    <row r="69" spans="1:1" x14ac:dyDescent="0.25">
      <c r="A69" s="37">
        <f t="shared" ca="1" si="0"/>
        <v>9.9930000000000003</v>
      </c>
    </row>
    <row r="70" spans="1:1" x14ac:dyDescent="0.25">
      <c r="A70" s="36">
        <f t="shared" ca="1" si="0"/>
        <v>9.9320000000000004</v>
      </c>
    </row>
    <row r="71" spans="1:1" x14ac:dyDescent="0.25">
      <c r="A71" s="37">
        <f t="shared" ca="1" si="0"/>
        <v>9.7309999999999999</v>
      </c>
    </row>
    <row r="72" spans="1:1" x14ac:dyDescent="0.25">
      <c r="A72" s="36">
        <f t="shared" ca="1" si="0"/>
        <v>10.262</v>
      </c>
    </row>
    <row r="73" spans="1:1" x14ac:dyDescent="0.25">
      <c r="A73" s="37">
        <f t="shared" ca="1" si="0"/>
        <v>9.5670000000000002</v>
      </c>
    </row>
    <row r="74" spans="1:1" x14ac:dyDescent="0.25">
      <c r="A74" s="36">
        <f t="shared" ca="1" si="0"/>
        <v>9.8249999999999993</v>
      </c>
    </row>
    <row r="75" spans="1:1" x14ac:dyDescent="0.25">
      <c r="A75" s="37">
        <f t="shared" ca="1" si="0"/>
        <v>10.159000000000001</v>
      </c>
    </row>
    <row r="76" spans="1:1" x14ac:dyDescent="0.25">
      <c r="A76" s="36">
        <f t="shared" ca="1" si="0"/>
        <v>9.8780000000000001</v>
      </c>
    </row>
    <row r="77" spans="1:1" x14ac:dyDescent="0.25">
      <c r="A77" s="37">
        <f t="shared" ca="1" si="0"/>
        <v>9.5039999999999996</v>
      </c>
    </row>
    <row r="78" spans="1:1" x14ac:dyDescent="0.25">
      <c r="A78" s="36">
        <f t="shared" ca="1" si="0"/>
        <v>10.092000000000001</v>
      </c>
    </row>
    <row r="79" spans="1:1" x14ac:dyDescent="0.25">
      <c r="A79" s="37">
        <f t="shared" ca="1" si="0"/>
        <v>10.113</v>
      </c>
    </row>
    <row r="80" spans="1:1" x14ac:dyDescent="0.25">
      <c r="A80" s="36">
        <f t="shared" ca="1" si="0"/>
        <v>9.5570000000000004</v>
      </c>
    </row>
    <row r="81" spans="1:1" x14ac:dyDescent="0.25">
      <c r="A81" s="37">
        <f t="shared" ca="1" si="0"/>
        <v>10.157</v>
      </c>
    </row>
    <row r="82" spans="1:1" x14ac:dyDescent="0.25">
      <c r="A82" s="36">
        <f t="shared" ca="1" si="0"/>
        <v>9.6240000000000006</v>
      </c>
    </row>
    <row r="83" spans="1:1" x14ac:dyDescent="0.25">
      <c r="A83" s="37">
        <f t="shared" ca="1" si="0"/>
        <v>10.177</v>
      </c>
    </row>
    <row r="84" spans="1:1" x14ac:dyDescent="0.25">
      <c r="A84" s="36">
        <f t="shared" ca="1" si="0"/>
        <v>10.141999999999999</v>
      </c>
    </row>
    <row r="85" spans="1:1" x14ac:dyDescent="0.25">
      <c r="A85" s="37">
        <f t="shared" ca="1" si="0"/>
        <v>10.157999999999999</v>
      </c>
    </row>
    <row r="86" spans="1:1" x14ac:dyDescent="0.25">
      <c r="A86" s="36">
        <f t="shared" ref="A86:A99" ca="1" si="1">RANDBETWEEN(9500,10300)/1000</f>
        <v>9.8550000000000004</v>
      </c>
    </row>
    <row r="87" spans="1:1" x14ac:dyDescent="0.25">
      <c r="A87" s="37">
        <f t="shared" ca="1" si="1"/>
        <v>10.29</v>
      </c>
    </row>
    <row r="88" spans="1:1" x14ac:dyDescent="0.25">
      <c r="A88" s="36">
        <f t="shared" ca="1" si="1"/>
        <v>9.5850000000000009</v>
      </c>
    </row>
    <row r="89" spans="1:1" x14ac:dyDescent="0.25">
      <c r="A89" s="37">
        <f t="shared" ca="1" si="1"/>
        <v>9.7970000000000006</v>
      </c>
    </row>
    <row r="90" spans="1:1" x14ac:dyDescent="0.25">
      <c r="A90" s="36">
        <f t="shared" ca="1" si="1"/>
        <v>9.5470000000000006</v>
      </c>
    </row>
    <row r="91" spans="1:1" x14ac:dyDescent="0.25">
      <c r="A91" s="37">
        <f t="shared" ca="1" si="1"/>
        <v>9.8620000000000001</v>
      </c>
    </row>
    <row r="92" spans="1:1" x14ac:dyDescent="0.25">
      <c r="A92" s="36">
        <f t="shared" ca="1" si="1"/>
        <v>10.131</v>
      </c>
    </row>
    <row r="93" spans="1:1" x14ac:dyDescent="0.25">
      <c r="A93" s="37">
        <f t="shared" ca="1" si="1"/>
        <v>9.7609999999999992</v>
      </c>
    </row>
    <row r="94" spans="1:1" x14ac:dyDescent="0.25">
      <c r="A94" s="36">
        <f t="shared" ca="1" si="1"/>
        <v>9.8239999999999998</v>
      </c>
    </row>
    <row r="95" spans="1:1" x14ac:dyDescent="0.25">
      <c r="A95" s="37">
        <f t="shared" ca="1" si="1"/>
        <v>9.9920000000000009</v>
      </c>
    </row>
    <row r="96" spans="1:1" x14ac:dyDescent="0.25">
      <c r="A96" s="36">
        <f t="shared" ca="1" si="1"/>
        <v>10.135999999999999</v>
      </c>
    </row>
    <row r="97" spans="1:5" x14ac:dyDescent="0.25">
      <c r="A97" s="37">
        <f t="shared" ca="1" si="1"/>
        <v>9.5259999999999998</v>
      </c>
    </row>
    <row r="98" spans="1:5" x14ac:dyDescent="0.25">
      <c r="A98" s="36">
        <f t="shared" ca="1" si="1"/>
        <v>10.058999999999999</v>
      </c>
    </row>
    <row r="99" spans="1:5" x14ac:dyDescent="0.25">
      <c r="A99" s="38">
        <f t="shared" ca="1" si="1"/>
        <v>10.266</v>
      </c>
    </row>
    <row r="101" spans="1:5" x14ac:dyDescent="0.25">
      <c r="A101" s="39" t="s">
        <v>108</v>
      </c>
      <c r="B101" s="39"/>
      <c r="C101" s="39"/>
      <c r="D101" s="39"/>
      <c r="E101" s="39"/>
    </row>
    <row r="102" spans="1:5" x14ac:dyDescent="0.25">
      <c r="A102" s="4" t="s">
        <v>104</v>
      </c>
      <c r="B102" s="4" t="s">
        <v>105</v>
      </c>
      <c r="C102" s="4" t="s">
        <v>109</v>
      </c>
      <c r="D102" s="4" t="str">
        <f ca="1">"P("&amp;ROUND(B8,3)&amp;")"</f>
        <v>P(9.917)</v>
      </c>
      <c r="E102" s="4" t="s">
        <v>110</v>
      </c>
    </row>
    <row r="103" spans="1:5" x14ac:dyDescent="0.25">
      <c r="A103" s="40">
        <f t="shared" ref="A103:A166" ca="1" si="2">(B103-B$4)/B$11</f>
        <v>-35.327043465311391</v>
      </c>
      <c r="B103" s="41">
        <v>8</v>
      </c>
      <c r="C103" s="40">
        <f t="shared" ref="C103:C166" si="3">NORMDIST(B103,B$4,B$5,0)</f>
        <v>2.6766045152977074E-4</v>
      </c>
      <c r="D103" s="40">
        <f t="shared" ref="D103:D166" ca="1" si="4">IF(C103&lt;=B$14/2,C103,0)</f>
        <v>2.6766045152977074E-4</v>
      </c>
      <c r="E103" s="40">
        <f t="shared" ref="E103:E166" si="5">IF(C103&lt;=B$6/2,C103,0)</f>
        <v>2.6766045152977074E-4</v>
      </c>
    </row>
    <row r="104" spans="1:5" x14ac:dyDescent="0.25">
      <c r="A104" s="40">
        <f t="shared" ca="1" si="2"/>
        <v>-35.150408247984835</v>
      </c>
      <c r="B104" s="41">
        <f>B103+0.01</f>
        <v>8.01</v>
      </c>
      <c r="C104" s="40">
        <f t="shared" si="3"/>
        <v>2.8989512084778157E-4</v>
      </c>
      <c r="D104" s="40">
        <f t="shared" ca="1" si="4"/>
        <v>2.8989512084778157E-4</v>
      </c>
      <c r="E104" s="40">
        <f t="shared" si="5"/>
        <v>2.8989512084778157E-4</v>
      </c>
    </row>
    <row r="105" spans="1:5" x14ac:dyDescent="0.25">
      <c r="A105" s="40">
        <f t="shared" ca="1" si="2"/>
        <v>-34.973773030658286</v>
      </c>
      <c r="B105" s="41">
        <f t="shared" ref="B105:B168" si="6">B104+0.01</f>
        <v>8.02</v>
      </c>
      <c r="C105" s="40">
        <f t="shared" si="3"/>
        <v>3.1385126813106339E-4</v>
      </c>
      <c r="D105" s="40">
        <f t="shared" ca="1" si="4"/>
        <v>3.1385126813106339E-4</v>
      </c>
      <c r="E105" s="40">
        <f t="shared" si="5"/>
        <v>3.1385126813106339E-4</v>
      </c>
    </row>
    <row r="106" spans="1:5" x14ac:dyDescent="0.25">
      <c r="A106" s="40">
        <f t="shared" ca="1" si="2"/>
        <v>-34.79713781333173</v>
      </c>
      <c r="B106" s="41">
        <f t="shared" si="6"/>
        <v>8.0299999999999994</v>
      </c>
      <c r="C106" s="40">
        <f t="shared" si="3"/>
        <v>3.3965119885868533E-4</v>
      </c>
      <c r="D106" s="40">
        <f t="shared" ca="1" si="4"/>
        <v>3.3965119885868533E-4</v>
      </c>
      <c r="E106" s="40">
        <f t="shared" si="5"/>
        <v>3.3965119885868533E-4</v>
      </c>
    </row>
    <row r="107" spans="1:5" x14ac:dyDescent="0.25">
      <c r="A107" s="40">
        <f t="shared" ca="1" si="2"/>
        <v>-34.620502596005181</v>
      </c>
      <c r="B107" s="41">
        <f t="shared" si="6"/>
        <v>8.0399999999999991</v>
      </c>
      <c r="C107" s="40">
        <f t="shared" si="3"/>
        <v>3.6742499600491161E-4</v>
      </c>
      <c r="D107" s="40">
        <f t="shared" ca="1" si="4"/>
        <v>3.6742499600491161E-4</v>
      </c>
      <c r="E107" s="40">
        <f t="shared" si="5"/>
        <v>3.6742499600491161E-4</v>
      </c>
    </row>
    <row r="108" spans="1:5" x14ac:dyDescent="0.25">
      <c r="A108" s="40">
        <f t="shared" ca="1" si="2"/>
        <v>-34.443867378678625</v>
      </c>
      <c r="B108" s="41">
        <f t="shared" si="6"/>
        <v>8.0499999999999989</v>
      </c>
      <c r="C108" s="40">
        <f t="shared" si="3"/>
        <v>3.9731094278554186E-4</v>
      </c>
      <c r="D108" s="40">
        <f t="shared" ca="1" si="4"/>
        <v>3.9731094278554186E-4</v>
      </c>
      <c r="E108" s="40">
        <f t="shared" si="5"/>
        <v>3.9731094278554186E-4</v>
      </c>
    </row>
    <row r="109" spans="1:5" x14ac:dyDescent="0.25">
      <c r="A109" s="40">
        <f t="shared" ca="1" si="2"/>
        <v>-34.267232161352069</v>
      </c>
      <c r="B109" s="41">
        <f t="shared" si="6"/>
        <v>8.0599999999999987</v>
      </c>
      <c r="C109" s="40">
        <f t="shared" si="3"/>
        <v>4.2945596300072948E-4</v>
      </c>
      <c r="D109" s="40">
        <f t="shared" ca="1" si="4"/>
        <v>4.2945596300072948E-4</v>
      </c>
      <c r="E109" s="40">
        <f t="shared" si="5"/>
        <v>4.2945596300072948E-4</v>
      </c>
    </row>
    <row r="110" spans="1:5" x14ac:dyDescent="0.25">
      <c r="A110" s="40">
        <f t="shared" ca="1" si="2"/>
        <v>-34.090596944025521</v>
      </c>
      <c r="B110" s="41">
        <f t="shared" si="6"/>
        <v>8.0699999999999985</v>
      </c>
      <c r="C110" s="40">
        <f t="shared" si="3"/>
        <v>4.640160793138794E-4</v>
      </c>
      <c r="D110" s="40">
        <f t="shared" ca="1" si="4"/>
        <v>4.640160793138794E-4</v>
      </c>
      <c r="E110" s="40">
        <f t="shared" si="5"/>
        <v>4.640160793138794E-4</v>
      </c>
    </row>
    <row r="111" spans="1:5" x14ac:dyDescent="0.25">
      <c r="A111" s="40">
        <f t="shared" ca="1" si="2"/>
        <v>-33.913961726698965</v>
      </c>
      <c r="B111" s="41">
        <f t="shared" si="6"/>
        <v>8.0799999999999983</v>
      </c>
      <c r="C111" s="40">
        <f t="shared" si="3"/>
        <v>5.0115688978171489E-4</v>
      </c>
      <c r="D111" s="40">
        <f t="shared" ca="1" si="4"/>
        <v>5.0115688978171489E-4</v>
      </c>
      <c r="E111" s="40">
        <f t="shared" si="5"/>
        <v>5.0115688978171489E-4</v>
      </c>
    </row>
    <row r="112" spans="1:5" x14ac:dyDescent="0.25">
      <c r="A112" s="40">
        <f t="shared" ca="1" si="2"/>
        <v>-33.737326509372416</v>
      </c>
      <c r="B112" s="41">
        <f t="shared" si="6"/>
        <v>8.0899999999999981</v>
      </c>
      <c r="C112" s="40">
        <f t="shared" si="3"/>
        <v>5.4105406292303377E-4</v>
      </c>
      <c r="D112" s="40">
        <f t="shared" ca="1" si="4"/>
        <v>5.4105406292303377E-4</v>
      </c>
      <c r="E112" s="40">
        <f t="shared" si="5"/>
        <v>5.4105406292303377E-4</v>
      </c>
    </row>
    <row r="113" spans="1:5" x14ac:dyDescent="0.25">
      <c r="A113" s="40">
        <f t="shared" ca="1" si="2"/>
        <v>-33.56069129204586</v>
      </c>
      <c r="B113" s="41">
        <f t="shared" si="6"/>
        <v>8.0999999999999979</v>
      </c>
      <c r="C113" s="40">
        <f t="shared" si="3"/>
        <v>5.8389385158291068E-4</v>
      </c>
      <c r="D113" s="40">
        <f t="shared" ca="1" si="4"/>
        <v>5.8389385158291068E-4</v>
      </c>
      <c r="E113" s="40">
        <f t="shared" si="5"/>
        <v>5.8389385158291068E-4</v>
      </c>
    </row>
    <row r="114" spans="1:5" x14ac:dyDescent="0.25">
      <c r="A114" s="40">
        <f t="shared" ca="1" si="2"/>
        <v>-33.384056074719304</v>
      </c>
      <c r="B114" s="41">
        <f t="shared" si="6"/>
        <v>8.1099999999999977</v>
      </c>
      <c r="C114" s="40">
        <f t="shared" si="3"/>
        <v>6.2987362581503248E-4</v>
      </c>
      <c r="D114" s="40">
        <f t="shared" ca="1" si="4"/>
        <v>6.2987362581503248E-4</v>
      </c>
      <c r="E114" s="40">
        <f t="shared" si="5"/>
        <v>6.2987362581503248E-4</v>
      </c>
    </row>
    <row r="115" spans="1:5" x14ac:dyDescent="0.25">
      <c r="A115" s="40">
        <f t="shared" ca="1" si="2"/>
        <v>-33.207420857392755</v>
      </c>
      <c r="B115" s="41">
        <f t="shared" si="6"/>
        <v>8.1199999999999974</v>
      </c>
      <c r="C115" s="40">
        <f t="shared" si="3"/>
        <v>6.7920242496729633E-4</v>
      </c>
      <c r="D115" s="40">
        <f t="shared" ca="1" si="4"/>
        <v>6.7920242496729633E-4</v>
      </c>
      <c r="E115" s="40">
        <f t="shared" si="5"/>
        <v>6.7920242496729633E-4</v>
      </c>
    </row>
    <row r="116" spans="1:5" x14ac:dyDescent="0.25">
      <c r="A116" s="40">
        <f t="shared" ca="1" si="2"/>
        <v>-33.030785640066199</v>
      </c>
      <c r="B116" s="41">
        <f t="shared" si="6"/>
        <v>8.1299999999999972</v>
      </c>
      <c r="C116" s="40">
        <f t="shared" si="3"/>
        <v>7.3210152911465571E-4</v>
      </c>
      <c r="D116" s="40">
        <f t="shared" ca="1" si="4"/>
        <v>7.3210152911465571E-4</v>
      </c>
      <c r="E116" s="40">
        <f t="shared" si="5"/>
        <v>7.3210152911465571E-4</v>
      </c>
    </row>
    <row r="117" spans="1:5" x14ac:dyDescent="0.25">
      <c r="A117" s="40">
        <f t="shared" ca="1" si="2"/>
        <v>-32.854150422739643</v>
      </c>
      <c r="B117" s="41">
        <f t="shared" si="6"/>
        <v>8.139999999999997</v>
      </c>
      <c r="C117" s="40">
        <f t="shared" si="3"/>
        <v>7.8880504993829564E-4</v>
      </c>
      <c r="D117" s="40">
        <f t="shared" ca="1" si="4"/>
        <v>7.8880504993829564E-4</v>
      </c>
      <c r="E117" s="40">
        <f t="shared" si="5"/>
        <v>7.8880504993829564E-4</v>
      </c>
    </row>
    <row r="118" spans="1:5" x14ac:dyDescent="0.25">
      <c r="A118" s="40">
        <f t="shared" ca="1" si="2"/>
        <v>-32.677515205413094</v>
      </c>
      <c r="B118" s="41">
        <f t="shared" si="6"/>
        <v>8.1499999999999968</v>
      </c>
      <c r="C118" s="40">
        <f t="shared" si="3"/>
        <v>8.4956054110148335E-4</v>
      </c>
      <c r="D118" s="40">
        <f t="shared" ca="1" si="4"/>
        <v>8.4956054110148335E-4</v>
      </c>
      <c r="E118" s="40">
        <f t="shared" si="5"/>
        <v>8.4956054110148335E-4</v>
      </c>
    </row>
    <row r="119" spans="1:5" x14ac:dyDescent="0.25">
      <c r="A119" s="40">
        <f t="shared" ca="1" si="2"/>
        <v>-32.500879988086538</v>
      </c>
      <c r="B119" s="41">
        <f t="shared" si="6"/>
        <v>8.1599999999999966</v>
      </c>
      <c r="C119" s="40">
        <f t="shared" si="3"/>
        <v>9.1462962811969084E-4</v>
      </c>
      <c r="D119" s="40">
        <f t="shared" ca="1" si="4"/>
        <v>9.1462962811969084E-4</v>
      </c>
      <c r="E119" s="40">
        <f t="shared" si="5"/>
        <v>9.1462962811969084E-4</v>
      </c>
    </row>
    <row r="120" spans="1:5" x14ac:dyDescent="0.25">
      <c r="A120" s="40">
        <f t="shared" ca="1" si="2"/>
        <v>-32.324244770759989</v>
      </c>
      <c r="B120" s="41">
        <f t="shared" si="6"/>
        <v>8.1699999999999964</v>
      </c>
      <c r="C120" s="40">
        <f t="shared" si="3"/>
        <v>9.8428865766576087E-4</v>
      </c>
      <c r="D120" s="40">
        <f t="shared" ca="1" si="4"/>
        <v>9.8428865766576087E-4</v>
      </c>
      <c r="E120" s="40">
        <f t="shared" si="5"/>
        <v>9.8428865766576087E-4</v>
      </c>
    </row>
    <row r="121" spans="1:5" x14ac:dyDescent="0.25">
      <c r="A121" s="40">
        <f t="shared" ca="1" si="2"/>
        <v>-32.147609553433433</v>
      </c>
      <c r="B121" s="41">
        <f t="shared" si="6"/>
        <v>8.1799999999999962</v>
      </c>
      <c r="C121" s="40">
        <f t="shared" si="3"/>
        <v>1.0588293661898404E-3</v>
      </c>
      <c r="D121" s="40">
        <f t="shared" ca="1" si="4"/>
        <v>1.0588293661898404E-3</v>
      </c>
      <c r="E121" s="40">
        <f t="shared" si="5"/>
        <v>1.0588293661898404E-3</v>
      </c>
    </row>
    <row r="122" spans="1:5" x14ac:dyDescent="0.25">
      <c r="A122" s="40">
        <f t="shared" ca="1" si="2"/>
        <v>-31.970974336106881</v>
      </c>
      <c r="B122" s="41">
        <f t="shared" si="6"/>
        <v>8.1899999999999959</v>
      </c>
      <c r="C122" s="40">
        <f t="shared" si="3"/>
        <v>1.1385595676684718E-3</v>
      </c>
      <c r="D122" s="40">
        <f t="shared" ca="1" si="4"/>
        <v>1.1385595676684718E-3</v>
      </c>
      <c r="E122" s="40">
        <f t="shared" si="5"/>
        <v>1.1385595676684718E-3</v>
      </c>
    </row>
    <row r="123" spans="1:5" x14ac:dyDescent="0.25">
      <c r="A123" s="40">
        <f t="shared" ca="1" si="2"/>
        <v>-31.794339118780329</v>
      </c>
      <c r="B123" s="41">
        <f t="shared" si="6"/>
        <v>8.1999999999999957</v>
      </c>
      <c r="C123" s="40">
        <f t="shared" si="3"/>
        <v>1.2238038602275069E-3</v>
      </c>
      <c r="D123" s="40">
        <f t="shared" ca="1" si="4"/>
        <v>1.2238038602275069E-3</v>
      </c>
      <c r="E123" s="40">
        <f t="shared" si="5"/>
        <v>1.2238038602275069E-3</v>
      </c>
    </row>
    <row r="124" spans="1:5" x14ac:dyDescent="0.25">
      <c r="A124" s="40">
        <f t="shared" ca="1" si="2"/>
        <v>-31.617703901453773</v>
      </c>
      <c r="B124" s="41">
        <f t="shared" si="6"/>
        <v>8.2099999999999955</v>
      </c>
      <c r="C124" s="40">
        <f t="shared" si="3"/>
        <v>1.3149043513093108E-3</v>
      </c>
      <c r="D124" s="40">
        <f t="shared" ca="1" si="4"/>
        <v>1.3149043513093108E-3</v>
      </c>
      <c r="E124" s="40">
        <f t="shared" si="5"/>
        <v>1.3149043513093108E-3</v>
      </c>
    </row>
    <row r="125" spans="1:5" x14ac:dyDescent="0.25">
      <c r="A125" s="40">
        <f t="shared" ca="1" si="2"/>
        <v>-31.44106868412722</v>
      </c>
      <c r="B125" s="41">
        <f t="shared" si="6"/>
        <v>8.2199999999999953</v>
      </c>
      <c r="C125" s="40">
        <f t="shared" si="3"/>
        <v>1.412221400976026E-3</v>
      </c>
      <c r="D125" s="40">
        <f t="shared" ca="1" si="4"/>
        <v>1.412221400976026E-3</v>
      </c>
      <c r="E125" s="40">
        <f t="shared" si="5"/>
        <v>1.412221400976026E-3</v>
      </c>
    </row>
    <row r="126" spans="1:5" x14ac:dyDescent="0.25">
      <c r="A126" s="40">
        <f t="shared" ca="1" si="2"/>
        <v>-31.264433466800668</v>
      </c>
      <c r="B126" s="41">
        <f t="shared" si="6"/>
        <v>8.2299999999999951</v>
      </c>
      <c r="C126" s="40">
        <f t="shared" si="3"/>
        <v>1.5161343828573679E-3</v>
      </c>
      <c r="D126" s="40">
        <f t="shared" ca="1" si="4"/>
        <v>1.5161343828573679E-3</v>
      </c>
      <c r="E126" s="40">
        <f t="shared" si="5"/>
        <v>1.5161343828573679E-3</v>
      </c>
    </row>
    <row r="127" spans="1:5" x14ac:dyDescent="0.25">
      <c r="A127" s="40">
        <f t="shared" ca="1" si="2"/>
        <v>-31.087798249474115</v>
      </c>
      <c r="B127" s="41">
        <f t="shared" si="6"/>
        <v>8.2399999999999949</v>
      </c>
      <c r="C127" s="40">
        <f t="shared" si="3"/>
        <v>1.6270424621635578E-3</v>
      </c>
      <c r="D127" s="40">
        <f t="shared" ca="1" si="4"/>
        <v>1.6270424621635578E-3</v>
      </c>
      <c r="E127" s="40">
        <f t="shared" si="5"/>
        <v>1.6270424621635578E-3</v>
      </c>
    </row>
    <row r="128" spans="1:5" x14ac:dyDescent="0.25">
      <c r="A128" s="40">
        <f t="shared" ca="1" si="2"/>
        <v>-30.911163032147563</v>
      </c>
      <c r="B128" s="41">
        <f t="shared" si="6"/>
        <v>8.2499999999999947</v>
      </c>
      <c r="C128" s="40">
        <f t="shared" si="3"/>
        <v>1.7453653900914553E-3</v>
      </c>
      <c r="D128" s="40">
        <f t="shared" ca="1" si="4"/>
        <v>1.7453653900914553E-3</v>
      </c>
      <c r="E128" s="40">
        <f t="shared" si="5"/>
        <v>1.7453653900914553E-3</v>
      </c>
    </row>
    <row r="129" spans="1:5" x14ac:dyDescent="0.25">
      <c r="A129" s="40">
        <f t="shared" ca="1" si="2"/>
        <v>-30.734527814821007</v>
      </c>
      <c r="B129" s="41">
        <f t="shared" si="6"/>
        <v>8.2599999999999945</v>
      </c>
      <c r="C129" s="40">
        <f t="shared" si="3"/>
        <v>1.8715443138548878E-3</v>
      </c>
      <c r="D129" s="40">
        <f t="shared" ca="1" si="4"/>
        <v>1.8715443138548878E-3</v>
      </c>
      <c r="E129" s="40">
        <f t="shared" si="5"/>
        <v>1.8715443138548878E-3</v>
      </c>
    </row>
    <row r="130" spans="1:5" x14ac:dyDescent="0.25">
      <c r="A130" s="40">
        <f t="shared" ca="1" si="2"/>
        <v>-30.557892597494455</v>
      </c>
      <c r="B130" s="41">
        <f t="shared" si="6"/>
        <v>8.2699999999999942</v>
      </c>
      <c r="C130" s="40">
        <f t="shared" si="3"/>
        <v>2.006042601468395E-3</v>
      </c>
      <c r="D130" s="40">
        <f t="shared" ca="1" si="4"/>
        <v>2.006042601468395E-3</v>
      </c>
      <c r="E130" s="40">
        <f t="shared" si="5"/>
        <v>2.006042601468395E-3</v>
      </c>
    </row>
    <row r="131" spans="1:5" x14ac:dyDescent="0.25">
      <c r="A131" s="40">
        <f t="shared" ca="1" si="2"/>
        <v>-30.381257380167902</v>
      </c>
      <c r="B131" s="41">
        <f t="shared" si="6"/>
        <v>8.279999999999994</v>
      </c>
      <c r="C131" s="40">
        <f t="shared" si="3"/>
        <v>2.1493466803073815E-3</v>
      </c>
      <c r="D131" s="40">
        <f t="shared" ca="1" si="4"/>
        <v>2.1493466803073815E-3</v>
      </c>
      <c r="E131" s="40">
        <f t="shared" si="5"/>
        <v>2.1493466803073815E-3</v>
      </c>
    </row>
    <row r="132" spans="1:5" x14ac:dyDescent="0.25">
      <c r="A132" s="40">
        <f t="shared" ca="1" si="2"/>
        <v>-30.20462216284135</v>
      </c>
      <c r="B132" s="41">
        <f t="shared" si="6"/>
        <v>8.2899999999999938</v>
      </c>
      <c r="C132" s="40">
        <f t="shared" si="3"/>
        <v>2.3019668883568706E-3</v>
      </c>
      <c r="D132" s="40">
        <f t="shared" ca="1" si="4"/>
        <v>2.3019668883568706E-3</v>
      </c>
      <c r="E132" s="40">
        <f t="shared" si="5"/>
        <v>2.3019668883568706E-3</v>
      </c>
    </row>
    <row r="133" spans="1:5" x14ac:dyDescent="0.25">
      <c r="A133" s="40">
        <f t="shared" ca="1" si="2"/>
        <v>-30.027986945514794</v>
      </c>
      <c r="B133" s="41">
        <f t="shared" si="6"/>
        <v>8.2999999999999936</v>
      </c>
      <c r="C133" s="40">
        <f t="shared" si="3"/>
        <v>2.4644383369459301E-3</v>
      </c>
      <c r="D133" s="40">
        <f t="shared" ca="1" si="4"/>
        <v>2.4644383369459301E-3</v>
      </c>
      <c r="E133" s="40">
        <f t="shared" si="5"/>
        <v>2.4644383369459301E-3</v>
      </c>
    </row>
    <row r="134" spans="1:5" x14ac:dyDescent="0.25">
      <c r="A134" s="40">
        <f t="shared" ca="1" si="2"/>
        <v>-29.851351728188241</v>
      </c>
      <c r="B134" s="41">
        <f t="shared" si="6"/>
        <v>8.3099999999999934</v>
      </c>
      <c r="C134" s="40">
        <f t="shared" si="3"/>
        <v>2.6373217836453645E-3</v>
      </c>
      <c r="D134" s="40">
        <f t="shared" ca="1" si="4"/>
        <v>2.6373217836453645E-3</v>
      </c>
      <c r="E134" s="40">
        <f t="shared" si="5"/>
        <v>2.6373217836453645E-3</v>
      </c>
    </row>
    <row r="135" spans="1:5" x14ac:dyDescent="0.25">
      <c r="A135" s="40">
        <f t="shared" ca="1" si="2"/>
        <v>-29.674716510861689</v>
      </c>
      <c r="B135" s="41">
        <f t="shared" si="6"/>
        <v>8.3199999999999932</v>
      </c>
      <c r="C135" s="40">
        <f t="shared" si="3"/>
        <v>2.8212045138826369E-3</v>
      </c>
      <c r="D135" s="40">
        <f t="shared" ca="1" si="4"/>
        <v>2.8212045138826369E-3</v>
      </c>
      <c r="E135" s="40">
        <f t="shared" si="5"/>
        <v>2.8212045138826369E-3</v>
      </c>
    </row>
    <row r="136" spans="1:5" x14ac:dyDescent="0.25">
      <c r="A136" s="40">
        <f t="shared" ca="1" si="2"/>
        <v>-29.498081293535137</v>
      </c>
      <c r="B136" s="41">
        <f t="shared" si="6"/>
        <v>8.329999999999993</v>
      </c>
      <c r="C136" s="40">
        <f t="shared" si="3"/>
        <v>3.0167012297004727E-3</v>
      </c>
      <c r="D136" s="40">
        <f t="shared" ca="1" si="4"/>
        <v>3.0167012297004727E-3</v>
      </c>
      <c r="E136" s="40">
        <f t="shared" si="5"/>
        <v>3.0167012297004727E-3</v>
      </c>
    </row>
    <row r="137" spans="1:5" x14ac:dyDescent="0.25">
      <c r="A137" s="40">
        <f t="shared" ca="1" si="2"/>
        <v>-29.321446076208584</v>
      </c>
      <c r="B137" s="41">
        <f t="shared" si="6"/>
        <v>8.3399999999999928</v>
      </c>
      <c r="C137" s="40">
        <f t="shared" si="3"/>
        <v>3.2244549439540918E-3</v>
      </c>
      <c r="D137" s="40">
        <f t="shared" ca="1" si="4"/>
        <v>3.2244549439540918E-3</v>
      </c>
      <c r="E137" s="40">
        <f t="shared" si="5"/>
        <v>3.2244549439540918E-3</v>
      </c>
    </row>
    <row r="138" spans="1:5" x14ac:dyDescent="0.25">
      <c r="A138" s="40">
        <f t="shared" ca="1" si="2"/>
        <v>-29.144810858882028</v>
      </c>
      <c r="B138" s="41">
        <f t="shared" si="6"/>
        <v>8.3499999999999925</v>
      </c>
      <c r="C138" s="40">
        <f t="shared" si="3"/>
        <v>3.4451378781071912E-3</v>
      </c>
      <c r="D138" s="40">
        <f t="shared" ca="1" si="4"/>
        <v>3.4451378781071912E-3</v>
      </c>
      <c r="E138" s="40">
        <f t="shared" si="5"/>
        <v>3.4451378781071912E-3</v>
      </c>
    </row>
    <row r="139" spans="1:5" x14ac:dyDescent="0.25">
      <c r="A139" s="40">
        <f t="shared" ca="1" si="2"/>
        <v>-28.968175641555476</v>
      </c>
      <c r="B139" s="41">
        <f t="shared" si="6"/>
        <v>8.3599999999999923</v>
      </c>
      <c r="C139" s="40">
        <f t="shared" si="3"/>
        <v>3.6794523616483724E-3</v>
      </c>
      <c r="D139" s="40">
        <f t="shared" ca="1" si="4"/>
        <v>3.6794523616483724E-3</v>
      </c>
      <c r="E139" s="40">
        <f t="shared" si="5"/>
        <v>3.6794523616483724E-3</v>
      </c>
    </row>
    <row r="140" spans="1:5" x14ac:dyDescent="0.25">
      <c r="A140" s="40">
        <f t="shared" ca="1" si="2"/>
        <v>-28.791540424228923</v>
      </c>
      <c r="B140" s="41">
        <f t="shared" si="6"/>
        <v>8.3699999999999921</v>
      </c>
      <c r="C140" s="40">
        <f t="shared" si="3"/>
        <v>3.9281317310085493E-3</v>
      </c>
      <c r="D140" s="40">
        <f t="shared" ca="1" si="4"/>
        <v>3.9281317310085493E-3</v>
      </c>
      <c r="E140" s="40">
        <f t="shared" si="5"/>
        <v>3.9281317310085493E-3</v>
      </c>
    </row>
    <row r="141" spans="1:5" x14ac:dyDescent="0.25">
      <c r="A141" s="40">
        <f t="shared" ca="1" si="2"/>
        <v>-28.614905206902371</v>
      </c>
      <c r="B141" s="41">
        <f t="shared" si="6"/>
        <v>8.3799999999999919</v>
      </c>
      <c r="C141" s="40">
        <f t="shared" si="3"/>
        <v>4.1919412257156678E-3</v>
      </c>
      <c r="D141" s="40">
        <f t="shared" ca="1" si="4"/>
        <v>4.1919412257156678E-3</v>
      </c>
      <c r="E141" s="40">
        <f t="shared" si="5"/>
        <v>4.1919412257156678E-3</v>
      </c>
    </row>
    <row r="142" spans="1:5" x14ac:dyDescent="0.25">
      <c r="A142" s="40">
        <f t="shared" ca="1" si="2"/>
        <v>-28.438269989575815</v>
      </c>
      <c r="B142" s="41">
        <f t="shared" si="6"/>
        <v>8.3899999999999917</v>
      </c>
      <c r="C142" s="40">
        <f t="shared" si="3"/>
        <v>4.4716788793768385E-3</v>
      </c>
      <c r="D142" s="40">
        <f t="shared" ca="1" si="4"/>
        <v>4.4716788793768385E-3</v>
      </c>
      <c r="E142" s="40">
        <f t="shared" si="5"/>
        <v>4.4716788793768385E-3</v>
      </c>
    </row>
    <row r="143" spans="1:5" x14ac:dyDescent="0.25">
      <c r="A143" s="40">
        <f t="shared" ca="1" si="2"/>
        <v>-28.261634772249263</v>
      </c>
      <c r="B143" s="41">
        <f t="shared" si="6"/>
        <v>8.3999999999999915</v>
      </c>
      <c r="C143" s="40">
        <f t="shared" si="3"/>
        <v>4.7681764029294266E-3</v>
      </c>
      <c r="D143" s="40">
        <f t="shared" ca="1" si="4"/>
        <v>4.7681764029294266E-3</v>
      </c>
      <c r="E143" s="40">
        <f t="shared" si="5"/>
        <v>4.7681764029294266E-3</v>
      </c>
    </row>
    <row r="144" spans="1:5" x14ac:dyDescent="0.25">
      <c r="A144" s="40">
        <f t="shared" ca="1" si="2"/>
        <v>-28.08499955492271</v>
      </c>
      <c r="B144" s="41">
        <f t="shared" si="6"/>
        <v>8.4099999999999913</v>
      </c>
      <c r="C144" s="40">
        <f t="shared" si="3"/>
        <v>5.0823000574527627E-3</v>
      </c>
      <c r="D144" s="40">
        <f t="shared" ca="1" si="4"/>
        <v>5.0823000574527627E-3</v>
      </c>
      <c r="E144" s="40">
        <f t="shared" si="5"/>
        <v>5.0823000574527627E-3</v>
      </c>
    </row>
    <row r="145" spans="1:5" x14ac:dyDescent="0.25">
      <c r="A145" s="40">
        <f t="shared" ca="1" si="2"/>
        <v>-27.908364337596158</v>
      </c>
      <c r="B145" s="41">
        <f t="shared" si="6"/>
        <v>8.419999999999991</v>
      </c>
      <c r="C145" s="40">
        <f t="shared" si="3"/>
        <v>5.4149515136810971E-3</v>
      </c>
      <c r="D145" s="40">
        <f t="shared" ca="1" si="4"/>
        <v>5.4149515136810971E-3</v>
      </c>
      <c r="E145" s="40">
        <f t="shared" si="5"/>
        <v>5.4149515136810971E-3</v>
      </c>
    </row>
    <row r="146" spans="1:5" x14ac:dyDescent="0.25">
      <c r="A146" s="40">
        <f t="shared" ca="1" si="2"/>
        <v>-27.731729120269605</v>
      </c>
      <c r="B146" s="41">
        <f t="shared" si="6"/>
        <v>8.4299999999999908</v>
      </c>
      <c r="C146" s="40">
        <f t="shared" si="3"/>
        <v>5.7670686952065453E-3</v>
      </c>
      <c r="D146" s="40">
        <f t="shared" ca="1" si="4"/>
        <v>5.7670686952065453E-3</v>
      </c>
      <c r="E146" s="40">
        <f t="shared" si="5"/>
        <v>5.7670686952065453E-3</v>
      </c>
    </row>
    <row r="147" spans="1:5" x14ac:dyDescent="0.25">
      <c r="A147" s="40">
        <f t="shared" ca="1" si="2"/>
        <v>-27.555093902943049</v>
      </c>
      <c r="B147" s="41">
        <f t="shared" si="6"/>
        <v>8.4399999999999906</v>
      </c>
      <c r="C147" s="40">
        <f t="shared" si="3"/>
        <v>6.1396266022091268E-3</v>
      </c>
      <c r="D147" s="40">
        <f t="shared" ca="1" si="4"/>
        <v>6.1396266022091268E-3</v>
      </c>
      <c r="E147" s="40">
        <f t="shared" si="5"/>
        <v>6.1396266022091268E-3</v>
      </c>
    </row>
    <row r="148" spans="1:5" x14ac:dyDescent="0.25">
      <c r="A148" s="40">
        <f t="shared" ca="1" si="2"/>
        <v>-27.378458685616497</v>
      </c>
      <c r="B148" s="41">
        <f t="shared" si="6"/>
        <v>8.4499999999999904</v>
      </c>
      <c r="C148" s="40">
        <f t="shared" si="3"/>
        <v>6.5336381123994548E-3</v>
      </c>
      <c r="D148" s="40">
        <f t="shared" ca="1" si="4"/>
        <v>6.5336381123994548E-3</v>
      </c>
      <c r="E148" s="40">
        <f t="shared" si="5"/>
        <v>6.5336381123994548E-3</v>
      </c>
    </row>
    <row r="149" spans="1:5" x14ac:dyDescent="0.25">
      <c r="A149" s="40">
        <f t="shared" ca="1" si="2"/>
        <v>-27.201823468289945</v>
      </c>
      <c r="B149" s="41">
        <f t="shared" si="6"/>
        <v>8.4599999999999902</v>
      </c>
      <c r="C149" s="40">
        <f t="shared" si="3"/>
        <v>6.950154755709456E-3</v>
      </c>
      <c r="D149" s="40">
        <f t="shared" ca="1" si="4"/>
        <v>6.950154755709456E-3</v>
      </c>
      <c r="E149" s="40">
        <f t="shared" si="5"/>
        <v>6.950154755709456E-3</v>
      </c>
    </row>
    <row r="150" spans="1:5" x14ac:dyDescent="0.25">
      <c r="A150" s="40">
        <f t="shared" ca="1" si="2"/>
        <v>-27.025188250963392</v>
      </c>
      <c r="B150" s="41">
        <f t="shared" si="6"/>
        <v>8.46999999999999</v>
      </c>
      <c r="C150" s="40">
        <f t="shared" si="3"/>
        <v>7.390267459117617E-3</v>
      </c>
      <c r="D150" s="40">
        <f t="shared" ca="1" si="4"/>
        <v>7.390267459117617E-3</v>
      </c>
      <c r="E150" s="40">
        <f t="shared" si="5"/>
        <v>7.390267459117617E-3</v>
      </c>
    </row>
    <row r="151" spans="1:5" x14ac:dyDescent="0.25">
      <c r="A151" s="40">
        <f t="shared" ca="1" si="2"/>
        <v>-26.848553033636836</v>
      </c>
      <c r="B151" s="41">
        <f t="shared" si="6"/>
        <v>8.4799999999999898</v>
      </c>
      <c r="C151" s="40">
        <f t="shared" si="3"/>
        <v>7.8551072578490703E-3</v>
      </c>
      <c r="D151" s="40">
        <f t="shared" ca="1" si="4"/>
        <v>7.8551072578490703E-3</v>
      </c>
      <c r="E151" s="40">
        <f t="shared" si="5"/>
        <v>7.8551072578490703E-3</v>
      </c>
    </row>
    <row r="152" spans="1:5" x14ac:dyDescent="0.25">
      <c r="A152" s="40">
        <f t="shared" ca="1" si="2"/>
        <v>-26.671917816310284</v>
      </c>
      <c r="B152" s="41">
        <f t="shared" si="6"/>
        <v>8.4899999999999896</v>
      </c>
      <c r="C152" s="40">
        <f t="shared" si="3"/>
        <v>8.3458459690473989E-3</v>
      </c>
      <c r="D152" s="40">
        <f t="shared" ca="1" si="4"/>
        <v>8.3458459690473989E-3</v>
      </c>
      <c r="E152" s="40">
        <f t="shared" si="5"/>
        <v>8.3458459690473989E-3</v>
      </c>
    </row>
    <row r="153" spans="1:5" x14ac:dyDescent="0.25">
      <c r="A153" s="40">
        <f t="shared" ca="1" si="2"/>
        <v>-26.495282598983732</v>
      </c>
      <c r="B153" s="41">
        <f t="shared" si="6"/>
        <v>8.4999999999999893</v>
      </c>
      <c r="C153" s="40">
        <f t="shared" si="3"/>
        <v>8.8636968238754478E-3</v>
      </c>
      <c r="D153" s="40">
        <f t="shared" ca="1" si="4"/>
        <v>8.8636968238754478E-3</v>
      </c>
      <c r="E153" s="40">
        <f t="shared" si="5"/>
        <v>8.8636968238754478E-3</v>
      </c>
    </row>
    <row r="154" spans="1:5" x14ac:dyDescent="0.25">
      <c r="A154" s="40">
        <f t="shared" ca="1" si="2"/>
        <v>-26.318647381657179</v>
      </c>
      <c r="B154" s="41">
        <f t="shared" si="6"/>
        <v>8.5099999999999891</v>
      </c>
      <c r="C154" s="40">
        <f t="shared" si="3"/>
        <v>9.4099150538673494E-3</v>
      </c>
      <c r="D154" s="40">
        <f t="shared" ca="1" si="4"/>
        <v>9.4099150538673494E-3</v>
      </c>
      <c r="E154" s="40">
        <f t="shared" si="5"/>
        <v>9.4099150538673494E-3</v>
      </c>
    </row>
    <row r="155" spans="1:5" x14ac:dyDescent="0.25">
      <c r="A155" s="40">
        <f t="shared" ca="1" si="2"/>
        <v>-26.142012164330627</v>
      </c>
      <c r="B155" s="41">
        <f t="shared" si="6"/>
        <v>8.5199999999999889</v>
      </c>
      <c r="C155" s="40">
        <f t="shared" si="3"/>
        <v>9.9857984272240952E-3</v>
      </c>
      <c r="D155" s="40">
        <f t="shared" ca="1" si="4"/>
        <v>9.9857984272240952E-3</v>
      </c>
      <c r="E155" s="40">
        <f t="shared" si="5"/>
        <v>9.9857984272240952E-3</v>
      </c>
    </row>
    <row r="156" spans="1:5" x14ac:dyDescent="0.25">
      <c r="A156" s="40">
        <f t="shared" ca="1" si="2"/>
        <v>-25.965376947004071</v>
      </c>
      <c r="B156" s="41">
        <f t="shared" si="6"/>
        <v>8.5299999999999887</v>
      </c>
      <c r="C156" s="40">
        <f t="shared" si="3"/>
        <v>1.0592687730621334E-2</v>
      </c>
      <c r="D156" s="40">
        <f t="shared" ca="1" si="4"/>
        <v>1.0592687730621334E-2</v>
      </c>
      <c r="E156" s="40">
        <f t="shared" si="5"/>
        <v>1.0592687730621334E-2</v>
      </c>
    </row>
    <row r="157" spans="1:5" x14ac:dyDescent="0.25">
      <c r="A157" s="40">
        <f t="shared" ca="1" si="2"/>
        <v>-25.788741729677518</v>
      </c>
      <c r="B157" s="41">
        <f t="shared" si="6"/>
        <v>8.5399999999999885</v>
      </c>
      <c r="C157" s="40">
        <f t="shared" si="3"/>
        <v>1.1231967191981178E-2</v>
      </c>
      <c r="D157" s="40">
        <f t="shared" ca="1" si="4"/>
        <v>1.1231967191981178E-2</v>
      </c>
      <c r="E157" s="40">
        <f t="shared" si="5"/>
        <v>1.1231967191981178E-2</v>
      </c>
    </row>
    <row r="158" spans="1:5" x14ac:dyDescent="0.25">
      <c r="A158" s="40">
        <f t="shared" ca="1" si="2"/>
        <v>-25.612106512350966</v>
      </c>
      <c r="B158" s="41">
        <f t="shared" si="6"/>
        <v>8.5499999999999883</v>
      </c>
      <c r="C158" s="40">
        <f t="shared" si="3"/>
        <v>1.1905064839550903E-2</v>
      </c>
      <c r="D158" s="40">
        <f t="shared" ca="1" si="4"/>
        <v>1.1905064839550903E-2</v>
      </c>
      <c r="E158" s="40">
        <f t="shared" si="5"/>
        <v>1.1905064839550903E-2</v>
      </c>
    </row>
    <row r="159" spans="1:5" x14ac:dyDescent="0.25">
      <c r="A159" s="40">
        <f t="shared" ca="1" si="2"/>
        <v>-25.435471295024414</v>
      </c>
      <c r="B159" s="41">
        <f t="shared" si="6"/>
        <v>8.5599999999999881</v>
      </c>
      <c r="C159" s="40">
        <f t="shared" si="3"/>
        <v>1.2613452792530983E-2</v>
      </c>
      <c r="D159" s="40">
        <f t="shared" ca="1" si="4"/>
        <v>1.2613452792530983E-2</v>
      </c>
      <c r="E159" s="40">
        <f t="shared" si="5"/>
        <v>1.2613452792530983E-2</v>
      </c>
    </row>
    <row r="160" spans="1:5" x14ac:dyDescent="0.25">
      <c r="A160" s="40">
        <f t="shared" ca="1" si="2"/>
        <v>-25.258836077697861</v>
      </c>
      <c r="B160" s="41">
        <f t="shared" si="6"/>
        <v>8.5699999999999878</v>
      </c>
      <c r="C160" s="40">
        <f t="shared" si="3"/>
        <v>1.3358647478404305E-2</v>
      </c>
      <c r="D160" s="40">
        <f t="shared" ca="1" si="4"/>
        <v>1.3358647478404305E-2</v>
      </c>
      <c r="E160" s="40">
        <f t="shared" si="5"/>
        <v>1.3358647478404305E-2</v>
      </c>
    </row>
    <row r="161" spans="1:5" x14ac:dyDescent="0.25">
      <c r="A161" s="40">
        <f t="shared" ca="1" si="2"/>
        <v>-25.082200860371305</v>
      </c>
      <c r="B161" s="41">
        <f t="shared" si="6"/>
        <v>8.5799999999999876</v>
      </c>
      <c r="C161" s="40">
        <f t="shared" si="3"/>
        <v>1.4142209772037907E-2</v>
      </c>
      <c r="D161" s="40">
        <f t="shared" ca="1" si="4"/>
        <v>1.4142209772037907E-2</v>
      </c>
      <c r="E161" s="40">
        <f t="shared" si="5"/>
        <v>1.4142209772037907E-2</v>
      </c>
    </row>
    <row r="162" spans="1:5" x14ac:dyDescent="0.25">
      <c r="A162" s="40">
        <f t="shared" ca="1" si="2"/>
        <v>-24.905565643044753</v>
      </c>
      <c r="B162" s="41">
        <f t="shared" si="6"/>
        <v>8.5899999999999874</v>
      </c>
      <c r="C162" s="40">
        <f t="shared" si="3"/>
        <v>1.4965745051560056E-2</v>
      </c>
      <c r="D162" s="40">
        <f t="shared" ca="1" si="4"/>
        <v>1.4965745051560056E-2</v>
      </c>
      <c r="E162" s="40">
        <f t="shared" si="5"/>
        <v>1.4965745051560056E-2</v>
      </c>
    </row>
    <row r="163" spans="1:5" x14ac:dyDescent="0.25">
      <c r="A163" s="40">
        <f t="shared" ca="1" si="2"/>
        <v>-24.7289304257182</v>
      </c>
      <c r="B163" s="41">
        <f t="shared" si="6"/>
        <v>8.5999999999999872</v>
      </c>
      <c r="C163" s="40">
        <f t="shared" si="3"/>
        <v>1.5830903165958796E-2</v>
      </c>
      <c r="D163" s="40">
        <f t="shared" ca="1" si="4"/>
        <v>1.5830903165958796E-2</v>
      </c>
      <c r="E163" s="40">
        <f t="shared" si="5"/>
        <v>1.5830903165958796E-2</v>
      </c>
    </row>
    <row r="164" spans="1:5" x14ac:dyDescent="0.25">
      <c r="A164" s="40">
        <f t="shared" ca="1" si="2"/>
        <v>-24.552295208391648</v>
      </c>
      <c r="B164" s="41">
        <f t="shared" si="6"/>
        <v>8.609999999999987</v>
      </c>
      <c r="C164" s="40">
        <f t="shared" si="3"/>
        <v>1.6739378309304848E-2</v>
      </c>
      <c r="D164" s="40">
        <f t="shared" ca="1" si="4"/>
        <v>1.6739378309304848E-2</v>
      </c>
      <c r="E164" s="40">
        <f t="shared" si="5"/>
        <v>1.6739378309304848E-2</v>
      </c>
    </row>
    <row r="165" spans="1:5" x14ac:dyDescent="0.25">
      <c r="A165" s="40">
        <f t="shared" ca="1" si="2"/>
        <v>-24.375659991065092</v>
      </c>
      <c r="B165" s="41">
        <f t="shared" si="6"/>
        <v>8.6199999999999868</v>
      </c>
      <c r="C165" s="40">
        <f t="shared" si="3"/>
        <v>1.7692908796473155E-2</v>
      </c>
      <c r="D165" s="40">
        <f t="shared" ca="1" si="4"/>
        <v>1.7692908796473155E-2</v>
      </c>
      <c r="E165" s="40">
        <f t="shared" si="5"/>
        <v>1.7692908796473155E-2</v>
      </c>
    </row>
    <row r="166" spans="1:5" x14ac:dyDescent="0.25">
      <c r="A166" s="40">
        <f t="shared" ca="1" si="2"/>
        <v>-24.19902477373854</v>
      </c>
      <c r="B166" s="41">
        <f t="shared" si="6"/>
        <v>8.6299999999999866</v>
      </c>
      <c r="C166" s="40">
        <f t="shared" si="3"/>
        <v>1.8693276735223197E-2</v>
      </c>
      <c r="D166" s="40">
        <f t="shared" ca="1" si="4"/>
        <v>1.8693276735223197E-2</v>
      </c>
      <c r="E166" s="40">
        <f t="shared" si="5"/>
        <v>1.8693276735223197E-2</v>
      </c>
    </row>
    <row r="167" spans="1:5" x14ac:dyDescent="0.25">
      <c r="A167" s="40">
        <f t="shared" ref="A167:A230" ca="1" si="7">(B167-B$4)/B$11</f>
        <v>-24.022389556411987</v>
      </c>
      <c r="B167" s="41">
        <f t="shared" si="6"/>
        <v>8.6399999999999864</v>
      </c>
      <c r="C167" s="40">
        <f t="shared" ref="C167:C230" si="8">NORMDIST(B167,B$4,B$5,0)</f>
        <v>1.9742307589500806E-2</v>
      </c>
      <c r="D167" s="40">
        <f t="shared" ref="D167:D230" ca="1" si="9">IF(C167&lt;=B$14/2,C167,0)</f>
        <v>1.9742307589500806E-2</v>
      </c>
      <c r="E167" s="40">
        <f t="shared" ref="E167:E230" si="10">IF(C167&lt;=B$6/2,C167,0)</f>
        <v>1.9742307589500806E-2</v>
      </c>
    </row>
    <row r="168" spans="1:5" x14ac:dyDescent="0.25">
      <c r="A168" s="40">
        <f t="shared" ca="1" si="7"/>
        <v>-23.845754339085435</v>
      </c>
      <c r="B168" s="41">
        <f t="shared" si="6"/>
        <v>8.6499999999999861</v>
      </c>
      <c r="C168" s="40">
        <f t="shared" si="8"/>
        <v>2.0841869628843636E-2</v>
      </c>
      <c r="D168" s="40">
        <f t="shared" ca="1" si="9"/>
        <v>2.0841869628843636E-2</v>
      </c>
      <c r="E168" s="40">
        <f t="shared" si="10"/>
        <v>2.0841869628843636E-2</v>
      </c>
    </row>
    <row r="169" spans="1:5" x14ac:dyDescent="0.25">
      <c r="A169" s="40">
        <f t="shared" ca="1" si="7"/>
        <v>-23.669119121758882</v>
      </c>
      <c r="B169" s="41">
        <f t="shared" ref="B169:B232" si="11">B168+0.01</f>
        <v>8.6599999999999859</v>
      </c>
      <c r="C169" s="40">
        <f t="shared" si="8"/>
        <v>2.1993873258809502E-2</v>
      </c>
      <c r="D169" s="40">
        <f t="shared" ca="1" si="9"/>
        <v>2.1993873258809502E-2</v>
      </c>
      <c r="E169" s="40">
        <f t="shared" si="10"/>
        <v>2.1993873258809502E-2</v>
      </c>
    </row>
    <row r="170" spans="1:5" x14ac:dyDescent="0.25">
      <c r="A170" s="40">
        <f t="shared" ca="1" si="7"/>
        <v>-23.492483904432326</v>
      </c>
      <c r="B170" s="41">
        <f t="shared" si="11"/>
        <v>8.6699999999999857</v>
      </c>
      <c r="C170" s="40">
        <f t="shared" si="8"/>
        <v>2.3200270227403372E-2</v>
      </c>
      <c r="D170" s="40">
        <f t="shared" ca="1" si="9"/>
        <v>2.3200270227403372E-2</v>
      </c>
      <c r="E170" s="40">
        <f t="shared" si="10"/>
        <v>2.3200270227403372E-2</v>
      </c>
    </row>
    <row r="171" spans="1:5" x14ac:dyDescent="0.25">
      <c r="A171" s="40">
        <f t="shared" ca="1" si="7"/>
        <v>-23.315848687105774</v>
      </c>
      <c r="B171" s="41">
        <f t="shared" si="11"/>
        <v>8.6799999999999855</v>
      </c>
      <c r="C171" s="40">
        <f t="shared" si="8"/>
        <v>2.4463052702554073E-2</v>
      </c>
      <c r="D171" s="40">
        <f t="shared" ca="1" si="9"/>
        <v>2.4463052702554073E-2</v>
      </c>
      <c r="E171" s="40">
        <f t="shared" si="10"/>
        <v>2.4463052702554073E-2</v>
      </c>
    </row>
    <row r="172" spans="1:5" x14ac:dyDescent="0.25">
      <c r="A172" s="40">
        <f t="shared" ca="1" si="7"/>
        <v>-23.139213469779222</v>
      </c>
      <c r="B172" s="41">
        <f t="shared" si="11"/>
        <v>8.6899999999999853</v>
      </c>
      <c r="C172" s="40">
        <f t="shared" si="8"/>
        <v>2.5784252215788624E-2</v>
      </c>
      <c r="D172" s="40">
        <f t="shared" ca="1" si="9"/>
        <v>2.5784252215788624E-2</v>
      </c>
      <c r="E172" s="40">
        <f t="shared" si="10"/>
        <v>0</v>
      </c>
    </row>
    <row r="173" spans="1:5" x14ac:dyDescent="0.25">
      <c r="A173" s="40">
        <f t="shared" ca="1" si="7"/>
        <v>-22.962578252452669</v>
      </c>
      <c r="B173" s="41">
        <f t="shared" si="11"/>
        <v>8.6999999999999851</v>
      </c>
      <c r="C173" s="40">
        <f t="shared" si="8"/>
        <v>2.716593846736913E-2</v>
      </c>
      <c r="D173" s="40">
        <f t="shared" ca="1" si="9"/>
        <v>2.716593846736913E-2</v>
      </c>
      <c r="E173" s="40">
        <f t="shared" si="10"/>
        <v>0</v>
      </c>
    </row>
    <row r="174" spans="1:5" x14ac:dyDescent="0.25">
      <c r="A174" s="40">
        <f t="shared" ca="1" si="7"/>
        <v>-22.785943035126113</v>
      </c>
      <c r="B174" s="41">
        <f t="shared" si="11"/>
        <v>8.7099999999999849</v>
      </c>
      <c r="C174" s="40">
        <f t="shared" si="8"/>
        <v>2.8610217988297156E-2</v>
      </c>
      <c r="D174" s="40">
        <f t="shared" ca="1" si="9"/>
        <v>2.8610217988297156E-2</v>
      </c>
      <c r="E174" s="40">
        <f t="shared" si="10"/>
        <v>0</v>
      </c>
    </row>
    <row r="175" spans="1:5" x14ac:dyDescent="0.25">
      <c r="A175" s="40">
        <f t="shared" ca="1" si="7"/>
        <v>-22.609307817799561</v>
      </c>
      <c r="B175" s="41">
        <f t="shared" si="11"/>
        <v>8.7199999999999847</v>
      </c>
      <c r="C175" s="40">
        <f t="shared" si="8"/>
        <v>3.0119232654752533E-2</v>
      </c>
      <c r="D175" s="40">
        <f t="shared" ca="1" si="9"/>
        <v>3.0119232654752533E-2</v>
      </c>
      <c r="E175" s="40">
        <f t="shared" si="10"/>
        <v>0</v>
      </c>
    </row>
    <row r="176" spans="1:5" x14ac:dyDescent="0.25">
      <c r="A176" s="40">
        <f t="shared" ca="1" si="7"/>
        <v>-22.432672600473008</v>
      </c>
      <c r="B176" s="41">
        <f t="shared" si="11"/>
        <v>8.7299999999999844</v>
      </c>
      <c r="C176" s="40">
        <f t="shared" si="8"/>
        <v>3.1695158050719131E-2</v>
      </c>
      <c r="D176" s="40">
        <f t="shared" ca="1" si="9"/>
        <v>3.1695158050719131E-2</v>
      </c>
      <c r="E176" s="40">
        <f t="shared" si="10"/>
        <v>0</v>
      </c>
    </row>
    <row r="177" spans="1:5" x14ac:dyDescent="0.25">
      <c r="A177" s="40">
        <f t="shared" ca="1" si="7"/>
        <v>-22.256037383146456</v>
      </c>
      <c r="B177" s="41">
        <f t="shared" si="11"/>
        <v>8.7399999999999842</v>
      </c>
      <c r="C177" s="40">
        <f t="shared" si="8"/>
        <v>3.3340201674759477E-2</v>
      </c>
      <c r="D177" s="40">
        <f t="shared" ca="1" si="9"/>
        <v>3.3340201674759477E-2</v>
      </c>
      <c r="E177" s="40">
        <f t="shared" si="10"/>
        <v>0</v>
      </c>
    </row>
    <row r="178" spans="1:5" x14ac:dyDescent="0.25">
      <c r="A178" s="40">
        <f t="shared" ca="1" si="7"/>
        <v>-22.079402165819904</v>
      </c>
      <c r="B178" s="41">
        <f t="shared" si="11"/>
        <v>8.749999999999984</v>
      </c>
      <c r="C178" s="40">
        <f t="shared" si="8"/>
        <v>3.505660098713427E-2</v>
      </c>
      <c r="D178" s="40">
        <f t="shared" ca="1" si="9"/>
        <v>3.505660098713427E-2</v>
      </c>
      <c r="E178" s="40">
        <f t="shared" si="10"/>
        <v>0</v>
      </c>
    </row>
    <row r="179" spans="1:5" x14ac:dyDescent="0.25">
      <c r="A179" s="40">
        <f t="shared" ca="1" si="7"/>
        <v>-21.902766948493348</v>
      </c>
      <c r="B179" s="41">
        <f t="shared" si="11"/>
        <v>8.7599999999999838</v>
      </c>
      <c r="C179" s="40">
        <f t="shared" si="8"/>
        <v>3.6846621293721134E-2</v>
      </c>
      <c r="D179" s="40">
        <f t="shared" ca="1" si="9"/>
        <v>3.6846621293721134E-2</v>
      </c>
      <c r="E179" s="40">
        <f t="shared" si="10"/>
        <v>0</v>
      </c>
    </row>
    <row r="180" spans="1:5" x14ac:dyDescent="0.25">
      <c r="A180" s="40">
        <f t="shared" ca="1" si="7"/>
        <v>-21.726131731166795</v>
      </c>
      <c r="B180" s="41">
        <f t="shared" si="11"/>
        <v>8.7699999999999836</v>
      </c>
      <c r="C180" s="40">
        <f t="shared" si="8"/>
        <v>3.8712553463470793E-2</v>
      </c>
      <c r="D180" s="40">
        <f t="shared" ca="1" si="9"/>
        <v>3.8712553463470793E-2</v>
      </c>
      <c r="E180" s="40">
        <f t="shared" si="10"/>
        <v>0</v>
      </c>
    </row>
    <row r="181" spans="1:5" x14ac:dyDescent="0.25">
      <c r="A181" s="40">
        <f t="shared" ca="1" si="7"/>
        <v>-21.549496513840243</v>
      </c>
      <c r="B181" s="41">
        <f t="shared" si="11"/>
        <v>8.7799999999999834</v>
      </c>
      <c r="C181" s="40">
        <f t="shared" si="8"/>
        <v>4.0656711476448372E-2</v>
      </c>
      <c r="D181" s="40">
        <f t="shared" ca="1" si="9"/>
        <v>4.0656711476448372E-2</v>
      </c>
      <c r="E181" s="40">
        <f t="shared" si="10"/>
        <v>0</v>
      </c>
    </row>
    <row r="182" spans="1:5" x14ac:dyDescent="0.25">
      <c r="A182" s="40">
        <f t="shared" ca="1" si="7"/>
        <v>-21.37286129651369</v>
      </c>
      <c r="B182" s="41">
        <f t="shared" si="11"/>
        <v>8.7899999999999832</v>
      </c>
      <c r="C182" s="40">
        <f t="shared" si="8"/>
        <v>4.2681429799842081E-2</v>
      </c>
      <c r="D182" s="40">
        <f t="shared" ca="1" si="9"/>
        <v>4.2681429799842081E-2</v>
      </c>
      <c r="E182" s="40">
        <f t="shared" si="10"/>
        <v>0</v>
      </c>
    </row>
    <row r="183" spans="1:5" x14ac:dyDescent="0.25">
      <c r="A183" s="40">
        <f t="shared" ca="1" si="7"/>
        <v>-21.196226079187134</v>
      </c>
      <c r="B183" s="41">
        <f t="shared" si="11"/>
        <v>8.7999999999999829</v>
      </c>
      <c r="C183" s="40">
        <f t="shared" si="8"/>
        <v>4.4789060589682121E-2</v>
      </c>
      <c r="D183" s="40">
        <f t="shared" ca="1" si="9"/>
        <v>4.4789060589682121E-2</v>
      </c>
      <c r="E183" s="40">
        <f t="shared" si="10"/>
        <v>0</v>
      </c>
    </row>
    <row r="184" spans="1:5" x14ac:dyDescent="0.25">
      <c r="A184" s="40">
        <f t="shared" ca="1" si="7"/>
        <v>-21.019590861860582</v>
      </c>
      <c r="B184" s="41">
        <f t="shared" si="11"/>
        <v>8.8099999999999827</v>
      </c>
      <c r="C184" s="40">
        <f t="shared" si="8"/>
        <v>4.6981970716398869E-2</v>
      </c>
      <c r="D184" s="40">
        <f t="shared" ca="1" si="9"/>
        <v>4.6981970716398869E-2</v>
      </c>
      <c r="E184" s="40">
        <f t="shared" si="10"/>
        <v>0</v>
      </c>
    </row>
    <row r="185" spans="1:5" x14ac:dyDescent="0.25">
      <c r="A185" s="40">
        <f t="shared" ca="1" si="7"/>
        <v>-20.84295564453403</v>
      </c>
      <c r="B185" s="41">
        <f t="shared" si="11"/>
        <v>8.8199999999999825</v>
      </c>
      <c r="C185" s="40">
        <f t="shared" si="8"/>
        <v>4.9262538612760948E-2</v>
      </c>
      <c r="D185" s="40">
        <f t="shared" ca="1" si="9"/>
        <v>4.9262538612760948E-2</v>
      </c>
      <c r="E185" s="40">
        <f t="shared" si="10"/>
        <v>0</v>
      </c>
    </row>
    <row r="186" spans="1:5" x14ac:dyDescent="0.25">
      <c r="A186" s="40">
        <f t="shared" ca="1" si="7"/>
        <v>-20.666320427207477</v>
      </c>
      <c r="B186" s="41">
        <f t="shared" si="11"/>
        <v>8.8299999999999823</v>
      </c>
      <c r="C186" s="40">
        <f t="shared" si="8"/>
        <v>5.1633150943171099E-2</v>
      </c>
      <c r="D186" s="40">
        <f t="shared" ca="1" si="9"/>
        <v>5.1633150943171099E-2</v>
      </c>
      <c r="E186" s="40">
        <f t="shared" si="10"/>
        <v>0</v>
      </c>
    </row>
    <row r="187" spans="1:5" x14ac:dyDescent="0.25">
      <c r="A187" s="40">
        <f t="shared" ca="1" si="7"/>
        <v>-20.489685209880925</v>
      </c>
      <c r="B187" s="41">
        <f t="shared" si="11"/>
        <v>8.8399999999999821</v>
      </c>
      <c r="C187" s="40">
        <f t="shared" si="8"/>
        <v>5.4096199093759061E-2</v>
      </c>
      <c r="D187" s="40">
        <f t="shared" ca="1" si="9"/>
        <v>5.4096199093759061E-2</v>
      </c>
      <c r="E187" s="40">
        <f t="shared" si="10"/>
        <v>0</v>
      </c>
    </row>
    <row r="188" spans="1:5" x14ac:dyDescent="0.25">
      <c r="A188" s="40">
        <f t="shared" ca="1" si="7"/>
        <v>-20.313049992554369</v>
      </c>
      <c r="B188" s="41">
        <f t="shared" si="11"/>
        <v>8.8499999999999819</v>
      </c>
      <c r="C188" s="40">
        <f t="shared" si="8"/>
        <v>5.6654075483197612E-2</v>
      </c>
      <c r="D188" s="40">
        <f t="shared" ca="1" si="9"/>
        <v>5.6654075483197612E-2</v>
      </c>
      <c r="E188" s="40">
        <f t="shared" si="10"/>
        <v>0</v>
      </c>
    </row>
    <row r="189" spans="1:5" x14ac:dyDescent="0.25">
      <c r="A189" s="40">
        <f t="shared" ca="1" si="7"/>
        <v>-20.136414775227816</v>
      </c>
      <c r="B189" s="41">
        <f t="shared" si="11"/>
        <v>8.8599999999999817</v>
      </c>
      <c r="C189" s="40">
        <f t="shared" si="8"/>
        <v>5.9309169694677581E-2</v>
      </c>
      <c r="D189" s="40">
        <f t="shared" ca="1" si="9"/>
        <v>5.9309169694677581E-2</v>
      </c>
      <c r="E189" s="40">
        <f t="shared" si="10"/>
        <v>0</v>
      </c>
    </row>
    <row r="190" spans="1:5" x14ac:dyDescent="0.25">
      <c r="A190" s="40">
        <f t="shared" ca="1" si="7"/>
        <v>-19.959779557901264</v>
      </c>
      <c r="B190" s="41">
        <f t="shared" si="11"/>
        <v>8.8699999999999815</v>
      </c>
      <c r="C190" s="40">
        <f t="shared" si="8"/>
        <v>6.2063864430011308E-2</v>
      </c>
      <c r="D190" s="40">
        <f t="shared" ca="1" si="9"/>
        <v>6.2063864430011308E-2</v>
      </c>
      <c r="E190" s="40">
        <f t="shared" si="10"/>
        <v>0</v>
      </c>
    </row>
    <row r="191" spans="1:5" x14ac:dyDescent="0.25">
      <c r="A191" s="40">
        <f t="shared" ca="1" si="7"/>
        <v>-19.783144340574712</v>
      </c>
      <c r="B191" s="41">
        <f t="shared" si="11"/>
        <v>8.8799999999999812</v>
      </c>
      <c r="C191" s="40">
        <f t="shared" si="8"/>
        <v>6.4920531287389477E-2</v>
      </c>
      <c r="D191" s="40">
        <f t="shared" ca="1" si="9"/>
        <v>6.4920531287389477E-2</v>
      </c>
      <c r="E191" s="40">
        <f t="shared" si="10"/>
        <v>0</v>
      </c>
    </row>
    <row r="192" spans="1:5" x14ac:dyDescent="0.25">
      <c r="A192" s="40">
        <f t="shared" ca="1" si="7"/>
        <v>-19.606509123248156</v>
      </c>
      <c r="B192" s="41">
        <f t="shared" si="11"/>
        <v>8.889999999999981</v>
      </c>
      <c r="C192" s="40">
        <f t="shared" si="8"/>
        <v>6.7881526364892669E-2</v>
      </c>
      <c r="D192" s="40">
        <f t="shared" ca="1" si="9"/>
        <v>6.7881526364892669E-2</v>
      </c>
      <c r="E192" s="40">
        <f t="shared" si="10"/>
        <v>0</v>
      </c>
    </row>
    <row r="193" spans="1:5" x14ac:dyDescent="0.25">
      <c r="A193" s="40">
        <f t="shared" ca="1" si="7"/>
        <v>-19.429873905921603</v>
      </c>
      <c r="B193" s="41">
        <f t="shared" si="11"/>
        <v>8.8999999999999808</v>
      </c>
      <c r="C193" s="40">
        <f t="shared" si="8"/>
        <v>7.0949185692456895E-2</v>
      </c>
      <c r="D193" s="40">
        <f t="shared" ca="1" si="9"/>
        <v>7.0949185692456895E-2</v>
      </c>
      <c r="E193" s="40">
        <f t="shared" si="10"/>
        <v>0</v>
      </c>
    </row>
    <row r="194" spans="1:5" x14ac:dyDescent="0.25">
      <c r="A194" s="40">
        <f t="shared" ca="1" si="7"/>
        <v>-19.253238688595051</v>
      </c>
      <c r="B194" s="41">
        <f t="shared" si="11"/>
        <v>8.9099999999999806</v>
      </c>
      <c r="C194" s="40">
        <f t="shared" si="8"/>
        <v>7.412582049560669E-2</v>
      </c>
      <c r="D194" s="40">
        <f t="shared" ca="1" si="9"/>
        <v>0</v>
      </c>
      <c r="E194" s="40">
        <f t="shared" si="10"/>
        <v>0</v>
      </c>
    </row>
    <row r="195" spans="1:5" x14ac:dyDescent="0.25">
      <c r="A195" s="40">
        <f t="shared" ca="1" si="7"/>
        <v>-19.076603471268498</v>
      </c>
      <c r="B195" s="41">
        <f t="shared" si="11"/>
        <v>8.9199999999999804</v>
      </c>
      <c r="C195" s="40">
        <f t="shared" si="8"/>
        <v>7.741371229490468E-2</v>
      </c>
      <c r="D195" s="40">
        <f t="shared" ca="1" si="9"/>
        <v>0</v>
      </c>
      <c r="E195" s="40">
        <f t="shared" si="10"/>
        <v>0</v>
      </c>
    </row>
    <row r="196" spans="1:5" x14ac:dyDescent="0.25">
      <c r="A196" s="40">
        <f t="shared" ca="1" si="7"/>
        <v>-18.899968253941946</v>
      </c>
      <c r="B196" s="41">
        <f t="shared" si="11"/>
        <v>8.9299999999999802</v>
      </c>
      <c r="C196" s="40">
        <f t="shared" si="8"/>
        <v>8.081510784571376E-2</v>
      </c>
      <c r="D196" s="40">
        <f t="shared" ca="1" si="9"/>
        <v>0</v>
      </c>
      <c r="E196" s="40">
        <f t="shared" si="10"/>
        <v>0</v>
      </c>
    </row>
    <row r="197" spans="1:5" x14ac:dyDescent="0.25">
      <c r="A197" s="40">
        <f t="shared" ca="1" si="7"/>
        <v>-18.72333303661539</v>
      </c>
      <c r="B197" s="41">
        <f t="shared" si="11"/>
        <v>8.93999999999998</v>
      </c>
      <c r="C197" s="40">
        <f t="shared" si="8"/>
        <v>8.4332213923533475E-2</v>
      </c>
      <c r="D197" s="40">
        <f t="shared" ca="1" si="9"/>
        <v>0</v>
      </c>
      <c r="E197" s="40">
        <f t="shared" si="10"/>
        <v>0</v>
      </c>
    </row>
    <row r="198" spans="1:5" x14ac:dyDescent="0.25">
      <c r="A198" s="40">
        <f t="shared" ca="1" si="7"/>
        <v>-18.546697819288838</v>
      </c>
      <c r="B198" s="41">
        <f t="shared" si="11"/>
        <v>8.9499999999999797</v>
      </c>
      <c r="C198" s="40">
        <f t="shared" si="8"/>
        <v>8.7967191960846916E-2</v>
      </c>
      <c r="D198" s="40">
        <f t="shared" ca="1" si="9"/>
        <v>0</v>
      </c>
      <c r="E198" s="40">
        <f t="shared" si="10"/>
        <v>0</v>
      </c>
    </row>
    <row r="199" spans="1:5" x14ac:dyDescent="0.25">
      <c r="A199" s="40">
        <f t="shared" ca="1" si="7"/>
        <v>-18.370062601962285</v>
      </c>
      <c r="B199" s="41">
        <f t="shared" si="11"/>
        <v>8.9599999999999795</v>
      </c>
      <c r="C199" s="40">
        <f t="shared" si="8"/>
        <v>9.172215254210199E-2</v>
      </c>
      <c r="D199" s="40">
        <f t="shared" ca="1" si="9"/>
        <v>0</v>
      </c>
      <c r="E199" s="40">
        <f t="shared" si="10"/>
        <v>0</v>
      </c>
    </row>
    <row r="200" spans="1:5" x14ac:dyDescent="0.25">
      <c r="A200" s="40">
        <f t="shared" ca="1" si="7"/>
        <v>-18.193427384635733</v>
      </c>
      <c r="B200" s="41">
        <f t="shared" si="11"/>
        <v>8.9699999999999793</v>
      </c>
      <c r="C200" s="40">
        <f t="shared" si="8"/>
        <v>9.5599149764145921E-2</v>
      </c>
      <c r="D200" s="40">
        <f t="shared" ca="1" si="9"/>
        <v>0</v>
      </c>
      <c r="E200" s="40">
        <f t="shared" si="10"/>
        <v>0</v>
      </c>
    </row>
    <row r="201" spans="1:5" x14ac:dyDescent="0.25">
      <c r="A201" s="40">
        <f t="shared" ca="1" si="7"/>
        <v>-18.016792167309177</v>
      </c>
      <c r="B201" s="41">
        <f t="shared" si="11"/>
        <v>8.9799999999999791</v>
      </c>
      <c r="C201" s="40">
        <f t="shared" si="8"/>
        <v>9.9600175470133057E-2</v>
      </c>
      <c r="D201" s="40">
        <f t="shared" ca="1" si="9"/>
        <v>0</v>
      </c>
      <c r="E201" s="40">
        <f t="shared" si="10"/>
        <v>0</v>
      </c>
    </row>
    <row r="202" spans="1:5" x14ac:dyDescent="0.25">
      <c r="A202" s="40">
        <f t="shared" ca="1" si="7"/>
        <v>-17.840156949982624</v>
      </c>
      <c r="B202" s="41">
        <f t="shared" si="11"/>
        <v>8.9899999999999789</v>
      </c>
      <c r="C202" s="40">
        <f t="shared" si="8"/>
        <v>0.10372715336563228</v>
      </c>
      <c r="D202" s="40">
        <f t="shared" ca="1" si="9"/>
        <v>0</v>
      </c>
      <c r="E202" s="40">
        <f t="shared" si="10"/>
        <v>0</v>
      </c>
    </row>
    <row r="203" spans="1:5" x14ac:dyDescent="0.25">
      <c r="A203" s="40">
        <f t="shared" ca="1" si="7"/>
        <v>-17.663521732656072</v>
      </c>
      <c r="B203" s="41">
        <f t="shared" si="11"/>
        <v>8.9999999999999787</v>
      </c>
      <c r="C203" s="40">
        <f t="shared" si="8"/>
        <v>0.10798193302636691</v>
      </c>
      <c r="D203" s="40">
        <f t="shared" ca="1" si="9"/>
        <v>0</v>
      </c>
      <c r="E203" s="40">
        <f t="shared" si="10"/>
        <v>0</v>
      </c>
    </row>
    <row r="204" spans="1:5" x14ac:dyDescent="0.25">
      <c r="A204" s="40">
        <f t="shared" ca="1" si="7"/>
        <v>-17.48688651532952</v>
      </c>
      <c r="B204" s="41">
        <f t="shared" si="11"/>
        <v>9.0099999999999785</v>
      </c>
      <c r="C204" s="40">
        <f t="shared" si="8"/>
        <v>0.11236628380772651</v>
      </c>
      <c r="D204" s="40">
        <f t="shared" ca="1" si="9"/>
        <v>0</v>
      </c>
      <c r="E204" s="40">
        <f t="shared" si="10"/>
        <v>0</v>
      </c>
    </row>
    <row r="205" spans="1:5" x14ac:dyDescent="0.25">
      <c r="A205" s="40">
        <f t="shared" ca="1" si="7"/>
        <v>-17.310251298002967</v>
      </c>
      <c r="B205" s="41">
        <f t="shared" si="11"/>
        <v>9.0199999999999783</v>
      </c>
      <c r="C205" s="40">
        <f t="shared" si="8"/>
        <v>0.11688188866689296</v>
      </c>
      <c r="D205" s="40">
        <f t="shared" ca="1" si="9"/>
        <v>0</v>
      </c>
      <c r="E205" s="40">
        <f t="shared" si="10"/>
        <v>0</v>
      </c>
    </row>
    <row r="206" spans="1:5" x14ac:dyDescent="0.25">
      <c r="A206" s="40">
        <f t="shared" ca="1" si="7"/>
        <v>-17.133616080676411</v>
      </c>
      <c r="B206" s="41">
        <f t="shared" si="11"/>
        <v>9.029999999999978</v>
      </c>
      <c r="C206" s="40">
        <f t="shared" si="8"/>
        <v>0.12153033790911921</v>
      </c>
      <c r="D206" s="40">
        <f t="shared" ca="1" si="9"/>
        <v>0</v>
      </c>
      <c r="E206" s="40">
        <f t="shared" si="10"/>
        <v>0</v>
      </c>
    </row>
    <row r="207" spans="1:5" x14ac:dyDescent="0.25">
      <c r="A207" s="40">
        <f t="shared" ca="1" si="7"/>
        <v>-16.956980863349859</v>
      </c>
      <c r="B207" s="41">
        <f t="shared" si="11"/>
        <v>9.0399999999999778</v>
      </c>
      <c r="C207" s="40">
        <f t="shared" si="8"/>
        <v>0.12631312287038651</v>
      </c>
      <c r="D207" s="40">
        <f t="shared" ca="1" si="9"/>
        <v>0</v>
      </c>
      <c r="E207" s="40">
        <f t="shared" si="10"/>
        <v>0</v>
      </c>
    </row>
    <row r="208" spans="1:5" x14ac:dyDescent="0.25">
      <c r="A208" s="40">
        <f t="shared" ca="1" si="7"/>
        <v>-16.780345646023306</v>
      </c>
      <c r="B208" s="41">
        <f t="shared" si="11"/>
        <v>9.0499999999999776</v>
      </c>
      <c r="C208" s="40">
        <f t="shared" si="8"/>
        <v>0.13123162954934203</v>
      </c>
      <c r="D208" s="40">
        <f t="shared" ca="1" si="9"/>
        <v>0</v>
      </c>
      <c r="E208" s="40">
        <f t="shared" si="10"/>
        <v>0</v>
      </c>
    </row>
    <row r="209" spans="1:5" x14ac:dyDescent="0.25">
      <c r="A209" s="40">
        <f t="shared" ca="1" si="7"/>
        <v>-16.603710428696754</v>
      </c>
      <c r="B209" s="41">
        <f t="shared" si="11"/>
        <v>9.0599999999999774</v>
      </c>
      <c r="C209" s="40">
        <f t="shared" si="8"/>
        <v>0.13628713220207755</v>
      </c>
      <c r="D209" s="40">
        <f t="shared" ca="1" si="9"/>
        <v>0</v>
      </c>
      <c r="E209" s="40">
        <f t="shared" si="10"/>
        <v>0</v>
      </c>
    </row>
    <row r="210" spans="1:5" x14ac:dyDescent="0.25">
      <c r="A210" s="40">
        <f t="shared" ca="1" si="7"/>
        <v>-16.427075211370198</v>
      </c>
      <c r="B210" s="41">
        <f t="shared" si="11"/>
        <v>9.0699999999999772</v>
      </c>
      <c r="C210" s="40">
        <f t="shared" si="8"/>
        <v>0.14148078691395477</v>
      </c>
      <c r="D210" s="40">
        <f t="shared" ca="1" si="9"/>
        <v>0</v>
      </c>
      <c r="E210" s="40">
        <f t="shared" si="10"/>
        <v>0</v>
      </c>
    </row>
    <row r="211" spans="1:5" x14ac:dyDescent="0.25">
      <c r="A211" s="40">
        <f t="shared" ca="1" si="7"/>
        <v>-16.250439994043646</v>
      </c>
      <c r="B211" s="41">
        <f t="shared" si="11"/>
        <v>9.079999999999977</v>
      </c>
      <c r="C211" s="40">
        <f t="shared" si="8"/>
        <v>0.14681362516330135</v>
      </c>
      <c r="D211" s="40">
        <f t="shared" ca="1" si="9"/>
        <v>0</v>
      </c>
      <c r="E211" s="40">
        <f t="shared" si="10"/>
        <v>0</v>
      </c>
    </row>
    <row r="212" spans="1:5" x14ac:dyDescent="0.25">
      <c r="A212" s="40">
        <f t="shared" ca="1" si="7"/>
        <v>-16.073804776717093</v>
      </c>
      <c r="B212" s="41">
        <f t="shared" si="11"/>
        <v>9.0899999999999768</v>
      </c>
      <c r="C212" s="40">
        <f t="shared" si="8"/>
        <v>0.15228654739240177</v>
      </c>
      <c r="D212" s="40">
        <f t="shared" ca="1" si="9"/>
        <v>0</v>
      </c>
      <c r="E212" s="40">
        <f t="shared" si="10"/>
        <v>0</v>
      </c>
    </row>
    <row r="213" spans="1:5" x14ac:dyDescent="0.25">
      <c r="A213" s="40">
        <f t="shared" ca="1" si="7"/>
        <v>-15.897169559390541</v>
      </c>
      <c r="B213" s="41">
        <f t="shared" si="11"/>
        <v>9.0999999999999766</v>
      </c>
      <c r="C213" s="40">
        <f t="shared" si="8"/>
        <v>0.157900316601775</v>
      </c>
      <c r="D213" s="40">
        <f t="shared" ca="1" si="9"/>
        <v>0</v>
      </c>
      <c r="E213" s="40">
        <f t="shared" si="10"/>
        <v>0</v>
      </c>
    </row>
    <row r="214" spans="1:5" x14ac:dyDescent="0.25">
      <c r="A214" s="40">
        <f t="shared" ca="1" si="7"/>
        <v>-15.720534342063987</v>
      </c>
      <c r="B214" s="41">
        <f t="shared" si="11"/>
        <v>9.1099999999999763</v>
      </c>
      <c r="C214" s="40">
        <f t="shared" si="8"/>
        <v>0.16365555198427184</v>
      </c>
      <c r="D214" s="40">
        <f t="shared" ca="1" si="9"/>
        <v>0</v>
      </c>
      <c r="E214" s="40">
        <f t="shared" si="10"/>
        <v>0</v>
      </c>
    </row>
    <row r="215" spans="1:5" x14ac:dyDescent="0.25">
      <c r="A215" s="40">
        <f t="shared" ca="1" si="7"/>
        <v>-15.543899124737434</v>
      </c>
      <c r="B215" s="41">
        <f t="shared" si="11"/>
        <v>9.1199999999999761</v>
      </c>
      <c r="C215" s="40">
        <f t="shared" si="8"/>
        <v>0.16955272261603022</v>
      </c>
      <c r="D215" s="40">
        <f t="shared" ca="1" si="9"/>
        <v>0</v>
      </c>
      <c r="E215" s="40">
        <f t="shared" si="10"/>
        <v>0</v>
      </c>
    </row>
    <row r="216" spans="1:5" x14ac:dyDescent="0.25">
      <c r="A216" s="40">
        <f t="shared" ca="1" si="7"/>
        <v>-15.36726390741088</v>
      </c>
      <c r="B216" s="41">
        <f t="shared" si="11"/>
        <v>9.1299999999999759</v>
      </c>
      <c r="C216" s="40">
        <f t="shared" si="8"/>
        <v>0.17559214122179656</v>
      </c>
      <c r="D216" s="40">
        <f t="shared" ca="1" si="9"/>
        <v>0</v>
      </c>
      <c r="E216" s="40">
        <f t="shared" si="10"/>
        <v>0</v>
      </c>
    </row>
    <row r="217" spans="1:5" x14ac:dyDescent="0.25">
      <c r="A217" s="40">
        <f t="shared" ca="1" si="7"/>
        <v>-15.190628690084328</v>
      </c>
      <c r="B217" s="41">
        <f t="shared" si="11"/>
        <v>9.1399999999999757</v>
      </c>
      <c r="C217" s="40">
        <f t="shared" si="8"/>
        <v>0.18177395803255053</v>
      </c>
      <c r="D217" s="40">
        <f t="shared" ca="1" si="9"/>
        <v>0</v>
      </c>
      <c r="E217" s="40">
        <f t="shared" si="10"/>
        <v>0</v>
      </c>
    </row>
    <row r="218" spans="1:5" x14ac:dyDescent="0.25">
      <c r="A218" s="40">
        <f t="shared" ca="1" si="7"/>
        <v>-15.013993472757774</v>
      </c>
      <c r="B218" s="41">
        <f t="shared" si="11"/>
        <v>9.1499999999999755</v>
      </c>
      <c r="C218" s="40">
        <f t="shared" si="8"/>
        <v>0.18809815475375818</v>
      </c>
      <c r="D218" s="40">
        <f t="shared" ca="1" si="9"/>
        <v>0</v>
      </c>
      <c r="E218" s="40">
        <f t="shared" si="10"/>
        <v>0</v>
      </c>
    </row>
    <row r="219" spans="1:5" x14ac:dyDescent="0.25">
      <c r="A219" s="40">
        <f t="shared" ca="1" si="7"/>
        <v>-14.837358255431221</v>
      </c>
      <c r="B219" s="41">
        <f t="shared" si="11"/>
        <v>9.1599999999999753</v>
      </c>
      <c r="C219" s="40">
        <f t="shared" si="8"/>
        <v>0.19456453866291884</v>
      </c>
      <c r="D219" s="40">
        <f t="shared" ca="1" si="9"/>
        <v>0</v>
      </c>
      <c r="E219" s="40">
        <f t="shared" si="10"/>
        <v>0</v>
      </c>
    </row>
    <row r="220" spans="1:5" x14ac:dyDescent="0.25">
      <c r="A220" s="40">
        <f t="shared" ca="1" si="7"/>
        <v>-14.660723038104669</v>
      </c>
      <c r="B220" s="41">
        <f t="shared" si="11"/>
        <v>9.1699999999999751</v>
      </c>
      <c r="C220" s="40">
        <f t="shared" si="8"/>
        <v>0.20117273685536449</v>
      </c>
      <c r="D220" s="40">
        <f t="shared" ca="1" si="9"/>
        <v>0</v>
      </c>
      <c r="E220" s="40">
        <f t="shared" si="10"/>
        <v>0</v>
      </c>
    </row>
    <row r="221" spans="1:5" x14ac:dyDescent="0.25">
      <c r="A221" s="40">
        <f t="shared" ca="1" si="7"/>
        <v>-14.484087820778115</v>
      </c>
      <c r="B221" s="41">
        <f t="shared" si="11"/>
        <v>9.1799999999999748</v>
      </c>
      <c r="C221" s="40">
        <f t="shared" si="8"/>
        <v>0.20792219065751125</v>
      </c>
      <c r="D221" s="40">
        <f t="shared" ca="1" si="9"/>
        <v>0</v>
      </c>
      <c r="E221" s="40">
        <f t="shared" si="10"/>
        <v>0</v>
      </c>
    </row>
    <row r="222" spans="1:5" x14ac:dyDescent="0.25">
      <c r="A222" s="40">
        <f t="shared" ca="1" si="7"/>
        <v>-14.307452603451562</v>
      </c>
      <c r="B222" s="41">
        <f t="shared" si="11"/>
        <v>9.1899999999999746</v>
      </c>
      <c r="C222" s="40">
        <f t="shared" si="8"/>
        <v>0.21481215022694999</v>
      </c>
      <c r="D222" s="40">
        <f t="shared" ca="1" si="9"/>
        <v>0</v>
      </c>
      <c r="E222" s="40">
        <f t="shared" si="10"/>
        <v>0</v>
      </c>
    </row>
    <row r="223" spans="1:5" x14ac:dyDescent="0.25">
      <c r="A223" s="40">
        <f t="shared" ca="1" si="7"/>
        <v>-14.130817386125008</v>
      </c>
      <c r="B223" s="41">
        <f t="shared" si="11"/>
        <v>9.1999999999999744</v>
      </c>
      <c r="C223" s="40">
        <f t="shared" si="8"/>
        <v>0.22184166935889293</v>
      </c>
      <c r="D223" s="40">
        <f t="shared" ca="1" si="9"/>
        <v>0</v>
      </c>
      <c r="E223" s="40">
        <f t="shared" si="10"/>
        <v>0</v>
      </c>
    </row>
    <row r="224" spans="1:5" x14ac:dyDescent="0.25">
      <c r="A224" s="40">
        <f t="shared" ca="1" si="7"/>
        <v>-13.954182168798456</v>
      </c>
      <c r="B224" s="41">
        <f t="shared" si="11"/>
        <v>9.2099999999999742</v>
      </c>
      <c r="C224" s="40">
        <f t="shared" si="8"/>
        <v>0.22900960051856609</v>
      </c>
      <c r="D224" s="40">
        <f t="shared" ca="1" si="9"/>
        <v>0</v>
      </c>
      <c r="E224" s="40">
        <f t="shared" si="10"/>
        <v>0</v>
      </c>
    </row>
    <row r="225" spans="1:5" x14ac:dyDescent="0.25">
      <c r="A225" s="40">
        <f t="shared" ca="1" si="7"/>
        <v>-13.777546951471901</v>
      </c>
      <c r="B225" s="41">
        <f t="shared" si="11"/>
        <v>9.219999999999974</v>
      </c>
      <c r="C225" s="40">
        <f t="shared" si="8"/>
        <v>0.23631459011914541</v>
      </c>
      <c r="D225" s="40">
        <f t="shared" ca="1" si="9"/>
        <v>0</v>
      </c>
      <c r="E225" s="40">
        <f t="shared" si="10"/>
        <v>0</v>
      </c>
    </row>
    <row r="226" spans="1:5" x14ac:dyDescent="0.25">
      <c r="A226" s="40">
        <f t="shared" ca="1" si="7"/>
        <v>-13.600911734145349</v>
      </c>
      <c r="B226" s="41">
        <f t="shared" si="11"/>
        <v>9.2299999999999738</v>
      </c>
      <c r="C226" s="40">
        <f t="shared" si="8"/>
        <v>0.24375507406478383</v>
      </c>
      <c r="D226" s="40">
        <f t="shared" ca="1" si="9"/>
        <v>0</v>
      </c>
      <c r="E226" s="40">
        <f t="shared" si="10"/>
        <v>0</v>
      </c>
    </row>
    <row r="227" spans="1:5" x14ac:dyDescent="0.25">
      <c r="A227" s="40">
        <f t="shared" ca="1" si="7"/>
        <v>-13.424276516818795</v>
      </c>
      <c r="B227" s="41">
        <f t="shared" si="11"/>
        <v>9.2399999999999736</v>
      </c>
      <c r="C227" s="40">
        <f t="shared" si="8"/>
        <v>0.2513292735781561</v>
      </c>
      <c r="D227" s="40">
        <f t="shared" ca="1" si="9"/>
        <v>0</v>
      </c>
      <c r="E227" s="40">
        <f t="shared" si="10"/>
        <v>0</v>
      </c>
    </row>
    <row r="228" spans="1:5" x14ac:dyDescent="0.25">
      <c r="A228" s="40">
        <f t="shared" ca="1" si="7"/>
        <v>-13.247641299492242</v>
      </c>
      <c r="B228" s="41">
        <f t="shared" si="11"/>
        <v>9.2499999999999734</v>
      </c>
      <c r="C228" s="40">
        <f t="shared" si="8"/>
        <v>0.25903519133176273</v>
      </c>
      <c r="D228" s="40">
        <f t="shared" ca="1" si="9"/>
        <v>0</v>
      </c>
      <c r="E228" s="40">
        <f t="shared" si="10"/>
        <v>0</v>
      </c>
    </row>
    <row r="229" spans="1:5" x14ac:dyDescent="0.25">
      <c r="A229" s="40">
        <f t="shared" ca="1" si="7"/>
        <v>-13.07100608216569</v>
      </c>
      <c r="B229" s="41">
        <f t="shared" si="11"/>
        <v>9.2599999999999731</v>
      </c>
      <c r="C229" s="40">
        <f t="shared" si="8"/>
        <v>0.26687060790198341</v>
      </c>
      <c r="D229" s="40">
        <f t="shared" ca="1" si="9"/>
        <v>0</v>
      </c>
      <c r="E229" s="40">
        <f t="shared" si="10"/>
        <v>0</v>
      </c>
    </row>
    <row r="230" spans="1:5" x14ac:dyDescent="0.25">
      <c r="A230" s="40">
        <f t="shared" ca="1" si="7"/>
        <v>-12.894370864839136</v>
      </c>
      <c r="B230" s="41">
        <f t="shared" si="11"/>
        <v>9.2699999999999729</v>
      </c>
      <c r="C230" s="40">
        <f t="shared" si="8"/>
        <v>0.27483307856454181</v>
      </c>
      <c r="D230" s="40">
        <f t="shared" ca="1" si="9"/>
        <v>0</v>
      </c>
      <c r="E230" s="40">
        <f t="shared" si="10"/>
        <v>0</v>
      </c>
    </row>
    <row r="231" spans="1:5" x14ac:dyDescent="0.25">
      <c r="A231" s="40">
        <f t="shared" ref="A231:A294" ca="1" si="12">(B231-B$4)/B$11</f>
        <v>-12.717735647512583</v>
      </c>
      <c r="B231" s="41">
        <f t="shared" si="11"/>
        <v>9.2799999999999727</v>
      </c>
      <c r="C231" s="40">
        <f t="shared" ref="C231:C294" si="13">NORMDIST(B231,B$4,B$5,0)</f>
        <v>0.28291993044965535</v>
      </c>
      <c r="D231" s="40">
        <f t="shared" ref="D231:D294" ca="1" si="14">IF(C231&lt;=B$14/2,C231,0)</f>
        <v>0</v>
      </c>
      <c r="E231" s="40">
        <f t="shared" ref="E231:E294" si="15">IF(C231&lt;=B$6/2,C231,0)</f>
        <v>0</v>
      </c>
    </row>
    <row r="232" spans="1:5" x14ac:dyDescent="0.25">
      <c r="A232" s="40">
        <f t="shared" ca="1" si="12"/>
        <v>-12.541100430186029</v>
      </c>
      <c r="B232" s="41">
        <f t="shared" si="11"/>
        <v>9.2899999999999725</v>
      </c>
      <c r="C232" s="40">
        <f t="shared" si="13"/>
        <v>0.29112826007467246</v>
      </c>
      <c r="D232" s="40">
        <f t="shared" ca="1" si="14"/>
        <v>0</v>
      </c>
      <c r="E232" s="40">
        <f t="shared" si="15"/>
        <v>0</v>
      </c>
    </row>
    <row r="233" spans="1:5" x14ac:dyDescent="0.25">
      <c r="A233" s="40">
        <f t="shared" ca="1" si="12"/>
        <v>-12.364465212859477</v>
      </c>
      <c r="B233" s="41">
        <f t="shared" ref="B233:B296" si="16">B232+0.01</f>
        <v>9.2999999999999723</v>
      </c>
      <c r="C233" s="40">
        <f t="shared" si="13"/>
        <v>0.2994549312714665</v>
      </c>
      <c r="D233" s="40">
        <f t="shared" ca="1" si="14"/>
        <v>0</v>
      </c>
      <c r="E233" s="40">
        <f t="shared" si="15"/>
        <v>0</v>
      </c>
    </row>
    <row r="234" spans="1:5" x14ac:dyDescent="0.25">
      <c r="A234" s="40">
        <f t="shared" ca="1" si="12"/>
        <v>-12.187829995532923</v>
      </c>
      <c r="B234" s="41">
        <f t="shared" si="16"/>
        <v>9.3099999999999721</v>
      </c>
      <c r="C234" s="40">
        <f t="shared" si="13"/>
        <v>0.30789657352524369</v>
      </c>
      <c r="D234" s="40">
        <f t="shared" ca="1" si="14"/>
        <v>0</v>
      </c>
      <c r="E234" s="40">
        <f t="shared" si="15"/>
        <v>0</v>
      </c>
    </row>
    <row r="235" spans="1:5" x14ac:dyDescent="0.25">
      <c r="A235" s="40">
        <f t="shared" ca="1" si="12"/>
        <v>-12.01119477820637</v>
      </c>
      <c r="B235" s="41">
        <f t="shared" si="16"/>
        <v>9.3199999999999719</v>
      </c>
      <c r="C235" s="40">
        <f t="shared" si="13"/>
        <v>0.31644958074074186</v>
      </c>
      <c r="D235" s="40">
        <f t="shared" ca="1" si="14"/>
        <v>0</v>
      </c>
      <c r="E235" s="40">
        <f t="shared" si="15"/>
        <v>0</v>
      </c>
    </row>
    <row r="236" spans="1:5" x14ac:dyDescent="0.25">
      <c r="A236" s="40">
        <f t="shared" ca="1" si="12"/>
        <v>-11.834559560879816</v>
      </c>
      <c r="B236" s="41">
        <f t="shared" si="16"/>
        <v>9.3299999999999716</v>
      </c>
      <c r="C236" s="40">
        <f t="shared" si="13"/>
        <v>0.3251101104510436</v>
      </c>
      <c r="D236" s="40">
        <f t="shared" ca="1" si="14"/>
        <v>0</v>
      </c>
      <c r="E236" s="40">
        <f t="shared" si="15"/>
        <v>0</v>
      </c>
    </row>
    <row r="237" spans="1:5" x14ac:dyDescent="0.25">
      <c r="A237" s="40">
        <f t="shared" ca="1" si="12"/>
        <v>-11.657924343553264</v>
      </c>
      <c r="B237" s="41">
        <f t="shared" si="16"/>
        <v>9.3399999999999714</v>
      </c>
      <c r="C237" s="40">
        <f t="shared" si="13"/>
        <v>0.33387408348340253</v>
      </c>
      <c r="D237" s="40">
        <f t="shared" ca="1" si="14"/>
        <v>0</v>
      </c>
      <c r="E237" s="40">
        <f t="shared" si="15"/>
        <v>0</v>
      </c>
    </row>
    <row r="238" spans="1:5" x14ac:dyDescent="0.25">
      <c r="A238" s="40">
        <f t="shared" ca="1" si="12"/>
        <v>-11.481289126226711</v>
      </c>
      <c r="B238" s="41">
        <f t="shared" si="16"/>
        <v>9.3499999999999712</v>
      </c>
      <c r="C238" s="40">
        <f t="shared" si="13"/>
        <v>0.34273718409558906</v>
      </c>
      <c r="D238" s="40">
        <f t="shared" ca="1" si="14"/>
        <v>0</v>
      </c>
      <c r="E238" s="40">
        <f t="shared" si="15"/>
        <v>0</v>
      </c>
    </row>
    <row r="239" spans="1:5" x14ac:dyDescent="0.25">
      <c r="A239" s="40">
        <f t="shared" ca="1" si="12"/>
        <v>-11.304653908900157</v>
      </c>
      <c r="B239" s="41">
        <f t="shared" si="16"/>
        <v>9.359999999999971</v>
      </c>
      <c r="C239" s="40">
        <f t="shared" si="13"/>
        <v>0.35169486059529864</v>
      </c>
      <c r="D239" s="40">
        <f t="shared" ca="1" si="14"/>
        <v>0</v>
      </c>
      <c r="E239" s="40">
        <f t="shared" si="15"/>
        <v>0</v>
      </c>
    </row>
    <row r="240" spans="1:5" x14ac:dyDescent="0.25">
      <c r="A240" s="40">
        <f t="shared" ca="1" si="12"/>
        <v>-11.128018691573605</v>
      </c>
      <c r="B240" s="41">
        <f t="shared" si="16"/>
        <v>9.3699999999999708</v>
      </c>
      <c r="C240" s="40">
        <f t="shared" si="13"/>
        <v>0.36074232645413418</v>
      </c>
      <c r="D240" s="40">
        <f t="shared" ca="1" si="14"/>
        <v>0</v>
      </c>
      <c r="E240" s="40">
        <f t="shared" si="15"/>
        <v>0</v>
      </c>
    </row>
    <row r="241" spans="1:5" x14ac:dyDescent="0.25">
      <c r="A241" s="40">
        <f t="shared" ca="1" si="12"/>
        <v>-10.95138347424705</v>
      </c>
      <c r="B241" s="41">
        <f t="shared" si="16"/>
        <v>9.3799999999999706</v>
      </c>
      <c r="C241" s="40">
        <f t="shared" si="13"/>
        <v>0.36987456192658363</v>
      </c>
      <c r="D241" s="40">
        <f t="shared" ca="1" si="14"/>
        <v>0</v>
      </c>
      <c r="E241" s="40">
        <f t="shared" si="15"/>
        <v>0</v>
      </c>
    </row>
    <row r="242" spans="1:5" x14ac:dyDescent="0.25">
      <c r="A242" s="40">
        <f t="shared" ca="1" si="12"/>
        <v>-10.774748256920498</v>
      </c>
      <c r="B242" s="41">
        <f t="shared" si="16"/>
        <v>9.3899999999999704</v>
      </c>
      <c r="C242" s="40">
        <f t="shared" si="13"/>
        <v>0.37908631618325306</v>
      </c>
      <c r="D242" s="40">
        <f t="shared" ca="1" si="14"/>
        <v>0</v>
      </c>
      <c r="E242" s="40">
        <f t="shared" si="15"/>
        <v>0</v>
      </c>
    </row>
    <row r="243" spans="1:5" x14ac:dyDescent="0.25">
      <c r="A243" s="40">
        <f t="shared" ca="1" si="12"/>
        <v>-10.598113039593944</v>
      </c>
      <c r="B243" s="41">
        <f t="shared" si="16"/>
        <v>9.3999999999999702</v>
      </c>
      <c r="C243" s="40">
        <f t="shared" si="13"/>
        <v>0.38837210996639809</v>
      </c>
      <c r="D243" s="40">
        <f t="shared" ca="1" si="14"/>
        <v>0</v>
      </c>
      <c r="E243" s="40">
        <f t="shared" si="15"/>
        <v>0</v>
      </c>
    </row>
    <row r="244" spans="1:5" x14ac:dyDescent="0.25">
      <c r="A244" s="40">
        <f t="shared" ca="1" si="12"/>
        <v>-10.421477822267391</v>
      </c>
      <c r="B244" s="41">
        <f t="shared" si="16"/>
        <v>9.4099999999999699</v>
      </c>
      <c r="C244" s="40">
        <f t="shared" si="13"/>
        <v>0.39772623877452357</v>
      </c>
      <c r="D244" s="40">
        <f t="shared" ca="1" si="14"/>
        <v>0</v>
      </c>
      <c r="E244" s="40">
        <f t="shared" si="15"/>
        <v>0</v>
      </c>
    </row>
    <row r="245" spans="1:5" x14ac:dyDescent="0.25">
      <c r="A245" s="40">
        <f t="shared" ca="1" si="12"/>
        <v>-10.244842604940839</v>
      </c>
      <c r="B245" s="41">
        <f t="shared" si="16"/>
        <v>9.4199999999999697</v>
      </c>
      <c r="C245" s="40">
        <f t="shared" si="13"/>
        <v>0.40714277658149028</v>
      </c>
      <c r="D245" s="40">
        <f t="shared" ca="1" si="14"/>
        <v>0</v>
      </c>
      <c r="E245" s="40">
        <f t="shared" si="15"/>
        <v>0</v>
      </c>
    </row>
    <row r="246" spans="1:5" x14ac:dyDescent="0.25">
      <c r="A246" s="40">
        <f t="shared" ca="1" si="12"/>
        <v>-10.068207387614285</v>
      </c>
      <c r="B246" s="41">
        <f t="shared" si="16"/>
        <v>9.4299999999999695</v>
      </c>
      <c r="C246" s="40">
        <f t="shared" si="13"/>
        <v>0.41661558009418775</v>
      </c>
      <c r="D246" s="40">
        <f t="shared" ca="1" si="14"/>
        <v>0</v>
      </c>
      <c r="E246" s="40">
        <f t="shared" si="15"/>
        <v>0</v>
      </c>
    </row>
    <row r="247" spans="1:5" x14ac:dyDescent="0.25">
      <c r="A247" s="40">
        <f t="shared" ca="1" si="12"/>
        <v>-9.8915721702877324</v>
      </c>
      <c r="B247" s="41">
        <f t="shared" si="16"/>
        <v>9.4399999999999693</v>
      </c>
      <c r="C247" s="40">
        <f t="shared" si="13"/>
        <v>0.42613829355140648</v>
      </c>
      <c r="D247" s="40">
        <f t="shared" ca="1" si="14"/>
        <v>0</v>
      </c>
      <c r="E247" s="40">
        <f t="shared" si="15"/>
        <v>0</v>
      </c>
    </row>
    <row r="248" spans="1:5" x14ac:dyDescent="0.25">
      <c r="A248" s="40">
        <f t="shared" ca="1" si="12"/>
        <v>-9.7149369529611782</v>
      </c>
      <c r="B248" s="41">
        <f t="shared" si="16"/>
        <v>9.4499999999999691</v>
      </c>
      <c r="C248" s="40">
        <f t="shared" si="13"/>
        <v>0.43570435406507141</v>
      </c>
      <c r="D248" s="40">
        <f t="shared" ca="1" si="14"/>
        <v>0</v>
      </c>
      <c r="E248" s="40">
        <f t="shared" si="15"/>
        <v>0</v>
      </c>
    </row>
    <row r="249" spans="1:5" x14ac:dyDescent="0.25">
      <c r="A249" s="40">
        <f t="shared" ca="1" si="12"/>
        <v>-9.5383017356346258</v>
      </c>
      <c r="B249" s="41">
        <f t="shared" si="16"/>
        <v>9.4599999999999689</v>
      </c>
      <c r="C249" s="40">
        <f t="shared" si="13"/>
        <v>0.44530699750349234</v>
      </c>
      <c r="D249" s="40">
        <f t="shared" ca="1" si="14"/>
        <v>0</v>
      </c>
      <c r="E249" s="40">
        <f t="shared" si="15"/>
        <v>0</v>
      </c>
    </row>
    <row r="250" spans="1:5" x14ac:dyDescent="0.25">
      <c r="A250" s="40">
        <f t="shared" ca="1" si="12"/>
        <v>-9.3616665183080716</v>
      </c>
      <c r="B250" s="41">
        <f t="shared" si="16"/>
        <v>9.4699999999999687</v>
      </c>
      <c r="C250" s="40">
        <f t="shared" si="13"/>
        <v>0.45493926491474157</v>
      </c>
      <c r="D250" s="40">
        <f t="shared" ca="1" si="14"/>
        <v>0</v>
      </c>
      <c r="E250" s="40">
        <f t="shared" si="15"/>
        <v>0</v>
      </c>
    </row>
    <row r="251" spans="1:5" x14ac:dyDescent="0.25">
      <c r="A251" s="40">
        <f t="shared" ca="1" si="12"/>
        <v>-9.1850313009815192</v>
      </c>
      <c r="B251" s="41">
        <f t="shared" si="16"/>
        <v>9.4799999999999685</v>
      </c>
      <c r="C251" s="40">
        <f t="shared" si="13"/>
        <v>0.46459400948670193</v>
      </c>
      <c r="D251" s="40">
        <f t="shared" ca="1" si="14"/>
        <v>0</v>
      </c>
      <c r="E251" s="40">
        <f t="shared" si="15"/>
        <v>0</v>
      </c>
    </row>
    <row r="252" spans="1:5" x14ac:dyDescent="0.25">
      <c r="A252" s="40">
        <f t="shared" ca="1" si="12"/>
        <v>-9.008396083654965</v>
      </c>
      <c r="B252" s="41">
        <f t="shared" si="16"/>
        <v>9.4899999999999682</v>
      </c>
      <c r="C252" s="40">
        <f t="shared" si="13"/>
        <v>0.47426390403872848</v>
      </c>
      <c r="D252" s="40">
        <f t="shared" ca="1" si="14"/>
        <v>0</v>
      </c>
      <c r="E252" s="40">
        <f t="shared" si="15"/>
        <v>0</v>
      </c>
    </row>
    <row r="253" spans="1:5" x14ac:dyDescent="0.25">
      <c r="A253" s="40">
        <f t="shared" ca="1" si="12"/>
        <v>-8.8317608663284126</v>
      </c>
      <c r="B253" s="41">
        <f t="shared" si="16"/>
        <v>9.499999999999968</v>
      </c>
      <c r="C253" s="40">
        <f t="shared" si="13"/>
        <v>0.48394144903825581</v>
      </c>
      <c r="D253" s="40">
        <f t="shared" ca="1" si="14"/>
        <v>0</v>
      </c>
      <c r="E253" s="40">
        <f t="shared" si="15"/>
        <v>0</v>
      </c>
    </row>
    <row r="254" spans="1:5" x14ac:dyDescent="0.25">
      <c r="A254" s="40">
        <f t="shared" ca="1" si="12"/>
        <v>-8.6551256490018602</v>
      </c>
      <c r="B254" s="41">
        <f t="shared" si="16"/>
        <v>9.5099999999999678</v>
      </c>
      <c r="C254" s="40">
        <f t="shared" si="13"/>
        <v>0.49361898113405428</v>
      </c>
      <c r="D254" s="40">
        <f t="shared" ca="1" si="14"/>
        <v>0</v>
      </c>
      <c r="E254" s="40">
        <f t="shared" si="15"/>
        <v>0</v>
      </c>
    </row>
    <row r="255" spans="1:5" x14ac:dyDescent="0.25">
      <c r="A255" s="40">
        <f t="shared" ca="1" si="12"/>
        <v>-8.478490431675306</v>
      </c>
      <c r="B255" s="41">
        <f t="shared" si="16"/>
        <v>9.5199999999999676</v>
      </c>
      <c r="C255" s="40">
        <f t="shared" si="13"/>
        <v>0.50328868219620293</v>
      </c>
      <c r="D255" s="40">
        <f t="shared" ca="1" si="14"/>
        <v>0</v>
      </c>
      <c r="E255" s="40">
        <f t="shared" si="15"/>
        <v>0</v>
      </c>
    </row>
    <row r="256" spans="1:5" x14ac:dyDescent="0.25">
      <c r="A256" s="40">
        <f t="shared" ca="1" si="12"/>
        <v>-8.3018552143487536</v>
      </c>
      <c r="B256" s="41">
        <f t="shared" si="16"/>
        <v>9.5299999999999674</v>
      </c>
      <c r="C256" s="40">
        <f t="shared" si="13"/>
        <v>0.51294258885120925</v>
      </c>
      <c r="D256" s="40">
        <f t="shared" ca="1" si="14"/>
        <v>0</v>
      </c>
      <c r="E256" s="40">
        <f t="shared" si="15"/>
        <v>0</v>
      </c>
    </row>
    <row r="257" spans="1:5" x14ac:dyDescent="0.25">
      <c r="A257" s="40">
        <f t="shared" ca="1" si="12"/>
        <v>-8.1252199970221994</v>
      </c>
      <c r="B257" s="41">
        <f t="shared" si="16"/>
        <v>9.5399999999999672</v>
      </c>
      <c r="C257" s="40">
        <f t="shared" si="13"/>
        <v>0.52257260249907467</v>
      </c>
      <c r="D257" s="40">
        <f t="shared" ca="1" si="14"/>
        <v>0</v>
      </c>
      <c r="E257" s="40">
        <f t="shared" si="15"/>
        <v>0</v>
      </c>
    </row>
    <row r="258" spans="1:5" x14ac:dyDescent="0.25">
      <c r="A258" s="40">
        <f t="shared" ca="1" si="12"/>
        <v>-7.948584779695647</v>
      </c>
      <c r="B258" s="41">
        <f t="shared" si="16"/>
        <v>9.549999999999967</v>
      </c>
      <c r="C258" s="40">
        <f t="shared" si="13"/>
        <v>0.53217049979747799</v>
      </c>
      <c r="D258" s="40">
        <f t="shared" ca="1" si="14"/>
        <v>0</v>
      </c>
      <c r="E258" s="40">
        <f t="shared" si="15"/>
        <v>0</v>
      </c>
    </row>
    <row r="259" spans="1:5" x14ac:dyDescent="0.25">
      <c r="A259" s="40">
        <f t="shared" ca="1" si="12"/>
        <v>-7.7719495623690937</v>
      </c>
      <c r="B259" s="41">
        <f t="shared" si="16"/>
        <v>9.5599999999999667</v>
      </c>
      <c r="C259" s="40">
        <f t="shared" si="13"/>
        <v>0.54172794359664433</v>
      </c>
      <c r="D259" s="40">
        <f t="shared" ca="1" si="14"/>
        <v>0</v>
      </c>
      <c r="E259" s="40">
        <f t="shared" si="15"/>
        <v>0</v>
      </c>
    </row>
    <row r="260" spans="1:5" x14ac:dyDescent="0.25">
      <c r="A260" s="40">
        <f t="shared" ca="1" si="12"/>
        <v>-7.5953143450425404</v>
      </c>
      <c r="B260" s="41">
        <f t="shared" si="16"/>
        <v>9.5699999999999665</v>
      </c>
      <c r="C260" s="40">
        <f t="shared" si="13"/>
        <v>0.55123649430688171</v>
      </c>
      <c r="D260" s="40">
        <f t="shared" ca="1" si="14"/>
        <v>0</v>
      </c>
      <c r="E260" s="40">
        <f t="shared" si="15"/>
        <v>0</v>
      </c>
    </row>
    <row r="261" spans="1:5" x14ac:dyDescent="0.25">
      <c r="A261" s="40">
        <f t="shared" ca="1" si="12"/>
        <v>-7.4186791277159871</v>
      </c>
      <c r="B261" s="41">
        <f t="shared" si="16"/>
        <v>9.5799999999999663</v>
      </c>
      <c r="C261" s="40">
        <f t="shared" si="13"/>
        <v>0.56068762167920938</v>
      </c>
      <c r="D261" s="40">
        <f t="shared" ca="1" si="14"/>
        <v>0</v>
      </c>
      <c r="E261" s="40">
        <f t="shared" si="15"/>
        <v>0</v>
      </c>
    </row>
    <row r="262" spans="1:5" x14ac:dyDescent="0.25">
      <c r="A262" s="40">
        <f t="shared" ca="1" si="12"/>
        <v>-7.2420439103894338</v>
      </c>
      <c r="B262" s="41">
        <f t="shared" si="16"/>
        <v>9.5899999999999661</v>
      </c>
      <c r="C262" s="40">
        <f t="shared" si="13"/>
        <v>0.57007271697798279</v>
      </c>
      <c r="D262" s="40">
        <f t="shared" ca="1" si="14"/>
        <v>0</v>
      </c>
      <c r="E262" s="40">
        <f t="shared" si="15"/>
        <v>0</v>
      </c>
    </row>
    <row r="263" spans="1:5" x14ac:dyDescent="0.25">
      <c r="A263" s="40">
        <f t="shared" ca="1" si="12"/>
        <v>-7.0654086930628806</v>
      </c>
      <c r="B263" s="41">
        <f t="shared" si="16"/>
        <v>9.5999999999999659</v>
      </c>
      <c r="C263" s="40">
        <f t="shared" si="13"/>
        <v>0.57938310552293393</v>
      </c>
      <c r="D263" s="40">
        <f t="shared" ca="1" si="14"/>
        <v>0</v>
      </c>
      <c r="E263" s="40">
        <f t="shared" si="15"/>
        <v>0</v>
      </c>
    </row>
    <row r="264" spans="1:5" x14ac:dyDescent="0.25">
      <c r="A264" s="40">
        <f t="shared" ca="1" si="12"/>
        <v>-6.8887734757363273</v>
      </c>
      <c r="B264" s="41">
        <f t="shared" si="16"/>
        <v>9.6099999999999657</v>
      </c>
      <c r="C264" s="40">
        <f t="shared" si="13"/>
        <v>0.58861005957661872</v>
      </c>
      <c r="D264" s="40">
        <f t="shared" ca="1" si="14"/>
        <v>0</v>
      </c>
      <c r="E264" s="40">
        <f t="shared" si="15"/>
        <v>0</v>
      </c>
    </row>
    <row r="265" spans="1:5" x14ac:dyDescent="0.25">
      <c r="A265" s="40">
        <f t="shared" ca="1" si="12"/>
        <v>-6.712138258409774</v>
      </c>
      <c r="B265" s="41">
        <f t="shared" si="16"/>
        <v>9.6199999999999655</v>
      </c>
      <c r="C265" s="40">
        <f t="shared" si="13"/>
        <v>0.5977448115518742</v>
      </c>
      <c r="D265" s="40">
        <f t="shared" ca="1" si="14"/>
        <v>0</v>
      </c>
      <c r="E265" s="40">
        <f t="shared" si="15"/>
        <v>0</v>
      </c>
    </row>
    <row r="266" spans="1:5" x14ac:dyDescent="0.25">
      <c r="A266" s="40">
        <f t="shared" ca="1" si="12"/>
        <v>-6.5355030410832207</v>
      </c>
      <c r="B266" s="41">
        <f t="shared" si="16"/>
        <v>9.6299999999999653</v>
      </c>
      <c r="C266" s="40">
        <f t="shared" si="13"/>
        <v>0.60677856751256898</v>
      </c>
      <c r="D266" s="40">
        <f t="shared" ca="1" si="14"/>
        <v>0</v>
      </c>
      <c r="E266" s="40">
        <f t="shared" si="15"/>
        <v>0</v>
      </c>
    </row>
    <row r="267" spans="1:5" x14ac:dyDescent="0.25">
      <c r="A267" s="40">
        <f t="shared" ca="1" si="12"/>
        <v>-6.3588678237566683</v>
      </c>
      <c r="B267" s="41">
        <f t="shared" si="16"/>
        <v>9.639999999999965</v>
      </c>
      <c r="C267" s="40">
        <f t="shared" si="13"/>
        <v>0.61570252093967492</v>
      </c>
      <c r="D267" s="40">
        <f t="shared" ca="1" si="14"/>
        <v>0</v>
      </c>
      <c r="E267" s="40">
        <f t="shared" si="15"/>
        <v>0</v>
      </c>
    </row>
    <row r="268" spans="1:5" x14ac:dyDescent="0.25">
      <c r="A268" s="40">
        <f t="shared" ca="1" si="12"/>
        <v>-6.182232606430115</v>
      </c>
      <c r="B268" s="41">
        <f t="shared" si="16"/>
        <v>9.6499999999999648</v>
      </c>
      <c r="C268" s="40">
        <f t="shared" si="13"/>
        <v>0.62450786673349179</v>
      </c>
      <c r="D268" s="40">
        <f t="shared" ca="1" si="14"/>
        <v>0</v>
      </c>
      <c r="E268" s="40">
        <f t="shared" si="15"/>
        <v>0</v>
      </c>
    </row>
    <row r="269" spans="1:5" x14ac:dyDescent="0.25">
      <c r="A269" s="40">
        <f t="shared" ca="1" si="12"/>
        <v>-6.0055973891035617</v>
      </c>
      <c r="B269" s="41">
        <f t="shared" si="16"/>
        <v>9.6599999999999646</v>
      </c>
      <c r="C269" s="40">
        <f t="shared" si="13"/>
        <v>0.63318581542175512</v>
      </c>
      <c r="D269" s="40">
        <f t="shared" ca="1" si="14"/>
        <v>0</v>
      </c>
      <c r="E269" s="40">
        <f t="shared" si="15"/>
        <v>0</v>
      </c>
    </row>
    <row r="270" spans="1:5" x14ac:dyDescent="0.25">
      <c r="A270" s="40">
        <f t="shared" ca="1" si="12"/>
        <v>-5.8289621717770084</v>
      </c>
      <c r="B270" s="41">
        <f t="shared" si="16"/>
        <v>9.6699999999999644</v>
      </c>
      <c r="C270" s="40">
        <f t="shared" si="13"/>
        <v>0.64172760754231495</v>
      </c>
      <c r="D270" s="40">
        <f t="shared" ca="1" si="14"/>
        <v>0</v>
      </c>
      <c r="E270" s="40">
        <f t="shared" si="15"/>
        <v>0</v>
      </c>
    </row>
    <row r="271" spans="1:5" x14ac:dyDescent="0.25">
      <c r="A271" s="40">
        <f t="shared" ca="1" si="12"/>
        <v>-5.6523269544504551</v>
      </c>
      <c r="B271" s="41">
        <f t="shared" si="16"/>
        <v>9.6799999999999642</v>
      </c>
      <c r="C271" s="40">
        <f t="shared" si="13"/>
        <v>0.65012452816813449</v>
      </c>
      <c r="D271" s="40">
        <f t="shared" ca="1" si="14"/>
        <v>0</v>
      </c>
      <c r="E271" s="40">
        <f t="shared" si="15"/>
        <v>0</v>
      </c>
    </row>
    <row r="272" spans="1:5" x14ac:dyDescent="0.25">
      <c r="A272" s="40">
        <f t="shared" ca="1" si="12"/>
        <v>-5.4756917371239018</v>
      </c>
      <c r="B272" s="41">
        <f t="shared" si="16"/>
        <v>9.689999999999964</v>
      </c>
      <c r="C272" s="40">
        <f t="shared" si="13"/>
        <v>0.65836792154150015</v>
      </c>
      <c r="D272" s="40">
        <f t="shared" ca="1" si="14"/>
        <v>0</v>
      </c>
      <c r="E272" s="40">
        <f t="shared" si="15"/>
        <v>0</v>
      </c>
    </row>
    <row r="273" spans="1:5" x14ac:dyDescent="0.25">
      <c r="A273" s="40">
        <f t="shared" ca="1" si="12"/>
        <v>-5.2990565197973485</v>
      </c>
      <c r="B273" s="41">
        <f t="shared" si="16"/>
        <v>9.6999999999999638</v>
      </c>
      <c r="C273" s="40">
        <f t="shared" si="13"/>
        <v>0.66644920578357036</v>
      </c>
      <c r="D273" s="40">
        <f t="shared" ca="1" si="14"/>
        <v>0</v>
      </c>
      <c r="E273" s="40">
        <f t="shared" si="15"/>
        <v>0</v>
      </c>
    </row>
    <row r="274" spans="1:5" x14ac:dyDescent="0.25">
      <c r="A274" s="40">
        <f t="shared" ca="1" si="12"/>
        <v>-5.1224213024707952</v>
      </c>
      <c r="B274" s="41">
        <f t="shared" si="16"/>
        <v>9.7099999999999635</v>
      </c>
      <c r="C274" s="40">
        <f t="shared" si="13"/>
        <v>0.67435988764473265</v>
      </c>
      <c r="D274" s="40">
        <f t="shared" ca="1" si="14"/>
        <v>0</v>
      </c>
      <c r="E274" s="40">
        <f t="shared" si="15"/>
        <v>0</v>
      </c>
    </row>
    <row r="275" spans="1:5" x14ac:dyDescent="0.25">
      <c r="A275" s="40">
        <f t="shared" ca="1" si="12"/>
        <v>-4.9457860851442428</v>
      </c>
      <c r="B275" s="41">
        <f t="shared" si="16"/>
        <v>9.7199999999999633</v>
      </c>
      <c r="C275" s="40">
        <f t="shared" si="13"/>
        <v>0.68209157726067715</v>
      </c>
      <c r="D275" s="40">
        <f t="shared" ca="1" si="14"/>
        <v>0</v>
      </c>
      <c r="E275" s="40">
        <f t="shared" si="15"/>
        <v>0</v>
      </c>
    </row>
    <row r="276" spans="1:5" x14ac:dyDescent="0.25">
      <c r="A276" s="40">
        <f t="shared" ca="1" si="12"/>
        <v>-4.7691508678176895</v>
      </c>
      <c r="B276" s="41">
        <f t="shared" si="16"/>
        <v>9.7299999999999631</v>
      </c>
      <c r="C276" s="40">
        <f t="shared" si="13"/>
        <v>0.68963600287863924</v>
      </c>
      <c r="D276" s="40">
        <f t="shared" ca="1" si="14"/>
        <v>0</v>
      </c>
      <c r="E276" s="40">
        <f t="shared" si="15"/>
        <v>0</v>
      </c>
    </row>
    <row r="277" spans="1:5" x14ac:dyDescent="0.25">
      <c r="A277" s="40">
        <f t="shared" ca="1" si="12"/>
        <v>-4.5925156504911362</v>
      </c>
      <c r="B277" s="41">
        <f t="shared" si="16"/>
        <v>9.7399999999999629</v>
      </c>
      <c r="C277" s="40">
        <f t="shared" si="13"/>
        <v>0.69698502551792219</v>
      </c>
      <c r="D277" s="40">
        <f t="shared" ca="1" si="14"/>
        <v>0</v>
      </c>
      <c r="E277" s="40">
        <f t="shared" si="15"/>
        <v>0</v>
      </c>
    </row>
    <row r="278" spans="1:5" x14ac:dyDescent="0.25">
      <c r="A278" s="40">
        <f t="shared" ca="1" si="12"/>
        <v>-4.4158804331645829</v>
      </c>
      <c r="B278" s="41">
        <f t="shared" si="16"/>
        <v>9.7499999999999627</v>
      </c>
      <c r="C278" s="40">
        <f t="shared" si="13"/>
        <v>0.70413065352857274</v>
      </c>
      <c r="D278" s="40">
        <f t="shared" ca="1" si="14"/>
        <v>0</v>
      </c>
      <c r="E278" s="40">
        <f t="shared" si="15"/>
        <v>0</v>
      </c>
    </row>
    <row r="279" spans="1:5" x14ac:dyDescent="0.25">
      <c r="A279" s="40">
        <f t="shared" ca="1" si="12"/>
        <v>-4.2392452158380296</v>
      </c>
      <c r="B279" s="41">
        <f t="shared" si="16"/>
        <v>9.7599999999999625</v>
      </c>
      <c r="C279" s="40">
        <f t="shared" si="13"/>
        <v>0.71106505701196854</v>
      </c>
      <c r="D279" s="40">
        <f t="shared" ca="1" si="14"/>
        <v>0</v>
      </c>
      <c r="E279" s="40">
        <f t="shared" si="15"/>
        <v>0</v>
      </c>
    </row>
    <row r="280" spans="1:5" x14ac:dyDescent="0.25">
      <c r="A280" s="40">
        <f t="shared" ca="1" si="12"/>
        <v>-4.0626099985114763</v>
      </c>
      <c r="B280" s="41">
        <f t="shared" si="16"/>
        <v>9.7699999999999623</v>
      </c>
      <c r="C280" s="40">
        <f t="shared" si="13"/>
        <v>0.7177805820670643</v>
      </c>
      <c r="D280" s="40">
        <f t="shared" ca="1" si="14"/>
        <v>0</v>
      </c>
      <c r="E280" s="40">
        <f t="shared" si="15"/>
        <v>0</v>
      </c>
    </row>
    <row r="281" spans="1:5" x14ac:dyDescent="0.25">
      <c r="A281" s="40">
        <f t="shared" ca="1" si="12"/>
        <v>-3.8859747811849235</v>
      </c>
      <c r="B281" s="41">
        <f t="shared" si="16"/>
        <v>9.7799999999999621</v>
      </c>
      <c r="C281" s="40">
        <f t="shared" si="13"/>
        <v>0.72426976482616023</v>
      </c>
      <c r="D281" s="40">
        <f t="shared" ca="1" si="14"/>
        <v>0</v>
      </c>
      <c r="E281" s="40">
        <f t="shared" si="15"/>
        <v>0</v>
      </c>
    </row>
    <row r="282" spans="1:5" x14ac:dyDescent="0.25">
      <c r="A282" s="40">
        <f t="shared" ca="1" si="12"/>
        <v>-3.7093395638583702</v>
      </c>
      <c r="B282" s="41">
        <f t="shared" si="16"/>
        <v>9.7899999999999618</v>
      </c>
      <c r="C282" s="40">
        <f t="shared" si="13"/>
        <v>0.73052534524428447</v>
      </c>
      <c r="D282" s="40">
        <f t="shared" ca="1" si="14"/>
        <v>0</v>
      </c>
      <c r="E282" s="40">
        <f t="shared" si="15"/>
        <v>0</v>
      </c>
    </row>
    <row r="283" spans="1:5" x14ac:dyDescent="0.25">
      <c r="A283" s="40">
        <f t="shared" ca="1" si="12"/>
        <v>-3.5327043465318169</v>
      </c>
      <c r="B283" s="41">
        <f t="shared" si="16"/>
        <v>9.7999999999999616</v>
      </c>
      <c r="C283" s="40">
        <f t="shared" si="13"/>
        <v>0.73654028060662402</v>
      </c>
      <c r="D283" s="40">
        <f t="shared" ca="1" si="14"/>
        <v>0</v>
      </c>
      <c r="E283" s="40">
        <f t="shared" si="15"/>
        <v>0</v>
      </c>
    </row>
    <row r="284" spans="1:5" x14ac:dyDescent="0.25">
      <c r="A284" s="40">
        <f t="shared" ca="1" si="12"/>
        <v>-3.3560691292052636</v>
      </c>
      <c r="B284" s="41">
        <f t="shared" si="16"/>
        <v>9.8099999999999614</v>
      </c>
      <c r="C284" s="40">
        <f t="shared" si="13"/>
        <v>0.74230775871891019</v>
      </c>
      <c r="D284" s="40">
        <f t="shared" ca="1" si="14"/>
        <v>0</v>
      </c>
      <c r="E284" s="40">
        <f t="shared" si="15"/>
        <v>0</v>
      </c>
    </row>
    <row r="285" spans="1:5" x14ac:dyDescent="0.25">
      <c r="A285" s="40">
        <f t="shared" ca="1" si="12"/>
        <v>-3.1794339118787103</v>
      </c>
      <c r="B285" s="41">
        <f t="shared" si="16"/>
        <v>9.8199999999999612</v>
      </c>
      <c r="C285" s="40">
        <f t="shared" si="13"/>
        <v>0.74782121074623586</v>
      </c>
      <c r="D285" s="40">
        <f t="shared" ca="1" si="14"/>
        <v>0</v>
      </c>
      <c r="E285" s="40">
        <f t="shared" si="15"/>
        <v>0</v>
      </c>
    </row>
    <row r="286" spans="1:5" x14ac:dyDescent="0.25">
      <c r="A286" s="40">
        <f t="shared" ca="1" si="12"/>
        <v>-3.0027986945521574</v>
      </c>
      <c r="B286" s="41">
        <f t="shared" si="16"/>
        <v>9.829999999999961</v>
      </c>
      <c r="C286" s="40">
        <f t="shared" si="13"/>
        <v>0.75307432366648797</v>
      </c>
      <c r="D286" s="40">
        <f t="shared" ca="1" si="14"/>
        <v>0</v>
      </c>
      <c r="E286" s="40">
        <f t="shared" si="15"/>
        <v>0</v>
      </c>
    </row>
    <row r="287" spans="1:5" x14ac:dyDescent="0.25">
      <c r="A287" s="40">
        <f t="shared" ca="1" si="12"/>
        <v>-2.8261634772256041</v>
      </c>
      <c r="B287" s="41">
        <f t="shared" si="16"/>
        <v>9.8399999999999608</v>
      </c>
      <c r="C287" s="40">
        <f t="shared" si="13"/>
        <v>0.75806105230538434</v>
      </c>
      <c r="D287" s="40">
        <f t="shared" ca="1" si="14"/>
        <v>0</v>
      </c>
      <c r="E287" s="40">
        <f t="shared" si="15"/>
        <v>0</v>
      </c>
    </row>
    <row r="288" spans="1:5" x14ac:dyDescent="0.25">
      <c r="A288" s="40">
        <f t="shared" ca="1" si="12"/>
        <v>-2.6495282598990508</v>
      </c>
      <c r="B288" s="41">
        <f t="shared" si="16"/>
        <v>9.8499999999999606</v>
      </c>
      <c r="C288" s="40">
        <f t="shared" si="13"/>
        <v>0.76277563092103018</v>
      </c>
      <c r="D288" s="40">
        <f t="shared" ca="1" si="14"/>
        <v>0</v>
      </c>
      <c r="E288" s="40">
        <f t="shared" si="15"/>
        <v>0</v>
      </c>
    </row>
    <row r="289" spans="1:5" x14ac:dyDescent="0.25">
      <c r="A289" s="40">
        <f t="shared" ca="1" si="12"/>
        <v>-2.4728930425724975</v>
      </c>
      <c r="B289" s="41">
        <f t="shared" si="16"/>
        <v>9.8599999999999604</v>
      </c>
      <c r="C289" s="40">
        <f t="shared" si="13"/>
        <v>0.76721258430694006</v>
      </c>
      <c r="D289" s="40">
        <f t="shared" ca="1" si="14"/>
        <v>0</v>
      </c>
      <c r="E289" s="40">
        <f t="shared" si="15"/>
        <v>0</v>
      </c>
    </row>
    <row r="290" spans="1:5" x14ac:dyDescent="0.25">
      <c r="A290" s="40">
        <f t="shared" ca="1" si="12"/>
        <v>-2.2962578252459447</v>
      </c>
      <c r="B290" s="41">
        <f t="shared" si="16"/>
        <v>9.8699999999999601</v>
      </c>
      <c r="C290" s="40">
        <f t="shared" si="13"/>
        <v>0.77136673838361614</v>
      </c>
      <c r="D290" s="40">
        <f t="shared" ca="1" si="14"/>
        <v>0</v>
      </c>
      <c r="E290" s="40">
        <f t="shared" si="15"/>
        <v>0</v>
      </c>
    </row>
    <row r="291" spans="1:5" x14ac:dyDescent="0.25">
      <c r="A291" s="40">
        <f t="shared" ca="1" si="12"/>
        <v>-2.1196226079193914</v>
      </c>
      <c r="B291" s="41">
        <f t="shared" si="16"/>
        <v>9.8799999999999599</v>
      </c>
      <c r="C291" s="40">
        <f t="shared" si="13"/>
        <v>0.77523323025001334</v>
      </c>
      <c r="D291" s="40">
        <f t="shared" ca="1" si="14"/>
        <v>0</v>
      </c>
      <c r="E291" s="40">
        <f t="shared" si="15"/>
        <v>0</v>
      </c>
    </row>
    <row r="292" spans="1:5" x14ac:dyDescent="0.25">
      <c r="A292" s="40">
        <f t="shared" ca="1" si="12"/>
        <v>-1.9429873905928381</v>
      </c>
      <c r="B292" s="41">
        <f t="shared" si="16"/>
        <v>9.8899999999999597</v>
      </c>
      <c r="C292" s="40">
        <f t="shared" si="13"/>
        <v>0.77880751766756706</v>
      </c>
      <c r="D292" s="40">
        <f t="shared" ca="1" si="14"/>
        <v>0</v>
      </c>
      <c r="E292" s="40">
        <f t="shared" si="15"/>
        <v>0</v>
      </c>
    </row>
    <row r="293" spans="1:5" x14ac:dyDescent="0.25">
      <c r="A293" s="40">
        <f t="shared" ca="1" si="12"/>
        <v>-1.766352173266285</v>
      </c>
      <c r="B293" s="41">
        <f t="shared" si="16"/>
        <v>9.8999999999999595</v>
      </c>
      <c r="C293" s="40">
        <f t="shared" si="13"/>
        <v>0.7820853879508991</v>
      </c>
      <c r="D293" s="40">
        <f t="shared" ca="1" si="14"/>
        <v>0</v>
      </c>
      <c r="E293" s="40">
        <f t="shared" si="15"/>
        <v>0</v>
      </c>
    </row>
    <row r="294" spans="1:5" x14ac:dyDescent="0.25">
      <c r="A294" s="40">
        <f t="shared" ca="1" si="12"/>
        <v>-1.5897169559397317</v>
      </c>
      <c r="B294" s="41">
        <f t="shared" si="16"/>
        <v>9.9099999999999593</v>
      </c>
      <c r="C294" s="40">
        <f t="shared" si="13"/>
        <v>0.78506296624084626</v>
      </c>
      <c r="D294" s="40">
        <f t="shared" ca="1" si="14"/>
        <v>0</v>
      </c>
      <c r="E294" s="40">
        <f t="shared" si="15"/>
        <v>0</v>
      </c>
    </row>
    <row r="295" spans="1:5" x14ac:dyDescent="0.25">
      <c r="A295" s="40">
        <f t="shared" ref="A295:A358" ca="1" si="17">(B295-B$4)/B$11</f>
        <v>-1.4130817386131787</v>
      </c>
      <c r="B295" s="41">
        <f t="shared" si="16"/>
        <v>9.9199999999999591</v>
      </c>
      <c r="C295" s="40">
        <f t="shared" ref="C295:C358" si="18">NORMDIST(B295,B$4,B$5,0)</f>
        <v>0.78773672313707144</v>
      </c>
      <c r="D295" s="40">
        <f t="shared" ref="D295:D358" ca="1" si="19">IF(C295&lt;=B$14/2,C295,0)</f>
        <v>0</v>
      </c>
      <c r="E295" s="40">
        <f t="shared" ref="E295:E358" si="20">IF(C295&lt;=B$6/2,C295,0)</f>
        <v>0</v>
      </c>
    </row>
    <row r="296" spans="1:5" x14ac:dyDescent="0.25">
      <c r="A296" s="40">
        <f t="shared" ca="1" si="17"/>
        <v>-1.2364465212866254</v>
      </c>
      <c r="B296" s="41">
        <f t="shared" si="16"/>
        <v>9.9299999999999589</v>
      </c>
      <c r="C296" s="40">
        <f t="shared" si="18"/>
        <v>0.7901034816692134</v>
      </c>
      <c r="D296" s="40">
        <f t="shared" ca="1" si="19"/>
        <v>0</v>
      </c>
      <c r="E296" s="40">
        <f t="shared" si="20"/>
        <v>0</v>
      </c>
    </row>
    <row r="297" spans="1:5" x14ac:dyDescent="0.25">
      <c r="A297" s="40">
        <f t="shared" ca="1" si="17"/>
        <v>-1.0598113039600723</v>
      </c>
      <c r="B297" s="41">
        <f t="shared" ref="B297:B360" si="21">B296+0.01</f>
        <v>9.9399999999999586</v>
      </c>
      <c r="C297" s="40">
        <f t="shared" si="18"/>
        <v>0.79216042358730432</v>
      </c>
      <c r="D297" s="40">
        <f t="shared" ca="1" si="19"/>
        <v>0</v>
      </c>
      <c r="E297" s="40">
        <f t="shared" si="20"/>
        <v>0</v>
      </c>
    </row>
    <row r="298" spans="1:5" x14ac:dyDescent="0.25">
      <c r="A298" s="40">
        <f t="shared" ca="1" si="17"/>
        <v>-0.88317608663351899</v>
      </c>
      <c r="B298" s="41">
        <f t="shared" si="21"/>
        <v>9.9499999999999584</v>
      </c>
      <c r="C298" s="40">
        <f t="shared" si="18"/>
        <v>0.79390509495401695</v>
      </c>
      <c r="D298" s="40">
        <f t="shared" ca="1" si="19"/>
        <v>0</v>
      </c>
      <c r="E298" s="40">
        <f t="shared" si="20"/>
        <v>0</v>
      </c>
    </row>
    <row r="299" spans="1:5" x14ac:dyDescent="0.25">
      <c r="A299" s="40">
        <f t="shared" ca="1" si="17"/>
        <v>-0.7065408693069658</v>
      </c>
      <c r="B299" s="41">
        <f t="shared" si="21"/>
        <v>9.9599999999999582</v>
      </c>
      <c r="C299" s="40">
        <f t="shared" si="18"/>
        <v>0.79533541102321248</v>
      </c>
      <c r="D299" s="40">
        <f t="shared" ca="1" si="19"/>
        <v>0</v>
      </c>
      <c r="E299" s="40">
        <f t="shared" si="20"/>
        <v>0</v>
      </c>
    </row>
    <row r="300" spans="1:5" x14ac:dyDescent="0.25">
      <c r="A300" s="40">
        <f t="shared" ca="1" si="17"/>
        <v>-0.52990565198041262</v>
      </c>
      <c r="B300" s="41">
        <f t="shared" si="21"/>
        <v>9.969999999999958</v>
      </c>
      <c r="C300" s="40">
        <f t="shared" si="18"/>
        <v>0.79644966039120979</v>
      </c>
      <c r="D300" s="40">
        <f t="shared" ca="1" si="19"/>
        <v>0</v>
      </c>
      <c r="E300" s="40">
        <f t="shared" si="20"/>
        <v>0</v>
      </c>
    </row>
    <row r="301" spans="1:5" x14ac:dyDescent="0.25">
      <c r="A301" s="40">
        <f t="shared" ca="1" si="17"/>
        <v>-0.35327043465385943</v>
      </c>
      <c r="B301" s="41">
        <f t="shared" si="21"/>
        <v>9.9799999999999578</v>
      </c>
      <c r="C301" s="40">
        <f t="shared" si="18"/>
        <v>0.79724650840920741</v>
      </c>
      <c r="D301" s="40">
        <f t="shared" ca="1" si="19"/>
        <v>0</v>
      </c>
      <c r="E301" s="40">
        <f t="shared" si="20"/>
        <v>0</v>
      </c>
    </row>
    <row r="302" spans="1:5" x14ac:dyDescent="0.25">
      <c r="A302" s="40">
        <f t="shared" ca="1" si="17"/>
        <v>-0.17663521732730622</v>
      </c>
      <c r="B302" s="41">
        <f t="shared" si="21"/>
        <v>9.9899999999999576</v>
      </c>
      <c r="C302" s="40">
        <f t="shared" si="18"/>
        <v>0.79772499984733092</v>
      </c>
      <c r="D302" s="40">
        <f t="shared" ca="1" si="19"/>
        <v>0</v>
      </c>
      <c r="E302" s="40">
        <f t="shared" si="20"/>
        <v>0</v>
      </c>
    </row>
    <row r="303" spans="1:5" x14ac:dyDescent="0.25">
      <c r="A303" s="40">
        <f t="shared" ca="1" si="17"/>
        <v>-7.5304122330474977E-13</v>
      </c>
      <c r="B303" s="41">
        <f t="shared" si="21"/>
        <v>9.9999999999999574</v>
      </c>
      <c r="C303" s="40">
        <f t="shared" si="18"/>
        <v>0.79788456080286541</v>
      </c>
      <c r="D303" s="40">
        <f t="shared" ca="1" si="19"/>
        <v>0</v>
      </c>
      <c r="E303" s="40">
        <f t="shared" si="20"/>
        <v>0</v>
      </c>
    </row>
    <row r="304" spans="1:5" x14ac:dyDescent="0.25">
      <c r="A304" s="40">
        <f t="shared" ca="1" si="17"/>
        <v>0.17663521732580015</v>
      </c>
      <c r="B304" s="41">
        <f t="shared" si="21"/>
        <v>10.009999999999957</v>
      </c>
      <c r="C304" s="40">
        <f t="shared" si="18"/>
        <v>0.79772499984733358</v>
      </c>
      <c r="D304" s="40">
        <f t="shared" ca="1" si="19"/>
        <v>0</v>
      </c>
      <c r="E304" s="40">
        <f t="shared" si="20"/>
        <v>0</v>
      </c>
    </row>
    <row r="305" spans="1:5" x14ac:dyDescent="0.25">
      <c r="A305" s="40">
        <f t="shared" ca="1" si="17"/>
        <v>0.35327043465235336</v>
      </c>
      <c r="B305" s="41">
        <f t="shared" si="21"/>
        <v>10.019999999999957</v>
      </c>
      <c r="C305" s="40">
        <f t="shared" si="18"/>
        <v>0.79724650840921274</v>
      </c>
      <c r="D305" s="40">
        <f t="shared" ca="1" si="19"/>
        <v>0</v>
      </c>
      <c r="E305" s="40">
        <f t="shared" si="20"/>
        <v>0</v>
      </c>
    </row>
    <row r="306" spans="1:5" x14ac:dyDescent="0.25">
      <c r="A306" s="40">
        <f t="shared" ca="1" si="17"/>
        <v>0.52990565197890649</v>
      </c>
      <c r="B306" s="41">
        <f t="shared" si="21"/>
        <v>10.029999999999957</v>
      </c>
      <c r="C306" s="40">
        <f t="shared" si="18"/>
        <v>0.7964496603912179</v>
      </c>
      <c r="D306" s="40">
        <f t="shared" ca="1" si="19"/>
        <v>0</v>
      </c>
      <c r="E306" s="40">
        <f t="shared" si="20"/>
        <v>0</v>
      </c>
    </row>
    <row r="307" spans="1:5" x14ac:dyDescent="0.25">
      <c r="A307" s="40">
        <f t="shared" ca="1" si="17"/>
        <v>0.70654086930545967</v>
      </c>
      <c r="B307" s="41">
        <f t="shared" si="21"/>
        <v>10.039999999999957</v>
      </c>
      <c r="C307" s="40">
        <f t="shared" si="18"/>
        <v>0.79533541102322336</v>
      </c>
      <c r="D307" s="40">
        <f t="shared" ca="1" si="19"/>
        <v>0</v>
      </c>
      <c r="E307" s="40">
        <f t="shared" si="20"/>
        <v>0</v>
      </c>
    </row>
    <row r="308" spans="1:5" x14ac:dyDescent="0.25">
      <c r="A308" s="40">
        <f t="shared" ca="1" si="17"/>
        <v>0.88317608663201286</v>
      </c>
      <c r="B308" s="41">
        <f t="shared" si="21"/>
        <v>10.049999999999956</v>
      </c>
      <c r="C308" s="40">
        <f t="shared" si="18"/>
        <v>0.7939050949540305</v>
      </c>
      <c r="D308" s="40">
        <f t="shared" ca="1" si="19"/>
        <v>0</v>
      </c>
      <c r="E308" s="40">
        <f t="shared" si="20"/>
        <v>0</v>
      </c>
    </row>
    <row r="309" spans="1:5" x14ac:dyDescent="0.25">
      <c r="A309" s="40">
        <f t="shared" ca="1" si="17"/>
        <v>1.0598113039585662</v>
      </c>
      <c r="B309" s="41">
        <f t="shared" si="21"/>
        <v>10.059999999999956</v>
      </c>
      <c r="C309" s="40">
        <f t="shared" si="18"/>
        <v>0.79216042358732053</v>
      </c>
      <c r="D309" s="40">
        <f t="shared" ca="1" si="19"/>
        <v>0</v>
      </c>
      <c r="E309" s="40">
        <f t="shared" si="20"/>
        <v>0</v>
      </c>
    </row>
    <row r="310" spans="1:5" x14ac:dyDescent="0.25">
      <c r="A310" s="40">
        <f t="shared" ca="1" si="17"/>
        <v>1.2364465212851192</v>
      </c>
      <c r="B310" s="41">
        <f t="shared" si="21"/>
        <v>10.069999999999956</v>
      </c>
      <c r="C310" s="40">
        <f t="shared" si="18"/>
        <v>0.79010348166923228</v>
      </c>
      <c r="D310" s="40">
        <f t="shared" ca="1" si="19"/>
        <v>0</v>
      </c>
      <c r="E310" s="40">
        <f t="shared" si="20"/>
        <v>0</v>
      </c>
    </row>
    <row r="311" spans="1:5" x14ac:dyDescent="0.25">
      <c r="A311" s="40">
        <f t="shared" ca="1" si="17"/>
        <v>1.4130817386116725</v>
      </c>
      <c r="B311" s="41">
        <f t="shared" si="21"/>
        <v>10.079999999999956</v>
      </c>
      <c r="C311" s="40">
        <f t="shared" si="18"/>
        <v>0.78773672313709286</v>
      </c>
      <c r="D311" s="40">
        <f t="shared" ca="1" si="19"/>
        <v>0</v>
      </c>
      <c r="E311" s="40">
        <f t="shared" si="20"/>
        <v>0</v>
      </c>
    </row>
    <row r="312" spans="1:5" x14ac:dyDescent="0.25">
      <c r="A312" s="40">
        <f t="shared" ca="1" si="17"/>
        <v>1.5897169559382256</v>
      </c>
      <c r="B312" s="41">
        <f t="shared" si="21"/>
        <v>10.089999999999955</v>
      </c>
      <c r="C312" s="40">
        <f t="shared" si="18"/>
        <v>0.78506296624087035</v>
      </c>
      <c r="D312" s="40">
        <f t="shared" ca="1" si="19"/>
        <v>0</v>
      </c>
      <c r="E312" s="40">
        <f t="shared" si="20"/>
        <v>0</v>
      </c>
    </row>
    <row r="313" spans="1:5" x14ac:dyDescent="0.25">
      <c r="A313" s="40">
        <f t="shared" ca="1" si="17"/>
        <v>1.7663521732647789</v>
      </c>
      <c r="B313" s="41">
        <f t="shared" si="21"/>
        <v>10.099999999999955</v>
      </c>
      <c r="C313" s="40">
        <f t="shared" si="18"/>
        <v>0.78208538795092586</v>
      </c>
      <c r="D313" s="40">
        <f t="shared" ca="1" si="19"/>
        <v>0</v>
      </c>
      <c r="E313" s="40">
        <f t="shared" si="20"/>
        <v>0</v>
      </c>
    </row>
    <row r="314" spans="1:5" x14ac:dyDescent="0.25">
      <c r="A314" s="40">
        <f t="shared" ca="1" si="17"/>
        <v>1.942987390591332</v>
      </c>
      <c r="B314" s="41">
        <f t="shared" si="21"/>
        <v>10.109999999999955</v>
      </c>
      <c r="C314" s="40">
        <f t="shared" si="18"/>
        <v>0.77880751766759626</v>
      </c>
      <c r="D314" s="40">
        <f t="shared" ca="1" si="19"/>
        <v>0</v>
      </c>
      <c r="E314" s="40">
        <f t="shared" si="20"/>
        <v>0</v>
      </c>
    </row>
    <row r="315" spans="1:5" x14ac:dyDescent="0.25">
      <c r="A315" s="40">
        <f t="shared" ca="1" si="17"/>
        <v>2.119622607917885</v>
      </c>
      <c r="B315" s="41">
        <f t="shared" si="21"/>
        <v>10.119999999999955</v>
      </c>
      <c r="C315" s="40">
        <f t="shared" si="18"/>
        <v>0.77523323025004509</v>
      </c>
      <c r="D315" s="40">
        <f t="shared" ca="1" si="19"/>
        <v>0</v>
      </c>
      <c r="E315" s="40">
        <f t="shared" si="20"/>
        <v>0</v>
      </c>
    </row>
    <row r="316" spans="1:5" x14ac:dyDescent="0.25">
      <c r="A316" s="40">
        <f t="shared" ca="1" si="17"/>
        <v>2.2962578252444383</v>
      </c>
      <c r="B316" s="41">
        <f t="shared" si="21"/>
        <v>10.129999999999955</v>
      </c>
      <c r="C316" s="40">
        <f t="shared" si="18"/>
        <v>0.77136673838365033</v>
      </c>
      <c r="D316" s="40">
        <f t="shared" ca="1" si="19"/>
        <v>0</v>
      </c>
      <c r="E316" s="40">
        <f t="shared" si="20"/>
        <v>0</v>
      </c>
    </row>
    <row r="317" spans="1:5" x14ac:dyDescent="0.25">
      <c r="A317" s="40">
        <f t="shared" ca="1" si="17"/>
        <v>2.4728930425709916</v>
      </c>
      <c r="B317" s="41">
        <f t="shared" si="21"/>
        <v>10.139999999999954</v>
      </c>
      <c r="C317" s="40">
        <f t="shared" si="18"/>
        <v>0.7672125843069767</v>
      </c>
      <c r="D317" s="40">
        <f t="shared" ca="1" si="19"/>
        <v>0</v>
      </c>
      <c r="E317" s="40">
        <f t="shared" si="20"/>
        <v>0</v>
      </c>
    </row>
    <row r="318" spans="1:5" x14ac:dyDescent="0.25">
      <c r="A318" s="40">
        <f t="shared" ca="1" si="17"/>
        <v>2.6495282598975449</v>
      </c>
      <c r="B318" s="41">
        <f t="shared" si="21"/>
        <v>10.149999999999954</v>
      </c>
      <c r="C318" s="40">
        <f t="shared" si="18"/>
        <v>0.76277563092106915</v>
      </c>
      <c r="D318" s="40">
        <f t="shared" ca="1" si="19"/>
        <v>0</v>
      </c>
      <c r="E318" s="40">
        <f t="shared" si="20"/>
        <v>0</v>
      </c>
    </row>
    <row r="319" spans="1:5" x14ac:dyDescent="0.25">
      <c r="A319" s="40">
        <f t="shared" ca="1" si="17"/>
        <v>2.8261634772240982</v>
      </c>
      <c r="B319" s="41">
        <f t="shared" si="21"/>
        <v>10.159999999999954</v>
      </c>
      <c r="C319" s="40">
        <f t="shared" si="18"/>
        <v>0.75806105230542564</v>
      </c>
      <c r="D319" s="40">
        <f t="shared" ca="1" si="19"/>
        <v>0</v>
      </c>
      <c r="E319" s="40">
        <f t="shared" si="20"/>
        <v>0</v>
      </c>
    </row>
    <row r="320" spans="1:5" x14ac:dyDescent="0.25">
      <c r="A320" s="40">
        <f t="shared" ca="1" si="17"/>
        <v>3.0027986945506511</v>
      </c>
      <c r="B320" s="41">
        <f t="shared" si="21"/>
        <v>10.169999999999954</v>
      </c>
      <c r="C320" s="40">
        <f t="shared" si="18"/>
        <v>0.7530743236665316</v>
      </c>
      <c r="D320" s="40">
        <f t="shared" ca="1" si="19"/>
        <v>0</v>
      </c>
      <c r="E320" s="40">
        <f t="shared" si="20"/>
        <v>0</v>
      </c>
    </row>
    <row r="321" spans="1:5" x14ac:dyDescent="0.25">
      <c r="A321" s="40">
        <f t="shared" ca="1" si="17"/>
        <v>3.1794339118772044</v>
      </c>
      <c r="B321" s="41">
        <f t="shared" si="21"/>
        <v>10.179999999999954</v>
      </c>
      <c r="C321" s="40">
        <f t="shared" si="18"/>
        <v>0.74782121074628183</v>
      </c>
      <c r="D321" s="40">
        <f t="shared" ca="1" si="19"/>
        <v>0</v>
      </c>
      <c r="E321" s="40">
        <f t="shared" si="20"/>
        <v>0</v>
      </c>
    </row>
    <row r="322" spans="1:5" x14ac:dyDescent="0.25">
      <c r="A322" s="40">
        <f t="shared" ca="1" si="17"/>
        <v>3.3560691292037577</v>
      </c>
      <c r="B322" s="41">
        <f t="shared" si="21"/>
        <v>10.189999999999953</v>
      </c>
      <c r="C322" s="40">
        <f t="shared" si="18"/>
        <v>0.74230775871895838</v>
      </c>
      <c r="D322" s="40">
        <f t="shared" ca="1" si="19"/>
        <v>0</v>
      </c>
      <c r="E322" s="40">
        <f t="shared" si="20"/>
        <v>0</v>
      </c>
    </row>
    <row r="323" spans="1:5" x14ac:dyDescent="0.25">
      <c r="A323" s="40">
        <f t="shared" ca="1" si="17"/>
        <v>3.532704346530311</v>
      </c>
      <c r="B323" s="41">
        <f t="shared" si="21"/>
        <v>10.199999999999953</v>
      </c>
      <c r="C323" s="40">
        <f t="shared" si="18"/>
        <v>0.73654028060667431</v>
      </c>
      <c r="D323" s="40">
        <f t="shared" ca="1" si="19"/>
        <v>0</v>
      </c>
      <c r="E323" s="40">
        <f t="shared" si="20"/>
        <v>0</v>
      </c>
    </row>
    <row r="324" spans="1:5" x14ac:dyDescent="0.25">
      <c r="A324" s="40">
        <f t="shared" ca="1" si="17"/>
        <v>3.7093395638568638</v>
      </c>
      <c r="B324" s="41">
        <f t="shared" si="21"/>
        <v>10.209999999999953</v>
      </c>
      <c r="C324" s="40">
        <f t="shared" si="18"/>
        <v>0.73052534524433665</v>
      </c>
      <c r="D324" s="40">
        <f t="shared" ca="1" si="19"/>
        <v>0</v>
      </c>
      <c r="E324" s="40">
        <f t="shared" si="20"/>
        <v>0</v>
      </c>
    </row>
    <row r="325" spans="1:5" x14ac:dyDescent="0.25">
      <c r="A325" s="40">
        <f t="shared" ca="1" si="17"/>
        <v>3.8859747811834171</v>
      </c>
      <c r="B325" s="41">
        <f t="shared" si="21"/>
        <v>10.219999999999953</v>
      </c>
      <c r="C325" s="40">
        <f t="shared" si="18"/>
        <v>0.72426976482621463</v>
      </c>
      <c r="D325" s="40">
        <f t="shared" ca="1" si="19"/>
        <v>0</v>
      </c>
      <c r="E325" s="40">
        <f t="shared" si="20"/>
        <v>0</v>
      </c>
    </row>
    <row r="326" spans="1:5" x14ac:dyDescent="0.25">
      <c r="A326" s="40">
        <f t="shared" ca="1" si="17"/>
        <v>4.06260999850997</v>
      </c>
      <c r="B326" s="41">
        <f t="shared" si="21"/>
        <v>10.229999999999952</v>
      </c>
      <c r="C326" s="40">
        <f t="shared" si="18"/>
        <v>0.71778058206712059</v>
      </c>
      <c r="D326" s="40">
        <f t="shared" ca="1" si="19"/>
        <v>0</v>
      </c>
      <c r="E326" s="40">
        <f t="shared" si="20"/>
        <v>0</v>
      </c>
    </row>
    <row r="327" spans="1:5" x14ac:dyDescent="0.25">
      <c r="A327" s="40">
        <f t="shared" ca="1" si="17"/>
        <v>4.2392452158365233</v>
      </c>
      <c r="B327" s="41">
        <f t="shared" si="21"/>
        <v>10.239999999999952</v>
      </c>
      <c r="C327" s="40">
        <f t="shared" si="18"/>
        <v>0.71106505701202671</v>
      </c>
      <c r="D327" s="40">
        <f t="shared" ca="1" si="19"/>
        <v>0</v>
      </c>
      <c r="E327" s="40">
        <f t="shared" si="20"/>
        <v>0</v>
      </c>
    </row>
    <row r="328" spans="1:5" x14ac:dyDescent="0.25">
      <c r="A328" s="40">
        <f t="shared" ca="1" si="17"/>
        <v>4.4158804331630765</v>
      </c>
      <c r="B328" s="41">
        <f t="shared" si="21"/>
        <v>10.249999999999952</v>
      </c>
      <c r="C328" s="40">
        <f t="shared" si="18"/>
        <v>0.7041306535286328</v>
      </c>
      <c r="D328" s="40">
        <f t="shared" ca="1" si="19"/>
        <v>0</v>
      </c>
      <c r="E328" s="40">
        <f t="shared" si="20"/>
        <v>0</v>
      </c>
    </row>
    <row r="329" spans="1:5" x14ac:dyDescent="0.25">
      <c r="A329" s="40">
        <f t="shared" ca="1" si="17"/>
        <v>4.5925156504896298</v>
      </c>
      <c r="B329" s="41">
        <f t="shared" si="21"/>
        <v>10.259999999999952</v>
      </c>
      <c r="C329" s="40">
        <f t="shared" si="18"/>
        <v>0.69698502551798402</v>
      </c>
      <c r="D329" s="40">
        <f t="shared" ca="1" si="19"/>
        <v>0</v>
      </c>
      <c r="E329" s="40">
        <f t="shared" si="20"/>
        <v>0</v>
      </c>
    </row>
    <row r="330" spans="1:5" x14ac:dyDescent="0.25">
      <c r="A330" s="40">
        <f t="shared" ca="1" si="17"/>
        <v>4.7691508678161831</v>
      </c>
      <c r="B330" s="41">
        <f t="shared" si="21"/>
        <v>10.269999999999952</v>
      </c>
      <c r="C330" s="40">
        <f t="shared" si="18"/>
        <v>0.68963600287870275</v>
      </c>
      <c r="D330" s="40">
        <f t="shared" ca="1" si="19"/>
        <v>0</v>
      </c>
      <c r="E330" s="40">
        <f t="shared" si="20"/>
        <v>0</v>
      </c>
    </row>
    <row r="331" spans="1:5" x14ac:dyDescent="0.25">
      <c r="A331" s="40">
        <f t="shared" ca="1" si="17"/>
        <v>4.9457860851427364</v>
      </c>
      <c r="B331" s="41">
        <f t="shared" si="21"/>
        <v>10.279999999999951</v>
      </c>
      <c r="C331" s="40">
        <f t="shared" si="18"/>
        <v>0.68209157726074221</v>
      </c>
      <c r="D331" s="40">
        <f t="shared" ca="1" si="19"/>
        <v>0</v>
      </c>
      <c r="E331" s="40">
        <f t="shared" si="20"/>
        <v>0</v>
      </c>
    </row>
    <row r="332" spans="1:5" x14ac:dyDescent="0.25">
      <c r="A332" s="40">
        <f t="shared" ca="1" si="17"/>
        <v>5.1224213024692897</v>
      </c>
      <c r="B332" s="41">
        <f t="shared" si="21"/>
        <v>10.289999999999951</v>
      </c>
      <c r="C332" s="40">
        <f t="shared" si="18"/>
        <v>0.67435988764479937</v>
      </c>
      <c r="D332" s="40">
        <f t="shared" ca="1" si="19"/>
        <v>0</v>
      </c>
      <c r="E332" s="40">
        <f t="shared" si="20"/>
        <v>0</v>
      </c>
    </row>
    <row r="333" spans="1:5" x14ac:dyDescent="0.25">
      <c r="A333" s="40">
        <f t="shared" ca="1" si="17"/>
        <v>5.299056519795843</v>
      </c>
      <c r="B333" s="41">
        <f t="shared" si="21"/>
        <v>10.299999999999951</v>
      </c>
      <c r="C333" s="40">
        <f t="shared" si="18"/>
        <v>0.66644920578363853</v>
      </c>
      <c r="D333" s="40">
        <f t="shared" ca="1" si="19"/>
        <v>0</v>
      </c>
      <c r="E333" s="40">
        <f t="shared" si="20"/>
        <v>0</v>
      </c>
    </row>
    <row r="334" spans="1:5" x14ac:dyDescent="0.25">
      <c r="A334" s="40">
        <f t="shared" ca="1" si="17"/>
        <v>5.4756917371223963</v>
      </c>
      <c r="B334" s="41">
        <f t="shared" si="21"/>
        <v>10.309999999999951</v>
      </c>
      <c r="C334" s="40">
        <f t="shared" si="18"/>
        <v>0.65836792154156976</v>
      </c>
      <c r="D334" s="40">
        <f t="shared" ca="1" si="19"/>
        <v>0</v>
      </c>
      <c r="E334" s="40">
        <f t="shared" si="20"/>
        <v>0</v>
      </c>
    </row>
    <row r="335" spans="1:5" x14ac:dyDescent="0.25">
      <c r="A335" s="40">
        <f t="shared" ca="1" si="17"/>
        <v>5.6523269544489487</v>
      </c>
      <c r="B335" s="41">
        <f t="shared" si="21"/>
        <v>10.319999999999951</v>
      </c>
      <c r="C335" s="40">
        <f t="shared" si="18"/>
        <v>0.65012452816820543</v>
      </c>
      <c r="D335" s="40">
        <f t="shared" ca="1" si="19"/>
        <v>0</v>
      </c>
      <c r="E335" s="40">
        <f t="shared" si="20"/>
        <v>0</v>
      </c>
    </row>
    <row r="336" spans="1:5" x14ac:dyDescent="0.25">
      <c r="A336" s="40">
        <f t="shared" ca="1" si="17"/>
        <v>5.828962171775502</v>
      </c>
      <c r="B336" s="41">
        <f t="shared" si="21"/>
        <v>10.32999999999995</v>
      </c>
      <c r="C336" s="40">
        <f t="shared" si="18"/>
        <v>0.64172760754238711</v>
      </c>
      <c r="D336" s="40">
        <f t="shared" ca="1" si="19"/>
        <v>0</v>
      </c>
      <c r="E336" s="40">
        <f t="shared" si="20"/>
        <v>0</v>
      </c>
    </row>
    <row r="337" spans="1:5" x14ac:dyDescent="0.25">
      <c r="A337" s="40">
        <f t="shared" ca="1" si="17"/>
        <v>6.0055973891020553</v>
      </c>
      <c r="B337" s="41">
        <f t="shared" si="21"/>
        <v>10.33999999999995</v>
      </c>
      <c r="C337" s="40">
        <f t="shared" si="18"/>
        <v>0.63318581542182861</v>
      </c>
      <c r="D337" s="40">
        <f t="shared" ca="1" si="19"/>
        <v>0</v>
      </c>
      <c r="E337" s="40">
        <f t="shared" si="20"/>
        <v>0</v>
      </c>
    </row>
    <row r="338" spans="1:5" x14ac:dyDescent="0.25">
      <c r="A338" s="40">
        <f t="shared" ca="1" si="17"/>
        <v>6.1822326064286086</v>
      </c>
      <c r="B338" s="41">
        <f t="shared" si="21"/>
        <v>10.34999999999995</v>
      </c>
      <c r="C338" s="40">
        <f t="shared" si="18"/>
        <v>0.6245078667335664</v>
      </c>
      <c r="D338" s="40">
        <f t="shared" ca="1" si="19"/>
        <v>0</v>
      </c>
      <c r="E338" s="40">
        <f t="shared" si="20"/>
        <v>0</v>
      </c>
    </row>
    <row r="339" spans="1:5" x14ac:dyDescent="0.25">
      <c r="A339" s="40">
        <f t="shared" ca="1" si="17"/>
        <v>6.3588678237551619</v>
      </c>
      <c r="B339" s="41">
        <f t="shared" si="21"/>
        <v>10.35999999999995</v>
      </c>
      <c r="C339" s="40">
        <f t="shared" si="18"/>
        <v>0.61570252093975042</v>
      </c>
      <c r="D339" s="40">
        <f t="shared" ca="1" si="19"/>
        <v>0</v>
      </c>
      <c r="E339" s="40">
        <f t="shared" si="20"/>
        <v>0</v>
      </c>
    </row>
    <row r="340" spans="1:5" x14ac:dyDescent="0.25">
      <c r="A340" s="40">
        <f t="shared" ca="1" si="17"/>
        <v>6.5355030410817152</v>
      </c>
      <c r="B340" s="41">
        <f t="shared" si="21"/>
        <v>10.369999999999949</v>
      </c>
      <c r="C340" s="40">
        <f t="shared" si="18"/>
        <v>0.60677856751264569</v>
      </c>
      <c r="D340" s="40">
        <f t="shared" ca="1" si="19"/>
        <v>0</v>
      </c>
      <c r="E340" s="40">
        <f t="shared" si="20"/>
        <v>0</v>
      </c>
    </row>
    <row r="341" spans="1:5" x14ac:dyDescent="0.25">
      <c r="A341" s="40">
        <f t="shared" ca="1" si="17"/>
        <v>6.7121382584082685</v>
      </c>
      <c r="B341" s="41">
        <f t="shared" si="21"/>
        <v>10.379999999999949</v>
      </c>
      <c r="C341" s="40">
        <f t="shared" si="18"/>
        <v>0.59774481155195169</v>
      </c>
      <c r="D341" s="40">
        <f t="shared" ca="1" si="19"/>
        <v>0</v>
      </c>
      <c r="E341" s="40">
        <f t="shared" si="20"/>
        <v>0</v>
      </c>
    </row>
    <row r="342" spans="1:5" x14ac:dyDescent="0.25">
      <c r="A342" s="40">
        <f t="shared" ca="1" si="17"/>
        <v>6.8887734757348218</v>
      </c>
      <c r="B342" s="41">
        <f t="shared" si="21"/>
        <v>10.389999999999949</v>
      </c>
      <c r="C342" s="40">
        <f t="shared" si="18"/>
        <v>0.5886100595766971</v>
      </c>
      <c r="D342" s="40">
        <f t="shared" ca="1" si="19"/>
        <v>0</v>
      </c>
      <c r="E342" s="40">
        <f t="shared" si="20"/>
        <v>0</v>
      </c>
    </row>
    <row r="343" spans="1:5" x14ac:dyDescent="0.25">
      <c r="A343" s="40">
        <f t="shared" ca="1" si="17"/>
        <v>7.0654086930613742</v>
      </c>
      <c r="B343" s="41">
        <f t="shared" si="21"/>
        <v>10.399999999999949</v>
      </c>
      <c r="C343" s="40">
        <f t="shared" si="18"/>
        <v>0.57938310552301286</v>
      </c>
      <c r="D343" s="40">
        <f t="shared" ca="1" si="19"/>
        <v>0</v>
      </c>
      <c r="E343" s="40">
        <f t="shared" si="20"/>
        <v>0</v>
      </c>
    </row>
    <row r="344" spans="1:5" x14ac:dyDescent="0.25">
      <c r="A344" s="40">
        <f t="shared" ca="1" si="17"/>
        <v>7.2420439103879275</v>
      </c>
      <c r="B344" s="41">
        <f t="shared" si="21"/>
        <v>10.409999999999949</v>
      </c>
      <c r="C344" s="40">
        <f t="shared" si="18"/>
        <v>0.5700727169780625</v>
      </c>
      <c r="D344" s="40">
        <f t="shared" ca="1" si="19"/>
        <v>0</v>
      </c>
      <c r="E344" s="40">
        <f t="shared" si="20"/>
        <v>0</v>
      </c>
    </row>
    <row r="345" spans="1:5" x14ac:dyDescent="0.25">
      <c r="A345" s="40">
        <f t="shared" ca="1" si="17"/>
        <v>7.4186791277144808</v>
      </c>
      <c r="B345" s="41">
        <f t="shared" si="21"/>
        <v>10.419999999999948</v>
      </c>
      <c r="C345" s="40">
        <f t="shared" si="18"/>
        <v>0.56068762167928976</v>
      </c>
      <c r="D345" s="40">
        <f t="shared" ca="1" si="19"/>
        <v>0</v>
      </c>
      <c r="E345" s="40">
        <f t="shared" si="20"/>
        <v>0</v>
      </c>
    </row>
    <row r="346" spans="1:5" x14ac:dyDescent="0.25">
      <c r="A346" s="40">
        <f t="shared" ca="1" si="17"/>
        <v>7.5953143450410341</v>
      </c>
      <c r="B346" s="41">
        <f t="shared" si="21"/>
        <v>10.429999999999948</v>
      </c>
      <c r="C346" s="40">
        <f t="shared" si="18"/>
        <v>0.55123649430696242</v>
      </c>
      <c r="D346" s="40">
        <f t="shared" ca="1" si="19"/>
        <v>0</v>
      </c>
      <c r="E346" s="40">
        <f t="shared" si="20"/>
        <v>0</v>
      </c>
    </row>
    <row r="347" spans="1:5" x14ac:dyDescent="0.25">
      <c r="A347" s="40">
        <f t="shared" ca="1" si="17"/>
        <v>7.7719495623675874</v>
      </c>
      <c r="B347" s="41">
        <f t="shared" si="21"/>
        <v>10.439999999999948</v>
      </c>
      <c r="C347" s="40">
        <f t="shared" si="18"/>
        <v>0.5417279435967256</v>
      </c>
      <c r="D347" s="40">
        <f t="shared" ca="1" si="19"/>
        <v>0</v>
      </c>
      <c r="E347" s="40">
        <f t="shared" si="20"/>
        <v>0</v>
      </c>
    </row>
    <row r="348" spans="1:5" x14ac:dyDescent="0.25">
      <c r="A348" s="40">
        <f t="shared" ca="1" si="17"/>
        <v>7.9485847796941407</v>
      </c>
      <c r="B348" s="41">
        <f t="shared" si="21"/>
        <v>10.449999999999948</v>
      </c>
      <c r="C348" s="40">
        <f t="shared" si="18"/>
        <v>0.5321704997975597</v>
      </c>
      <c r="D348" s="40">
        <f t="shared" ca="1" si="19"/>
        <v>0</v>
      </c>
      <c r="E348" s="40">
        <f t="shared" si="20"/>
        <v>0</v>
      </c>
    </row>
    <row r="349" spans="1:5" x14ac:dyDescent="0.25">
      <c r="A349" s="40">
        <f t="shared" ca="1" si="17"/>
        <v>8.1252199970206931</v>
      </c>
      <c r="B349" s="41">
        <f t="shared" si="21"/>
        <v>10.459999999999948</v>
      </c>
      <c r="C349" s="40">
        <f t="shared" si="18"/>
        <v>0.52257260249915671</v>
      </c>
      <c r="D349" s="40">
        <f t="shared" ca="1" si="19"/>
        <v>0</v>
      </c>
      <c r="E349" s="40">
        <f t="shared" si="20"/>
        <v>0</v>
      </c>
    </row>
    <row r="350" spans="1:5" x14ac:dyDescent="0.25">
      <c r="A350" s="40">
        <f t="shared" ca="1" si="17"/>
        <v>8.3018552143472473</v>
      </c>
      <c r="B350" s="41">
        <f t="shared" si="21"/>
        <v>10.469999999999947</v>
      </c>
      <c r="C350" s="40">
        <f t="shared" si="18"/>
        <v>0.51294258885129151</v>
      </c>
      <c r="D350" s="40">
        <f t="shared" ca="1" si="19"/>
        <v>0</v>
      </c>
      <c r="E350" s="40">
        <f t="shared" si="20"/>
        <v>0</v>
      </c>
    </row>
    <row r="351" spans="1:5" x14ac:dyDescent="0.25">
      <c r="A351" s="40">
        <f t="shared" ca="1" si="17"/>
        <v>8.4784904316737997</v>
      </c>
      <c r="B351" s="41">
        <f t="shared" si="21"/>
        <v>10.479999999999947</v>
      </c>
      <c r="C351" s="40">
        <f t="shared" si="18"/>
        <v>0.50328868219628531</v>
      </c>
      <c r="D351" s="40">
        <f t="shared" ca="1" si="19"/>
        <v>0</v>
      </c>
      <c r="E351" s="40">
        <f t="shared" si="20"/>
        <v>0</v>
      </c>
    </row>
    <row r="352" spans="1:5" x14ac:dyDescent="0.25">
      <c r="A352" s="40">
        <f t="shared" ca="1" si="17"/>
        <v>8.6551256490003539</v>
      </c>
      <c r="B352" s="41">
        <f t="shared" si="21"/>
        <v>10.489999999999947</v>
      </c>
      <c r="C352" s="40">
        <f t="shared" si="18"/>
        <v>0.49361898113413677</v>
      </c>
      <c r="D352" s="40">
        <f t="shared" ca="1" si="19"/>
        <v>0</v>
      </c>
      <c r="E352" s="40">
        <f t="shared" si="20"/>
        <v>0</v>
      </c>
    </row>
    <row r="353" spans="1:5" x14ac:dyDescent="0.25">
      <c r="A353" s="40">
        <f t="shared" ca="1" si="17"/>
        <v>8.8317608663269063</v>
      </c>
      <c r="B353" s="41">
        <f t="shared" si="21"/>
        <v>10.499999999999947</v>
      </c>
      <c r="C353" s="40">
        <f t="shared" si="18"/>
        <v>0.4839414490383383</v>
      </c>
      <c r="D353" s="40">
        <f t="shared" ca="1" si="19"/>
        <v>0</v>
      </c>
      <c r="E353" s="40">
        <f t="shared" si="20"/>
        <v>0</v>
      </c>
    </row>
    <row r="354" spans="1:5" x14ac:dyDescent="0.25">
      <c r="A354" s="40">
        <f t="shared" ca="1" si="17"/>
        <v>9.0083960836534605</v>
      </c>
      <c r="B354" s="41">
        <f t="shared" si="21"/>
        <v>10.509999999999946</v>
      </c>
      <c r="C354" s="40">
        <f t="shared" si="18"/>
        <v>0.47426390403881091</v>
      </c>
      <c r="D354" s="40">
        <f t="shared" ca="1" si="19"/>
        <v>0</v>
      </c>
      <c r="E354" s="40">
        <f t="shared" si="20"/>
        <v>0</v>
      </c>
    </row>
    <row r="355" spans="1:5" x14ac:dyDescent="0.25">
      <c r="A355" s="40">
        <f t="shared" ca="1" si="17"/>
        <v>9.1850313009800129</v>
      </c>
      <c r="B355" s="41">
        <f t="shared" si="21"/>
        <v>10.519999999999946</v>
      </c>
      <c r="C355" s="40">
        <f t="shared" si="18"/>
        <v>0.46459400948678431</v>
      </c>
      <c r="D355" s="40">
        <f t="shared" ca="1" si="19"/>
        <v>0</v>
      </c>
      <c r="E355" s="40">
        <f t="shared" si="20"/>
        <v>0</v>
      </c>
    </row>
    <row r="356" spans="1:5" x14ac:dyDescent="0.25">
      <c r="A356" s="40">
        <f t="shared" ca="1" si="17"/>
        <v>9.3616665183065653</v>
      </c>
      <c r="B356" s="41">
        <f t="shared" si="21"/>
        <v>10.529999999999946</v>
      </c>
      <c r="C356" s="40">
        <f t="shared" si="18"/>
        <v>0.45493926491482378</v>
      </c>
      <c r="D356" s="40">
        <f t="shared" ca="1" si="19"/>
        <v>0</v>
      </c>
      <c r="E356" s="40">
        <f t="shared" si="20"/>
        <v>0</v>
      </c>
    </row>
    <row r="357" spans="1:5" x14ac:dyDescent="0.25">
      <c r="A357" s="40">
        <f t="shared" ca="1" si="17"/>
        <v>9.5383017356331194</v>
      </c>
      <c r="B357" s="41">
        <f t="shared" si="21"/>
        <v>10.539999999999946</v>
      </c>
      <c r="C357" s="40">
        <f t="shared" si="18"/>
        <v>0.44530699750357439</v>
      </c>
      <c r="D357" s="40">
        <f t="shared" ca="1" si="19"/>
        <v>0</v>
      </c>
      <c r="E357" s="40">
        <f t="shared" si="20"/>
        <v>0</v>
      </c>
    </row>
    <row r="358" spans="1:5" x14ac:dyDescent="0.25">
      <c r="A358" s="40">
        <f t="shared" ca="1" si="17"/>
        <v>9.7149369529596719</v>
      </c>
      <c r="B358" s="41">
        <f t="shared" si="21"/>
        <v>10.549999999999946</v>
      </c>
      <c r="C358" s="40">
        <f t="shared" si="18"/>
        <v>0.43570435406515318</v>
      </c>
      <c r="D358" s="40">
        <f t="shared" ca="1" si="19"/>
        <v>0</v>
      </c>
      <c r="E358" s="40">
        <f t="shared" si="20"/>
        <v>0</v>
      </c>
    </row>
    <row r="359" spans="1:5" x14ac:dyDescent="0.25">
      <c r="A359" s="40">
        <f t="shared" ref="A359:A422" ca="1" si="22">(B359-B$4)/B$11</f>
        <v>9.891572170286226</v>
      </c>
      <c r="B359" s="41">
        <f t="shared" si="21"/>
        <v>10.559999999999945</v>
      </c>
      <c r="C359" s="40">
        <f t="shared" ref="C359:C422" si="23">NORMDIST(B359,B$4,B$5,0)</f>
        <v>0.42613829355148786</v>
      </c>
      <c r="D359" s="40">
        <f t="shared" ref="D359:D422" ca="1" si="24">IF(C359&lt;=B$14/2,C359,0)</f>
        <v>0</v>
      </c>
      <c r="E359" s="40">
        <f t="shared" ref="E359:E422" si="25">IF(C359&lt;=B$6/2,C359,0)</f>
        <v>0</v>
      </c>
    </row>
    <row r="360" spans="1:5" x14ac:dyDescent="0.25">
      <c r="A360" s="40">
        <f t="shared" ca="1" si="22"/>
        <v>10.068207387612778</v>
      </c>
      <c r="B360" s="41">
        <f t="shared" si="21"/>
        <v>10.569999999999945</v>
      </c>
      <c r="C360" s="40">
        <f t="shared" si="23"/>
        <v>0.41661558009426869</v>
      </c>
      <c r="D360" s="40">
        <f t="shared" ca="1" si="24"/>
        <v>0</v>
      </c>
      <c r="E360" s="40">
        <f t="shared" si="25"/>
        <v>0</v>
      </c>
    </row>
    <row r="361" spans="1:5" x14ac:dyDescent="0.25">
      <c r="A361" s="40">
        <f t="shared" ca="1" si="22"/>
        <v>10.244842604939333</v>
      </c>
      <c r="B361" s="41">
        <f t="shared" ref="B361:B424" si="26">B360+0.01</f>
        <v>10.579999999999945</v>
      </c>
      <c r="C361" s="40">
        <f t="shared" si="23"/>
        <v>0.40714277658157089</v>
      </c>
      <c r="D361" s="40">
        <f t="shared" ca="1" si="24"/>
        <v>0</v>
      </c>
      <c r="E361" s="40">
        <f t="shared" si="25"/>
        <v>0</v>
      </c>
    </row>
    <row r="362" spans="1:5" x14ac:dyDescent="0.25">
      <c r="A362" s="40">
        <f t="shared" ca="1" si="22"/>
        <v>10.421477822265885</v>
      </c>
      <c r="B362" s="41">
        <f t="shared" si="26"/>
        <v>10.589999999999945</v>
      </c>
      <c r="C362" s="40">
        <f t="shared" si="23"/>
        <v>0.39772623877460361</v>
      </c>
      <c r="D362" s="40">
        <f t="shared" ca="1" si="24"/>
        <v>0</v>
      </c>
      <c r="E362" s="40">
        <f t="shared" si="25"/>
        <v>0</v>
      </c>
    </row>
    <row r="363" spans="1:5" x14ac:dyDescent="0.25">
      <c r="A363" s="40">
        <f t="shared" ca="1" si="22"/>
        <v>10.598113039592439</v>
      </c>
      <c r="B363" s="41">
        <f t="shared" si="26"/>
        <v>10.599999999999945</v>
      </c>
      <c r="C363" s="40">
        <f t="shared" si="23"/>
        <v>0.38837210996647759</v>
      </c>
      <c r="D363" s="40">
        <f t="shared" ca="1" si="24"/>
        <v>0</v>
      </c>
      <c r="E363" s="40">
        <f t="shared" si="25"/>
        <v>0</v>
      </c>
    </row>
    <row r="364" spans="1:5" x14ac:dyDescent="0.25">
      <c r="A364" s="40">
        <f t="shared" ca="1" si="22"/>
        <v>10.774748256918992</v>
      </c>
      <c r="B364" s="41">
        <f t="shared" si="26"/>
        <v>10.609999999999944</v>
      </c>
      <c r="C364" s="40">
        <f t="shared" si="23"/>
        <v>0.37908631618333194</v>
      </c>
      <c r="D364" s="40">
        <f t="shared" ca="1" si="24"/>
        <v>0</v>
      </c>
      <c r="E364" s="40">
        <f t="shared" si="25"/>
        <v>0</v>
      </c>
    </row>
    <row r="365" spans="1:5" x14ac:dyDescent="0.25">
      <c r="A365" s="40">
        <f t="shared" ca="1" si="22"/>
        <v>10.951383474245544</v>
      </c>
      <c r="B365" s="41">
        <f t="shared" si="26"/>
        <v>10.619999999999944</v>
      </c>
      <c r="C365" s="40">
        <f t="shared" si="23"/>
        <v>0.36987456192666185</v>
      </c>
      <c r="D365" s="40">
        <f t="shared" ca="1" si="24"/>
        <v>0</v>
      </c>
      <c r="E365" s="40">
        <f t="shared" si="25"/>
        <v>0</v>
      </c>
    </row>
    <row r="366" spans="1:5" x14ac:dyDescent="0.25">
      <c r="A366" s="40">
        <f t="shared" ca="1" si="22"/>
        <v>11.128018691572098</v>
      </c>
      <c r="B366" s="41">
        <f t="shared" si="26"/>
        <v>10.629999999999944</v>
      </c>
      <c r="C366" s="40">
        <f t="shared" si="23"/>
        <v>0.36074232645421161</v>
      </c>
      <c r="D366" s="40">
        <f t="shared" ca="1" si="24"/>
        <v>0</v>
      </c>
      <c r="E366" s="40">
        <f t="shared" si="25"/>
        <v>0</v>
      </c>
    </row>
    <row r="367" spans="1:5" x14ac:dyDescent="0.25">
      <c r="A367" s="40">
        <f t="shared" ca="1" si="22"/>
        <v>11.304653908898651</v>
      </c>
      <c r="B367" s="41">
        <f t="shared" si="26"/>
        <v>10.639999999999944</v>
      </c>
      <c r="C367" s="40">
        <f t="shared" si="23"/>
        <v>0.35169486059537541</v>
      </c>
      <c r="D367" s="40">
        <f t="shared" ca="1" si="24"/>
        <v>0</v>
      </c>
      <c r="E367" s="40">
        <f t="shared" si="25"/>
        <v>0</v>
      </c>
    </row>
    <row r="368" spans="1:5" x14ac:dyDescent="0.25">
      <c r="A368" s="40">
        <f t="shared" ca="1" si="22"/>
        <v>11.481289126225205</v>
      </c>
      <c r="B368" s="41">
        <f t="shared" si="26"/>
        <v>10.649999999999944</v>
      </c>
      <c r="C368" s="40">
        <f t="shared" si="23"/>
        <v>0.34273718409566512</v>
      </c>
      <c r="D368" s="40">
        <f t="shared" ca="1" si="24"/>
        <v>0</v>
      </c>
      <c r="E368" s="40">
        <f t="shared" si="25"/>
        <v>0</v>
      </c>
    </row>
    <row r="369" spans="1:5" x14ac:dyDescent="0.25">
      <c r="A369" s="40">
        <f t="shared" ca="1" si="22"/>
        <v>11.657924343551757</v>
      </c>
      <c r="B369" s="41">
        <f t="shared" si="26"/>
        <v>10.659999999999943</v>
      </c>
      <c r="C369" s="40">
        <f t="shared" si="23"/>
        <v>0.33387408348347763</v>
      </c>
      <c r="D369" s="40">
        <f t="shared" ca="1" si="24"/>
        <v>0</v>
      </c>
      <c r="E369" s="40">
        <f t="shared" si="25"/>
        <v>0</v>
      </c>
    </row>
    <row r="370" spans="1:5" x14ac:dyDescent="0.25">
      <c r="A370" s="40">
        <f t="shared" ca="1" si="22"/>
        <v>11.834559560878311</v>
      </c>
      <c r="B370" s="41">
        <f t="shared" si="26"/>
        <v>10.669999999999943</v>
      </c>
      <c r="C370" s="40">
        <f t="shared" si="23"/>
        <v>0.32511011045111787</v>
      </c>
      <c r="D370" s="40">
        <f t="shared" ca="1" si="24"/>
        <v>0</v>
      </c>
      <c r="E370" s="40">
        <f t="shared" si="25"/>
        <v>0</v>
      </c>
    </row>
    <row r="371" spans="1:5" x14ac:dyDescent="0.25">
      <c r="A371" s="40">
        <f t="shared" ca="1" si="22"/>
        <v>12.011194778204864</v>
      </c>
      <c r="B371" s="41">
        <f t="shared" si="26"/>
        <v>10.679999999999943</v>
      </c>
      <c r="C371" s="40">
        <f t="shared" si="23"/>
        <v>0.31644958074081525</v>
      </c>
      <c r="D371" s="40">
        <f t="shared" ca="1" si="24"/>
        <v>0</v>
      </c>
      <c r="E371" s="40">
        <f t="shared" si="25"/>
        <v>0</v>
      </c>
    </row>
    <row r="372" spans="1:5" x14ac:dyDescent="0.25">
      <c r="A372" s="40">
        <f t="shared" ca="1" si="22"/>
        <v>12.187829995531418</v>
      </c>
      <c r="B372" s="41">
        <f t="shared" si="26"/>
        <v>10.689999999999943</v>
      </c>
      <c r="C372" s="40">
        <f t="shared" si="23"/>
        <v>0.30789657352531613</v>
      </c>
      <c r="D372" s="40">
        <f t="shared" ca="1" si="24"/>
        <v>0</v>
      </c>
      <c r="E372" s="40">
        <f t="shared" si="25"/>
        <v>0</v>
      </c>
    </row>
    <row r="373" spans="1:5" x14ac:dyDescent="0.25">
      <c r="A373" s="40">
        <f t="shared" ca="1" si="22"/>
        <v>12.36446521285797</v>
      </c>
      <c r="B373" s="41">
        <f t="shared" si="26"/>
        <v>10.699999999999942</v>
      </c>
      <c r="C373" s="40">
        <f t="shared" si="23"/>
        <v>0.29945493127153799</v>
      </c>
      <c r="D373" s="40">
        <f t="shared" ca="1" si="24"/>
        <v>0</v>
      </c>
      <c r="E373" s="40">
        <f t="shared" si="25"/>
        <v>0</v>
      </c>
    </row>
    <row r="374" spans="1:5" x14ac:dyDescent="0.25">
      <c r="A374" s="40">
        <f t="shared" ca="1" si="22"/>
        <v>12.541100430184523</v>
      </c>
      <c r="B374" s="41">
        <f t="shared" si="26"/>
        <v>10.709999999999942</v>
      </c>
      <c r="C374" s="40">
        <f t="shared" si="23"/>
        <v>0.29112826007474296</v>
      </c>
      <c r="D374" s="40">
        <f t="shared" ca="1" si="24"/>
        <v>0</v>
      </c>
      <c r="E374" s="40">
        <f t="shared" si="25"/>
        <v>0</v>
      </c>
    </row>
    <row r="375" spans="1:5" x14ac:dyDescent="0.25">
      <c r="A375" s="40">
        <f t="shared" ca="1" si="22"/>
        <v>12.717735647511077</v>
      </c>
      <c r="B375" s="41">
        <f t="shared" si="26"/>
        <v>10.719999999999942</v>
      </c>
      <c r="C375" s="40">
        <f t="shared" si="23"/>
        <v>0.28291993044972485</v>
      </c>
      <c r="D375" s="40">
        <f t="shared" ca="1" si="24"/>
        <v>0</v>
      </c>
      <c r="E375" s="40">
        <f t="shared" si="25"/>
        <v>0</v>
      </c>
    </row>
    <row r="376" spans="1:5" x14ac:dyDescent="0.25">
      <c r="A376" s="40">
        <f t="shared" ca="1" si="22"/>
        <v>12.894370864837629</v>
      </c>
      <c r="B376" s="41">
        <f t="shared" si="26"/>
        <v>10.729999999999942</v>
      </c>
      <c r="C376" s="40">
        <f t="shared" si="23"/>
        <v>0.27483307856461026</v>
      </c>
      <c r="D376" s="40">
        <f t="shared" ca="1" si="24"/>
        <v>0</v>
      </c>
      <c r="E376" s="40">
        <f t="shared" si="25"/>
        <v>0</v>
      </c>
    </row>
    <row r="377" spans="1:5" x14ac:dyDescent="0.25">
      <c r="A377" s="40">
        <f t="shared" ca="1" si="22"/>
        <v>13.071006082164184</v>
      </c>
      <c r="B377" s="41">
        <f t="shared" si="26"/>
        <v>10.739999999999942</v>
      </c>
      <c r="C377" s="40">
        <f t="shared" si="23"/>
        <v>0.26687060790205069</v>
      </c>
      <c r="D377" s="40">
        <f t="shared" ca="1" si="24"/>
        <v>0</v>
      </c>
      <c r="E377" s="40">
        <f t="shared" si="25"/>
        <v>0</v>
      </c>
    </row>
    <row r="378" spans="1:5" x14ac:dyDescent="0.25">
      <c r="A378" s="40">
        <f t="shared" ca="1" si="22"/>
        <v>13.247641299490736</v>
      </c>
      <c r="B378" s="41">
        <f t="shared" si="26"/>
        <v>10.749999999999941</v>
      </c>
      <c r="C378" s="40">
        <f t="shared" si="23"/>
        <v>0.25903519133182901</v>
      </c>
      <c r="D378" s="40">
        <f t="shared" ca="1" si="24"/>
        <v>0</v>
      </c>
      <c r="E378" s="40">
        <f t="shared" si="25"/>
        <v>0</v>
      </c>
    </row>
    <row r="379" spans="1:5" x14ac:dyDescent="0.25">
      <c r="A379" s="40">
        <f t="shared" ca="1" si="22"/>
        <v>13.42427651681729</v>
      </c>
      <c r="B379" s="41">
        <f t="shared" si="26"/>
        <v>10.759999999999941</v>
      </c>
      <c r="C379" s="40">
        <f t="shared" si="23"/>
        <v>0.25132927357822121</v>
      </c>
      <c r="D379" s="40">
        <f t="shared" ca="1" si="24"/>
        <v>0</v>
      </c>
      <c r="E379" s="40">
        <f t="shared" si="25"/>
        <v>0</v>
      </c>
    </row>
    <row r="380" spans="1:5" x14ac:dyDescent="0.25">
      <c r="A380" s="40">
        <f t="shared" ca="1" si="22"/>
        <v>13.600911734143843</v>
      </c>
      <c r="B380" s="41">
        <f t="shared" si="26"/>
        <v>10.769999999999941</v>
      </c>
      <c r="C380" s="40">
        <f t="shared" si="23"/>
        <v>0.24375507406484789</v>
      </c>
      <c r="D380" s="40">
        <f t="shared" ca="1" si="24"/>
        <v>0</v>
      </c>
      <c r="E380" s="40">
        <f t="shared" si="25"/>
        <v>0</v>
      </c>
    </row>
    <row r="381" spans="1:5" x14ac:dyDescent="0.25">
      <c r="A381" s="40">
        <f t="shared" ca="1" si="22"/>
        <v>13.777546951470395</v>
      </c>
      <c r="B381" s="41">
        <f t="shared" si="26"/>
        <v>10.779999999999941</v>
      </c>
      <c r="C381" s="40">
        <f t="shared" si="23"/>
        <v>0.23631459011920825</v>
      </c>
      <c r="D381" s="40">
        <f t="shared" ca="1" si="24"/>
        <v>0</v>
      </c>
      <c r="E381" s="40">
        <f t="shared" si="25"/>
        <v>0</v>
      </c>
    </row>
    <row r="382" spans="1:5" x14ac:dyDescent="0.25">
      <c r="A382" s="40">
        <f t="shared" ca="1" si="22"/>
        <v>13.954182168796949</v>
      </c>
      <c r="B382" s="41">
        <f t="shared" si="26"/>
        <v>10.789999999999941</v>
      </c>
      <c r="C382" s="40">
        <f t="shared" si="23"/>
        <v>0.22900960051862779</v>
      </c>
      <c r="D382" s="40">
        <f t="shared" ca="1" si="24"/>
        <v>0</v>
      </c>
      <c r="E382" s="40">
        <f t="shared" si="25"/>
        <v>0</v>
      </c>
    </row>
    <row r="383" spans="1:5" x14ac:dyDescent="0.25">
      <c r="A383" s="40">
        <f t="shared" ca="1" si="22"/>
        <v>14.130817386123502</v>
      </c>
      <c r="B383" s="41">
        <f t="shared" si="26"/>
        <v>10.79999999999994</v>
      </c>
      <c r="C383" s="40">
        <f t="shared" si="23"/>
        <v>0.22184166935895347</v>
      </c>
      <c r="D383" s="40">
        <f t="shared" ca="1" si="24"/>
        <v>0</v>
      </c>
      <c r="E383" s="40">
        <f t="shared" si="25"/>
        <v>0</v>
      </c>
    </row>
    <row r="384" spans="1:5" x14ac:dyDescent="0.25">
      <c r="A384" s="40">
        <f t="shared" ca="1" si="22"/>
        <v>14.307452603450056</v>
      </c>
      <c r="B384" s="41">
        <f t="shared" si="26"/>
        <v>10.80999999999994</v>
      </c>
      <c r="C384" s="40">
        <f t="shared" si="23"/>
        <v>0.21481215022700934</v>
      </c>
      <c r="D384" s="40">
        <f t="shared" ca="1" si="24"/>
        <v>0</v>
      </c>
      <c r="E384" s="40">
        <f t="shared" si="25"/>
        <v>0</v>
      </c>
    </row>
    <row r="385" spans="1:5" x14ac:dyDescent="0.25">
      <c r="A385" s="40">
        <f t="shared" ca="1" si="22"/>
        <v>14.484087820776608</v>
      </c>
      <c r="B385" s="41">
        <f t="shared" si="26"/>
        <v>10.81999999999994</v>
      </c>
      <c r="C385" s="40">
        <f t="shared" si="23"/>
        <v>0.20792219065756939</v>
      </c>
      <c r="D385" s="40">
        <f t="shared" ca="1" si="24"/>
        <v>0</v>
      </c>
      <c r="E385" s="40">
        <f t="shared" si="25"/>
        <v>0</v>
      </c>
    </row>
    <row r="386" spans="1:5" x14ac:dyDescent="0.25">
      <c r="A386" s="40">
        <f t="shared" ca="1" si="22"/>
        <v>14.660723038103162</v>
      </c>
      <c r="B386" s="41">
        <f t="shared" si="26"/>
        <v>10.82999999999994</v>
      </c>
      <c r="C386" s="40">
        <f t="shared" si="23"/>
        <v>0.20117273685542145</v>
      </c>
      <c r="D386" s="40">
        <f t="shared" ca="1" si="24"/>
        <v>0</v>
      </c>
      <c r="E386" s="40">
        <f t="shared" si="25"/>
        <v>0</v>
      </c>
    </row>
    <row r="387" spans="1:5" x14ac:dyDescent="0.25">
      <c r="A387" s="40">
        <f t="shared" ca="1" si="22"/>
        <v>14.837358255429715</v>
      </c>
      <c r="B387" s="41">
        <f t="shared" si="26"/>
        <v>10.839999999999939</v>
      </c>
      <c r="C387" s="40">
        <f t="shared" si="23"/>
        <v>0.19456453866297455</v>
      </c>
      <c r="D387" s="40">
        <f t="shared" ca="1" si="24"/>
        <v>0</v>
      </c>
      <c r="E387" s="40">
        <f t="shared" si="25"/>
        <v>0</v>
      </c>
    </row>
    <row r="388" spans="1:5" x14ac:dyDescent="0.25">
      <c r="A388" s="40">
        <f t="shared" ca="1" si="22"/>
        <v>15.013993472756269</v>
      </c>
      <c r="B388" s="41">
        <f t="shared" si="26"/>
        <v>10.849999999999939</v>
      </c>
      <c r="C388" s="40">
        <f t="shared" si="23"/>
        <v>0.18809815475381275</v>
      </c>
      <c r="D388" s="40">
        <f t="shared" ca="1" si="24"/>
        <v>0</v>
      </c>
      <c r="E388" s="40">
        <f t="shared" si="25"/>
        <v>0</v>
      </c>
    </row>
    <row r="389" spans="1:5" x14ac:dyDescent="0.25">
      <c r="A389" s="40">
        <f t="shared" ca="1" si="22"/>
        <v>15.190628690082821</v>
      </c>
      <c r="B389" s="41">
        <f t="shared" si="26"/>
        <v>10.859999999999939</v>
      </c>
      <c r="C389" s="40">
        <f t="shared" si="23"/>
        <v>0.18177395803260385</v>
      </c>
      <c r="D389" s="40">
        <f t="shared" ca="1" si="24"/>
        <v>0</v>
      </c>
      <c r="E389" s="40">
        <f t="shared" si="25"/>
        <v>0</v>
      </c>
    </row>
    <row r="390" spans="1:5" x14ac:dyDescent="0.25">
      <c r="A390" s="40">
        <f t="shared" ca="1" si="22"/>
        <v>15.367263907409374</v>
      </c>
      <c r="B390" s="41">
        <f t="shared" si="26"/>
        <v>10.869999999999939</v>
      </c>
      <c r="C390" s="40">
        <f t="shared" si="23"/>
        <v>0.17559214122184866</v>
      </c>
      <c r="D390" s="40">
        <f t="shared" ca="1" si="24"/>
        <v>0</v>
      </c>
      <c r="E390" s="40">
        <f t="shared" si="25"/>
        <v>0</v>
      </c>
    </row>
    <row r="391" spans="1:5" x14ac:dyDescent="0.25">
      <c r="A391" s="40">
        <f t="shared" ca="1" si="22"/>
        <v>15.543899124735928</v>
      </c>
      <c r="B391" s="41">
        <f t="shared" si="26"/>
        <v>10.879999999999939</v>
      </c>
      <c r="C391" s="40">
        <f t="shared" si="23"/>
        <v>0.16955272261608109</v>
      </c>
      <c r="D391" s="40">
        <f t="shared" ca="1" si="24"/>
        <v>0</v>
      </c>
      <c r="E391" s="40">
        <f t="shared" si="25"/>
        <v>0</v>
      </c>
    </row>
    <row r="392" spans="1:5" x14ac:dyDescent="0.25">
      <c r="A392" s="40">
        <f t="shared" ca="1" si="22"/>
        <v>15.72053434206248</v>
      </c>
      <c r="B392" s="41">
        <f t="shared" si="26"/>
        <v>10.889999999999938</v>
      </c>
      <c r="C392" s="40">
        <f t="shared" si="23"/>
        <v>0.16365555198432152</v>
      </c>
      <c r="D392" s="40">
        <f t="shared" ca="1" si="24"/>
        <v>0</v>
      </c>
      <c r="E392" s="40">
        <f t="shared" si="25"/>
        <v>0</v>
      </c>
    </row>
    <row r="393" spans="1:5" x14ac:dyDescent="0.25">
      <c r="A393" s="40">
        <f t="shared" ca="1" si="22"/>
        <v>15.897169559389035</v>
      </c>
      <c r="B393" s="41">
        <f t="shared" si="26"/>
        <v>10.899999999999938</v>
      </c>
      <c r="C393" s="40">
        <f t="shared" si="23"/>
        <v>0.15790031660182346</v>
      </c>
      <c r="D393" s="40">
        <f t="shared" ca="1" si="24"/>
        <v>0</v>
      </c>
      <c r="E393" s="40">
        <f t="shared" si="25"/>
        <v>0</v>
      </c>
    </row>
    <row r="394" spans="1:5" x14ac:dyDescent="0.25">
      <c r="A394" s="40">
        <f t="shared" ca="1" si="22"/>
        <v>16.073804776715587</v>
      </c>
      <c r="B394" s="41">
        <f t="shared" si="26"/>
        <v>10.909999999999938</v>
      </c>
      <c r="C394" s="40">
        <f t="shared" si="23"/>
        <v>0.15228654739244901</v>
      </c>
      <c r="D394" s="40">
        <f t="shared" ca="1" si="24"/>
        <v>0</v>
      </c>
      <c r="E394" s="40">
        <f t="shared" si="25"/>
        <v>0</v>
      </c>
    </row>
    <row r="395" spans="1:5" x14ac:dyDescent="0.25">
      <c r="A395" s="40">
        <f t="shared" ca="1" si="22"/>
        <v>16.250439994042139</v>
      </c>
      <c r="B395" s="41">
        <f t="shared" si="26"/>
        <v>10.919999999999938</v>
      </c>
      <c r="C395" s="40">
        <f t="shared" si="23"/>
        <v>0.14681362516334742</v>
      </c>
      <c r="D395" s="40">
        <f t="shared" ca="1" si="24"/>
        <v>0</v>
      </c>
      <c r="E395" s="40">
        <f t="shared" si="25"/>
        <v>0</v>
      </c>
    </row>
    <row r="396" spans="1:5" x14ac:dyDescent="0.25">
      <c r="A396" s="40">
        <f t="shared" ca="1" si="22"/>
        <v>16.427075211368695</v>
      </c>
      <c r="B396" s="41">
        <f t="shared" si="26"/>
        <v>10.929999999999938</v>
      </c>
      <c r="C396" s="40">
        <f t="shared" si="23"/>
        <v>0.14148078691399962</v>
      </c>
      <c r="D396" s="40">
        <f t="shared" ca="1" si="24"/>
        <v>0</v>
      </c>
      <c r="E396" s="40">
        <f t="shared" si="25"/>
        <v>0</v>
      </c>
    </row>
    <row r="397" spans="1:5" x14ac:dyDescent="0.25">
      <c r="A397" s="40">
        <f t="shared" ca="1" si="22"/>
        <v>16.603710428695248</v>
      </c>
      <c r="B397" s="41">
        <f t="shared" si="26"/>
        <v>10.939999999999937</v>
      </c>
      <c r="C397" s="40">
        <f t="shared" si="23"/>
        <v>0.13628713220212127</v>
      </c>
      <c r="D397" s="40">
        <f t="shared" ca="1" si="24"/>
        <v>0</v>
      </c>
      <c r="E397" s="40">
        <f t="shared" si="25"/>
        <v>0</v>
      </c>
    </row>
    <row r="398" spans="1:5" x14ac:dyDescent="0.25">
      <c r="A398" s="40">
        <f t="shared" ca="1" si="22"/>
        <v>16.7803456460218</v>
      </c>
      <c r="B398" s="41">
        <f t="shared" si="26"/>
        <v>10.949999999999937</v>
      </c>
      <c r="C398" s="40">
        <f t="shared" si="23"/>
        <v>0.13123162954938455</v>
      </c>
      <c r="D398" s="40">
        <f t="shared" ca="1" si="24"/>
        <v>0</v>
      </c>
      <c r="E398" s="40">
        <f t="shared" si="25"/>
        <v>0</v>
      </c>
    </row>
    <row r="399" spans="1:5" x14ac:dyDescent="0.25">
      <c r="A399" s="40">
        <f t="shared" ca="1" si="22"/>
        <v>16.956980863348353</v>
      </c>
      <c r="B399" s="41">
        <f t="shared" si="26"/>
        <v>10.959999999999937</v>
      </c>
      <c r="C399" s="40">
        <f t="shared" si="23"/>
        <v>0.1263131228704279</v>
      </c>
      <c r="D399" s="40">
        <f t="shared" ca="1" si="24"/>
        <v>0</v>
      </c>
      <c r="E399" s="40">
        <f t="shared" si="25"/>
        <v>0</v>
      </c>
    </row>
    <row r="400" spans="1:5" x14ac:dyDescent="0.25">
      <c r="A400" s="40">
        <f t="shared" ca="1" si="22"/>
        <v>17.133616080674905</v>
      </c>
      <c r="B400" s="41">
        <f t="shared" si="26"/>
        <v>10.969999999999937</v>
      </c>
      <c r="C400" s="40">
        <f t="shared" si="23"/>
        <v>0.12153033790915942</v>
      </c>
      <c r="D400" s="40">
        <f t="shared" ca="1" si="24"/>
        <v>0</v>
      </c>
      <c r="E400" s="40">
        <f t="shared" si="25"/>
        <v>0</v>
      </c>
    </row>
    <row r="401" spans="1:5" x14ac:dyDescent="0.25">
      <c r="A401" s="40">
        <f t="shared" ca="1" si="22"/>
        <v>17.310251298001461</v>
      </c>
      <c r="B401" s="41">
        <f t="shared" si="26"/>
        <v>10.979999999999936</v>
      </c>
      <c r="C401" s="40">
        <f t="shared" si="23"/>
        <v>0.11688188866693204</v>
      </c>
      <c r="D401" s="40">
        <f t="shared" ca="1" si="24"/>
        <v>0</v>
      </c>
      <c r="E401" s="40">
        <f t="shared" si="25"/>
        <v>0</v>
      </c>
    </row>
    <row r="402" spans="1:5" x14ac:dyDescent="0.25">
      <c r="A402" s="40">
        <f t="shared" ca="1" si="22"/>
        <v>17.486886515328013</v>
      </c>
      <c r="B402" s="41">
        <f t="shared" si="26"/>
        <v>10.989999999999936</v>
      </c>
      <c r="C402" s="40">
        <f t="shared" si="23"/>
        <v>0.11236628380776444</v>
      </c>
      <c r="D402" s="40">
        <f t="shared" ca="1" si="24"/>
        <v>0</v>
      </c>
      <c r="E402" s="40">
        <f t="shared" si="25"/>
        <v>0</v>
      </c>
    </row>
    <row r="403" spans="1:5" x14ac:dyDescent="0.25">
      <c r="A403" s="40">
        <f t="shared" ca="1" si="22"/>
        <v>17.663521732654566</v>
      </c>
      <c r="B403" s="41">
        <f t="shared" si="26"/>
        <v>10.999999999999936</v>
      </c>
      <c r="C403" s="40">
        <f t="shared" si="23"/>
        <v>0.10798193302640373</v>
      </c>
      <c r="D403" s="40">
        <f t="shared" ca="1" si="24"/>
        <v>0</v>
      </c>
      <c r="E403" s="40">
        <f t="shared" si="25"/>
        <v>0</v>
      </c>
    </row>
    <row r="404" spans="1:5" x14ac:dyDescent="0.25">
      <c r="A404" s="40">
        <f t="shared" ca="1" si="22"/>
        <v>17.840156949981118</v>
      </c>
      <c r="B404" s="41">
        <f t="shared" si="26"/>
        <v>11.009999999999936</v>
      </c>
      <c r="C404" s="40">
        <f t="shared" si="23"/>
        <v>0.10372715336566801</v>
      </c>
      <c r="D404" s="40">
        <f t="shared" ca="1" si="24"/>
        <v>0</v>
      </c>
      <c r="E404" s="40">
        <f t="shared" si="25"/>
        <v>0</v>
      </c>
    </row>
    <row r="405" spans="1:5" x14ac:dyDescent="0.25">
      <c r="A405" s="40">
        <f t="shared" ca="1" si="22"/>
        <v>18.016792167307674</v>
      </c>
      <c r="B405" s="41">
        <f t="shared" si="26"/>
        <v>11.019999999999936</v>
      </c>
      <c r="C405" s="40">
        <f t="shared" si="23"/>
        <v>9.9600175470167682E-2</v>
      </c>
      <c r="D405" s="40">
        <f t="shared" ca="1" si="24"/>
        <v>0</v>
      </c>
      <c r="E405" s="40">
        <f t="shared" si="25"/>
        <v>0</v>
      </c>
    </row>
    <row r="406" spans="1:5" x14ac:dyDescent="0.25">
      <c r="A406" s="40">
        <f t="shared" ca="1" si="22"/>
        <v>18.193427384634226</v>
      </c>
      <c r="B406" s="41">
        <f t="shared" si="26"/>
        <v>11.029999999999935</v>
      </c>
      <c r="C406" s="40">
        <f t="shared" si="23"/>
        <v>9.5599149764179506E-2</v>
      </c>
      <c r="D406" s="40">
        <f t="shared" ca="1" si="24"/>
        <v>0</v>
      </c>
      <c r="E406" s="40">
        <f t="shared" si="25"/>
        <v>0</v>
      </c>
    </row>
    <row r="407" spans="1:5" x14ac:dyDescent="0.25">
      <c r="A407" s="40">
        <f t="shared" ca="1" si="22"/>
        <v>18.370062601960779</v>
      </c>
      <c r="B407" s="41">
        <f t="shared" si="26"/>
        <v>11.039999999999935</v>
      </c>
      <c r="C407" s="40">
        <f t="shared" si="23"/>
        <v>9.1722152542134533E-2</v>
      </c>
      <c r="D407" s="40">
        <f t="shared" ca="1" si="24"/>
        <v>0</v>
      </c>
      <c r="E407" s="40">
        <f t="shared" si="25"/>
        <v>0</v>
      </c>
    </row>
    <row r="408" spans="1:5" x14ac:dyDescent="0.25">
      <c r="A408" s="40">
        <f t="shared" ca="1" si="22"/>
        <v>18.546697819287331</v>
      </c>
      <c r="B408" s="41">
        <f t="shared" si="26"/>
        <v>11.049999999999935</v>
      </c>
      <c r="C408" s="40">
        <f t="shared" si="23"/>
        <v>8.7967191960878419E-2</v>
      </c>
      <c r="D408" s="40">
        <f t="shared" ca="1" si="24"/>
        <v>0</v>
      </c>
      <c r="E408" s="40">
        <f t="shared" si="25"/>
        <v>0</v>
      </c>
    </row>
    <row r="409" spans="1:5" x14ac:dyDescent="0.25">
      <c r="A409" s="40">
        <f t="shared" ca="1" si="22"/>
        <v>18.723333036613884</v>
      </c>
      <c r="B409" s="41">
        <f t="shared" si="26"/>
        <v>11.059999999999935</v>
      </c>
      <c r="C409" s="40">
        <f t="shared" si="23"/>
        <v>8.4332213923563951E-2</v>
      </c>
      <c r="D409" s="40">
        <f t="shared" ca="1" si="24"/>
        <v>0</v>
      </c>
      <c r="E409" s="40">
        <f t="shared" si="25"/>
        <v>0</v>
      </c>
    </row>
    <row r="410" spans="1:5" x14ac:dyDescent="0.25">
      <c r="A410" s="40">
        <f t="shared" ca="1" si="22"/>
        <v>18.89996825394044</v>
      </c>
      <c r="B410" s="41">
        <f t="shared" si="26"/>
        <v>11.069999999999935</v>
      </c>
      <c r="C410" s="40">
        <f t="shared" si="23"/>
        <v>8.0815107845743264E-2</v>
      </c>
      <c r="D410" s="40">
        <f t="shared" ca="1" si="24"/>
        <v>0</v>
      </c>
      <c r="E410" s="40">
        <f t="shared" si="25"/>
        <v>0</v>
      </c>
    </row>
    <row r="411" spans="1:5" x14ac:dyDescent="0.25">
      <c r="A411" s="40">
        <f t="shared" ca="1" si="22"/>
        <v>19.076603471266992</v>
      </c>
      <c r="B411" s="41">
        <f t="shared" si="26"/>
        <v>11.079999999999934</v>
      </c>
      <c r="C411" s="40">
        <f t="shared" si="23"/>
        <v>7.7413712294933185E-2</v>
      </c>
      <c r="D411" s="40">
        <f t="shared" ca="1" si="24"/>
        <v>0</v>
      </c>
      <c r="E411" s="40">
        <f t="shared" si="25"/>
        <v>0</v>
      </c>
    </row>
    <row r="412" spans="1:5" x14ac:dyDescent="0.25">
      <c r="A412" s="40">
        <f t="shared" ca="1" si="22"/>
        <v>19.253238688593544</v>
      </c>
      <c r="B412" s="41">
        <f t="shared" si="26"/>
        <v>11.089999999999934</v>
      </c>
      <c r="C412" s="40">
        <f t="shared" si="23"/>
        <v>7.4125820495634237E-2</v>
      </c>
      <c r="D412" s="40">
        <f t="shared" ca="1" si="24"/>
        <v>0</v>
      </c>
      <c r="E412" s="40">
        <f t="shared" si="25"/>
        <v>0</v>
      </c>
    </row>
    <row r="413" spans="1:5" x14ac:dyDescent="0.25">
      <c r="A413" s="40">
        <f t="shared" ca="1" si="22"/>
        <v>19.429873905920097</v>
      </c>
      <c r="B413" s="41">
        <f t="shared" si="26"/>
        <v>11.099999999999934</v>
      </c>
      <c r="C413" s="40">
        <f t="shared" si="23"/>
        <v>7.0949185692483527E-2</v>
      </c>
      <c r="D413" s="40">
        <f t="shared" ca="1" si="24"/>
        <v>7.0949185692483527E-2</v>
      </c>
      <c r="E413" s="40">
        <f t="shared" si="25"/>
        <v>0</v>
      </c>
    </row>
    <row r="414" spans="1:5" x14ac:dyDescent="0.25">
      <c r="A414" s="40">
        <f t="shared" ca="1" si="22"/>
        <v>19.606509123246653</v>
      </c>
      <c r="B414" s="41">
        <f t="shared" si="26"/>
        <v>11.109999999999934</v>
      </c>
      <c r="C414" s="40">
        <f t="shared" si="23"/>
        <v>6.7881526364918371E-2</v>
      </c>
      <c r="D414" s="40">
        <f t="shared" ca="1" si="24"/>
        <v>6.7881526364918371E-2</v>
      </c>
      <c r="E414" s="40">
        <f t="shared" si="25"/>
        <v>0</v>
      </c>
    </row>
    <row r="415" spans="1:5" x14ac:dyDescent="0.25">
      <c r="A415" s="40">
        <f t="shared" ca="1" si="22"/>
        <v>19.783144340573205</v>
      </c>
      <c r="B415" s="41">
        <f t="shared" si="26"/>
        <v>11.119999999999933</v>
      </c>
      <c r="C415" s="40">
        <f t="shared" si="23"/>
        <v>6.4920531287414263E-2</v>
      </c>
      <c r="D415" s="40">
        <f t="shared" ca="1" si="24"/>
        <v>6.4920531287414263E-2</v>
      </c>
      <c r="E415" s="40">
        <f t="shared" si="25"/>
        <v>0</v>
      </c>
    </row>
    <row r="416" spans="1:5" x14ac:dyDescent="0.25">
      <c r="A416" s="40">
        <f t="shared" ca="1" si="22"/>
        <v>19.959779557899758</v>
      </c>
      <c r="B416" s="41">
        <f t="shared" si="26"/>
        <v>11.129999999999933</v>
      </c>
      <c r="C416" s="40">
        <f t="shared" si="23"/>
        <v>6.2063864430035233E-2</v>
      </c>
      <c r="D416" s="40">
        <f t="shared" ca="1" si="24"/>
        <v>6.2063864430035233E-2</v>
      </c>
      <c r="E416" s="40">
        <f t="shared" si="25"/>
        <v>0</v>
      </c>
    </row>
    <row r="417" spans="1:5" x14ac:dyDescent="0.25">
      <c r="A417" s="40">
        <f t="shared" ca="1" si="22"/>
        <v>20.13641477522631</v>
      </c>
      <c r="B417" s="41">
        <f t="shared" si="26"/>
        <v>11.139999999999933</v>
      </c>
      <c r="C417" s="40">
        <f t="shared" si="23"/>
        <v>5.9309169694700646E-2</v>
      </c>
      <c r="D417" s="40">
        <f t="shared" ca="1" si="24"/>
        <v>5.9309169694700646E-2</v>
      </c>
      <c r="E417" s="40">
        <f t="shared" si="25"/>
        <v>0</v>
      </c>
    </row>
    <row r="418" spans="1:5" x14ac:dyDescent="0.25">
      <c r="A418" s="40">
        <f t="shared" ca="1" si="22"/>
        <v>20.313049992552862</v>
      </c>
      <c r="B418" s="41">
        <f t="shared" si="26"/>
        <v>11.149999999999933</v>
      </c>
      <c r="C418" s="40">
        <f t="shared" si="23"/>
        <v>5.6654075483219858E-2</v>
      </c>
      <c r="D418" s="40">
        <f t="shared" ca="1" si="24"/>
        <v>5.6654075483219858E-2</v>
      </c>
      <c r="E418" s="40">
        <f t="shared" si="25"/>
        <v>0</v>
      </c>
    </row>
    <row r="419" spans="1:5" x14ac:dyDescent="0.25">
      <c r="A419" s="40">
        <f t="shared" ca="1" si="22"/>
        <v>20.489685209879418</v>
      </c>
      <c r="B419" s="41">
        <f t="shared" si="26"/>
        <v>11.159999999999933</v>
      </c>
      <c r="C419" s="40">
        <f t="shared" si="23"/>
        <v>5.4096199093780467E-2</v>
      </c>
      <c r="D419" s="40">
        <f t="shared" ca="1" si="24"/>
        <v>5.4096199093780467E-2</v>
      </c>
      <c r="E419" s="40">
        <f t="shared" si="25"/>
        <v>0</v>
      </c>
    </row>
    <row r="420" spans="1:5" x14ac:dyDescent="0.25">
      <c r="A420" s="40">
        <f t="shared" ca="1" si="22"/>
        <v>20.666320427205971</v>
      </c>
      <c r="B420" s="41">
        <f t="shared" si="26"/>
        <v>11.169999999999932</v>
      </c>
      <c r="C420" s="40">
        <f t="shared" si="23"/>
        <v>5.1633150943191694E-2</v>
      </c>
      <c r="D420" s="40">
        <f t="shared" ca="1" si="24"/>
        <v>5.1633150943191694E-2</v>
      </c>
      <c r="E420" s="40">
        <f t="shared" si="25"/>
        <v>0</v>
      </c>
    </row>
    <row r="421" spans="1:5" x14ac:dyDescent="0.25">
      <c r="A421" s="40">
        <f t="shared" ca="1" si="22"/>
        <v>20.842955644532523</v>
      </c>
      <c r="B421" s="41">
        <f t="shared" si="26"/>
        <v>11.179999999999932</v>
      </c>
      <c r="C421" s="40">
        <f t="shared" si="23"/>
        <v>4.9262538612780765E-2</v>
      </c>
      <c r="D421" s="40">
        <f t="shared" ca="1" si="24"/>
        <v>4.9262538612780765E-2</v>
      </c>
      <c r="E421" s="40">
        <f t="shared" si="25"/>
        <v>0</v>
      </c>
    </row>
    <row r="422" spans="1:5" x14ac:dyDescent="0.25">
      <c r="A422" s="40">
        <f t="shared" ca="1" si="22"/>
        <v>21.019590861859076</v>
      </c>
      <c r="B422" s="41">
        <f t="shared" si="26"/>
        <v>11.189999999999932</v>
      </c>
      <c r="C422" s="40">
        <f t="shared" si="23"/>
        <v>4.6981970716417923E-2</v>
      </c>
      <c r="D422" s="40">
        <f t="shared" ca="1" si="24"/>
        <v>4.6981970716417923E-2</v>
      </c>
      <c r="E422" s="40">
        <f t="shared" si="25"/>
        <v>0</v>
      </c>
    </row>
    <row r="423" spans="1:5" x14ac:dyDescent="0.25">
      <c r="A423" s="40">
        <f t="shared" ref="A423:A486" ca="1" si="27">(B423-B$4)/B$11</f>
        <v>21.196226079185632</v>
      </c>
      <c r="B423" s="41">
        <f t="shared" si="26"/>
        <v>11.199999999999932</v>
      </c>
      <c r="C423" s="40">
        <f t="shared" ref="C423:C486" si="28">NORMDIST(B423,B$4,B$5,0)</f>
        <v>4.4789060589700461E-2</v>
      </c>
      <c r="D423" s="40">
        <f t="shared" ref="D423:D486" ca="1" si="29">IF(C423&lt;=B$14/2,C423,0)</f>
        <v>4.4789060589700461E-2</v>
      </c>
      <c r="E423" s="40">
        <f t="shared" ref="E423:E486" si="30">IF(C423&lt;=B$6/2,C423,0)</f>
        <v>0</v>
      </c>
    </row>
    <row r="424" spans="1:5" x14ac:dyDescent="0.25">
      <c r="A424" s="40">
        <f t="shared" ca="1" si="27"/>
        <v>21.372861296512184</v>
      </c>
      <c r="B424" s="41">
        <f t="shared" si="26"/>
        <v>11.209999999999932</v>
      </c>
      <c r="C424" s="40">
        <f t="shared" si="28"/>
        <v>4.2681429799859706E-2</v>
      </c>
      <c r="D424" s="40">
        <f t="shared" ca="1" si="29"/>
        <v>4.2681429799859706E-2</v>
      </c>
      <c r="E424" s="40">
        <f t="shared" si="30"/>
        <v>0</v>
      </c>
    </row>
    <row r="425" spans="1:5" x14ac:dyDescent="0.25">
      <c r="A425" s="40">
        <f t="shared" ca="1" si="27"/>
        <v>21.549496513838736</v>
      </c>
      <c r="B425" s="41">
        <f t="shared" ref="B425:B488" si="31">B424+0.01</f>
        <v>11.219999999999931</v>
      </c>
      <c r="C425" s="40">
        <f t="shared" si="28"/>
        <v>4.0656711476465289E-2</v>
      </c>
      <c r="D425" s="40">
        <f t="shared" ca="1" si="29"/>
        <v>4.0656711476465289E-2</v>
      </c>
      <c r="E425" s="40">
        <f t="shared" si="30"/>
        <v>0</v>
      </c>
    </row>
    <row r="426" spans="1:5" x14ac:dyDescent="0.25">
      <c r="A426" s="40">
        <f t="shared" ca="1" si="27"/>
        <v>21.726131731165289</v>
      </c>
      <c r="B426" s="41">
        <f t="shared" si="31"/>
        <v>11.229999999999931</v>
      </c>
      <c r="C426" s="40">
        <f t="shared" si="28"/>
        <v>3.8712553463487023E-2</v>
      </c>
      <c r="D426" s="40">
        <f t="shared" ca="1" si="29"/>
        <v>3.8712553463487023E-2</v>
      </c>
      <c r="E426" s="40">
        <f t="shared" si="30"/>
        <v>0</v>
      </c>
    </row>
    <row r="427" spans="1:5" x14ac:dyDescent="0.25">
      <c r="A427" s="40">
        <f t="shared" ca="1" si="27"/>
        <v>21.902766948491841</v>
      </c>
      <c r="B427" s="41">
        <f t="shared" si="31"/>
        <v>11.239999999999931</v>
      </c>
      <c r="C427" s="40">
        <f t="shared" si="28"/>
        <v>3.6846621293736725E-2</v>
      </c>
      <c r="D427" s="40">
        <f t="shared" ca="1" si="29"/>
        <v>3.6846621293736725E-2</v>
      </c>
      <c r="E427" s="40">
        <f t="shared" si="30"/>
        <v>0</v>
      </c>
    </row>
    <row r="428" spans="1:5" x14ac:dyDescent="0.25">
      <c r="A428" s="40">
        <f t="shared" ca="1" si="27"/>
        <v>22.079402165818397</v>
      </c>
      <c r="B428" s="41">
        <f t="shared" si="31"/>
        <v>11.249999999999931</v>
      </c>
      <c r="C428" s="40">
        <f t="shared" si="28"/>
        <v>3.5056600987149224E-2</v>
      </c>
      <c r="D428" s="40">
        <f t="shared" ca="1" si="29"/>
        <v>3.5056600987149224E-2</v>
      </c>
      <c r="E428" s="40">
        <f t="shared" si="30"/>
        <v>0</v>
      </c>
    </row>
    <row r="429" spans="1:5" x14ac:dyDescent="0.25">
      <c r="A429" s="40">
        <f t="shared" ca="1" si="27"/>
        <v>22.25603738314495</v>
      </c>
      <c r="B429" s="41">
        <f t="shared" si="31"/>
        <v>11.259999999999931</v>
      </c>
      <c r="C429" s="40">
        <f t="shared" si="28"/>
        <v>3.3340201674773792E-2</v>
      </c>
      <c r="D429" s="40">
        <f t="shared" ca="1" si="29"/>
        <v>3.3340201674773792E-2</v>
      </c>
      <c r="E429" s="40">
        <f t="shared" si="30"/>
        <v>0</v>
      </c>
    </row>
    <row r="430" spans="1:5" x14ac:dyDescent="0.25">
      <c r="A430" s="40">
        <f t="shared" ca="1" si="27"/>
        <v>22.432672600471502</v>
      </c>
      <c r="B430" s="41">
        <f t="shared" si="31"/>
        <v>11.26999999999993</v>
      </c>
      <c r="C430" s="40">
        <f t="shared" si="28"/>
        <v>3.1695158050732856E-2</v>
      </c>
      <c r="D430" s="40">
        <f t="shared" ca="1" si="29"/>
        <v>3.1695158050732856E-2</v>
      </c>
      <c r="E430" s="40">
        <f t="shared" si="30"/>
        <v>0</v>
      </c>
    </row>
    <row r="431" spans="1:5" x14ac:dyDescent="0.25">
      <c r="A431" s="40">
        <f t="shared" ca="1" si="27"/>
        <v>22.609307817798054</v>
      </c>
      <c r="B431" s="41">
        <f t="shared" si="31"/>
        <v>11.27999999999993</v>
      </c>
      <c r="C431" s="40">
        <f t="shared" si="28"/>
        <v>3.0119232654765682E-2</v>
      </c>
      <c r="D431" s="40">
        <f t="shared" ca="1" si="29"/>
        <v>3.0119232654765682E-2</v>
      </c>
      <c r="E431" s="40">
        <f t="shared" si="30"/>
        <v>0</v>
      </c>
    </row>
    <row r="432" spans="1:5" x14ac:dyDescent="0.25">
      <c r="A432" s="40">
        <f t="shared" ca="1" si="27"/>
        <v>22.785943035124607</v>
      </c>
      <c r="B432" s="41">
        <f t="shared" si="31"/>
        <v>11.28999999999993</v>
      </c>
      <c r="C432" s="40">
        <f t="shared" si="28"/>
        <v>2.8610217988309733E-2</v>
      </c>
      <c r="D432" s="40">
        <f t="shared" ca="1" si="29"/>
        <v>2.8610217988309733E-2</v>
      </c>
      <c r="E432" s="40">
        <f t="shared" si="30"/>
        <v>0</v>
      </c>
    </row>
    <row r="433" spans="1:5" x14ac:dyDescent="0.25">
      <c r="A433" s="40">
        <f t="shared" ca="1" si="27"/>
        <v>22.962578252451163</v>
      </c>
      <c r="B433" s="41">
        <f t="shared" si="31"/>
        <v>11.29999999999993</v>
      </c>
      <c r="C433" s="40">
        <f t="shared" si="28"/>
        <v>2.7165938467381169E-2</v>
      </c>
      <c r="D433" s="40">
        <f t="shared" ca="1" si="29"/>
        <v>2.7165938467381169E-2</v>
      </c>
      <c r="E433" s="40">
        <f t="shared" si="30"/>
        <v>0</v>
      </c>
    </row>
    <row r="434" spans="1:5" x14ac:dyDescent="0.25">
      <c r="A434" s="40">
        <f t="shared" ca="1" si="27"/>
        <v>23.139213469777715</v>
      </c>
      <c r="B434" s="41">
        <f t="shared" si="31"/>
        <v>11.309999999999929</v>
      </c>
      <c r="C434" s="40">
        <f t="shared" si="28"/>
        <v>2.5784252215800146E-2</v>
      </c>
      <c r="D434" s="40">
        <f t="shared" ca="1" si="29"/>
        <v>2.5784252215800146E-2</v>
      </c>
      <c r="E434" s="40">
        <f t="shared" si="30"/>
        <v>0</v>
      </c>
    </row>
    <row r="435" spans="1:5" x14ac:dyDescent="0.25">
      <c r="A435" s="40">
        <f t="shared" ca="1" si="27"/>
        <v>23.315848687104268</v>
      </c>
      <c r="B435" s="41">
        <f t="shared" si="31"/>
        <v>11.319999999999929</v>
      </c>
      <c r="C435" s="40">
        <f t="shared" si="28"/>
        <v>2.4463052702565088E-2</v>
      </c>
      <c r="D435" s="40">
        <f t="shared" ca="1" si="29"/>
        <v>2.4463052702565088E-2</v>
      </c>
      <c r="E435" s="40">
        <f t="shared" si="30"/>
        <v>2.4463052702565088E-2</v>
      </c>
    </row>
    <row r="436" spans="1:5" x14ac:dyDescent="0.25">
      <c r="A436" s="40">
        <f t="shared" ca="1" si="27"/>
        <v>23.49248390443082</v>
      </c>
      <c r="B436" s="41">
        <f t="shared" si="31"/>
        <v>11.329999999999929</v>
      </c>
      <c r="C436" s="40">
        <f t="shared" si="28"/>
        <v>2.3200270227413892E-2</v>
      </c>
      <c r="D436" s="40">
        <f t="shared" ca="1" si="29"/>
        <v>2.3200270227413892E-2</v>
      </c>
      <c r="E436" s="40">
        <f t="shared" si="30"/>
        <v>2.3200270227413892E-2</v>
      </c>
    </row>
    <row r="437" spans="1:5" x14ac:dyDescent="0.25">
      <c r="A437" s="40">
        <f t="shared" ca="1" si="27"/>
        <v>23.669119121757376</v>
      </c>
      <c r="B437" s="41">
        <f t="shared" si="31"/>
        <v>11.339999999999929</v>
      </c>
      <c r="C437" s="40">
        <f t="shared" si="28"/>
        <v>2.1993873258819553E-2</v>
      </c>
      <c r="D437" s="40">
        <f t="shared" ca="1" si="29"/>
        <v>2.1993873258819553E-2</v>
      </c>
      <c r="E437" s="40">
        <f t="shared" si="30"/>
        <v>2.1993873258819553E-2</v>
      </c>
    </row>
    <row r="438" spans="1:5" x14ac:dyDescent="0.25">
      <c r="A438" s="40">
        <f t="shared" ca="1" si="27"/>
        <v>23.845754339083928</v>
      </c>
      <c r="B438" s="41">
        <f t="shared" si="31"/>
        <v>11.349999999999929</v>
      </c>
      <c r="C438" s="40">
        <f t="shared" si="28"/>
        <v>2.0841869628853222E-2</v>
      </c>
      <c r="D438" s="40">
        <f t="shared" ca="1" si="29"/>
        <v>2.0841869628853222E-2</v>
      </c>
      <c r="E438" s="40">
        <f t="shared" si="30"/>
        <v>2.0841869628853222E-2</v>
      </c>
    </row>
    <row r="439" spans="1:5" x14ac:dyDescent="0.25">
      <c r="A439" s="40">
        <f t="shared" ca="1" si="27"/>
        <v>24.022389556410481</v>
      </c>
      <c r="B439" s="41">
        <f t="shared" si="31"/>
        <v>11.359999999999928</v>
      </c>
      <c r="C439" s="40">
        <f t="shared" si="28"/>
        <v>1.9742307589509969E-2</v>
      </c>
      <c r="D439" s="40">
        <f t="shared" ca="1" si="29"/>
        <v>1.9742307589509969E-2</v>
      </c>
      <c r="E439" s="40">
        <f t="shared" si="30"/>
        <v>1.9742307589509969E-2</v>
      </c>
    </row>
    <row r="440" spans="1:5" x14ac:dyDescent="0.25">
      <c r="A440" s="40">
        <f t="shared" ca="1" si="27"/>
        <v>24.199024773737033</v>
      </c>
      <c r="B440" s="41">
        <f t="shared" si="31"/>
        <v>11.369999999999928</v>
      </c>
      <c r="C440" s="40">
        <f t="shared" si="28"/>
        <v>1.869327673523194E-2</v>
      </c>
      <c r="D440" s="40">
        <f t="shared" ca="1" si="29"/>
        <v>1.869327673523194E-2</v>
      </c>
      <c r="E440" s="40">
        <f t="shared" si="30"/>
        <v>1.869327673523194E-2</v>
      </c>
    </row>
    <row r="441" spans="1:5" x14ac:dyDescent="0.25">
      <c r="A441" s="40">
        <f t="shared" ca="1" si="27"/>
        <v>24.375659991063586</v>
      </c>
      <c r="B441" s="41">
        <f t="shared" si="31"/>
        <v>11.379999999999928</v>
      </c>
      <c r="C441" s="40">
        <f t="shared" si="28"/>
        <v>1.7692908796481485E-2</v>
      </c>
      <c r="D441" s="40">
        <f t="shared" ca="1" si="29"/>
        <v>1.7692908796481485E-2</v>
      </c>
      <c r="E441" s="40">
        <f t="shared" si="30"/>
        <v>1.7692908796481485E-2</v>
      </c>
    </row>
    <row r="442" spans="1:5" x14ac:dyDescent="0.25">
      <c r="A442" s="40">
        <f t="shared" ca="1" si="27"/>
        <v>24.552295208390142</v>
      </c>
      <c r="B442" s="41">
        <f t="shared" si="31"/>
        <v>11.389999999999928</v>
      </c>
      <c r="C442" s="40">
        <f t="shared" si="28"/>
        <v>1.6739378309312779E-2</v>
      </c>
      <c r="D442" s="40">
        <f t="shared" ca="1" si="29"/>
        <v>1.6739378309312779E-2</v>
      </c>
      <c r="E442" s="40">
        <f t="shared" si="30"/>
        <v>1.6739378309312779E-2</v>
      </c>
    </row>
    <row r="443" spans="1:5" x14ac:dyDescent="0.25">
      <c r="A443" s="40">
        <f t="shared" ca="1" si="27"/>
        <v>24.728930425716694</v>
      </c>
      <c r="B443" s="41">
        <f t="shared" si="31"/>
        <v>11.399999999999928</v>
      </c>
      <c r="C443" s="40">
        <f t="shared" si="28"/>
        <v>1.5830903165966352E-2</v>
      </c>
      <c r="D443" s="40">
        <f t="shared" ca="1" si="29"/>
        <v>1.5830903165966352E-2</v>
      </c>
      <c r="E443" s="40">
        <f t="shared" si="30"/>
        <v>1.5830903165966352E-2</v>
      </c>
    </row>
    <row r="444" spans="1:5" x14ac:dyDescent="0.25">
      <c r="A444" s="40">
        <f t="shared" ca="1" si="27"/>
        <v>24.905565643043246</v>
      </c>
      <c r="B444" s="41">
        <f t="shared" si="31"/>
        <v>11.409999999999927</v>
      </c>
      <c r="C444" s="40">
        <f t="shared" si="28"/>
        <v>1.4965745051567253E-2</v>
      </c>
      <c r="D444" s="40">
        <f t="shared" ca="1" si="29"/>
        <v>1.4965745051567253E-2</v>
      </c>
      <c r="E444" s="40">
        <f t="shared" si="30"/>
        <v>1.4965745051567253E-2</v>
      </c>
    </row>
    <row r="445" spans="1:5" x14ac:dyDescent="0.25">
      <c r="A445" s="40">
        <f t="shared" ca="1" si="27"/>
        <v>25.082200860369799</v>
      </c>
      <c r="B445" s="41">
        <f t="shared" si="31"/>
        <v>11.419999999999927</v>
      </c>
      <c r="C445" s="40">
        <f t="shared" si="28"/>
        <v>1.4142209772044752E-2</v>
      </c>
      <c r="D445" s="40">
        <f t="shared" ca="1" si="29"/>
        <v>1.4142209772044752E-2</v>
      </c>
      <c r="E445" s="40">
        <f t="shared" si="30"/>
        <v>1.4142209772044752E-2</v>
      </c>
    </row>
    <row r="446" spans="1:5" x14ac:dyDescent="0.25">
      <c r="A446" s="40">
        <f t="shared" ca="1" si="27"/>
        <v>25.258836077696355</v>
      </c>
      <c r="B446" s="41">
        <f t="shared" si="31"/>
        <v>11.429999999999927</v>
      </c>
      <c r="C446" s="40">
        <f t="shared" si="28"/>
        <v>1.3358647478410819E-2</v>
      </c>
      <c r="D446" s="40">
        <f t="shared" ca="1" si="29"/>
        <v>1.3358647478410819E-2</v>
      </c>
      <c r="E446" s="40">
        <f t="shared" si="30"/>
        <v>1.3358647478410819E-2</v>
      </c>
    </row>
    <row r="447" spans="1:5" x14ac:dyDescent="0.25">
      <c r="A447" s="40">
        <f t="shared" ca="1" si="27"/>
        <v>25.435471295022907</v>
      </c>
      <c r="B447" s="41">
        <f t="shared" si="31"/>
        <v>11.439999999999927</v>
      </c>
      <c r="C447" s="40">
        <f t="shared" si="28"/>
        <v>1.2613452792537177E-2</v>
      </c>
      <c r="D447" s="40">
        <f t="shared" ca="1" si="29"/>
        <v>1.2613452792537177E-2</v>
      </c>
      <c r="E447" s="40">
        <f t="shared" si="30"/>
        <v>1.2613452792537177E-2</v>
      </c>
    </row>
    <row r="448" spans="1:5" x14ac:dyDescent="0.25">
      <c r="A448" s="40">
        <f t="shared" ca="1" si="27"/>
        <v>25.61210651234946</v>
      </c>
      <c r="B448" s="41">
        <f t="shared" si="31"/>
        <v>11.449999999999926</v>
      </c>
      <c r="C448" s="40">
        <f t="shared" si="28"/>
        <v>1.1905064839556783E-2</v>
      </c>
      <c r="D448" s="40">
        <f t="shared" ca="1" si="29"/>
        <v>1.1905064839556783E-2</v>
      </c>
      <c r="E448" s="40">
        <f t="shared" si="30"/>
        <v>1.1905064839556783E-2</v>
      </c>
    </row>
    <row r="449" spans="1:5" x14ac:dyDescent="0.25">
      <c r="A449" s="40">
        <f t="shared" ca="1" si="27"/>
        <v>25.788741729676012</v>
      </c>
      <c r="B449" s="41">
        <f t="shared" si="31"/>
        <v>11.459999999999926</v>
      </c>
      <c r="C449" s="40">
        <f t="shared" si="28"/>
        <v>1.1231967191986766E-2</v>
      </c>
      <c r="D449" s="40">
        <f t="shared" ca="1" si="29"/>
        <v>1.1231967191986766E-2</v>
      </c>
      <c r="E449" s="40">
        <f t="shared" si="30"/>
        <v>1.1231967191986766E-2</v>
      </c>
    </row>
    <row r="450" spans="1:5" x14ac:dyDescent="0.25">
      <c r="A450" s="40">
        <f t="shared" ca="1" si="27"/>
        <v>25.965376947002564</v>
      </c>
      <c r="B450" s="41">
        <f t="shared" si="31"/>
        <v>11.469999999999926</v>
      </c>
      <c r="C450" s="40">
        <f t="shared" si="28"/>
        <v>1.0592687730626641E-2</v>
      </c>
      <c r="D450" s="40">
        <f t="shared" ca="1" si="29"/>
        <v>1.0592687730626641E-2</v>
      </c>
      <c r="E450" s="40">
        <f t="shared" si="30"/>
        <v>1.0592687730626641E-2</v>
      </c>
    </row>
    <row r="451" spans="1:5" x14ac:dyDescent="0.25">
      <c r="A451" s="40">
        <f t="shared" ca="1" si="27"/>
        <v>26.14201216432912</v>
      </c>
      <c r="B451" s="41">
        <f t="shared" si="31"/>
        <v>11.479999999999926</v>
      </c>
      <c r="C451" s="40">
        <f t="shared" si="28"/>
        <v>9.9857984272291329E-3</v>
      </c>
      <c r="D451" s="40">
        <f t="shared" ca="1" si="29"/>
        <v>9.9857984272291329E-3</v>
      </c>
      <c r="E451" s="40">
        <f t="shared" si="30"/>
        <v>9.9857984272291329E-3</v>
      </c>
    </row>
    <row r="452" spans="1:5" x14ac:dyDescent="0.25">
      <c r="A452" s="40">
        <f t="shared" ca="1" si="27"/>
        <v>26.318647381655673</v>
      </c>
      <c r="B452" s="41">
        <f t="shared" si="31"/>
        <v>11.489999999999926</v>
      </c>
      <c r="C452" s="40">
        <f t="shared" si="28"/>
        <v>9.4099150538721303E-3</v>
      </c>
      <c r="D452" s="40">
        <f t="shared" ca="1" si="29"/>
        <v>9.4099150538721303E-3</v>
      </c>
      <c r="E452" s="40">
        <f t="shared" si="30"/>
        <v>9.4099150538721303E-3</v>
      </c>
    </row>
    <row r="453" spans="1:5" x14ac:dyDescent="0.25">
      <c r="A453" s="40">
        <f t="shared" ca="1" si="27"/>
        <v>26.495282598982225</v>
      </c>
      <c r="B453" s="41">
        <f t="shared" si="31"/>
        <v>11.499999999999925</v>
      </c>
      <c r="C453" s="40">
        <f t="shared" si="28"/>
        <v>8.8636968238799824E-3</v>
      </c>
      <c r="D453" s="40">
        <f t="shared" ca="1" si="29"/>
        <v>8.8636968238799824E-3</v>
      </c>
      <c r="E453" s="40">
        <f t="shared" si="30"/>
        <v>8.8636968238799824E-3</v>
      </c>
    </row>
    <row r="454" spans="1:5" x14ac:dyDescent="0.25">
      <c r="A454" s="40">
        <f t="shared" ca="1" si="27"/>
        <v>26.671917816308778</v>
      </c>
      <c r="B454" s="41">
        <f t="shared" si="31"/>
        <v>11.509999999999925</v>
      </c>
      <c r="C454" s="40">
        <f t="shared" si="28"/>
        <v>8.3458459690516976E-3</v>
      </c>
      <c r="D454" s="40">
        <f t="shared" ca="1" si="29"/>
        <v>8.3458459690516976E-3</v>
      </c>
      <c r="E454" s="40">
        <f t="shared" si="30"/>
        <v>8.3458459690516976E-3</v>
      </c>
    </row>
    <row r="455" spans="1:5" x14ac:dyDescent="0.25">
      <c r="A455" s="40">
        <f t="shared" ca="1" si="27"/>
        <v>26.848553033635334</v>
      </c>
      <c r="B455" s="41">
        <f t="shared" si="31"/>
        <v>11.519999999999925</v>
      </c>
      <c r="C455" s="40">
        <f t="shared" si="28"/>
        <v>7.8551072578531434E-3</v>
      </c>
      <c r="D455" s="40">
        <f t="shared" ca="1" si="29"/>
        <v>7.8551072578531434E-3</v>
      </c>
      <c r="E455" s="40">
        <f t="shared" si="30"/>
        <v>7.8551072578531434E-3</v>
      </c>
    </row>
    <row r="456" spans="1:5" x14ac:dyDescent="0.25">
      <c r="A456" s="40">
        <f t="shared" ca="1" si="27"/>
        <v>27.025188250961886</v>
      </c>
      <c r="B456" s="41">
        <f t="shared" si="31"/>
        <v>11.529999999999925</v>
      </c>
      <c r="C456" s="40">
        <f t="shared" si="28"/>
        <v>7.3902674591214699E-3</v>
      </c>
      <c r="D456" s="40">
        <f t="shared" ca="1" si="29"/>
        <v>7.3902674591214699E-3</v>
      </c>
      <c r="E456" s="40">
        <f t="shared" si="30"/>
        <v>7.3902674591214699E-3</v>
      </c>
    </row>
    <row r="457" spans="1:5" x14ac:dyDescent="0.25">
      <c r="A457" s="40">
        <f t="shared" ca="1" si="27"/>
        <v>27.201823468288438</v>
      </c>
      <c r="B457" s="41">
        <f t="shared" si="31"/>
        <v>11.539999999999925</v>
      </c>
      <c r="C457" s="40">
        <f t="shared" si="28"/>
        <v>6.9501547557131041E-3</v>
      </c>
      <c r="D457" s="40">
        <f t="shared" ca="1" si="29"/>
        <v>6.9501547557131041E-3</v>
      </c>
      <c r="E457" s="40">
        <f t="shared" si="30"/>
        <v>6.9501547557131041E-3</v>
      </c>
    </row>
    <row r="458" spans="1:5" x14ac:dyDescent="0.25">
      <c r="A458" s="40">
        <f t="shared" ca="1" si="27"/>
        <v>27.378458685614991</v>
      </c>
      <c r="B458" s="41">
        <f t="shared" si="31"/>
        <v>11.549999999999924</v>
      </c>
      <c r="C458" s="40">
        <f t="shared" si="28"/>
        <v>6.5336381124029069E-3</v>
      </c>
      <c r="D458" s="40">
        <f t="shared" ca="1" si="29"/>
        <v>6.5336381124029069E-3</v>
      </c>
      <c r="E458" s="40">
        <f t="shared" si="30"/>
        <v>6.5336381124029069E-3</v>
      </c>
    </row>
    <row r="459" spans="1:5" x14ac:dyDescent="0.25">
      <c r="A459" s="40">
        <f t="shared" ca="1" si="27"/>
        <v>27.555093902941543</v>
      </c>
      <c r="B459" s="41">
        <f t="shared" si="31"/>
        <v>11.559999999999924</v>
      </c>
      <c r="C459" s="40">
        <f t="shared" si="28"/>
        <v>6.1396266022123933E-3</v>
      </c>
      <c r="D459" s="40">
        <f t="shared" ca="1" si="29"/>
        <v>6.1396266022123933E-3</v>
      </c>
      <c r="E459" s="40">
        <f t="shared" si="30"/>
        <v>6.1396266022123933E-3</v>
      </c>
    </row>
    <row r="460" spans="1:5" x14ac:dyDescent="0.25">
      <c r="A460" s="40">
        <f t="shared" ca="1" si="27"/>
        <v>27.731729120268099</v>
      </c>
      <c r="B460" s="41">
        <f t="shared" si="31"/>
        <v>11.569999999999924</v>
      </c>
      <c r="C460" s="40">
        <f t="shared" si="28"/>
        <v>5.767068695209634E-3</v>
      </c>
      <c r="D460" s="40">
        <f t="shared" ca="1" si="29"/>
        <v>5.767068695209634E-3</v>
      </c>
      <c r="E460" s="40">
        <f t="shared" si="30"/>
        <v>5.767068695209634E-3</v>
      </c>
    </row>
    <row r="461" spans="1:5" x14ac:dyDescent="0.25">
      <c r="A461" s="40">
        <f t="shared" ca="1" si="27"/>
        <v>27.908364337594652</v>
      </c>
      <c r="B461" s="41">
        <f t="shared" si="31"/>
        <v>11.579999999999924</v>
      </c>
      <c r="C461" s="40">
        <f t="shared" si="28"/>
        <v>5.4149515136840158E-3</v>
      </c>
      <c r="D461" s="40">
        <f t="shared" ca="1" si="29"/>
        <v>5.4149515136840158E-3</v>
      </c>
      <c r="E461" s="40">
        <f t="shared" si="30"/>
        <v>5.4149515136840158E-3</v>
      </c>
    </row>
    <row r="462" spans="1:5" x14ac:dyDescent="0.25">
      <c r="A462" s="40">
        <f t="shared" ca="1" si="27"/>
        <v>28.084999554921204</v>
      </c>
      <c r="B462" s="41">
        <f t="shared" si="31"/>
        <v>11.589999999999923</v>
      </c>
      <c r="C462" s="40">
        <f t="shared" si="28"/>
        <v>5.0823000574555218E-3</v>
      </c>
      <c r="D462" s="40">
        <f t="shared" ca="1" si="29"/>
        <v>5.0823000574555218E-3</v>
      </c>
      <c r="E462" s="40">
        <f t="shared" si="30"/>
        <v>5.0823000574555218E-3</v>
      </c>
    </row>
    <row r="463" spans="1:5" x14ac:dyDescent="0.25">
      <c r="A463" s="40">
        <f t="shared" ca="1" si="27"/>
        <v>28.261634772247756</v>
      </c>
      <c r="B463" s="41">
        <f t="shared" si="31"/>
        <v>11.599999999999923</v>
      </c>
      <c r="C463" s="40">
        <f t="shared" si="28"/>
        <v>4.768176402932027E-3</v>
      </c>
      <c r="D463" s="40">
        <f t="shared" ca="1" si="29"/>
        <v>4.768176402932027E-3</v>
      </c>
      <c r="E463" s="40">
        <f t="shared" si="30"/>
        <v>4.768176402932027E-3</v>
      </c>
    </row>
    <row r="464" spans="1:5" x14ac:dyDescent="0.25">
      <c r="A464" s="40">
        <f t="shared" ca="1" si="27"/>
        <v>28.438269989574312</v>
      </c>
      <c r="B464" s="41">
        <f t="shared" si="31"/>
        <v>11.609999999999923</v>
      </c>
      <c r="C464" s="40">
        <f t="shared" si="28"/>
        <v>4.4716788793792966E-3</v>
      </c>
      <c r="D464" s="40">
        <f t="shared" ca="1" si="29"/>
        <v>4.4716788793792966E-3</v>
      </c>
      <c r="E464" s="40">
        <f t="shared" si="30"/>
        <v>4.4716788793792966E-3</v>
      </c>
    </row>
    <row r="465" spans="1:5" x14ac:dyDescent="0.25">
      <c r="A465" s="40">
        <f t="shared" ca="1" si="27"/>
        <v>28.614905206900865</v>
      </c>
      <c r="B465" s="41">
        <f t="shared" si="31"/>
        <v>11.619999999999923</v>
      </c>
      <c r="C465" s="40">
        <f t="shared" si="28"/>
        <v>4.1919412257179827E-3</v>
      </c>
      <c r="D465" s="40">
        <f t="shared" ca="1" si="29"/>
        <v>4.1919412257179827E-3</v>
      </c>
      <c r="E465" s="40">
        <f t="shared" si="30"/>
        <v>4.1919412257179827E-3</v>
      </c>
    </row>
    <row r="466" spans="1:5" x14ac:dyDescent="0.25">
      <c r="A466" s="40">
        <f t="shared" ca="1" si="27"/>
        <v>28.791540424227417</v>
      </c>
      <c r="B466" s="41">
        <f t="shared" si="31"/>
        <v>11.629999999999923</v>
      </c>
      <c r="C466" s="40">
        <f t="shared" si="28"/>
        <v>3.9281317310107334E-3</v>
      </c>
      <c r="D466" s="40">
        <f t="shared" ca="1" si="29"/>
        <v>3.9281317310107334E-3</v>
      </c>
      <c r="E466" s="40">
        <f t="shared" si="30"/>
        <v>3.9281317310107334E-3</v>
      </c>
    </row>
    <row r="467" spans="1:5" x14ac:dyDescent="0.25">
      <c r="A467" s="40">
        <f t="shared" ca="1" si="27"/>
        <v>28.96817564155397</v>
      </c>
      <c r="B467" s="41">
        <f t="shared" si="31"/>
        <v>11.639999999999922</v>
      </c>
      <c r="C467" s="40">
        <f t="shared" si="28"/>
        <v>3.6794523616504315E-3</v>
      </c>
      <c r="D467" s="40">
        <f t="shared" ca="1" si="29"/>
        <v>3.6794523616504315E-3</v>
      </c>
      <c r="E467" s="40">
        <f t="shared" si="30"/>
        <v>3.6794523616504315E-3</v>
      </c>
    </row>
    <row r="468" spans="1:5" x14ac:dyDescent="0.25">
      <c r="A468" s="40">
        <f t="shared" ca="1" si="27"/>
        <v>29.144810858880522</v>
      </c>
      <c r="B468" s="41">
        <f t="shared" si="31"/>
        <v>11.649999999999922</v>
      </c>
      <c r="C468" s="40">
        <f t="shared" si="28"/>
        <v>3.4451378781091284E-3</v>
      </c>
      <c r="D468" s="40">
        <f t="shared" ca="1" si="29"/>
        <v>3.4451378781091284E-3</v>
      </c>
      <c r="E468" s="40">
        <f t="shared" si="30"/>
        <v>3.4451378781091284E-3</v>
      </c>
    </row>
    <row r="469" spans="1:5" x14ac:dyDescent="0.25">
      <c r="A469" s="40">
        <f t="shared" ca="1" si="27"/>
        <v>29.321446076207078</v>
      </c>
      <c r="B469" s="41">
        <f t="shared" si="31"/>
        <v>11.659999999999922</v>
      </c>
      <c r="C469" s="40">
        <f t="shared" si="28"/>
        <v>3.2244549439559189E-3</v>
      </c>
      <c r="D469" s="40">
        <f t="shared" ca="1" si="29"/>
        <v>3.2244549439559189E-3</v>
      </c>
      <c r="E469" s="40">
        <f t="shared" si="30"/>
        <v>3.2244549439559189E-3</v>
      </c>
    </row>
    <row r="470" spans="1:5" x14ac:dyDescent="0.25">
      <c r="A470" s="40">
        <f t="shared" ca="1" si="27"/>
        <v>29.49808129353363</v>
      </c>
      <c r="B470" s="41">
        <f t="shared" si="31"/>
        <v>11.669999999999922</v>
      </c>
      <c r="C470" s="40">
        <f t="shared" si="28"/>
        <v>3.0167012297021901E-3</v>
      </c>
      <c r="D470" s="40">
        <f t="shared" ca="1" si="29"/>
        <v>3.0167012297021901E-3</v>
      </c>
      <c r="E470" s="40">
        <f t="shared" si="30"/>
        <v>3.0167012297021901E-3</v>
      </c>
    </row>
    <row r="471" spans="1:5" x14ac:dyDescent="0.25">
      <c r="A471" s="40">
        <f t="shared" ca="1" si="27"/>
        <v>29.674716510860183</v>
      </c>
      <c r="B471" s="41">
        <f t="shared" si="31"/>
        <v>11.679999999999922</v>
      </c>
      <c r="C471" s="40">
        <f t="shared" si="28"/>
        <v>2.8212045138842558E-3</v>
      </c>
      <c r="D471" s="40">
        <f t="shared" ca="1" si="29"/>
        <v>2.8212045138842558E-3</v>
      </c>
      <c r="E471" s="40">
        <f t="shared" si="30"/>
        <v>2.8212045138842558E-3</v>
      </c>
    </row>
    <row r="472" spans="1:5" x14ac:dyDescent="0.25">
      <c r="A472" s="40">
        <f t="shared" ca="1" si="27"/>
        <v>29.851351728186735</v>
      </c>
      <c r="B472" s="41">
        <f t="shared" si="31"/>
        <v>11.689999999999921</v>
      </c>
      <c r="C472" s="40">
        <f t="shared" si="28"/>
        <v>2.637321783646885E-3</v>
      </c>
      <c r="D472" s="40">
        <f t="shared" ca="1" si="29"/>
        <v>2.637321783646885E-3</v>
      </c>
      <c r="E472" s="40">
        <f t="shared" si="30"/>
        <v>2.637321783646885E-3</v>
      </c>
    </row>
    <row r="473" spans="1:5" x14ac:dyDescent="0.25">
      <c r="A473" s="40">
        <f t="shared" ca="1" si="27"/>
        <v>30.027986945513291</v>
      </c>
      <c r="B473" s="41">
        <f t="shared" si="31"/>
        <v>11.699999999999921</v>
      </c>
      <c r="C473" s="40">
        <f t="shared" si="28"/>
        <v>2.4644383369473596E-3</v>
      </c>
      <c r="D473" s="40">
        <f t="shared" ca="1" si="29"/>
        <v>2.4644383369473596E-3</v>
      </c>
      <c r="E473" s="40">
        <f t="shared" si="30"/>
        <v>2.4644383369473596E-3</v>
      </c>
    </row>
    <row r="474" spans="1:5" x14ac:dyDescent="0.25">
      <c r="A474" s="40">
        <f t="shared" ca="1" si="27"/>
        <v>30.204622162839843</v>
      </c>
      <c r="B474" s="41">
        <f t="shared" si="31"/>
        <v>11.709999999999921</v>
      </c>
      <c r="C474" s="40">
        <f t="shared" si="28"/>
        <v>2.301966888358212E-3</v>
      </c>
      <c r="D474" s="40">
        <f t="shared" ca="1" si="29"/>
        <v>2.301966888358212E-3</v>
      </c>
      <c r="E474" s="40">
        <f t="shared" si="30"/>
        <v>2.301966888358212E-3</v>
      </c>
    </row>
    <row r="475" spans="1:5" x14ac:dyDescent="0.25">
      <c r="A475" s="40">
        <f t="shared" ca="1" si="27"/>
        <v>30.381257380166396</v>
      </c>
      <c r="B475" s="41">
        <f t="shared" si="31"/>
        <v>11.719999999999921</v>
      </c>
      <c r="C475" s="40">
        <f t="shared" si="28"/>
        <v>2.1493466803086435E-3</v>
      </c>
      <c r="D475" s="40">
        <f t="shared" ca="1" si="29"/>
        <v>2.1493466803086435E-3</v>
      </c>
      <c r="E475" s="40">
        <f t="shared" si="30"/>
        <v>2.1493466803086435E-3</v>
      </c>
    </row>
    <row r="476" spans="1:5" x14ac:dyDescent="0.25">
      <c r="A476" s="40">
        <f t="shared" ca="1" si="27"/>
        <v>30.557892597492948</v>
      </c>
      <c r="B476" s="41">
        <f t="shared" si="31"/>
        <v>11.72999999999992</v>
      </c>
      <c r="C476" s="40">
        <f t="shared" si="28"/>
        <v>2.0060426014695799E-3</v>
      </c>
      <c r="D476" s="40">
        <f t="shared" ca="1" si="29"/>
        <v>2.0060426014695799E-3</v>
      </c>
      <c r="E476" s="40">
        <f t="shared" si="30"/>
        <v>2.0060426014695799E-3</v>
      </c>
    </row>
    <row r="477" spans="1:5" x14ac:dyDescent="0.25">
      <c r="A477" s="40">
        <f t="shared" ca="1" si="27"/>
        <v>30.734527814819501</v>
      </c>
      <c r="B477" s="41">
        <f t="shared" si="31"/>
        <v>11.73999999999992</v>
      </c>
      <c r="C477" s="40">
        <f t="shared" si="28"/>
        <v>1.8715443138559982E-3</v>
      </c>
      <c r="D477" s="40">
        <f t="shared" ca="1" si="29"/>
        <v>1.8715443138559982E-3</v>
      </c>
      <c r="E477" s="40">
        <f t="shared" si="30"/>
        <v>1.8715443138559982E-3</v>
      </c>
    </row>
    <row r="478" spans="1:5" x14ac:dyDescent="0.25">
      <c r="A478" s="40">
        <f t="shared" ca="1" si="27"/>
        <v>30.911163032146057</v>
      </c>
      <c r="B478" s="41">
        <f t="shared" si="31"/>
        <v>11.74999999999992</v>
      </c>
      <c r="C478" s="40">
        <f t="shared" si="28"/>
        <v>1.7453653900924967E-3</v>
      </c>
      <c r="D478" s="40">
        <f t="shared" ca="1" si="29"/>
        <v>1.7453653900924967E-3</v>
      </c>
      <c r="E478" s="40">
        <f t="shared" si="30"/>
        <v>1.7453653900924967E-3</v>
      </c>
    </row>
    <row r="479" spans="1:5" x14ac:dyDescent="0.25">
      <c r="A479" s="40">
        <f t="shared" ca="1" si="27"/>
        <v>31.087798249472609</v>
      </c>
      <c r="B479" s="41">
        <f t="shared" si="31"/>
        <v>11.75999999999992</v>
      </c>
      <c r="C479" s="40">
        <f t="shared" si="28"/>
        <v>1.6270424621645345E-3</v>
      </c>
      <c r="D479" s="40">
        <f t="shared" ca="1" si="29"/>
        <v>1.6270424621645345E-3</v>
      </c>
      <c r="E479" s="40">
        <f t="shared" si="30"/>
        <v>1.6270424621645345E-3</v>
      </c>
    </row>
    <row r="480" spans="1:5" x14ac:dyDescent="0.25">
      <c r="A480" s="40">
        <f t="shared" ca="1" si="27"/>
        <v>31.264433466799161</v>
      </c>
      <c r="B480" s="41">
        <f t="shared" si="31"/>
        <v>11.76999999999992</v>
      </c>
      <c r="C480" s="40">
        <f t="shared" si="28"/>
        <v>1.5161343828582838E-3</v>
      </c>
      <c r="D480" s="40">
        <f t="shared" ca="1" si="29"/>
        <v>1.5161343828582838E-3</v>
      </c>
      <c r="E480" s="40">
        <f t="shared" si="30"/>
        <v>1.5161343828582838E-3</v>
      </c>
    </row>
    <row r="481" spans="1:5" x14ac:dyDescent="0.25">
      <c r="A481" s="40">
        <f t="shared" ca="1" si="27"/>
        <v>31.441068684125714</v>
      </c>
      <c r="B481" s="41">
        <f t="shared" si="31"/>
        <v>11.779999999999919</v>
      </c>
      <c r="C481" s="40">
        <f t="shared" si="28"/>
        <v>1.4122214009768827E-3</v>
      </c>
      <c r="D481" s="40">
        <f t="shared" ca="1" si="29"/>
        <v>1.4122214009768827E-3</v>
      </c>
      <c r="E481" s="40">
        <f t="shared" si="30"/>
        <v>1.4122214009768827E-3</v>
      </c>
    </row>
    <row r="482" spans="1:5" x14ac:dyDescent="0.25">
      <c r="A482" s="40">
        <f t="shared" ca="1" si="27"/>
        <v>31.61770390145227</v>
      </c>
      <c r="B482" s="41">
        <f t="shared" si="31"/>
        <v>11.789999999999919</v>
      </c>
      <c r="C482" s="40">
        <f t="shared" si="28"/>
        <v>1.3149043513101131E-3</v>
      </c>
      <c r="D482" s="40">
        <f t="shared" ca="1" si="29"/>
        <v>1.3149043513101131E-3</v>
      </c>
      <c r="E482" s="40">
        <f t="shared" si="30"/>
        <v>1.3149043513101131E-3</v>
      </c>
    </row>
    <row r="483" spans="1:5" x14ac:dyDescent="0.25">
      <c r="A483" s="40">
        <f t="shared" ca="1" si="27"/>
        <v>31.794339118778822</v>
      </c>
      <c r="B483" s="41">
        <f t="shared" si="31"/>
        <v>11.799999999999919</v>
      </c>
      <c r="C483" s="40">
        <f t="shared" si="28"/>
        <v>1.2238038602282581E-3</v>
      </c>
      <c r="D483" s="40">
        <f t="shared" ca="1" si="29"/>
        <v>1.2238038602282581E-3</v>
      </c>
      <c r="E483" s="40">
        <f t="shared" si="30"/>
        <v>1.2238038602282581E-3</v>
      </c>
    </row>
    <row r="484" spans="1:5" x14ac:dyDescent="0.25">
      <c r="A484" s="40">
        <f t="shared" ca="1" si="27"/>
        <v>31.970974336105375</v>
      </c>
      <c r="B484" s="41">
        <f t="shared" si="31"/>
        <v>11.809999999999919</v>
      </c>
      <c r="C484" s="40">
        <f t="shared" si="28"/>
        <v>1.1385595676691748E-3</v>
      </c>
      <c r="D484" s="40">
        <f t="shared" ca="1" si="29"/>
        <v>1.1385595676691748E-3</v>
      </c>
      <c r="E484" s="40">
        <f t="shared" si="30"/>
        <v>1.1385595676691748E-3</v>
      </c>
    </row>
    <row r="485" spans="1:5" x14ac:dyDescent="0.25">
      <c r="A485" s="40">
        <f t="shared" ca="1" si="27"/>
        <v>32.147609553431927</v>
      </c>
      <c r="B485" s="41">
        <f t="shared" si="31"/>
        <v>11.819999999999919</v>
      </c>
      <c r="C485" s="40">
        <f t="shared" si="28"/>
        <v>1.0588293661904977E-3</v>
      </c>
      <c r="D485" s="40">
        <f t="shared" ca="1" si="29"/>
        <v>1.0588293661904977E-3</v>
      </c>
      <c r="E485" s="40">
        <f t="shared" si="30"/>
        <v>1.0588293661904977E-3</v>
      </c>
    </row>
    <row r="486" spans="1:5" x14ac:dyDescent="0.25">
      <c r="A486" s="40">
        <f t="shared" ca="1" si="27"/>
        <v>32.324244770758483</v>
      </c>
      <c r="B486" s="41">
        <f t="shared" si="31"/>
        <v>11.829999999999918</v>
      </c>
      <c r="C486" s="40">
        <f t="shared" si="28"/>
        <v>9.842886576663754E-4</v>
      </c>
      <c r="D486" s="40">
        <f t="shared" ca="1" si="29"/>
        <v>9.842886576663754E-4</v>
      </c>
      <c r="E486" s="40">
        <f t="shared" si="30"/>
        <v>9.842886576663754E-4</v>
      </c>
    </row>
    <row r="487" spans="1:5" x14ac:dyDescent="0.25">
      <c r="A487" s="40">
        <f t="shared" ref="A487:A550" ca="1" si="32">(B487-B$4)/B$11</f>
        <v>32.500879988085032</v>
      </c>
      <c r="B487" s="41">
        <f t="shared" si="31"/>
        <v>11.839999999999918</v>
      </c>
      <c r="C487" s="40">
        <f t="shared" ref="C487:C550" si="33">NORMDIST(B487,B$4,B$5,0)</f>
        <v>9.1462962812026525E-4</v>
      </c>
      <c r="D487" s="40">
        <f t="shared" ref="D487:D550" ca="1" si="34">IF(C487&lt;=B$14/2,C487,0)</f>
        <v>9.1462962812026525E-4</v>
      </c>
      <c r="E487" s="40">
        <f t="shared" ref="E487:E550" si="35">IF(C487&lt;=B$6/2,C487,0)</f>
        <v>9.1462962812026525E-4</v>
      </c>
    </row>
    <row r="488" spans="1:5" x14ac:dyDescent="0.25">
      <c r="A488" s="40">
        <f t="shared" ca="1" si="32"/>
        <v>32.677515205411588</v>
      </c>
      <c r="B488" s="41">
        <f t="shared" si="31"/>
        <v>11.849999999999918</v>
      </c>
      <c r="C488" s="40">
        <f t="shared" si="33"/>
        <v>8.4956054110201895E-4</v>
      </c>
      <c r="D488" s="40">
        <f t="shared" ca="1" si="34"/>
        <v>8.4956054110201895E-4</v>
      </c>
      <c r="E488" s="40">
        <f t="shared" si="35"/>
        <v>8.4956054110201895E-4</v>
      </c>
    </row>
    <row r="489" spans="1:5" x14ac:dyDescent="0.25">
      <c r="A489" s="40">
        <f t="shared" ca="1" si="32"/>
        <v>32.854150422738144</v>
      </c>
      <c r="B489" s="41">
        <f t="shared" ref="B489:B552" si="36">B488+0.01</f>
        <v>11.859999999999918</v>
      </c>
      <c r="C489" s="40">
        <f t="shared" si="33"/>
        <v>7.8880504993879589E-4</v>
      </c>
      <c r="D489" s="40">
        <f t="shared" ca="1" si="34"/>
        <v>7.8880504993879589E-4</v>
      </c>
      <c r="E489" s="40">
        <f t="shared" si="35"/>
        <v>7.8880504993879589E-4</v>
      </c>
    </row>
    <row r="490" spans="1:5" x14ac:dyDescent="0.25">
      <c r="A490" s="40">
        <f t="shared" ca="1" si="32"/>
        <v>33.030785640064693</v>
      </c>
      <c r="B490" s="41">
        <f t="shared" si="36"/>
        <v>11.869999999999918</v>
      </c>
      <c r="C490" s="40">
        <f t="shared" si="33"/>
        <v>7.3210152911512257E-4</v>
      </c>
      <c r="D490" s="40">
        <f t="shared" ca="1" si="34"/>
        <v>7.3210152911512257E-4</v>
      </c>
      <c r="E490" s="40">
        <f t="shared" si="35"/>
        <v>7.3210152911512257E-4</v>
      </c>
    </row>
    <row r="491" spans="1:5" x14ac:dyDescent="0.25">
      <c r="A491" s="40">
        <f t="shared" ca="1" si="32"/>
        <v>33.207420857391249</v>
      </c>
      <c r="B491" s="41">
        <f t="shared" si="36"/>
        <v>11.879999999999917</v>
      </c>
      <c r="C491" s="40">
        <f t="shared" si="33"/>
        <v>6.7920242496773186E-4</v>
      </c>
      <c r="D491" s="40">
        <f t="shared" ca="1" si="34"/>
        <v>6.7920242496773186E-4</v>
      </c>
      <c r="E491" s="40">
        <f t="shared" si="35"/>
        <v>6.7920242496773186E-4</v>
      </c>
    </row>
    <row r="492" spans="1:5" x14ac:dyDescent="0.25">
      <c r="A492" s="40">
        <f t="shared" ca="1" si="32"/>
        <v>33.384056074717797</v>
      </c>
      <c r="B492" s="41">
        <f t="shared" si="36"/>
        <v>11.889999999999917</v>
      </c>
      <c r="C492" s="40">
        <f t="shared" si="33"/>
        <v>6.2987362581543808E-4</v>
      </c>
      <c r="D492" s="40">
        <f t="shared" ca="1" si="34"/>
        <v>6.2987362581543808E-4</v>
      </c>
      <c r="E492" s="40">
        <f t="shared" si="35"/>
        <v>6.2987362581543808E-4</v>
      </c>
    </row>
    <row r="493" spans="1:5" x14ac:dyDescent="0.25">
      <c r="A493" s="40">
        <f t="shared" ca="1" si="32"/>
        <v>33.560691292044353</v>
      </c>
      <c r="B493" s="41">
        <f t="shared" si="36"/>
        <v>11.899999999999917</v>
      </c>
      <c r="C493" s="40">
        <f t="shared" si="33"/>
        <v>5.8389385158328928E-4</v>
      </c>
      <c r="D493" s="40">
        <f t="shared" ca="1" si="34"/>
        <v>5.8389385158328928E-4</v>
      </c>
      <c r="E493" s="40">
        <f t="shared" si="35"/>
        <v>5.8389385158328928E-4</v>
      </c>
    </row>
    <row r="494" spans="1:5" x14ac:dyDescent="0.25">
      <c r="A494" s="40">
        <f t="shared" ca="1" si="32"/>
        <v>33.737326509370909</v>
      </c>
      <c r="B494" s="41">
        <f t="shared" si="36"/>
        <v>11.909999999999917</v>
      </c>
      <c r="C494" s="40">
        <f t="shared" si="33"/>
        <v>5.4105406292338657E-4</v>
      </c>
      <c r="D494" s="40">
        <f t="shared" ca="1" si="34"/>
        <v>5.4105406292338657E-4</v>
      </c>
      <c r="E494" s="40">
        <f t="shared" si="35"/>
        <v>5.4105406292338657E-4</v>
      </c>
    </row>
    <row r="495" spans="1:5" x14ac:dyDescent="0.25">
      <c r="A495" s="40">
        <f t="shared" ca="1" si="32"/>
        <v>33.913961726697458</v>
      </c>
      <c r="B495" s="41">
        <f t="shared" si="36"/>
        <v>11.919999999999916</v>
      </c>
      <c r="C495" s="40">
        <f t="shared" si="33"/>
        <v>5.0115688978204286E-4</v>
      </c>
      <c r="D495" s="40">
        <f t="shared" ca="1" si="34"/>
        <v>5.0115688978204286E-4</v>
      </c>
      <c r="E495" s="40">
        <f t="shared" si="35"/>
        <v>5.0115688978204286E-4</v>
      </c>
    </row>
    <row r="496" spans="1:5" x14ac:dyDescent="0.25">
      <c r="A496" s="40">
        <f t="shared" ca="1" si="32"/>
        <v>34.090596944024014</v>
      </c>
      <c r="B496" s="41">
        <f t="shared" si="36"/>
        <v>11.929999999999916</v>
      </c>
      <c r="C496" s="40">
        <f t="shared" si="33"/>
        <v>4.6401607931418476E-4</v>
      </c>
      <c r="D496" s="40">
        <f t="shared" ca="1" si="34"/>
        <v>4.6401607931418476E-4</v>
      </c>
      <c r="E496" s="40">
        <f t="shared" si="35"/>
        <v>4.6401607931418476E-4</v>
      </c>
    </row>
    <row r="497" spans="1:5" x14ac:dyDescent="0.25">
      <c r="A497" s="40">
        <f t="shared" ca="1" si="32"/>
        <v>34.267232161350563</v>
      </c>
      <c r="B497" s="41">
        <f t="shared" si="36"/>
        <v>11.939999999999916</v>
      </c>
      <c r="C497" s="40">
        <f t="shared" si="33"/>
        <v>4.2945596300101365E-4</v>
      </c>
      <c r="D497" s="40">
        <f t="shared" ca="1" si="34"/>
        <v>4.2945596300101365E-4</v>
      </c>
      <c r="E497" s="40">
        <f t="shared" si="35"/>
        <v>4.2945596300101365E-4</v>
      </c>
    </row>
    <row r="498" spans="1:5" x14ac:dyDescent="0.25">
      <c r="A498" s="40">
        <f t="shared" ca="1" si="32"/>
        <v>34.443867378677119</v>
      </c>
      <c r="B498" s="41">
        <f t="shared" si="36"/>
        <v>11.949999999999916</v>
      </c>
      <c r="C498" s="40">
        <f t="shared" si="33"/>
        <v>3.9731094278580624E-4</v>
      </c>
      <c r="D498" s="40">
        <f t="shared" ca="1" si="34"/>
        <v>3.9731094278580624E-4</v>
      </c>
      <c r="E498" s="40">
        <f t="shared" si="35"/>
        <v>3.9731094278580624E-4</v>
      </c>
    </row>
    <row r="499" spans="1:5" x14ac:dyDescent="0.25">
      <c r="A499" s="40">
        <f t="shared" ca="1" si="32"/>
        <v>34.620502596003675</v>
      </c>
      <c r="B499" s="41">
        <f t="shared" si="36"/>
        <v>11.959999999999916</v>
      </c>
      <c r="C499" s="40">
        <f t="shared" si="33"/>
        <v>3.6742499600515702E-4</v>
      </c>
      <c r="D499" s="40">
        <f t="shared" ca="1" si="34"/>
        <v>3.6742499600515702E-4</v>
      </c>
      <c r="E499" s="40">
        <f t="shared" si="35"/>
        <v>3.6742499600515702E-4</v>
      </c>
    </row>
    <row r="500" spans="1:5" x14ac:dyDescent="0.25">
      <c r="A500" s="40">
        <f t="shared" ca="1" si="32"/>
        <v>34.797137813330224</v>
      </c>
      <c r="B500" s="41">
        <f t="shared" si="36"/>
        <v>11.969999999999915</v>
      </c>
      <c r="C500" s="40">
        <f t="shared" si="33"/>
        <v>3.3965119885891372E-4</v>
      </c>
      <c r="D500" s="40">
        <f t="shared" ca="1" si="34"/>
        <v>3.3965119885891372E-4</v>
      </c>
      <c r="E500" s="40">
        <f t="shared" si="35"/>
        <v>3.3965119885891372E-4</v>
      </c>
    </row>
    <row r="501" spans="1:5" x14ac:dyDescent="0.25">
      <c r="A501" s="40">
        <f t="shared" ca="1" si="32"/>
        <v>34.97377303065678</v>
      </c>
      <c r="B501" s="41">
        <f t="shared" si="36"/>
        <v>11.979999999999915</v>
      </c>
      <c r="C501" s="40">
        <f t="shared" si="33"/>
        <v>3.1385126813127524E-4</v>
      </c>
      <c r="D501" s="40">
        <f t="shared" ca="1" si="34"/>
        <v>3.1385126813127524E-4</v>
      </c>
      <c r="E501" s="40">
        <f t="shared" si="35"/>
        <v>3.1385126813127524E-4</v>
      </c>
    </row>
    <row r="502" spans="1:5" x14ac:dyDescent="0.25">
      <c r="A502" s="40">
        <f t="shared" ca="1" si="32"/>
        <v>35.150408247983329</v>
      </c>
      <c r="B502" s="41">
        <f t="shared" si="36"/>
        <v>11.989999999999915</v>
      </c>
      <c r="C502" s="40">
        <f t="shared" si="33"/>
        <v>2.8989512084797852E-4</v>
      </c>
      <c r="D502" s="40">
        <f t="shared" ca="1" si="34"/>
        <v>2.8989512084797852E-4</v>
      </c>
      <c r="E502" s="40">
        <f t="shared" si="35"/>
        <v>2.8989512084797852E-4</v>
      </c>
    </row>
    <row r="503" spans="1:5" x14ac:dyDescent="0.25">
      <c r="A503" s="40">
        <f t="shared" ca="1" si="32"/>
        <v>35.327043465309885</v>
      </c>
      <c r="B503" s="41">
        <f t="shared" si="36"/>
        <v>11.999999999999915</v>
      </c>
      <c r="C503" s="40">
        <f t="shared" si="33"/>
        <v>2.6766045152995331E-4</v>
      </c>
      <c r="D503" s="40">
        <f t="shared" ca="1" si="34"/>
        <v>2.6766045152995331E-4</v>
      </c>
      <c r="E503" s="40">
        <f t="shared" si="35"/>
        <v>2.6766045152995331E-4</v>
      </c>
    </row>
    <row r="504" spans="1:5" x14ac:dyDescent="0.25">
      <c r="A504" s="40">
        <f t="shared" ca="1" si="32"/>
        <v>35.503678682636441</v>
      </c>
      <c r="B504" s="41">
        <f t="shared" si="36"/>
        <v>12.009999999999915</v>
      </c>
      <c r="C504" s="40">
        <f t="shared" si="33"/>
        <v>2.4703232668221671E-4</v>
      </c>
      <c r="D504" s="40">
        <f t="shared" ca="1" si="34"/>
        <v>2.4703232668221671E-4</v>
      </c>
      <c r="E504" s="40">
        <f t="shared" si="35"/>
        <v>2.4703232668221671E-4</v>
      </c>
    </row>
    <row r="505" spans="1:5" x14ac:dyDescent="0.25">
      <c r="A505" s="40">
        <f t="shared" ca="1" si="32"/>
        <v>35.680313899962989</v>
      </c>
      <c r="B505" s="41">
        <f t="shared" si="36"/>
        <v>12.019999999999914</v>
      </c>
      <c r="C505" s="40">
        <f t="shared" si="33"/>
        <v>2.2790279613788713E-4</v>
      </c>
      <c r="D505" s="40">
        <f t="shared" ca="1" si="34"/>
        <v>2.2790279613788713E-4</v>
      </c>
      <c r="E505" s="40">
        <f t="shared" si="35"/>
        <v>2.2790279613788713E-4</v>
      </c>
    </row>
    <row r="506" spans="1:5" x14ac:dyDescent="0.25">
      <c r="A506" s="40">
        <f t="shared" ca="1" si="32"/>
        <v>35.856949117289545</v>
      </c>
      <c r="B506" s="41">
        <f t="shared" si="36"/>
        <v>12.029999999999914</v>
      </c>
      <c r="C506" s="40">
        <f t="shared" si="33"/>
        <v>2.1017052086094693E-4</v>
      </c>
      <c r="D506" s="40">
        <f t="shared" ca="1" si="34"/>
        <v>2.1017052086094693E-4</v>
      </c>
      <c r="E506" s="40">
        <f t="shared" si="35"/>
        <v>2.1017052086094693E-4</v>
      </c>
    </row>
    <row r="507" spans="1:5" x14ac:dyDescent="0.25">
      <c r="A507" s="40">
        <f t="shared" ca="1" si="32"/>
        <v>36.033584334616101</v>
      </c>
      <c r="B507" s="41">
        <f t="shared" si="36"/>
        <v>12.039999999999914</v>
      </c>
      <c r="C507" s="40">
        <f t="shared" si="33"/>
        <v>1.9374041679757483E-4</v>
      </c>
      <c r="D507" s="40">
        <f t="shared" ca="1" si="34"/>
        <v>1.9374041679757483E-4</v>
      </c>
      <c r="E507" s="40">
        <f t="shared" si="35"/>
        <v>1.9374041679757483E-4</v>
      </c>
    </row>
    <row r="508" spans="1:5" x14ac:dyDescent="0.25">
      <c r="A508" s="40">
        <f t="shared" ca="1" si="32"/>
        <v>36.21021955194265</v>
      </c>
      <c r="B508" s="41">
        <f t="shared" si="36"/>
        <v>12.049999999999914</v>
      </c>
      <c r="C508" s="40">
        <f t="shared" si="33"/>
        <v>1.7852331435439206E-4</v>
      </c>
      <c r="D508" s="40">
        <f t="shared" ca="1" si="34"/>
        <v>1.7852331435439206E-4</v>
      </c>
      <c r="E508" s="40">
        <f t="shared" si="35"/>
        <v>1.7852331435439206E-4</v>
      </c>
    </row>
    <row r="509" spans="1:5" x14ac:dyDescent="0.25">
      <c r="A509" s="40">
        <f t="shared" ca="1" si="32"/>
        <v>36.386854769269206</v>
      </c>
      <c r="B509" s="41">
        <f t="shared" si="36"/>
        <v>12.059999999999913</v>
      </c>
      <c r="C509" s="40">
        <f t="shared" si="33"/>
        <v>1.6443563307268913E-4</v>
      </c>
      <c r="D509" s="40">
        <f t="shared" ca="1" si="34"/>
        <v>1.6443563307268913E-4</v>
      </c>
      <c r="E509" s="40">
        <f t="shared" si="35"/>
        <v>1.6443563307268913E-4</v>
      </c>
    </row>
    <row r="510" spans="1:5" x14ac:dyDescent="0.25">
      <c r="A510" s="40">
        <f t="shared" ca="1" si="32"/>
        <v>36.563489986595755</v>
      </c>
      <c r="B510" s="41">
        <f t="shared" si="36"/>
        <v>12.069999999999913</v>
      </c>
      <c r="C510" s="40">
        <f t="shared" si="33"/>
        <v>1.5139907106043106E-4</v>
      </c>
      <c r="D510" s="40">
        <f t="shared" ca="1" si="34"/>
        <v>1.5139907106043106E-4</v>
      </c>
      <c r="E510" s="40">
        <f t="shared" si="35"/>
        <v>1.5139907106043106E-4</v>
      </c>
    </row>
    <row r="511" spans="1:5" x14ac:dyDescent="0.25">
      <c r="A511" s="40">
        <f t="shared" ca="1" si="32"/>
        <v>36.740125203922311</v>
      </c>
      <c r="B511" s="41">
        <f t="shared" si="36"/>
        <v>12.079999999999913</v>
      </c>
      <c r="C511" s="40">
        <f t="shared" si="33"/>
        <v>1.3934030873852965E-4</v>
      </c>
      <c r="D511" s="40">
        <f t="shared" ca="1" si="34"/>
        <v>1.3934030873852965E-4</v>
      </c>
      <c r="E511" s="40">
        <f t="shared" si="35"/>
        <v>1.3934030873852965E-4</v>
      </c>
    </row>
    <row r="512" spans="1:5" x14ac:dyDescent="0.25">
      <c r="A512" s="40">
        <f t="shared" ca="1" si="32"/>
        <v>36.916760421248867</v>
      </c>
      <c r="B512" s="41">
        <f t="shared" si="36"/>
        <v>12.089999999999913</v>
      </c>
      <c r="C512" s="40">
        <f t="shared" si="33"/>
        <v>1.2819072645430535E-4</v>
      </c>
      <c r="D512" s="40">
        <f t="shared" ca="1" si="34"/>
        <v>1.2819072645430535E-4</v>
      </c>
      <c r="E512" s="40">
        <f t="shared" si="35"/>
        <v>1.2819072645430535E-4</v>
      </c>
    </row>
    <row r="513" spans="1:5" x14ac:dyDescent="0.25">
      <c r="A513" s="40">
        <f t="shared" ca="1" si="32"/>
        <v>37.093395638575416</v>
      </c>
      <c r="B513" s="41">
        <f t="shared" si="36"/>
        <v>12.099999999999913</v>
      </c>
      <c r="C513" s="40">
        <f t="shared" si="33"/>
        <v>1.1788613551316619E-4</v>
      </c>
      <c r="D513" s="40">
        <f t="shared" ca="1" si="34"/>
        <v>1.1788613551316619E-4</v>
      </c>
      <c r="E513" s="40">
        <f t="shared" si="35"/>
        <v>1.1788613551316619E-4</v>
      </c>
    </row>
    <row r="514" spans="1:5" x14ac:dyDescent="0.25">
      <c r="A514" s="40">
        <f t="shared" ca="1" si="32"/>
        <v>37.270030855901972</v>
      </c>
      <c r="B514" s="41">
        <f t="shared" si="36"/>
        <v>12.109999999999912</v>
      </c>
      <c r="C514" s="40">
        <f t="shared" si="33"/>
        <v>1.0836652217916037E-4</v>
      </c>
      <c r="D514" s="40">
        <f t="shared" ca="1" si="34"/>
        <v>1.0836652217916037E-4</v>
      </c>
      <c r="E514" s="40">
        <f t="shared" si="35"/>
        <v>1.0836652217916037E-4</v>
      </c>
    </row>
    <row r="515" spans="1:5" x14ac:dyDescent="0.25">
      <c r="A515" s="40">
        <f t="shared" ca="1" si="32"/>
        <v>37.446666073228521</v>
      </c>
      <c r="B515" s="41">
        <f t="shared" si="36"/>
        <v>12.119999999999912</v>
      </c>
      <c r="C515" s="40">
        <f t="shared" si="33"/>
        <v>9.9575804196098462E-5</v>
      </c>
      <c r="D515" s="40">
        <f t="shared" ca="1" si="34"/>
        <v>9.9575804196098462E-5</v>
      </c>
      <c r="E515" s="40">
        <f t="shared" si="35"/>
        <v>9.9575804196098462E-5</v>
      </c>
    </row>
    <row r="516" spans="1:5" x14ac:dyDescent="0.25">
      <c r="A516" s="40">
        <f t="shared" ca="1" si="32"/>
        <v>37.623301290555077</v>
      </c>
      <c r="B516" s="41">
        <f t="shared" si="36"/>
        <v>12.129999999999912</v>
      </c>
      <c r="C516" s="40">
        <f t="shared" si="33"/>
        <v>9.1461599383271027E-5</v>
      </c>
      <c r="D516" s="40">
        <f t="shared" ca="1" si="34"/>
        <v>9.1461599383271027E-5</v>
      </c>
      <c r="E516" s="40">
        <f t="shared" si="35"/>
        <v>9.1461599383271027E-5</v>
      </c>
    </row>
    <row r="517" spans="1:5" x14ac:dyDescent="0.25">
      <c r="A517" s="40">
        <f t="shared" ca="1" si="32"/>
        <v>37.799936507881633</v>
      </c>
      <c r="B517" s="41">
        <f t="shared" si="36"/>
        <v>12.139999999999912</v>
      </c>
      <c r="C517" s="40">
        <f t="shared" si="33"/>
        <v>8.3975005863298042E-5</v>
      </c>
      <c r="D517" s="40">
        <f t="shared" ca="1" si="34"/>
        <v>8.3975005863298042E-5</v>
      </c>
      <c r="E517" s="40">
        <f t="shared" si="35"/>
        <v>8.3975005863298042E-5</v>
      </c>
    </row>
    <row r="518" spans="1:5" x14ac:dyDescent="0.25">
      <c r="A518" s="40">
        <f t="shared" ca="1" si="32"/>
        <v>37.976571725208181</v>
      </c>
      <c r="B518" s="41">
        <f t="shared" si="36"/>
        <v>12.149999999999912</v>
      </c>
      <c r="C518" s="40">
        <f t="shared" si="33"/>
        <v>7.707039348423286E-5</v>
      </c>
      <c r="D518" s="40">
        <f t="shared" ca="1" si="34"/>
        <v>7.707039348423286E-5</v>
      </c>
      <c r="E518" s="40">
        <f t="shared" si="35"/>
        <v>7.707039348423286E-5</v>
      </c>
    </row>
    <row r="519" spans="1:5" x14ac:dyDescent="0.25">
      <c r="A519" s="40">
        <f t="shared" ca="1" si="32"/>
        <v>38.153206942534737</v>
      </c>
      <c r="B519" s="41">
        <f t="shared" si="36"/>
        <v>12.159999999999911</v>
      </c>
      <c r="C519" s="40">
        <f t="shared" si="33"/>
        <v>7.0705206003600458E-5</v>
      </c>
      <c r="D519" s="40">
        <f t="shared" ca="1" si="34"/>
        <v>7.0705206003600458E-5</v>
      </c>
      <c r="E519" s="40">
        <f t="shared" si="35"/>
        <v>7.0705206003600458E-5</v>
      </c>
    </row>
    <row r="520" spans="1:5" x14ac:dyDescent="0.25">
      <c r="A520" s="40">
        <f t="shared" ca="1" si="32"/>
        <v>38.329842159861286</v>
      </c>
      <c r="B520" s="41">
        <f t="shared" si="36"/>
        <v>12.169999999999911</v>
      </c>
      <c r="C520" s="40">
        <f t="shared" si="33"/>
        <v>6.4839773608477537E-5</v>
      </c>
      <c r="D520" s="40">
        <f t="shared" ca="1" si="34"/>
        <v>6.4839773608477537E-5</v>
      </c>
      <c r="E520" s="40">
        <f t="shared" si="35"/>
        <v>6.4839773608477537E-5</v>
      </c>
    </row>
    <row r="521" spans="1:5" x14ac:dyDescent="0.25">
      <c r="A521" s="40">
        <f t="shared" ca="1" si="32"/>
        <v>38.506477377187842</v>
      </c>
      <c r="B521" s="41">
        <f t="shared" si="36"/>
        <v>12.179999999999911</v>
      </c>
      <c r="C521" s="40">
        <f t="shared" si="33"/>
        <v>5.9437135352930646E-5</v>
      </c>
      <c r="D521" s="40">
        <f t="shared" ca="1" si="34"/>
        <v>5.9437135352930646E-5</v>
      </c>
      <c r="E521" s="40">
        <f t="shared" si="35"/>
        <v>5.9437135352930646E-5</v>
      </c>
    </row>
    <row r="522" spans="1:5" x14ac:dyDescent="0.25">
      <c r="A522" s="40">
        <f t="shared" ca="1" si="32"/>
        <v>38.683112594514398</v>
      </c>
      <c r="B522" s="41">
        <f t="shared" si="36"/>
        <v>12.189999999999911</v>
      </c>
      <c r="C522" s="40">
        <f t="shared" si="33"/>
        <v>5.4462871102027792E-5</v>
      </c>
      <c r="D522" s="40">
        <f t="shared" ca="1" si="34"/>
        <v>5.4462871102027792E-5</v>
      </c>
      <c r="E522" s="40">
        <f t="shared" si="35"/>
        <v>5.4462871102027792E-5</v>
      </c>
    </row>
    <row r="523" spans="1:5" x14ac:dyDescent="0.25">
      <c r="A523" s="40">
        <f t="shared" ca="1" si="32"/>
        <v>38.859747811840947</v>
      </c>
      <c r="B523" s="41">
        <f t="shared" si="36"/>
        <v>12.19999999999991</v>
      </c>
      <c r="C523" s="40">
        <f t="shared" si="33"/>
        <v>4.9884942580146407E-5</v>
      </c>
      <c r="D523" s="40">
        <f t="shared" ca="1" si="34"/>
        <v>4.9884942580146407E-5</v>
      </c>
      <c r="E523" s="40">
        <f t="shared" si="35"/>
        <v>4.9884942580146407E-5</v>
      </c>
    </row>
    <row r="524" spans="1:5" x14ac:dyDescent="0.25">
      <c r="A524" s="40">
        <f t="shared" ca="1" si="32"/>
        <v>39.036383029167503</v>
      </c>
      <c r="B524" s="41">
        <f t="shared" si="36"/>
        <v>12.20999999999991</v>
      </c>
      <c r="C524" s="40">
        <f t="shared" si="33"/>
        <v>4.5673543130330107E-5</v>
      </c>
      <c r="D524" s="40">
        <f t="shared" ca="1" si="34"/>
        <v>4.5673543130330107E-5</v>
      </c>
      <c r="E524" s="40">
        <f t="shared" si="35"/>
        <v>4.5673543130330107E-5</v>
      </c>
    </row>
    <row r="525" spans="1:5" x14ac:dyDescent="0.25">
      <c r="A525" s="40">
        <f t="shared" ca="1" si="32"/>
        <v>39.213018246494059</v>
      </c>
      <c r="B525" s="41">
        <f t="shared" si="36"/>
        <v>12.21999999999991</v>
      </c>
      <c r="C525" s="40">
        <f t="shared" si="33"/>
        <v>4.1800955800934303E-5</v>
      </c>
      <c r="D525" s="40">
        <f t="shared" ca="1" si="34"/>
        <v>4.1800955800934303E-5</v>
      </c>
      <c r="E525" s="40">
        <f t="shared" si="35"/>
        <v>4.1800955800934303E-5</v>
      </c>
    </row>
    <row r="526" spans="1:5" x14ac:dyDescent="0.25">
      <c r="A526" s="40">
        <f t="shared" ca="1" si="32"/>
        <v>39.389653463820608</v>
      </c>
      <c r="B526" s="41">
        <f t="shared" si="36"/>
        <v>12.22999999999991</v>
      </c>
      <c r="C526" s="40">
        <f t="shared" si="33"/>
        <v>3.8241419385666245E-5</v>
      </c>
      <c r="D526" s="40">
        <f t="shared" ca="1" si="34"/>
        <v>3.8241419385666245E-5</v>
      </c>
      <c r="E526" s="40">
        <f t="shared" si="35"/>
        <v>3.8241419385666245E-5</v>
      </c>
    </row>
    <row r="527" spans="1:5" x14ac:dyDescent="0.25">
      <c r="A527" s="40">
        <f t="shared" ca="1" si="32"/>
        <v>39.566288681147164</v>
      </c>
      <c r="B527" s="41">
        <f t="shared" si="36"/>
        <v>12.23999999999991</v>
      </c>
      <c r="C527" s="40">
        <f t="shared" si="33"/>
        <v>3.4971002053306656E-5</v>
      </c>
      <c r="D527" s="40">
        <f t="shared" ca="1" si="34"/>
        <v>3.4971002053306656E-5</v>
      </c>
      <c r="E527" s="40">
        <f t="shared" si="35"/>
        <v>3.4971002053306656E-5</v>
      </c>
    </row>
    <row r="528" spans="1:5" x14ac:dyDescent="0.25">
      <c r="A528" s="40">
        <f t="shared" ca="1" si="32"/>
        <v>39.742923898473713</v>
      </c>
      <c r="B528" s="41">
        <f t="shared" si="36"/>
        <v>12.249999999999909</v>
      </c>
      <c r="C528" s="40">
        <f t="shared" si="33"/>
        <v>3.1967482213837018E-5</v>
      </c>
      <c r="D528" s="40">
        <f t="shared" ca="1" si="34"/>
        <v>3.1967482213837018E-5</v>
      </c>
      <c r="E528" s="40">
        <f t="shared" si="35"/>
        <v>3.1967482213837018E-5</v>
      </c>
    </row>
    <row r="529" spans="1:5" x14ac:dyDescent="0.25">
      <c r="A529" s="40">
        <f t="shared" ca="1" si="32"/>
        <v>39.919559115800269</v>
      </c>
      <c r="B529" s="41">
        <f t="shared" si="36"/>
        <v>12.259999999999909</v>
      </c>
      <c r="C529" s="40">
        <f t="shared" si="33"/>
        <v>2.9210236278329801E-5</v>
      </c>
      <c r="D529" s="40">
        <f t="shared" ca="1" si="34"/>
        <v>2.9210236278329801E-5</v>
      </c>
      <c r="E529" s="40">
        <f t="shared" si="35"/>
        <v>2.9210236278329801E-5</v>
      </c>
    </row>
    <row r="530" spans="1:5" x14ac:dyDescent="0.25">
      <c r="A530" s="40">
        <f t="shared" ca="1" si="32"/>
        <v>40.096194333126824</v>
      </c>
      <c r="B530" s="41">
        <f t="shared" si="36"/>
        <v>12.269999999999909</v>
      </c>
      <c r="C530" s="40">
        <f t="shared" si="33"/>
        <v>2.6680132980733716E-5</v>
      </c>
      <c r="D530" s="40">
        <f t="shared" ca="1" si="34"/>
        <v>2.6680132980733716E-5</v>
      </c>
      <c r="E530" s="40">
        <f t="shared" si="35"/>
        <v>2.6680132980733716E-5</v>
      </c>
    </row>
    <row r="531" spans="1:5" x14ac:dyDescent="0.25">
      <c r="A531" s="40">
        <f t="shared" ca="1" si="32"/>
        <v>40.272829550453373</v>
      </c>
      <c r="B531" s="41">
        <f t="shared" si="36"/>
        <v>12.279999999999909</v>
      </c>
      <c r="C531" s="40">
        <f t="shared" si="33"/>
        <v>2.4359433940557653E-5</v>
      </c>
      <c r="D531" s="40">
        <f t="shared" ca="1" si="34"/>
        <v>2.4359433940557653E-5</v>
      </c>
      <c r="E531" s="40">
        <f t="shared" si="35"/>
        <v>2.4359433940557653E-5</v>
      </c>
    </row>
    <row r="532" spans="1:5" x14ac:dyDescent="0.25">
      <c r="A532" s="40">
        <f t="shared" ca="1" si="32"/>
        <v>40.449464767779929</v>
      </c>
      <c r="B532" s="41">
        <f t="shared" si="36"/>
        <v>12.289999999999909</v>
      </c>
      <c r="C532" s="40">
        <f t="shared" si="33"/>
        <v>2.2231700156374218E-5</v>
      </c>
      <c r="D532" s="40">
        <f t="shared" ca="1" si="34"/>
        <v>2.2231700156374218E-5</v>
      </c>
      <c r="E532" s="40">
        <f t="shared" si="35"/>
        <v>2.2231700156374218E-5</v>
      </c>
    </row>
    <row r="533" spans="1:5" x14ac:dyDescent="0.25">
      <c r="A533" s="40">
        <f t="shared" ca="1" si="32"/>
        <v>40.626099985106478</v>
      </c>
      <c r="B533" s="41">
        <f t="shared" si="36"/>
        <v>12.299999999999908</v>
      </c>
      <c r="C533" s="40">
        <f t="shared" si="33"/>
        <v>2.0281704130990596E-5</v>
      </c>
      <c r="D533" s="40">
        <f t="shared" ca="1" si="34"/>
        <v>2.0281704130990596E-5</v>
      </c>
      <c r="E533" s="40">
        <f t="shared" si="35"/>
        <v>2.0281704130990596E-5</v>
      </c>
    </row>
    <row r="534" spans="1:5" x14ac:dyDescent="0.25">
      <c r="A534" s="40">
        <f t="shared" ca="1" si="32"/>
        <v>40.802735202433034</v>
      </c>
      <c r="B534" s="41">
        <f t="shared" si="36"/>
        <v>12.309999999999908</v>
      </c>
      <c r="C534" s="40">
        <f t="shared" si="33"/>
        <v>1.8495347340026941E-5</v>
      </c>
      <c r="D534" s="40">
        <f t="shared" ca="1" si="34"/>
        <v>1.8495347340026941E-5</v>
      </c>
      <c r="E534" s="40">
        <f t="shared" si="35"/>
        <v>1.8495347340026941E-5</v>
      </c>
    </row>
    <row r="535" spans="1:5" x14ac:dyDescent="0.25">
      <c r="A535" s="40">
        <f t="shared" ca="1" si="32"/>
        <v>40.97937041975959</v>
      </c>
      <c r="B535" s="41">
        <f t="shared" si="36"/>
        <v>12.319999999999908</v>
      </c>
      <c r="C535" s="40">
        <f t="shared" si="33"/>
        <v>1.685958276647195E-5</v>
      </c>
      <c r="D535" s="40">
        <f t="shared" ca="1" si="34"/>
        <v>1.685958276647195E-5</v>
      </c>
      <c r="E535" s="40">
        <f t="shared" si="35"/>
        <v>1.685958276647195E-5</v>
      </c>
    </row>
    <row r="536" spans="1:5" x14ac:dyDescent="0.25">
      <c r="A536" s="40">
        <f t="shared" ca="1" si="32"/>
        <v>41.156005637086139</v>
      </c>
      <c r="B536" s="41">
        <f t="shared" si="36"/>
        <v>12.329999999999908</v>
      </c>
      <c r="C536" s="40">
        <f t="shared" si="33"/>
        <v>1.5362342234514148E-5</v>
      </c>
      <c r="D536" s="40">
        <f t="shared" ca="1" si="34"/>
        <v>1.5362342234514148E-5</v>
      </c>
      <c r="E536" s="40">
        <f t="shared" si="35"/>
        <v>1.5362342234514148E-5</v>
      </c>
    </row>
    <row r="537" spans="1:5" x14ac:dyDescent="0.25">
      <c r="A537" s="40">
        <f t="shared" ca="1" si="32"/>
        <v>41.332640854412695</v>
      </c>
      <c r="B537" s="41">
        <f t="shared" si="36"/>
        <v>12.339999999999907</v>
      </c>
      <c r="C537" s="40">
        <f t="shared" si="33"/>
        <v>1.3992468286552889E-5</v>
      </c>
      <c r="D537" s="40">
        <f t="shared" ca="1" si="34"/>
        <v>1.3992468286552889E-5</v>
      </c>
      <c r="E537" s="40">
        <f t="shared" si="35"/>
        <v>1.3992468286552889E-5</v>
      </c>
    </row>
    <row r="538" spans="1:5" x14ac:dyDescent="0.25">
      <c r="A538" s="40">
        <f t="shared" ca="1" si="32"/>
        <v>41.509276071739244</v>
      </c>
      <c r="B538" s="41">
        <f t="shared" si="36"/>
        <v>12.349999999999907</v>
      </c>
      <c r="C538" s="40">
        <f t="shared" si="33"/>
        <v>1.2739650357745315E-5</v>
      </c>
      <c r="D538" s="40">
        <f t="shared" ca="1" si="34"/>
        <v>1.2739650357745315E-5</v>
      </c>
      <c r="E538" s="40">
        <f t="shared" si="35"/>
        <v>1.2739650357745315E-5</v>
      </c>
    </row>
    <row r="539" spans="1:5" x14ac:dyDescent="0.25">
      <c r="A539" s="40">
        <f t="shared" ca="1" si="32"/>
        <v>41.6859112890658</v>
      </c>
      <c r="B539" s="41">
        <f t="shared" si="36"/>
        <v>12.359999999999907</v>
      </c>
      <c r="C539" s="40">
        <f t="shared" si="33"/>
        <v>1.1594365012724728E-5</v>
      </c>
      <c r="D539" s="40">
        <f t="shared" ca="1" si="34"/>
        <v>1.1594365012724728E-5</v>
      </c>
      <c r="E539" s="40">
        <f t="shared" si="35"/>
        <v>1.1594365012724728E-5</v>
      </c>
    </row>
    <row r="540" spans="1:5" x14ac:dyDescent="0.25">
      <c r="A540" s="40">
        <f t="shared" ca="1" si="32"/>
        <v>41.862546506392356</v>
      </c>
      <c r="B540" s="41">
        <f t="shared" si="36"/>
        <v>12.369999999999907</v>
      </c>
      <c r="C540" s="40">
        <f t="shared" si="33"/>
        <v>1.0547820019211919E-5</v>
      </c>
      <c r="D540" s="40">
        <f t="shared" ca="1" si="34"/>
        <v>1.0547820019211919E-5</v>
      </c>
      <c r="E540" s="40">
        <f t="shared" si="35"/>
        <v>1.0547820019211919E-5</v>
      </c>
    </row>
    <row r="541" spans="1:5" x14ac:dyDescent="0.25">
      <c r="A541" s="40">
        <f t="shared" ca="1" si="32"/>
        <v>42.039181723718904</v>
      </c>
      <c r="B541" s="41">
        <f t="shared" si="36"/>
        <v>12.379999999999907</v>
      </c>
      <c r="C541" s="40">
        <f t="shared" si="33"/>
        <v>9.5919020431135629E-6</v>
      </c>
      <c r="D541" s="40">
        <f t="shared" ca="1" si="34"/>
        <v>9.5919020431135629E-6</v>
      </c>
      <c r="E541" s="40">
        <f t="shared" si="35"/>
        <v>9.5919020431135629E-6</v>
      </c>
    </row>
    <row r="542" spans="1:5" x14ac:dyDescent="0.25">
      <c r="A542" s="40">
        <f t="shared" ca="1" si="32"/>
        <v>42.21581694104546</v>
      </c>
      <c r="B542" s="41">
        <f t="shared" si="36"/>
        <v>12.389999999999906</v>
      </c>
      <c r="C542" s="40">
        <f t="shared" si="33"/>
        <v>8.7191277593510796E-6</v>
      </c>
      <c r="D542" s="40">
        <f t="shared" ca="1" si="34"/>
        <v>8.7191277593510796E-6</v>
      </c>
      <c r="E542" s="40">
        <f t="shared" si="35"/>
        <v>8.7191277593510796E-6</v>
      </c>
    </row>
    <row r="543" spans="1:5" x14ac:dyDescent="0.25">
      <c r="A543" s="40">
        <f t="shared" ca="1" si="32"/>
        <v>42.392452158372009</v>
      </c>
      <c r="B543" s="41">
        <f t="shared" si="36"/>
        <v>12.399999999999906</v>
      </c>
      <c r="C543" s="40">
        <f t="shared" si="33"/>
        <v>7.922598182071286E-6</v>
      </c>
      <c r="D543" s="40">
        <f t="shared" ca="1" si="34"/>
        <v>7.922598182071286E-6</v>
      </c>
      <c r="E543" s="40">
        <f t="shared" si="35"/>
        <v>7.922598182071286E-6</v>
      </c>
    </row>
    <row r="544" spans="1:5" x14ac:dyDescent="0.25">
      <c r="A544" s="40">
        <f t="shared" ca="1" si="32"/>
        <v>42.569087375698565</v>
      </c>
      <c r="B544" s="41">
        <f t="shared" si="36"/>
        <v>12.409999999999906</v>
      </c>
      <c r="C544" s="40">
        <f t="shared" si="33"/>
        <v>7.1959560270490272E-6</v>
      </c>
      <c r="D544" s="40">
        <f t="shared" ca="1" si="34"/>
        <v>7.1959560270490272E-6</v>
      </c>
      <c r="E544" s="40">
        <f t="shared" si="35"/>
        <v>7.1959560270490272E-6</v>
      </c>
    </row>
    <row r="545" spans="1:5" x14ac:dyDescent="0.25">
      <c r="A545" s="40">
        <f t="shared" ca="1" si="32"/>
        <v>42.745722593025121</v>
      </c>
      <c r="B545" s="41">
        <f t="shared" si="36"/>
        <v>12.419999999999906</v>
      </c>
      <c r="C545" s="40">
        <f t="shared" si="33"/>
        <v>6.5333459279925033E-6</v>
      </c>
      <c r="D545" s="40">
        <f t="shared" ca="1" si="34"/>
        <v>6.5333459279925033E-6</v>
      </c>
      <c r="E545" s="40">
        <f t="shared" si="35"/>
        <v>6.5333459279925033E-6</v>
      </c>
    </row>
    <row r="546" spans="1:5" x14ac:dyDescent="0.25">
      <c r="A546" s="40">
        <f t="shared" ca="1" si="32"/>
        <v>42.92235781035167</v>
      </c>
      <c r="B546" s="41">
        <f t="shared" si="36"/>
        <v>12.429999999999906</v>
      </c>
      <c r="C546" s="40">
        <f t="shared" si="33"/>
        <v>5.9293773370959906E-6</v>
      </c>
      <c r="D546" s="40">
        <f t="shared" ca="1" si="34"/>
        <v>5.9293773370959906E-6</v>
      </c>
      <c r="E546" s="40">
        <f t="shared" si="35"/>
        <v>5.9293773370959906E-6</v>
      </c>
    </row>
    <row r="547" spans="1:5" x14ac:dyDescent="0.25">
      <c r="A547" s="40">
        <f t="shared" ca="1" si="32"/>
        <v>43.098993027678226</v>
      </c>
      <c r="B547" s="41">
        <f t="shared" si="36"/>
        <v>12.439999999999905</v>
      </c>
      <c r="C547" s="40">
        <f t="shared" si="33"/>
        <v>5.3790899485480153E-6</v>
      </c>
      <c r="D547" s="40">
        <f t="shared" ca="1" si="34"/>
        <v>5.3790899485480153E-6</v>
      </c>
      <c r="E547" s="40">
        <f t="shared" si="35"/>
        <v>5.3790899485480153E-6</v>
      </c>
    </row>
    <row r="548" spans="1:5" x14ac:dyDescent="0.25">
      <c r="A548" s="40">
        <f t="shared" ca="1" si="32"/>
        <v>43.275628245004782</v>
      </c>
      <c r="B548" s="41">
        <f t="shared" si="36"/>
        <v>12.449999999999905</v>
      </c>
      <c r="C548" s="40">
        <f t="shared" si="33"/>
        <v>4.8779214917912538E-6</v>
      </c>
      <c r="D548" s="40">
        <f t="shared" ca="1" si="34"/>
        <v>4.8779214917912538E-6</v>
      </c>
      <c r="E548" s="40">
        <f t="shared" si="35"/>
        <v>4.8779214917912538E-6</v>
      </c>
    </row>
    <row r="549" spans="1:5" x14ac:dyDescent="0.25">
      <c r="A549" s="40">
        <f t="shared" ca="1" si="32"/>
        <v>43.452263462331331</v>
      </c>
      <c r="B549" s="41">
        <f t="shared" si="36"/>
        <v>12.459999999999905</v>
      </c>
      <c r="C549" s="40">
        <f t="shared" si="33"/>
        <v>4.4216777491409743E-6</v>
      </c>
      <c r="D549" s="40">
        <f t="shared" ca="1" si="34"/>
        <v>4.4216777491409743E-6</v>
      </c>
      <c r="E549" s="40">
        <f t="shared" si="35"/>
        <v>4.4216777491409743E-6</v>
      </c>
    </row>
    <row r="550" spans="1:5" x14ac:dyDescent="0.25">
      <c r="A550" s="40">
        <f t="shared" ca="1" si="32"/>
        <v>43.628898679657887</v>
      </c>
      <c r="B550" s="41">
        <f t="shared" si="36"/>
        <v>12.469999999999905</v>
      </c>
      <c r="C550" s="40">
        <f t="shared" si="33"/>
        <v>4.0065046599007574E-6</v>
      </c>
      <c r="D550" s="40">
        <f t="shared" ca="1" si="34"/>
        <v>4.0065046599007574E-6</v>
      </c>
      <c r="E550" s="40">
        <f t="shared" si="35"/>
        <v>4.0065046599007574E-6</v>
      </c>
    </row>
    <row r="551" spans="1:5" x14ac:dyDescent="0.25">
      <c r="A551" s="40">
        <f t="shared" ref="A551:A602" ca="1" si="37">(B551-B$4)/B$11</f>
        <v>43.805533896984436</v>
      </c>
      <c r="B551" s="41">
        <f t="shared" si="36"/>
        <v>12.479999999999905</v>
      </c>
      <c r="C551" s="40">
        <f t="shared" ref="C551:C602" si="38">NORMDIST(B551,B$4,B$5,0)</f>
        <v>3.6288623803675035E-6</v>
      </c>
      <c r="D551" s="40">
        <f t="shared" ref="D551:D602" ca="1" si="39">IF(C551&lt;=B$14/2,C551,0)</f>
        <v>3.6288623803675035E-6</v>
      </c>
      <c r="E551" s="40">
        <f t="shared" ref="E551:E602" si="40">IF(C551&lt;=B$6/2,C551,0)</f>
        <v>3.6288623803675035E-6</v>
      </c>
    </row>
    <row r="552" spans="1:5" x14ac:dyDescent="0.25">
      <c r="A552" s="40">
        <f t="shared" ca="1" si="37"/>
        <v>43.982169114310992</v>
      </c>
      <c r="B552" s="41">
        <f t="shared" si="36"/>
        <v>12.489999999999904</v>
      </c>
      <c r="C552" s="40">
        <f t="shared" si="38"/>
        <v>3.2855011760932822E-6</v>
      </c>
      <c r="D552" s="40">
        <f t="shared" ca="1" si="39"/>
        <v>3.2855011760932822E-6</v>
      </c>
      <c r="E552" s="40">
        <f t="shared" si="40"/>
        <v>3.2855011760932822E-6</v>
      </c>
    </row>
    <row r="553" spans="1:5" x14ac:dyDescent="0.25">
      <c r="A553" s="40">
        <f t="shared" ca="1" si="37"/>
        <v>44.158804331637548</v>
      </c>
      <c r="B553" s="41">
        <f t="shared" ref="B553:B602" si="41">B552+0.01</f>
        <v>12.499999999999904</v>
      </c>
      <c r="C553" s="40">
        <f t="shared" si="38"/>
        <v>2.9734390294714477E-6</v>
      </c>
      <c r="D553" s="40">
        <f t="shared" ca="1" si="39"/>
        <v>2.9734390294714477E-6</v>
      </c>
      <c r="E553" s="40">
        <f t="shared" si="40"/>
        <v>2.9734390294714477E-6</v>
      </c>
    </row>
    <row r="554" spans="1:5" x14ac:dyDescent="0.25">
      <c r="A554" s="40">
        <f t="shared" ca="1" si="37"/>
        <v>44.335439548964096</v>
      </c>
      <c r="B554" s="41">
        <f t="shared" si="41"/>
        <v>12.509999999999904</v>
      </c>
      <c r="C554" s="40">
        <f t="shared" si="38"/>
        <v>2.6899408521414789E-6</v>
      </c>
      <c r="D554" s="40">
        <f t="shared" ca="1" si="39"/>
        <v>2.6899408521414789E-6</v>
      </c>
      <c r="E554" s="40">
        <f t="shared" si="40"/>
        <v>2.6899408521414789E-6</v>
      </c>
    </row>
    <row r="555" spans="1:5" x14ac:dyDescent="0.25">
      <c r="A555" s="40">
        <f t="shared" ca="1" si="37"/>
        <v>44.512074766290652</v>
      </c>
      <c r="B555" s="41">
        <f t="shared" si="41"/>
        <v>12.519999999999904</v>
      </c>
      <c r="C555" s="40">
        <f t="shared" si="38"/>
        <v>2.4324991978649997E-6</v>
      </c>
      <c r="D555" s="40">
        <f t="shared" ca="1" si="39"/>
        <v>2.4324991978649997E-6</v>
      </c>
      <c r="E555" s="40">
        <f t="shared" si="40"/>
        <v>2.4324991978649997E-6</v>
      </c>
    </row>
    <row r="556" spans="1:5" x14ac:dyDescent="0.25">
      <c r="A556" s="40">
        <f t="shared" ca="1" si="37"/>
        <v>44.688709983617201</v>
      </c>
      <c r="B556" s="41">
        <f t="shared" si="41"/>
        <v>12.529999999999903</v>
      </c>
      <c r="C556" s="40">
        <f t="shared" si="38"/>
        <v>2.1988163774185546E-6</v>
      </c>
      <c r="D556" s="40">
        <f t="shared" ca="1" si="39"/>
        <v>2.1988163774185546E-6</v>
      </c>
      <c r="E556" s="40">
        <f t="shared" si="40"/>
        <v>2.1988163774185546E-6</v>
      </c>
    </row>
    <row r="557" spans="1:5" x14ac:dyDescent="0.25">
      <c r="A557" s="40">
        <f t="shared" ca="1" si="37"/>
        <v>44.865345200943757</v>
      </c>
      <c r="B557" s="41">
        <f t="shared" si="41"/>
        <v>12.539999999999903</v>
      </c>
      <c r="C557" s="40">
        <f t="shared" si="38"/>
        <v>1.986787882681779E-6</v>
      </c>
      <c r="D557" s="40">
        <f t="shared" ca="1" si="39"/>
        <v>1.986787882681779E-6</v>
      </c>
      <c r="E557" s="40">
        <f t="shared" si="40"/>
        <v>1.986787882681779E-6</v>
      </c>
    </row>
    <row r="558" spans="1:5" x14ac:dyDescent="0.25">
      <c r="A558" s="40">
        <f t="shared" ca="1" si="37"/>
        <v>45.041980418270313</v>
      </c>
      <c r="B558" s="41">
        <f t="shared" si="41"/>
        <v>12.549999999999903</v>
      </c>
      <c r="C558" s="40">
        <f t="shared" si="38"/>
        <v>1.7944870324784397E-6</v>
      </c>
      <c r="D558" s="40">
        <f t="shared" ca="1" si="39"/>
        <v>1.7944870324784397E-6</v>
      </c>
      <c r="E558" s="40">
        <f t="shared" si="40"/>
        <v>1.7944870324784397E-6</v>
      </c>
    </row>
    <row r="559" spans="1:5" x14ac:dyDescent="0.25">
      <c r="A559" s="40">
        <f t="shared" ca="1" si="37"/>
        <v>45.218615635596862</v>
      </c>
      <c r="B559" s="41">
        <f t="shared" si="41"/>
        <v>12.559999999999903</v>
      </c>
      <c r="C559" s="40">
        <f t="shared" si="38"/>
        <v>1.6201507578578836E-6</v>
      </c>
      <c r="D559" s="40">
        <f t="shared" ca="1" si="39"/>
        <v>1.6201507578578836E-6</v>
      </c>
      <c r="E559" s="40">
        <f t="shared" si="40"/>
        <v>1.6201507578578836E-6</v>
      </c>
    </row>
    <row r="560" spans="1:5" x14ac:dyDescent="0.25">
      <c r="A560" s="40">
        <f t="shared" ca="1" si="37"/>
        <v>45.395250852923418</v>
      </c>
      <c r="B560" s="41">
        <f t="shared" si="41"/>
        <v>12.569999999999903</v>
      </c>
      <c r="C560" s="40">
        <f t="shared" si="38"/>
        <v>1.4621664493921603E-6</v>
      </c>
      <c r="D560" s="40">
        <f t="shared" ca="1" si="39"/>
        <v>1.4621664493921603E-6</v>
      </c>
      <c r="E560" s="40">
        <f t="shared" si="40"/>
        <v>1.4621664493921603E-6</v>
      </c>
    </row>
    <row r="561" spans="1:5" x14ac:dyDescent="0.25">
      <c r="A561" s="40">
        <f t="shared" ca="1" si="37"/>
        <v>45.571886070249967</v>
      </c>
      <c r="B561" s="41">
        <f t="shared" si="41"/>
        <v>12.579999999999902</v>
      </c>
      <c r="C561" s="40">
        <f t="shared" si="38"/>
        <v>1.3190597937163742E-6</v>
      </c>
      <c r="D561" s="40">
        <f t="shared" ca="1" si="39"/>
        <v>1.3190597937163742E-6</v>
      </c>
      <c r="E561" s="40">
        <f t="shared" si="40"/>
        <v>1.3190597937163742E-6</v>
      </c>
    </row>
    <row r="562" spans="1:5" x14ac:dyDescent="0.25">
      <c r="A562" s="40">
        <f t="shared" ca="1" si="37"/>
        <v>45.748521287576523</v>
      </c>
      <c r="B562" s="41">
        <f t="shared" si="41"/>
        <v>12.589999999999902</v>
      </c>
      <c r="C562" s="40">
        <f t="shared" si="38"/>
        <v>1.1894835309627571E-6</v>
      </c>
      <c r="D562" s="40">
        <f t="shared" ca="1" si="39"/>
        <v>1.1894835309627571E-6</v>
      </c>
      <c r="E562" s="40">
        <f t="shared" si="40"/>
        <v>1.1894835309627571E-6</v>
      </c>
    </row>
    <row r="563" spans="1:5" x14ac:dyDescent="0.25">
      <c r="A563" s="40">
        <f t="shared" ca="1" si="37"/>
        <v>45.925156504903079</v>
      </c>
      <c r="B563" s="41">
        <f t="shared" si="41"/>
        <v>12.599999999999902</v>
      </c>
      <c r="C563" s="40">
        <f t="shared" si="38"/>
        <v>1.0722070689406179E-6</v>
      </c>
      <c r="D563" s="40">
        <f t="shared" ca="1" si="39"/>
        <v>1.0722070689406179E-6</v>
      </c>
      <c r="E563" s="40">
        <f t="shared" si="40"/>
        <v>1.0722070689406179E-6</v>
      </c>
    </row>
    <row r="564" spans="1:5" x14ac:dyDescent="0.25">
      <c r="A564" s="40">
        <f t="shared" ca="1" si="37"/>
        <v>46.101791722229628</v>
      </c>
      <c r="B564" s="41">
        <f t="shared" si="41"/>
        <v>12.609999999999902</v>
      </c>
      <c r="C564" s="40">
        <f t="shared" si="38"/>
        <v>9.6610689390092655E-7</v>
      </c>
      <c r="D564" s="40">
        <f t="shared" ca="1" si="39"/>
        <v>9.6610689390092655E-7</v>
      </c>
      <c r="E564" s="40">
        <f t="shared" si="40"/>
        <v>9.6610689390092655E-7</v>
      </c>
    </row>
    <row r="565" spans="1:5" x14ac:dyDescent="0.25">
      <c r="A565" s="40">
        <f t="shared" ca="1" si="37"/>
        <v>46.278426939556184</v>
      </c>
      <c r="B565" s="41">
        <f t="shared" si="41"/>
        <v>12.619999999999902</v>
      </c>
      <c r="C565" s="40">
        <f t="shared" si="38"/>
        <v>8.701577215039215E-7</v>
      </c>
      <c r="D565" s="40">
        <f t="shared" ca="1" si="39"/>
        <v>8.701577215039215E-7</v>
      </c>
      <c r="E565" s="40">
        <f t="shared" si="40"/>
        <v>8.701577215039215E-7</v>
      </c>
    </row>
    <row r="566" spans="1:5" x14ac:dyDescent="0.25">
      <c r="A566" s="40">
        <f t="shared" ca="1" si="37"/>
        <v>46.45506215688274</v>
      </c>
      <c r="B566" s="41">
        <f t="shared" si="41"/>
        <v>12.629999999999901</v>
      </c>
      <c r="C566" s="40">
        <f t="shared" si="38"/>
        <v>7.8342433518777594E-7</v>
      </c>
      <c r="D566" s="40">
        <f t="shared" ca="1" si="39"/>
        <v>7.8342433518777594E-7</v>
      </c>
      <c r="E566" s="40">
        <f t="shared" si="40"/>
        <v>7.8342433518777594E-7</v>
      </c>
    </row>
    <row r="567" spans="1:5" x14ac:dyDescent="0.25">
      <c r="A567" s="40">
        <f t="shared" ca="1" si="37"/>
        <v>46.631697374209288</v>
      </c>
      <c r="B567" s="41">
        <f t="shared" si="41"/>
        <v>12.639999999999901</v>
      </c>
      <c r="C567" s="40">
        <f t="shared" si="38"/>
        <v>7.0505406252354529E-7</v>
      </c>
      <c r="D567" s="40">
        <f t="shared" ca="1" si="39"/>
        <v>7.0505406252354529E-7</v>
      </c>
      <c r="E567" s="40">
        <f t="shared" si="40"/>
        <v>7.0505406252354529E-7</v>
      </c>
    </row>
    <row r="568" spans="1:5" x14ac:dyDescent="0.25">
      <c r="A568" s="40">
        <f t="shared" ca="1" si="37"/>
        <v>46.808332591535844</v>
      </c>
      <c r="B568" s="41">
        <f t="shared" si="41"/>
        <v>12.649999999999901</v>
      </c>
      <c r="C568" s="40">
        <f t="shared" si="38"/>
        <v>6.3426984334386106E-7</v>
      </c>
      <c r="D568" s="40">
        <f t="shared" ca="1" si="39"/>
        <v>6.3426984334386106E-7</v>
      </c>
      <c r="E568" s="40">
        <f t="shared" si="40"/>
        <v>6.3426984334386106E-7</v>
      </c>
    </row>
    <row r="569" spans="1:5" x14ac:dyDescent="0.25">
      <c r="A569" s="40">
        <f t="shared" ca="1" si="37"/>
        <v>46.984967808862393</v>
      </c>
      <c r="B569" s="41">
        <f t="shared" si="41"/>
        <v>12.659999999999901</v>
      </c>
      <c r="C569" s="40">
        <f t="shared" si="38"/>
        <v>5.7036384645739907E-7</v>
      </c>
      <c r="D569" s="40">
        <f t="shared" ca="1" si="39"/>
        <v>5.7036384645739907E-7</v>
      </c>
      <c r="E569" s="40">
        <f t="shared" si="40"/>
        <v>5.7036384645739907E-7</v>
      </c>
    </row>
    <row r="570" spans="1:5" x14ac:dyDescent="0.25">
      <c r="A570" s="40">
        <f t="shared" ca="1" si="37"/>
        <v>47.161603026188949</v>
      </c>
      <c r="B570" s="41">
        <f t="shared" si="41"/>
        <v>12.6699999999999</v>
      </c>
      <c r="C570" s="40">
        <f t="shared" si="38"/>
        <v>5.1269159461546322E-7</v>
      </c>
      <c r="D570" s="40">
        <f t="shared" ca="1" si="39"/>
        <v>5.1269159461546322E-7</v>
      </c>
      <c r="E570" s="40">
        <f t="shared" si="40"/>
        <v>5.1269159461546322E-7</v>
      </c>
    </row>
    <row r="571" spans="1:5" x14ac:dyDescent="0.25">
      <c r="A571" s="40">
        <f t="shared" ca="1" si="37"/>
        <v>47.338238243515505</v>
      </c>
      <c r="B571" s="41">
        <f t="shared" si="41"/>
        <v>12.6799999999999</v>
      </c>
      <c r="C571" s="40">
        <f t="shared" si="38"/>
        <v>4.6066656008833471E-7</v>
      </c>
      <c r="D571" s="40">
        <f t="shared" ca="1" si="39"/>
        <v>4.6066656008833471E-7</v>
      </c>
      <c r="E571" s="40">
        <f t="shared" si="40"/>
        <v>4.6066656008833471E-7</v>
      </c>
    </row>
    <row r="572" spans="1:5" x14ac:dyDescent="0.25">
      <c r="A572" s="40">
        <f t="shared" ca="1" si="37"/>
        <v>47.514873460842054</v>
      </c>
      <c r="B572" s="41">
        <f t="shared" si="41"/>
        <v>12.6899999999999</v>
      </c>
      <c r="C572" s="40">
        <f t="shared" si="38"/>
        <v>4.1375519574437563E-7</v>
      </c>
      <c r="D572" s="40">
        <f t="shared" ca="1" si="39"/>
        <v>4.1375519574437563E-7</v>
      </c>
      <c r="E572" s="40">
        <f t="shared" si="40"/>
        <v>4.1375519574437563E-7</v>
      </c>
    </row>
    <row r="573" spans="1:5" x14ac:dyDescent="0.25">
      <c r="A573" s="40">
        <f t="shared" ca="1" si="37"/>
        <v>47.69150867816861</v>
      </c>
      <c r="B573" s="41">
        <f t="shared" si="41"/>
        <v>12.6999999999999</v>
      </c>
      <c r="C573" s="40">
        <f t="shared" si="38"/>
        <v>3.7147236891146043E-7</v>
      </c>
      <c r="D573" s="40">
        <f t="shared" ca="1" si="39"/>
        <v>3.7147236891146043E-7</v>
      </c>
      <c r="E573" s="40">
        <f t="shared" si="40"/>
        <v>3.7147236891146043E-7</v>
      </c>
    </row>
    <row r="574" spans="1:5" x14ac:dyDescent="0.25">
      <c r="A574" s="40">
        <f t="shared" ca="1" si="37"/>
        <v>47.868143895495159</v>
      </c>
      <c r="B574" s="41">
        <f t="shared" si="41"/>
        <v>12.7099999999999</v>
      </c>
      <c r="C574" s="40">
        <f t="shared" si="38"/>
        <v>3.3337716754481956E-7</v>
      </c>
      <c r="D574" s="40">
        <f t="shared" ca="1" si="39"/>
        <v>3.3337716754481956E-7</v>
      </c>
      <c r="E574" s="40">
        <f t="shared" si="40"/>
        <v>3.3337716754481956E-7</v>
      </c>
    </row>
    <row r="575" spans="1:5" x14ac:dyDescent="0.25">
      <c r="A575" s="40">
        <f t="shared" ca="1" si="37"/>
        <v>48.044779112821715</v>
      </c>
      <c r="B575" s="41">
        <f t="shared" si="41"/>
        <v>12.719999999999899</v>
      </c>
      <c r="C575" s="40">
        <f t="shared" si="38"/>
        <v>2.9906905033464666E-7</v>
      </c>
      <c r="D575" s="40">
        <f t="shared" ca="1" si="39"/>
        <v>2.9906905033464666E-7</v>
      </c>
      <c r="E575" s="40">
        <f t="shared" si="40"/>
        <v>2.9906905033464666E-7</v>
      </c>
    </row>
    <row r="576" spans="1:5" x14ac:dyDescent="0.25">
      <c r="A576" s="40">
        <f t="shared" ca="1" si="37"/>
        <v>48.221414330148271</v>
      </c>
      <c r="B576" s="41">
        <f t="shared" si="41"/>
        <v>12.729999999999899</v>
      </c>
      <c r="C576" s="40">
        <f t="shared" si="38"/>
        <v>2.6818431436738989E-7</v>
      </c>
      <c r="D576" s="40">
        <f t="shared" ca="1" si="39"/>
        <v>2.6818431436738989E-7</v>
      </c>
      <c r="E576" s="40">
        <f t="shared" si="40"/>
        <v>2.6818431436738989E-7</v>
      </c>
    </row>
    <row r="577" spans="1:5" x14ac:dyDescent="0.25">
      <c r="A577" s="40">
        <f t="shared" ca="1" si="37"/>
        <v>48.39804954747482</v>
      </c>
      <c r="B577" s="41">
        <f t="shared" si="41"/>
        <v>12.739999999999899</v>
      </c>
      <c r="C577" s="40">
        <f t="shared" si="38"/>
        <v>2.4039285581283106E-7</v>
      </c>
      <c r="D577" s="40">
        <f t="shared" ca="1" si="39"/>
        <v>2.4039285581283106E-7</v>
      </c>
      <c r="E577" s="40">
        <f t="shared" si="40"/>
        <v>2.4039285581283106E-7</v>
      </c>
    </row>
    <row r="578" spans="1:5" x14ac:dyDescent="0.25">
      <c r="A578" s="40">
        <f t="shared" ca="1" si="37"/>
        <v>48.574684764801376</v>
      </c>
      <c r="B578" s="41">
        <f t="shared" si="41"/>
        <v>12.749999999999899</v>
      </c>
      <c r="C578" s="40">
        <f t="shared" si="38"/>
        <v>2.1539520085110544E-7</v>
      </c>
      <c r="D578" s="40">
        <f t="shared" ca="1" si="39"/>
        <v>2.1539520085110544E-7</v>
      </c>
      <c r="E578" s="40">
        <f t="shared" si="40"/>
        <v>2.1539520085110544E-7</v>
      </c>
    </row>
    <row r="579" spans="1:5" x14ac:dyDescent="0.25">
      <c r="A579" s="40">
        <f t="shared" ca="1" si="37"/>
        <v>48.751319982127924</v>
      </c>
      <c r="B579" s="41">
        <f t="shared" si="41"/>
        <v>12.759999999999899</v>
      </c>
      <c r="C579" s="40">
        <f t="shared" si="38"/>
        <v>1.9291978568568323E-7</v>
      </c>
      <c r="D579" s="40">
        <f t="shared" ca="1" si="39"/>
        <v>1.9291978568568323E-7</v>
      </c>
      <c r="E579" s="40">
        <f t="shared" si="40"/>
        <v>1.9291978568568323E-7</v>
      </c>
    </row>
    <row r="580" spans="1:5" x14ac:dyDescent="0.25">
      <c r="A580" s="40">
        <f t="shared" ca="1" si="37"/>
        <v>48.92795519945448</v>
      </c>
      <c r="B580" s="41">
        <f t="shared" si="41"/>
        <v>12.769999999999898</v>
      </c>
      <c r="C580" s="40">
        <f t="shared" si="38"/>
        <v>1.7272046601581461E-7</v>
      </c>
      <c r="D580" s="40">
        <f t="shared" ca="1" si="39"/>
        <v>1.7272046601581461E-7</v>
      </c>
      <c r="E580" s="40">
        <f t="shared" si="40"/>
        <v>1.7272046601581461E-7</v>
      </c>
    </row>
    <row r="581" spans="1:5" x14ac:dyDescent="0.25">
      <c r="A581" s="40">
        <f t="shared" ca="1" si="37"/>
        <v>49.104590416781036</v>
      </c>
      <c r="B581" s="41">
        <f t="shared" si="41"/>
        <v>12.779999999999898</v>
      </c>
      <c r="C581" s="40">
        <f t="shared" si="38"/>
        <v>1.5457423777063331E-7</v>
      </c>
      <c r="D581" s="40">
        <f t="shared" ca="1" si="39"/>
        <v>1.5457423777063331E-7</v>
      </c>
      <c r="E581" s="40">
        <f t="shared" si="40"/>
        <v>1.5457423777063331E-7</v>
      </c>
    </row>
    <row r="582" spans="1:5" x14ac:dyDescent="0.25">
      <c r="A582" s="40">
        <f t="shared" ca="1" si="37"/>
        <v>49.281225634107585</v>
      </c>
      <c r="B582" s="41">
        <f t="shared" si="41"/>
        <v>12.789999999999898</v>
      </c>
      <c r="C582" s="40">
        <f t="shared" si="38"/>
        <v>1.3827915224240565E-7</v>
      </c>
      <c r="D582" s="40">
        <f t="shared" ca="1" si="39"/>
        <v>1.3827915224240565E-7</v>
      </c>
      <c r="E582" s="40">
        <f t="shared" si="40"/>
        <v>1.3827915224240565E-7</v>
      </c>
    </row>
    <row r="583" spans="1:5" x14ac:dyDescent="0.25">
      <c r="A583" s="40">
        <f t="shared" ca="1" si="37"/>
        <v>49.457860851434141</v>
      </c>
      <c r="B583" s="41">
        <f t="shared" si="41"/>
        <v>12.799999999999898</v>
      </c>
      <c r="C583" s="40">
        <f t="shared" si="38"/>
        <v>1.236524100034586E-7</v>
      </c>
      <c r="D583" s="40">
        <f t="shared" ca="1" si="39"/>
        <v>1.236524100034586E-7</v>
      </c>
      <c r="E583" s="40">
        <f t="shared" si="40"/>
        <v>1.236524100034586E-7</v>
      </c>
    </row>
    <row r="584" spans="1:5" x14ac:dyDescent="0.25">
      <c r="A584" s="40">
        <f t="shared" ca="1" si="37"/>
        <v>49.634496068760697</v>
      </c>
      <c r="B584" s="41">
        <f t="shared" si="41"/>
        <v>12.809999999999897</v>
      </c>
      <c r="C584" s="40">
        <f t="shared" si="38"/>
        <v>1.1052861915512173E-7</v>
      </c>
      <c r="D584" s="40">
        <f t="shared" ca="1" si="39"/>
        <v>1.1052861915512173E-7</v>
      </c>
      <c r="E584" s="40">
        <f t="shared" si="40"/>
        <v>1.1052861915512173E-7</v>
      </c>
    </row>
    <row r="585" spans="1:5" x14ac:dyDescent="0.25">
      <c r="A585" s="40">
        <f t="shared" ca="1" si="37"/>
        <v>49.811131286087246</v>
      </c>
      <c r="B585" s="41">
        <f t="shared" si="41"/>
        <v>12.819999999999897</v>
      </c>
      <c r="C585" s="40">
        <f t="shared" si="38"/>
        <v>9.875820454232317E-8</v>
      </c>
      <c r="D585" s="40">
        <f t="shared" ca="1" si="39"/>
        <v>9.875820454232317E-8</v>
      </c>
      <c r="E585" s="40">
        <f t="shared" si="40"/>
        <v>9.875820454232317E-8</v>
      </c>
    </row>
    <row r="586" spans="1:5" x14ac:dyDescent="0.25">
      <c r="A586" s="40">
        <f t="shared" ca="1" si="37"/>
        <v>49.987766503413802</v>
      </c>
      <c r="B586" s="41">
        <f t="shared" si="41"/>
        <v>12.829999999999897</v>
      </c>
      <c r="C586" s="40">
        <f t="shared" si="38"/>
        <v>8.8205955578848947E-8</v>
      </c>
      <c r="D586" s="40">
        <f t="shared" ca="1" si="39"/>
        <v>8.8205955578848947E-8</v>
      </c>
      <c r="E586" s="40">
        <f t="shared" si="40"/>
        <v>8.8205955578848947E-8</v>
      </c>
    </row>
    <row r="587" spans="1:5" x14ac:dyDescent="0.25">
      <c r="A587" s="40">
        <f t="shared" ca="1" si="37"/>
        <v>50.164401720740351</v>
      </c>
      <c r="B587" s="41">
        <f t="shared" si="41"/>
        <v>12.839999999999897</v>
      </c>
      <c r="C587" s="40">
        <f t="shared" si="38"/>
        <v>7.8749701270089321E-8</v>
      </c>
      <c r="D587" s="40">
        <f t="shared" ca="1" si="39"/>
        <v>7.8749701270089321E-8</v>
      </c>
      <c r="E587" s="40">
        <f t="shared" si="40"/>
        <v>7.8749701270089321E-8</v>
      </c>
    </row>
    <row r="588" spans="1:5" x14ac:dyDescent="0.25">
      <c r="A588" s="40">
        <f t="shared" ca="1" si="37"/>
        <v>50.341036938066907</v>
      </c>
      <c r="B588" s="41">
        <f t="shared" si="41"/>
        <v>12.849999999999897</v>
      </c>
      <c r="C588" s="40">
        <f t="shared" si="38"/>
        <v>7.0279101896491571E-8</v>
      </c>
      <c r="D588" s="40">
        <f t="shared" ca="1" si="39"/>
        <v>7.0279101896491571E-8</v>
      </c>
      <c r="E588" s="40">
        <f t="shared" si="40"/>
        <v>7.0279101896491571E-8</v>
      </c>
    </row>
    <row r="589" spans="1:5" x14ac:dyDescent="0.25">
      <c r="A589" s="40">
        <f t="shared" ca="1" si="37"/>
        <v>50.517672155393463</v>
      </c>
      <c r="B589" s="41">
        <f t="shared" si="41"/>
        <v>12.859999999999896</v>
      </c>
      <c r="C589" s="40">
        <f t="shared" si="38"/>
        <v>6.2694547635913748E-8</v>
      </c>
      <c r="D589" s="40">
        <f t="shared" ca="1" si="39"/>
        <v>6.2694547635913748E-8</v>
      </c>
      <c r="E589" s="40">
        <f t="shared" si="40"/>
        <v>6.2694547635913748E-8</v>
      </c>
    </row>
    <row r="590" spans="1:5" x14ac:dyDescent="0.25">
      <c r="A590" s="40">
        <f t="shared" ca="1" si="37"/>
        <v>50.694307372720012</v>
      </c>
      <c r="B590" s="41">
        <f t="shared" si="41"/>
        <v>12.869999999999896</v>
      </c>
      <c r="C590" s="40">
        <f t="shared" si="38"/>
        <v>5.5906155160376038E-8</v>
      </c>
      <c r="D590" s="40">
        <f t="shared" ca="1" si="39"/>
        <v>5.5906155160376038E-8</v>
      </c>
      <c r="E590" s="40">
        <f t="shared" si="40"/>
        <v>5.5906155160376038E-8</v>
      </c>
    </row>
    <row r="591" spans="1:5" x14ac:dyDescent="0.25">
      <c r="A591" s="40">
        <f t="shared" ca="1" si="37"/>
        <v>50.870942590046567</v>
      </c>
      <c r="B591" s="41">
        <f t="shared" si="41"/>
        <v>12.879999999999896</v>
      </c>
      <c r="C591" s="40">
        <f t="shared" si="38"/>
        <v>4.9832853945961641E-8</v>
      </c>
      <c r="D591" s="40">
        <f t="shared" ca="1" si="39"/>
        <v>4.9832853945961641E-8</v>
      </c>
      <c r="E591" s="40">
        <f t="shared" si="40"/>
        <v>4.9832853945961641E-8</v>
      </c>
    </row>
    <row r="592" spans="1:5" x14ac:dyDescent="0.25">
      <c r="A592" s="40">
        <f t="shared" ca="1" si="37"/>
        <v>51.047577807373116</v>
      </c>
      <c r="B592" s="41">
        <f t="shared" si="41"/>
        <v>12.889999999999896</v>
      </c>
      <c r="C592" s="40">
        <f t="shared" si="38"/>
        <v>4.4401554687211501E-8</v>
      </c>
      <c r="D592" s="40">
        <f t="shared" ca="1" si="39"/>
        <v>4.4401554687211501E-8</v>
      </c>
      <c r="E592" s="40">
        <f t="shared" si="40"/>
        <v>4.4401554687211501E-8</v>
      </c>
    </row>
    <row r="593" spans="1:5" x14ac:dyDescent="0.25">
      <c r="A593" s="40">
        <f t="shared" ca="1" si="37"/>
        <v>51.224213024699672</v>
      </c>
      <c r="B593" s="41">
        <f t="shared" si="41"/>
        <v>12.899999999999896</v>
      </c>
      <c r="C593" s="40">
        <f t="shared" si="38"/>
        <v>3.9546392812537254E-8</v>
      </c>
      <c r="D593" s="40">
        <f t="shared" ca="1" si="39"/>
        <v>3.9546392812537254E-8</v>
      </c>
      <c r="E593" s="40">
        <f t="shared" si="40"/>
        <v>3.9546392812537254E-8</v>
      </c>
    </row>
    <row r="594" spans="1:5" x14ac:dyDescent="0.25">
      <c r="A594" s="40">
        <f t="shared" ca="1" si="37"/>
        <v>51.400848242026228</v>
      </c>
      <c r="B594" s="41">
        <f t="shared" si="41"/>
        <v>12.909999999999895</v>
      </c>
      <c r="C594" s="40">
        <f t="shared" si="38"/>
        <v>3.5208040658014593E-8</v>
      </c>
      <c r="D594" s="40">
        <f t="shared" ca="1" si="39"/>
        <v>3.5208040658014593E-8</v>
      </c>
      <c r="E594" s="40">
        <f t="shared" si="40"/>
        <v>3.5208040658014593E-8</v>
      </c>
    </row>
    <row r="595" spans="1:5" x14ac:dyDescent="0.25">
      <c r="A595" s="40">
        <f t="shared" ca="1" si="37"/>
        <v>51.577483459352777</v>
      </c>
      <c r="B595" s="41">
        <f t="shared" si="41"/>
        <v>12.919999999999895</v>
      </c>
      <c r="C595" s="40">
        <f t="shared" si="38"/>
        <v>3.1333082376303439E-8</v>
      </c>
      <c r="D595" s="40">
        <f t="shared" ca="1" si="39"/>
        <v>3.1333082376303439E-8</v>
      </c>
      <c r="E595" s="40">
        <f t="shared" si="40"/>
        <v>3.1333082376303439E-8</v>
      </c>
    </row>
    <row r="596" spans="1:5" x14ac:dyDescent="0.25">
      <c r="A596" s="40">
        <f t="shared" ca="1" si="37"/>
        <v>51.754118676679333</v>
      </c>
      <c r="B596" s="41">
        <f t="shared" si="41"/>
        <v>12.929999999999895</v>
      </c>
      <c r="C596" s="40">
        <f t="shared" si="38"/>
        <v>2.7873446138129144E-8</v>
      </c>
      <c r="D596" s="40">
        <f t="shared" ca="1" si="39"/>
        <v>2.7873446138129144E-8</v>
      </c>
      <c r="E596" s="40">
        <f t="shared" si="40"/>
        <v>2.7873446138129144E-8</v>
      </c>
    </row>
    <row r="597" spans="1:5" x14ac:dyDescent="0.25">
      <c r="A597" s="40">
        <f t="shared" ca="1" si="37"/>
        <v>51.930753894005882</v>
      </c>
      <c r="B597" s="41">
        <f t="shared" si="41"/>
        <v>12.939999999999895</v>
      </c>
      <c r="C597" s="40">
        <f t="shared" si="38"/>
        <v>2.4785888628330898E-8</v>
      </c>
      <c r="D597" s="40">
        <f t="shared" ca="1" si="39"/>
        <v>2.4785888628330898E-8</v>
      </c>
      <c r="E597" s="40">
        <f t="shared" si="40"/>
        <v>2.4785888628330898E-8</v>
      </c>
    </row>
    <row r="598" spans="1:5" x14ac:dyDescent="0.25">
      <c r="A598" s="40">
        <f t="shared" ca="1" si="37"/>
        <v>52.107389111332438</v>
      </c>
      <c r="B598" s="41">
        <f t="shared" si="41"/>
        <v>12.949999999999894</v>
      </c>
      <c r="C598" s="40">
        <f t="shared" si="38"/>
        <v>2.2031527249392092E-8</v>
      </c>
      <c r="D598" s="40">
        <f t="shared" ca="1" si="39"/>
        <v>2.2031527249392092E-8</v>
      </c>
      <c r="E598" s="40">
        <f t="shared" si="40"/>
        <v>2.2031527249392092E-8</v>
      </c>
    </row>
    <row r="599" spans="1:5" x14ac:dyDescent="0.25">
      <c r="A599" s="40">
        <f t="shared" ca="1" si="37"/>
        <v>52.284024328658994</v>
      </c>
      <c r="B599" s="41">
        <f t="shared" si="41"/>
        <v>12.959999999999894</v>
      </c>
      <c r="C599" s="40">
        <f t="shared" si="38"/>
        <v>1.9575415824906837E-8</v>
      </c>
      <c r="D599" s="40">
        <f t="shared" ca="1" si="39"/>
        <v>1.9575415824906837E-8</v>
      </c>
      <c r="E599" s="40">
        <f t="shared" si="40"/>
        <v>1.9575415824906837E-8</v>
      </c>
    </row>
    <row r="600" spans="1:5" x14ac:dyDescent="0.25">
      <c r="A600" s="40">
        <f t="shared" ca="1" si="37"/>
        <v>52.460659545985543</v>
      </c>
      <c r="B600" s="41">
        <f t="shared" si="41"/>
        <v>12.969999999999894</v>
      </c>
      <c r="C600" s="40">
        <f t="shared" si="38"/>
        <v>1.7386159945782274E-8</v>
      </c>
      <c r="D600" s="40">
        <f t="shared" ca="1" si="39"/>
        <v>1.7386159945782274E-8</v>
      </c>
      <c r="E600" s="40">
        <f t="shared" si="40"/>
        <v>1.7386159945782274E-8</v>
      </c>
    </row>
    <row r="601" spans="1:5" x14ac:dyDescent="0.25">
      <c r="A601" s="40">
        <f t="shared" ca="1" si="37"/>
        <v>52.637294763312099</v>
      </c>
      <c r="B601" s="41">
        <f t="shared" si="41"/>
        <v>12.979999999999894</v>
      </c>
      <c r="C601" s="40">
        <f t="shared" si="38"/>
        <v>1.5435568425160579E-8</v>
      </c>
      <c r="D601" s="40">
        <f t="shared" ca="1" si="39"/>
        <v>1.5435568425160579E-8</v>
      </c>
      <c r="E601" s="40">
        <f t="shared" si="40"/>
        <v>1.5435568425160579E-8</v>
      </c>
    </row>
    <row r="602" spans="1:5" x14ac:dyDescent="0.25">
      <c r="A602" s="40">
        <f t="shared" ca="1" si="37"/>
        <v>52.813929980638648</v>
      </c>
      <c r="B602" s="41">
        <f t="shared" si="41"/>
        <v>12.989999999999894</v>
      </c>
      <c r="C602" s="40">
        <f t="shared" si="38"/>
        <v>1.3698337625988989E-8</v>
      </c>
      <c r="D602" s="40">
        <f t="shared" ca="1" si="39"/>
        <v>1.3698337625988989E-8</v>
      </c>
      <c r="E602" s="40">
        <f t="shared" si="40"/>
        <v>1.3698337625988989E-8</v>
      </c>
    </row>
  </sheetData>
  <conditionalFormatting sqref="B14">
    <cfRule type="expression" dxfId="5" priority="2">
      <formula>$B$14&gt;$B$6</formula>
    </cfRule>
  </conditionalFormatting>
  <conditionalFormatting sqref="B6">
    <cfRule type="expression" dxfId="4" priority="1">
      <formula>$B$6&gt;=$B$14</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HideRows">
                <anchor moveWithCells="1" sizeWithCells="1">
                  <from>
                    <xdr:col>1</xdr:col>
                    <xdr:colOff>9525</xdr:colOff>
                    <xdr:row>16</xdr:row>
                    <xdr:rowOff>57150</xdr:rowOff>
                  </from>
                  <to>
                    <xdr:col>1</xdr:col>
                    <xdr:colOff>857250</xdr:colOff>
                    <xdr:row>17</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UnhideRows">
                <anchor moveWithCells="1" sizeWithCells="1">
                  <from>
                    <xdr:col>1</xdr:col>
                    <xdr:colOff>9525</xdr:colOff>
                    <xdr:row>18</xdr:row>
                    <xdr:rowOff>95250</xdr:rowOff>
                  </from>
                  <to>
                    <xdr:col>1</xdr:col>
                    <xdr:colOff>857250</xdr:colOff>
                    <xdr:row>19</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00FF"/>
  </sheetPr>
  <dimension ref="A1:A159"/>
  <sheetViews>
    <sheetView tabSelected="1" topLeftCell="A88" zoomScale="115" zoomScaleNormal="115" workbookViewId="0">
      <selection activeCell="A103" sqref="A103:A108"/>
    </sheetView>
  </sheetViews>
  <sheetFormatPr defaultRowHeight="15" x14ac:dyDescent="0.25"/>
  <cols>
    <col min="1" max="1" width="93" customWidth="1"/>
  </cols>
  <sheetData>
    <row r="1" spans="1:1" s="17" customFormat="1" x14ac:dyDescent="0.25">
      <c r="A1" s="43" t="s">
        <v>3</v>
      </c>
    </row>
    <row r="2" spans="1:1" x14ac:dyDescent="0.25">
      <c r="A2" s="44" t="s">
        <v>121</v>
      </c>
    </row>
    <row r="3" spans="1:1" x14ac:dyDescent="0.25">
      <c r="A3" s="52" t="s">
        <v>114</v>
      </c>
    </row>
    <row r="4" spans="1:1" x14ac:dyDescent="0.25">
      <c r="A4" s="20" t="s">
        <v>115</v>
      </c>
    </row>
    <row r="5" spans="1:1" x14ac:dyDescent="0.25">
      <c r="A5" s="45" t="s">
        <v>116</v>
      </c>
    </row>
    <row r="6" spans="1:1" x14ac:dyDescent="0.25">
      <c r="A6" s="45" t="s">
        <v>117</v>
      </c>
    </row>
    <row r="7" spans="1:1" x14ac:dyDescent="0.25">
      <c r="A7" s="45" t="s">
        <v>131</v>
      </c>
    </row>
    <row r="8" spans="1:1" x14ac:dyDescent="0.25">
      <c r="A8" s="45" t="s">
        <v>118</v>
      </c>
    </row>
    <row r="9" spans="1:1" s="17" customFormat="1" x14ac:dyDescent="0.25">
      <c r="A9" s="52" t="s">
        <v>122</v>
      </c>
    </row>
    <row r="10" spans="1:1" s="17" customFormat="1" x14ac:dyDescent="0.25">
      <c r="A10" s="48" t="s">
        <v>82</v>
      </c>
    </row>
    <row r="11" spans="1:1" s="17" customFormat="1" x14ac:dyDescent="0.25">
      <c r="A11" s="50" t="s">
        <v>126</v>
      </c>
    </row>
    <row r="12" spans="1:1" s="17" customFormat="1" x14ac:dyDescent="0.25">
      <c r="A12" s="50" t="s">
        <v>128</v>
      </c>
    </row>
    <row r="13" spans="1:1" s="17" customFormat="1" x14ac:dyDescent="0.25">
      <c r="A13" s="50" t="s">
        <v>127</v>
      </c>
    </row>
    <row r="14" spans="1:1" x14ac:dyDescent="0.25">
      <c r="A14" s="49" t="s">
        <v>119</v>
      </c>
    </row>
    <row r="15" spans="1:1" s="17" customFormat="1" x14ac:dyDescent="0.25">
      <c r="A15" s="19" t="s">
        <v>129</v>
      </c>
    </row>
    <row r="16" spans="1:1" s="17" customFormat="1" ht="45" x14ac:dyDescent="0.25">
      <c r="A16" s="19" t="s">
        <v>134</v>
      </c>
    </row>
    <row r="17" spans="1:1" s="17" customFormat="1" x14ac:dyDescent="0.25">
      <c r="A17" s="19" t="s">
        <v>130</v>
      </c>
    </row>
    <row r="18" spans="1:1" s="17" customFormat="1" ht="30" x14ac:dyDescent="0.25">
      <c r="A18" s="19" t="s">
        <v>132</v>
      </c>
    </row>
    <row r="19" spans="1:1" s="17" customFormat="1" ht="30" x14ac:dyDescent="0.25">
      <c r="A19" s="19" t="s">
        <v>133</v>
      </c>
    </row>
    <row r="20" spans="1:1" x14ac:dyDescent="0.25">
      <c r="A20" s="51" t="s">
        <v>120</v>
      </c>
    </row>
    <row r="21" spans="1:1" x14ac:dyDescent="0.25">
      <c r="A21" s="44" t="s">
        <v>137</v>
      </c>
    </row>
    <row r="22" spans="1:1" ht="30" x14ac:dyDescent="0.25">
      <c r="A22" s="46" t="s">
        <v>138</v>
      </c>
    </row>
    <row r="23" spans="1:1" x14ac:dyDescent="0.25">
      <c r="A23" s="53" t="s">
        <v>139</v>
      </c>
    </row>
    <row r="24" spans="1:1" x14ac:dyDescent="0.25">
      <c r="A24" s="54" t="s">
        <v>140</v>
      </c>
    </row>
    <row r="25" spans="1:1" x14ac:dyDescent="0.25">
      <c r="A25" s="54" t="s">
        <v>141</v>
      </c>
    </row>
    <row r="26" spans="1:1" ht="30" x14ac:dyDescent="0.25">
      <c r="A26" s="19" t="s">
        <v>204</v>
      </c>
    </row>
    <row r="27" spans="1:1" x14ac:dyDescent="0.25">
      <c r="A27" s="20" t="s">
        <v>142</v>
      </c>
    </row>
    <row r="28" spans="1:1" x14ac:dyDescent="0.25">
      <c r="A28" s="19" t="s">
        <v>143</v>
      </c>
    </row>
    <row r="29" spans="1:1" x14ac:dyDescent="0.25">
      <c r="A29" s="20" t="s">
        <v>144</v>
      </c>
    </row>
    <row r="30" spans="1:1" ht="30" x14ac:dyDescent="0.25">
      <c r="A30" s="20" t="s">
        <v>145</v>
      </c>
    </row>
    <row r="31" spans="1:1" x14ac:dyDescent="0.25">
      <c r="A31" s="20" t="s">
        <v>146</v>
      </c>
    </row>
    <row r="32" spans="1:1" x14ac:dyDescent="0.25">
      <c r="A32" s="53" t="s">
        <v>147</v>
      </c>
    </row>
    <row r="33" spans="1:1" x14ac:dyDescent="0.25">
      <c r="A33" s="46" t="s">
        <v>148</v>
      </c>
    </row>
    <row r="34" spans="1:1" ht="30" x14ac:dyDescent="0.25">
      <c r="A34" s="46" t="s">
        <v>149</v>
      </c>
    </row>
    <row r="35" spans="1:1" x14ac:dyDescent="0.25">
      <c r="A35" s="19" t="s">
        <v>6</v>
      </c>
    </row>
    <row r="36" spans="1:1" x14ac:dyDescent="0.25">
      <c r="A36" s="55" t="s">
        <v>150</v>
      </c>
    </row>
    <row r="37" spans="1:1" x14ac:dyDescent="0.25">
      <c r="A37" s="55" t="s">
        <v>151</v>
      </c>
    </row>
    <row r="38" spans="1:1" x14ac:dyDescent="0.25">
      <c r="A38" s="55" t="s">
        <v>152</v>
      </c>
    </row>
    <row r="39" spans="1:1" x14ac:dyDescent="0.25">
      <c r="A39" s="55" t="s">
        <v>153</v>
      </c>
    </row>
    <row r="40" spans="1:1" x14ac:dyDescent="0.25">
      <c r="A40" s="45" t="s">
        <v>154</v>
      </c>
    </row>
    <row r="41" spans="1:1" x14ac:dyDescent="0.25">
      <c r="A41" s="55" t="s">
        <v>155</v>
      </c>
    </row>
    <row r="42" spans="1:1" x14ac:dyDescent="0.25">
      <c r="A42" s="19" t="s">
        <v>156</v>
      </c>
    </row>
    <row r="43" spans="1:1" x14ac:dyDescent="0.25">
      <c r="A43" s="20" t="s">
        <v>157</v>
      </c>
    </row>
    <row r="44" spans="1:1" x14ac:dyDescent="0.25">
      <c r="A44" s="20" t="s">
        <v>158</v>
      </c>
    </row>
    <row r="45" spans="1:1" x14ac:dyDescent="0.25">
      <c r="A45" s="45" t="s">
        <v>159</v>
      </c>
    </row>
    <row r="46" spans="1:1" x14ac:dyDescent="0.25">
      <c r="A46" s="20" t="s">
        <v>146</v>
      </c>
    </row>
    <row r="47" spans="1:1" x14ac:dyDescent="0.25">
      <c r="A47" s="53" t="s">
        <v>160</v>
      </c>
    </row>
    <row r="48" spans="1:1" x14ac:dyDescent="0.25">
      <c r="A48" s="46" t="s">
        <v>161</v>
      </c>
    </row>
    <row r="49" spans="1:1" x14ac:dyDescent="0.25">
      <c r="A49" s="46" t="s">
        <v>162</v>
      </c>
    </row>
    <row r="50" spans="1:1" x14ac:dyDescent="0.25">
      <c r="A50" s="19" t="s">
        <v>163</v>
      </c>
    </row>
    <row r="51" spans="1:1" x14ac:dyDescent="0.25">
      <c r="A51" s="20" t="s">
        <v>164</v>
      </c>
    </row>
    <row r="52" spans="1:1" x14ac:dyDescent="0.25">
      <c r="A52" s="20" t="s">
        <v>165</v>
      </c>
    </row>
    <row r="53" spans="1:1" x14ac:dyDescent="0.25">
      <c r="A53" s="19" t="s">
        <v>6</v>
      </c>
    </row>
    <row r="54" spans="1:1" x14ac:dyDescent="0.25">
      <c r="A54" s="55" t="s">
        <v>166</v>
      </c>
    </row>
    <row r="55" spans="1:1" x14ac:dyDescent="0.25">
      <c r="A55" s="45" t="s">
        <v>167</v>
      </c>
    </row>
    <row r="56" spans="1:1" x14ac:dyDescent="0.25">
      <c r="A56" s="45" t="s">
        <v>168</v>
      </c>
    </row>
    <row r="57" spans="1:1" x14ac:dyDescent="0.25">
      <c r="A57" s="55" t="s">
        <v>169</v>
      </c>
    </row>
    <row r="58" spans="1:1" x14ac:dyDescent="0.25">
      <c r="A58" s="45" t="s">
        <v>170</v>
      </c>
    </row>
    <row r="59" spans="1:1" x14ac:dyDescent="0.25">
      <c r="A59" s="19" t="s">
        <v>171</v>
      </c>
    </row>
    <row r="60" spans="1:1" x14ac:dyDescent="0.25">
      <c r="A60" s="20" t="s">
        <v>172</v>
      </c>
    </row>
    <row r="61" spans="1:1" x14ac:dyDescent="0.25">
      <c r="A61" s="45" t="s">
        <v>173</v>
      </c>
    </row>
    <row r="62" spans="1:1" x14ac:dyDescent="0.25">
      <c r="A62" s="45" t="s">
        <v>174</v>
      </c>
    </row>
    <row r="63" spans="1:1" x14ac:dyDescent="0.25">
      <c r="A63" s="20" t="s">
        <v>175</v>
      </c>
    </row>
    <row r="64" spans="1:1" x14ac:dyDescent="0.25">
      <c r="A64" s="53" t="s">
        <v>176</v>
      </c>
    </row>
    <row r="65" spans="1:1" x14ac:dyDescent="0.25">
      <c r="A65" s="46" t="s">
        <v>177</v>
      </c>
    </row>
    <row r="66" spans="1:1" x14ac:dyDescent="0.25">
      <c r="A66" s="52" t="s">
        <v>178</v>
      </c>
    </row>
    <row r="67" spans="1:1" x14ac:dyDescent="0.25">
      <c r="A67" s="52" t="s">
        <v>179</v>
      </c>
    </row>
    <row r="68" spans="1:1" x14ac:dyDescent="0.25">
      <c r="A68" s="52" t="s">
        <v>180</v>
      </c>
    </row>
    <row r="69" spans="1:1" x14ac:dyDescent="0.25">
      <c r="A69" s="52" t="s">
        <v>181</v>
      </c>
    </row>
    <row r="70" spans="1:1" x14ac:dyDescent="0.25">
      <c r="A70" s="52" t="s">
        <v>182</v>
      </c>
    </row>
    <row r="71" spans="1:1" x14ac:dyDescent="0.25">
      <c r="A71" s="19" t="s">
        <v>6</v>
      </c>
    </row>
    <row r="72" spans="1:1" x14ac:dyDescent="0.25">
      <c r="A72" s="56" t="s">
        <v>183</v>
      </c>
    </row>
    <row r="73" spans="1:1" ht="30" x14ac:dyDescent="0.25">
      <c r="A73" s="56" t="s">
        <v>184</v>
      </c>
    </row>
    <row r="74" spans="1:1" x14ac:dyDescent="0.25">
      <c r="A74" s="56" t="s">
        <v>185</v>
      </c>
    </row>
    <row r="75" spans="1:1" x14ac:dyDescent="0.25">
      <c r="A75" s="56" t="s">
        <v>186</v>
      </c>
    </row>
    <row r="76" spans="1:1" x14ac:dyDescent="0.25">
      <c r="A76" s="56" t="s">
        <v>187</v>
      </c>
    </row>
    <row r="77" spans="1:1" x14ac:dyDescent="0.25">
      <c r="A77" s="19" t="s">
        <v>188</v>
      </c>
    </row>
    <row r="78" spans="1:1" x14ac:dyDescent="0.25">
      <c r="A78" s="20" t="s">
        <v>189</v>
      </c>
    </row>
    <row r="79" spans="1:1" ht="30" x14ac:dyDescent="0.25">
      <c r="A79" s="20" t="s">
        <v>190</v>
      </c>
    </row>
    <row r="80" spans="1:1" x14ac:dyDescent="0.25">
      <c r="A80" s="16" t="s">
        <v>191</v>
      </c>
    </row>
    <row r="81" spans="1:1" x14ac:dyDescent="0.25">
      <c r="A81" s="53" t="s">
        <v>192</v>
      </c>
    </row>
    <row r="82" spans="1:1" x14ac:dyDescent="0.25">
      <c r="A82" s="52" t="s">
        <v>193</v>
      </c>
    </row>
    <row r="83" spans="1:1" x14ac:dyDescent="0.25">
      <c r="A83" s="52" t="s">
        <v>195</v>
      </c>
    </row>
    <row r="84" spans="1:1" x14ac:dyDescent="0.25">
      <c r="A84" s="20" t="s">
        <v>194</v>
      </c>
    </row>
    <row r="85" spans="1:1" x14ac:dyDescent="0.25">
      <c r="A85" s="20" t="s">
        <v>205</v>
      </c>
    </row>
    <row r="86" spans="1:1" x14ac:dyDescent="0.25">
      <c r="A86" s="20" t="s">
        <v>207</v>
      </c>
    </row>
    <row r="87" spans="1:1" x14ac:dyDescent="0.25">
      <c r="A87" s="20" t="s">
        <v>196</v>
      </c>
    </row>
    <row r="88" spans="1:1" x14ac:dyDescent="0.25">
      <c r="A88" s="53" t="s">
        <v>197</v>
      </c>
    </row>
    <row r="89" spans="1:1" x14ac:dyDescent="0.25">
      <c r="A89" s="54" t="s">
        <v>208</v>
      </c>
    </row>
    <row r="90" spans="1:1" x14ac:dyDescent="0.25">
      <c r="A90" s="54" t="s">
        <v>198</v>
      </c>
    </row>
    <row r="91" spans="1:1" x14ac:dyDescent="0.25">
      <c r="A91" s="19" t="s">
        <v>206</v>
      </c>
    </row>
    <row r="92" spans="1:1" x14ac:dyDescent="0.25">
      <c r="A92" s="56" t="s">
        <v>199</v>
      </c>
    </row>
    <row r="93" spans="1:1" x14ac:dyDescent="0.25">
      <c r="A93" s="85" t="s">
        <v>200</v>
      </c>
    </row>
    <row r="94" spans="1:1" x14ac:dyDescent="0.25">
      <c r="A94" s="20" t="s">
        <v>209</v>
      </c>
    </row>
    <row r="95" spans="1:1" x14ac:dyDescent="0.25">
      <c r="A95" s="20" t="s">
        <v>211</v>
      </c>
    </row>
    <row r="96" spans="1:1" x14ac:dyDescent="0.25">
      <c r="A96" s="20" t="s">
        <v>820</v>
      </c>
    </row>
    <row r="97" spans="1:1" x14ac:dyDescent="0.25">
      <c r="A97" s="85" t="s">
        <v>201</v>
      </c>
    </row>
    <row r="98" spans="1:1" x14ac:dyDescent="0.25">
      <c r="A98" s="20" t="s">
        <v>210</v>
      </c>
    </row>
    <row r="99" spans="1:1" x14ac:dyDescent="0.25">
      <c r="A99" s="20" t="s">
        <v>212</v>
      </c>
    </row>
    <row r="100" spans="1:1" x14ac:dyDescent="0.25">
      <c r="A100" s="45" t="s">
        <v>202</v>
      </c>
    </row>
    <row r="101" spans="1:1" x14ac:dyDescent="0.25">
      <c r="A101" s="20" t="s">
        <v>203</v>
      </c>
    </row>
    <row r="102" spans="1:1" x14ac:dyDescent="0.25">
      <c r="A102" s="45" t="s">
        <v>213</v>
      </c>
    </row>
    <row r="103" spans="1:1" x14ac:dyDescent="0.25">
      <c r="A103" s="44" t="s">
        <v>678</v>
      </c>
    </row>
    <row r="104" spans="1:1" x14ac:dyDescent="0.25">
      <c r="A104" s="58" t="s">
        <v>679</v>
      </c>
    </row>
    <row r="105" spans="1:1" x14ac:dyDescent="0.25">
      <c r="A105" s="46" t="s">
        <v>680</v>
      </c>
    </row>
    <row r="106" spans="1:1" x14ac:dyDescent="0.25">
      <c r="A106" s="58" t="s">
        <v>681</v>
      </c>
    </row>
    <row r="107" spans="1:1" x14ac:dyDescent="0.25">
      <c r="A107" s="46" t="s">
        <v>682</v>
      </c>
    </row>
    <row r="108" spans="1:1" ht="30" x14ac:dyDescent="0.25">
      <c r="A108" s="46" t="s">
        <v>683</v>
      </c>
    </row>
    <row r="109" spans="1:1" x14ac:dyDescent="0.25">
      <c r="A109" s="16" t="s">
        <v>684</v>
      </c>
    </row>
    <row r="110" spans="1:1" x14ac:dyDescent="0.25">
      <c r="A110" s="53" t="s">
        <v>685</v>
      </c>
    </row>
    <row r="111" spans="1:1" x14ac:dyDescent="0.25">
      <c r="A111" s="19" t="s">
        <v>686</v>
      </c>
    </row>
    <row r="112" spans="1:1" x14ac:dyDescent="0.25">
      <c r="A112" s="19" t="s">
        <v>687</v>
      </c>
    </row>
    <row r="113" spans="1:1" x14ac:dyDescent="0.25">
      <c r="A113" s="19" t="s">
        <v>688</v>
      </c>
    </row>
    <row r="114" spans="1:1" x14ac:dyDescent="0.25">
      <c r="A114" s="19" t="s">
        <v>689</v>
      </c>
    </row>
    <row r="115" spans="1:1" x14ac:dyDescent="0.25">
      <c r="A115" s="53" t="s">
        <v>730</v>
      </c>
    </row>
    <row r="116" spans="1:1" x14ac:dyDescent="0.25">
      <c r="A116" s="86" t="s">
        <v>690</v>
      </c>
    </row>
    <row r="117" spans="1:1" x14ac:dyDescent="0.25">
      <c r="A117" s="20" t="s">
        <v>691</v>
      </c>
    </row>
    <row r="118" spans="1:1" x14ac:dyDescent="0.25">
      <c r="A118" s="20" t="s">
        <v>692</v>
      </c>
    </row>
    <row r="119" spans="1:1" x14ac:dyDescent="0.25">
      <c r="A119" s="20" t="s">
        <v>693</v>
      </c>
    </row>
    <row r="120" spans="1:1" x14ac:dyDescent="0.25">
      <c r="A120" s="20" t="s">
        <v>694</v>
      </c>
    </row>
    <row r="121" spans="1:1" x14ac:dyDescent="0.25">
      <c r="A121" s="20" t="s">
        <v>695</v>
      </c>
    </row>
    <row r="122" spans="1:1" x14ac:dyDescent="0.25">
      <c r="A122" s="86" t="s">
        <v>696</v>
      </c>
    </row>
    <row r="123" spans="1:1" x14ac:dyDescent="0.25">
      <c r="A123" s="20" t="s">
        <v>697</v>
      </c>
    </row>
    <row r="124" spans="1:1" x14ac:dyDescent="0.25">
      <c r="A124" s="20" t="s">
        <v>698</v>
      </c>
    </row>
    <row r="125" spans="1:1" x14ac:dyDescent="0.25">
      <c r="A125" s="20" t="s">
        <v>699</v>
      </c>
    </row>
    <row r="126" spans="1:1" x14ac:dyDescent="0.25">
      <c r="A126" s="20" t="s">
        <v>700</v>
      </c>
    </row>
    <row r="127" spans="1:1" x14ac:dyDescent="0.25">
      <c r="A127" s="20" t="s">
        <v>701</v>
      </c>
    </row>
    <row r="128" spans="1:1" x14ac:dyDescent="0.25">
      <c r="A128" s="86" t="s">
        <v>702</v>
      </c>
    </row>
    <row r="129" spans="1:1" x14ac:dyDescent="0.25">
      <c r="A129" s="20" t="s">
        <v>703</v>
      </c>
    </row>
    <row r="130" spans="1:1" x14ac:dyDescent="0.25">
      <c r="A130" s="20" t="s">
        <v>704</v>
      </c>
    </row>
    <row r="131" spans="1:1" x14ac:dyDescent="0.25">
      <c r="A131" s="20" t="s">
        <v>705</v>
      </c>
    </row>
    <row r="132" spans="1:1" x14ac:dyDescent="0.25">
      <c r="A132" s="16" t="s">
        <v>706</v>
      </c>
    </row>
    <row r="133" spans="1:1" x14ac:dyDescent="0.25">
      <c r="A133" s="53" t="s">
        <v>707</v>
      </c>
    </row>
    <row r="134" spans="1:1" x14ac:dyDescent="0.25">
      <c r="A134" s="52" t="s">
        <v>708</v>
      </c>
    </row>
    <row r="135" spans="1:1" x14ac:dyDescent="0.25">
      <c r="A135" s="52" t="s">
        <v>709</v>
      </c>
    </row>
    <row r="136" spans="1:1" x14ac:dyDescent="0.25">
      <c r="A136" s="20" t="s">
        <v>6</v>
      </c>
    </row>
    <row r="137" spans="1:1" x14ac:dyDescent="0.25">
      <c r="A137" s="57" t="s">
        <v>710</v>
      </c>
    </row>
    <row r="138" spans="1:1" ht="30" x14ac:dyDescent="0.25">
      <c r="A138" s="57" t="s">
        <v>711</v>
      </c>
    </row>
    <row r="139" spans="1:1" x14ac:dyDescent="0.25">
      <c r="A139" s="57" t="s">
        <v>712</v>
      </c>
    </row>
    <row r="140" spans="1:1" x14ac:dyDescent="0.25">
      <c r="A140" s="53" t="s">
        <v>713</v>
      </c>
    </row>
    <row r="141" spans="1:1" x14ac:dyDescent="0.25">
      <c r="A141" s="52" t="s">
        <v>731</v>
      </c>
    </row>
    <row r="142" spans="1:1" ht="30" x14ac:dyDescent="0.25">
      <c r="A142" s="52" t="s">
        <v>732</v>
      </c>
    </row>
    <row r="143" spans="1:1" x14ac:dyDescent="0.25">
      <c r="A143" s="20" t="s">
        <v>6</v>
      </c>
    </row>
    <row r="144" spans="1:1" x14ac:dyDescent="0.25">
      <c r="A144" s="57" t="s">
        <v>714</v>
      </c>
    </row>
    <row r="145" spans="1:1" x14ac:dyDescent="0.25">
      <c r="A145" s="57" t="s">
        <v>715</v>
      </c>
    </row>
    <row r="146" spans="1:1" x14ac:dyDescent="0.25">
      <c r="A146" s="57" t="s">
        <v>716</v>
      </c>
    </row>
    <row r="147" spans="1:1" x14ac:dyDescent="0.25">
      <c r="A147" s="16" t="s">
        <v>717</v>
      </c>
    </row>
    <row r="148" spans="1:1" x14ac:dyDescent="0.25">
      <c r="A148" s="19" t="s">
        <v>718</v>
      </c>
    </row>
    <row r="149" spans="1:1" x14ac:dyDescent="0.25">
      <c r="A149" s="16" t="s">
        <v>719</v>
      </c>
    </row>
    <row r="150" spans="1:1" x14ac:dyDescent="0.25">
      <c r="A150" s="19" t="s">
        <v>720</v>
      </c>
    </row>
    <row r="151" spans="1:1" x14ac:dyDescent="0.25">
      <c r="A151" s="19" t="s">
        <v>721</v>
      </c>
    </row>
    <row r="152" spans="1:1" x14ac:dyDescent="0.25">
      <c r="A152" s="19" t="s">
        <v>722</v>
      </c>
    </row>
    <row r="153" spans="1:1" x14ac:dyDescent="0.25">
      <c r="A153" s="19" t="s">
        <v>723</v>
      </c>
    </row>
    <row r="154" spans="1:1" x14ac:dyDescent="0.25">
      <c r="A154" s="19" t="s">
        <v>724</v>
      </c>
    </row>
    <row r="155" spans="1:1" x14ac:dyDescent="0.25">
      <c r="A155" s="19" t="s">
        <v>725</v>
      </c>
    </row>
    <row r="156" spans="1:1" x14ac:dyDescent="0.25">
      <c r="A156" s="16" t="s">
        <v>726</v>
      </c>
    </row>
    <row r="157" spans="1:1" x14ac:dyDescent="0.25">
      <c r="A157" s="19" t="s">
        <v>727</v>
      </c>
    </row>
    <row r="158" spans="1:1" x14ac:dyDescent="0.25">
      <c r="A158" s="19" t="s">
        <v>728</v>
      </c>
    </row>
    <row r="159" spans="1:1" x14ac:dyDescent="0.25">
      <c r="A159" s="19" t="s">
        <v>729</v>
      </c>
    </row>
  </sheetData>
  <hyperlinks>
    <hyperlink ref="A117" r:id="rId1" display="http://finance.yahoo.com/market-overview/" xr:uid="{00000000-0004-0000-0800-000000000000}"/>
    <hyperlink ref="A118" r:id="rId2" display="http://bigcharts.com/historical/default.asp" xr:uid="{00000000-0004-0000-0800-000001000000}"/>
    <hyperlink ref="A123" r:id="rId3" display="http://nces.ed.gov/" xr:uid="{00000000-0004-0000-0800-000002000000}"/>
    <hyperlink ref="A124" r:id="rId4" display="http://www.bea.gov/" xr:uid="{00000000-0004-0000-0800-000003000000}"/>
    <hyperlink ref="A125" r:id="rId5" display="http://www.ncdc.noaa.gov/" xr:uid="{00000000-0004-0000-0800-000004000000}"/>
    <hyperlink ref="A126" r:id="rId6" display="http://www.census.gov/data.html" xr:uid="{00000000-0004-0000-0800-000005000000}"/>
    <hyperlink ref="A127" r:id="rId7" display="http://www.bls.gov/data/" xr:uid="{00000000-0004-0000-0800-000006000000}"/>
  </hyperlinks>
  <printOptions horizontalCentered="1"/>
  <pageMargins left="0.7" right="0.7" top="0.75" bottom="0.75" header="0.3" footer="0.3"/>
  <pageSetup scale="72" orientation="portrait" r:id="rId8"/>
  <headerFooter>
    <oddFooter>&amp;L&amp;D&amp;CPage &amp;P of &amp;N&amp;R&amp;F</oddFooter>
  </headerFooter>
  <rowBreaks count="3" manualBreakCount="3">
    <brk id="20" max="16383" man="1"/>
    <brk id="79" max="16383" man="1"/>
    <brk id="131"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00FF"/>
  </sheetPr>
  <dimension ref="A1:I14"/>
  <sheetViews>
    <sheetView zoomScale="130" zoomScaleNormal="130" workbookViewId="0"/>
  </sheetViews>
  <sheetFormatPr defaultRowHeight="15" x14ac:dyDescent="0.25"/>
  <cols>
    <col min="3" max="3" width="8.7109375" bestFit="1" customWidth="1"/>
    <col min="4" max="4" width="9.85546875" customWidth="1"/>
    <col min="5" max="5" width="16.5703125" customWidth="1"/>
    <col min="6" max="6" width="13.5703125" customWidth="1"/>
    <col min="7" max="7" width="13" customWidth="1"/>
    <col min="8" max="8" width="13.42578125" customWidth="1"/>
    <col min="9" max="9" width="14.42578125" customWidth="1"/>
  </cols>
  <sheetData>
    <row r="1" spans="1:9" s="17" customFormat="1" x14ac:dyDescent="0.25">
      <c r="B1" s="110" t="s">
        <v>821</v>
      </c>
      <c r="C1" s="112"/>
      <c r="D1" s="112"/>
      <c r="E1" s="111"/>
      <c r="F1" s="113" t="s">
        <v>823</v>
      </c>
      <c r="G1" s="114"/>
      <c r="H1" s="114"/>
      <c r="I1" s="115"/>
    </row>
    <row r="2" spans="1:9" x14ac:dyDescent="0.25">
      <c r="A2" s="17"/>
      <c r="B2" s="72" t="s">
        <v>139</v>
      </c>
      <c r="C2" s="73"/>
      <c r="D2" s="74" t="s">
        <v>147</v>
      </c>
      <c r="E2" s="75"/>
      <c r="F2" s="72" t="s">
        <v>160</v>
      </c>
      <c r="G2" s="73"/>
      <c r="H2" s="74" t="s">
        <v>176</v>
      </c>
      <c r="I2" s="75"/>
    </row>
    <row r="3" spans="1:9" ht="45" x14ac:dyDescent="0.25">
      <c r="A3" s="9" t="s">
        <v>221</v>
      </c>
      <c r="B3" s="76" t="s">
        <v>652</v>
      </c>
      <c r="C3" s="76" t="s">
        <v>653</v>
      </c>
      <c r="D3" s="5" t="s">
        <v>654</v>
      </c>
      <c r="E3" s="5" t="s">
        <v>655</v>
      </c>
      <c r="F3" s="5" t="s">
        <v>656</v>
      </c>
      <c r="G3" s="5" t="s">
        <v>657</v>
      </c>
      <c r="H3" s="5" t="s">
        <v>658</v>
      </c>
      <c r="I3" s="5" t="s">
        <v>659</v>
      </c>
    </row>
    <row r="4" spans="1:9" x14ac:dyDescent="0.25">
      <c r="A4" s="77" t="s">
        <v>240</v>
      </c>
      <c r="B4" s="9" t="s">
        <v>236</v>
      </c>
      <c r="C4" s="68" t="s">
        <v>660</v>
      </c>
      <c r="D4" s="9">
        <v>12</v>
      </c>
      <c r="E4" s="68" t="s">
        <v>661</v>
      </c>
      <c r="F4" s="41">
        <v>98.2</v>
      </c>
      <c r="G4" s="9">
        <v>1509</v>
      </c>
      <c r="H4" s="9">
        <v>81</v>
      </c>
      <c r="I4" s="67">
        <v>6232</v>
      </c>
    </row>
    <row r="5" spans="1:9" x14ac:dyDescent="0.25">
      <c r="A5" s="77" t="s">
        <v>662</v>
      </c>
      <c r="B5" s="9" t="s">
        <v>247</v>
      </c>
      <c r="C5" s="68" t="s">
        <v>663</v>
      </c>
      <c r="D5" s="9">
        <v>10</v>
      </c>
      <c r="E5" s="68" t="s">
        <v>243</v>
      </c>
      <c r="F5" s="41">
        <v>99</v>
      </c>
      <c r="G5" s="9">
        <v>1777</v>
      </c>
      <c r="H5" s="9">
        <v>87</v>
      </c>
      <c r="I5" s="67">
        <v>5553</v>
      </c>
    </row>
    <row r="6" spans="1:9" x14ac:dyDescent="0.25">
      <c r="A6" s="77" t="s">
        <v>245</v>
      </c>
      <c r="B6" s="9" t="s">
        <v>236</v>
      </c>
      <c r="C6" s="68" t="s">
        <v>664</v>
      </c>
      <c r="D6" s="9">
        <v>16</v>
      </c>
      <c r="E6" s="68" t="s">
        <v>661</v>
      </c>
      <c r="F6" s="41">
        <v>98.7</v>
      </c>
      <c r="G6" s="9">
        <v>1681</v>
      </c>
      <c r="H6" s="9">
        <v>84</v>
      </c>
      <c r="I6" s="67">
        <v>3131</v>
      </c>
    </row>
    <row r="7" spans="1:9" x14ac:dyDescent="0.25">
      <c r="A7" s="17"/>
      <c r="B7" s="17"/>
      <c r="C7" s="17"/>
      <c r="D7" s="17"/>
      <c r="E7" s="17"/>
      <c r="F7" s="17"/>
      <c r="G7" s="17"/>
      <c r="H7" s="17"/>
      <c r="I7" s="17"/>
    </row>
    <row r="8" spans="1:9" ht="15.75" thickBot="1" x14ac:dyDescent="0.3">
      <c r="A8" s="17"/>
      <c r="B8" s="91" t="s">
        <v>821</v>
      </c>
      <c r="C8" s="92"/>
      <c r="D8" s="92"/>
      <c r="E8" s="93"/>
      <c r="F8" s="105" t="s">
        <v>823</v>
      </c>
      <c r="G8" s="106"/>
      <c r="H8" s="106"/>
      <c r="I8" s="107"/>
    </row>
    <row r="9" spans="1:9" x14ac:dyDescent="0.25">
      <c r="A9" s="17"/>
      <c r="B9" s="104" t="s">
        <v>665</v>
      </c>
      <c r="C9" s="81"/>
      <c r="D9" s="104" t="s">
        <v>666</v>
      </c>
      <c r="E9" s="81"/>
      <c r="F9" s="78" t="s">
        <v>667</v>
      </c>
      <c r="G9" s="79"/>
      <c r="H9" s="78" t="s">
        <v>668</v>
      </c>
      <c r="I9" s="79"/>
    </row>
    <row r="10" spans="1:9" x14ac:dyDescent="0.25">
      <c r="A10" s="17"/>
      <c r="B10" s="80" t="s">
        <v>25</v>
      </c>
      <c r="C10" s="81"/>
      <c r="D10" s="80" t="s">
        <v>25</v>
      </c>
      <c r="E10" s="81"/>
      <c r="F10" s="80" t="s">
        <v>670</v>
      </c>
      <c r="G10" s="81"/>
      <c r="H10" s="80" t="s">
        <v>670</v>
      </c>
      <c r="I10" s="81"/>
    </row>
    <row r="11" spans="1:9" x14ac:dyDescent="0.25">
      <c r="A11" s="17"/>
      <c r="B11" s="80" t="s">
        <v>669</v>
      </c>
      <c r="C11" s="81"/>
      <c r="D11" s="80" t="s">
        <v>670</v>
      </c>
      <c r="E11" s="81"/>
      <c r="F11" s="80" t="s">
        <v>672</v>
      </c>
      <c r="G11" s="81"/>
      <c r="H11" s="80" t="s">
        <v>672</v>
      </c>
      <c r="I11" s="81"/>
    </row>
    <row r="12" spans="1:9" x14ac:dyDescent="0.25">
      <c r="A12" s="17"/>
      <c r="B12" s="80"/>
      <c r="C12" s="81"/>
      <c r="D12" s="80" t="s">
        <v>671</v>
      </c>
      <c r="E12" s="81"/>
      <c r="F12" s="82" t="s">
        <v>673</v>
      </c>
      <c r="G12" s="81"/>
      <c r="H12" s="82" t="s">
        <v>673</v>
      </c>
      <c r="I12" s="81"/>
    </row>
    <row r="13" spans="1:9" x14ac:dyDescent="0.25">
      <c r="A13" s="17"/>
      <c r="B13" s="82"/>
      <c r="C13" s="81"/>
      <c r="D13" s="82" t="s">
        <v>673</v>
      </c>
      <c r="E13" s="81"/>
      <c r="F13" s="80" t="s">
        <v>674</v>
      </c>
      <c r="G13" s="81"/>
      <c r="H13" s="80" t="s">
        <v>675</v>
      </c>
      <c r="I13" s="81"/>
    </row>
    <row r="14" spans="1:9" ht="15.75" thickBot="1" x14ac:dyDescent="0.3">
      <c r="A14" s="17"/>
      <c r="B14" s="83"/>
      <c r="C14" s="84"/>
      <c r="D14" s="83"/>
      <c r="E14" s="84"/>
      <c r="F14" s="83" t="s">
        <v>676</v>
      </c>
      <c r="G14" s="84"/>
      <c r="H14" s="83" t="s">
        <v>677</v>
      </c>
      <c r="I14" s="8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00FF"/>
  </sheetPr>
  <dimension ref="A1:AM685"/>
  <sheetViews>
    <sheetView zoomScale="79" zoomScaleNormal="79" workbookViewId="0">
      <selection activeCell="A5" sqref="A5"/>
    </sheetView>
  </sheetViews>
  <sheetFormatPr defaultRowHeight="15" x14ac:dyDescent="0.25"/>
  <cols>
    <col min="1" max="1" width="10.7109375" style="17" bestFit="1" customWidth="1"/>
    <col min="2" max="2" width="12.140625" style="17" bestFit="1" customWidth="1"/>
    <col min="3" max="3" width="14.140625" style="17" customWidth="1"/>
    <col min="4" max="4" width="9.140625" style="17"/>
    <col min="5" max="5" width="17.42578125" style="17" customWidth="1"/>
    <col min="6" max="6" width="23.42578125" style="17" customWidth="1"/>
    <col min="7" max="7" width="9.140625" style="17"/>
    <col min="8" max="8" width="13.5703125" style="17" customWidth="1"/>
    <col min="9" max="9" width="14.28515625" style="17" customWidth="1"/>
    <col min="10" max="10" width="14.85546875" style="17" customWidth="1"/>
    <col min="11" max="11" width="9.140625" style="17"/>
    <col min="12" max="12" width="13.5703125" style="17" bestFit="1" customWidth="1"/>
    <col min="13" max="13" width="9.5703125" style="17" customWidth="1"/>
    <col min="14" max="14" width="9.140625" style="17"/>
    <col min="15" max="15" width="9.7109375" style="17" bestFit="1" customWidth="1"/>
    <col min="16" max="17" width="9.140625" style="17"/>
    <col min="18" max="18" width="9.7109375" style="17" customWidth="1"/>
    <col min="19" max="19" width="10.7109375" style="17" customWidth="1"/>
    <col min="20" max="20" width="9.140625" style="17"/>
    <col min="21" max="21" width="15.42578125" style="17" customWidth="1"/>
    <col min="22" max="22" width="11.28515625" style="17" customWidth="1"/>
    <col min="23" max="25" width="9.140625" style="17"/>
    <col min="26" max="27" width="11.5703125" style="17" customWidth="1"/>
    <col min="28" max="28" width="9.140625" style="17"/>
    <col min="29" max="29" width="14.140625" style="17" bestFit="1" customWidth="1"/>
    <col min="30" max="30" width="12" style="17" customWidth="1"/>
    <col min="31" max="16384" width="9.140625" style="17"/>
  </cols>
  <sheetData>
    <row r="1" spans="1:39" ht="109.5" customHeight="1" x14ac:dyDescent="0.25">
      <c r="A1" s="59" t="s">
        <v>139</v>
      </c>
      <c r="B1" s="122" t="s">
        <v>214</v>
      </c>
      <c r="C1" s="123"/>
      <c r="D1" s="123"/>
      <c r="E1" s="123"/>
      <c r="F1" s="124"/>
      <c r="H1" s="59" t="s">
        <v>147</v>
      </c>
      <c r="I1" s="122" t="s">
        <v>215</v>
      </c>
      <c r="J1" s="123"/>
      <c r="K1" s="123"/>
      <c r="L1" s="123"/>
      <c r="M1" s="124"/>
      <c r="O1" s="59" t="s">
        <v>160</v>
      </c>
      <c r="P1" s="122" t="s">
        <v>216</v>
      </c>
      <c r="Q1" s="123"/>
      <c r="R1" s="123"/>
      <c r="S1" s="123"/>
      <c r="T1" s="123"/>
      <c r="U1" s="123"/>
      <c r="V1" s="124"/>
      <c r="X1" s="59" t="s">
        <v>176</v>
      </c>
      <c r="Y1" s="122" t="s">
        <v>217</v>
      </c>
      <c r="Z1" s="123"/>
      <c r="AA1" s="123"/>
      <c r="AB1" s="124"/>
      <c r="AJ1" s="17" t="s">
        <v>218</v>
      </c>
      <c r="AM1" s="17" t="s">
        <v>218</v>
      </c>
    </row>
    <row r="2" spans="1:39" ht="49.5" customHeight="1" x14ac:dyDescent="0.35">
      <c r="A2" s="125" t="s">
        <v>219</v>
      </c>
      <c r="B2" s="125"/>
      <c r="C2" s="125"/>
      <c r="D2" s="125"/>
      <c r="E2" s="125"/>
      <c r="F2" s="125"/>
      <c r="G2" s="125"/>
      <c r="H2" s="125"/>
      <c r="I2" s="125"/>
      <c r="J2" s="125"/>
      <c r="K2" s="125"/>
      <c r="L2" s="125"/>
      <c r="M2" s="125"/>
      <c r="O2" s="125" t="s">
        <v>220</v>
      </c>
      <c r="P2" s="125"/>
      <c r="Q2" s="125"/>
      <c r="R2" s="125"/>
      <c r="S2" s="125"/>
      <c r="T2" s="125"/>
      <c r="U2" s="125"/>
      <c r="V2" s="125"/>
      <c r="W2" s="125"/>
      <c r="X2" s="125"/>
      <c r="Y2" s="125"/>
      <c r="Z2" s="125"/>
      <c r="AA2" s="125"/>
      <c r="AB2" s="125"/>
      <c r="AJ2" s="17">
        <v>300</v>
      </c>
      <c r="AM2" s="17">
        <v>1000</v>
      </c>
    </row>
    <row r="3" spans="1:39" x14ac:dyDescent="0.25">
      <c r="D3"/>
      <c r="E3"/>
      <c r="F3"/>
      <c r="G3"/>
    </row>
    <row r="4" spans="1:39" ht="30" x14ac:dyDescent="0.25">
      <c r="A4" s="62" t="s">
        <v>221</v>
      </c>
      <c r="B4" s="62" t="s">
        <v>222</v>
      </c>
      <c r="C4" s="62" t="s">
        <v>822</v>
      </c>
      <c r="D4"/>
      <c r="E4"/>
      <c r="F4"/>
      <c r="G4"/>
      <c r="H4" s="62" t="s">
        <v>221</v>
      </c>
      <c r="I4" s="62" t="s">
        <v>224</v>
      </c>
      <c r="J4" s="62" t="s">
        <v>224</v>
      </c>
      <c r="L4" s="62" t="s">
        <v>224</v>
      </c>
      <c r="M4" s="63" t="s">
        <v>225</v>
      </c>
      <c r="O4" s="1" t="s">
        <v>226</v>
      </c>
      <c r="P4" s="1" t="s">
        <v>227</v>
      </c>
      <c r="R4" s="1" t="s">
        <v>221</v>
      </c>
      <c r="S4" s="1" t="s">
        <v>228</v>
      </c>
      <c r="U4" s="5" t="s">
        <v>25</v>
      </c>
      <c r="V4" s="5" t="s">
        <v>225</v>
      </c>
      <c r="X4" s="64" t="s">
        <v>229</v>
      </c>
      <c r="Z4" s="5" t="s">
        <v>230</v>
      </c>
      <c r="AA4" s="5" t="s">
        <v>231</v>
      </c>
      <c r="AC4" s="5" t="s">
        <v>25</v>
      </c>
      <c r="AD4" s="5" t="s">
        <v>225</v>
      </c>
      <c r="AI4" s="17" t="s">
        <v>232</v>
      </c>
      <c r="AJ4" s="17" t="s">
        <v>233</v>
      </c>
      <c r="AL4" s="17" t="s">
        <v>232</v>
      </c>
      <c r="AM4" s="17" t="s">
        <v>233</v>
      </c>
    </row>
    <row r="5" spans="1:39" x14ac:dyDescent="0.25">
      <c r="A5" s="9" t="s">
        <v>234</v>
      </c>
      <c r="B5" s="9" t="s">
        <v>235</v>
      </c>
      <c r="C5" s="9">
        <f>VLOOKUP(B5,{"iPhone",1;"Motorola",2;"Nokia",3;"Samsung",4;"Sony Erickson",5;"Sprint",6},2,0)</f>
        <v>2</v>
      </c>
      <c r="D5"/>
      <c r="E5"/>
      <c r="F5"/>
      <c r="G5"/>
      <c r="H5" s="9" t="s">
        <v>234</v>
      </c>
      <c r="I5" s="9" t="s">
        <v>237</v>
      </c>
      <c r="J5" s="9">
        <f>VLOOKUP(I5,{"Excellent",4;"Poor",1;"Good",3;"OK",2},2,0)</f>
        <v>2</v>
      </c>
      <c r="L5" s="9" t="s">
        <v>238</v>
      </c>
      <c r="M5" s="66"/>
      <c r="O5" s="9">
        <v>220</v>
      </c>
      <c r="P5" s="9">
        <f t="shared" ref="P5:P68" si="0">CONVERT(O5,"F","C")</f>
        <v>104.44444444444444</v>
      </c>
      <c r="R5" s="9" t="s">
        <v>239</v>
      </c>
      <c r="S5" s="9">
        <v>1501</v>
      </c>
      <c r="U5" s="9" t="str">
        <f t="shared" ref="U5:U10" si="1">AI5&amp;" up tp "&amp;AJ5</f>
        <v>600 up tp 900</v>
      </c>
      <c r="V5" s="66">
        <f t="shared" ref="V5:V10" si="2">COUNTIFS($S$5:$S$17,"&gt;="&amp;AI5,$S$5:$S$17,"&lt;"&amp;AJ5)</f>
        <v>0</v>
      </c>
      <c r="X5" s="9">
        <f>CONVERT(O5,"F","K")</f>
        <v>377.59444444444443</v>
      </c>
      <c r="Z5" s="9" t="s">
        <v>240</v>
      </c>
      <c r="AA5" s="67">
        <v>0</v>
      </c>
      <c r="AC5" s="9" t="str">
        <f>AL5&amp;" up tp "&amp;AM5</f>
        <v>0 up tp 1000</v>
      </c>
      <c r="AD5" s="66">
        <f>COUNTIFS($AA$5:$AA$14,"&gt;="&amp;AL5,$AA$5:$AA$14,"&lt;"&amp;AM5)</f>
        <v>5</v>
      </c>
      <c r="AI5" s="17">
        <v>600</v>
      </c>
      <c r="AJ5" s="17">
        <f t="shared" ref="AJ5:AJ10" si="3">AI5+$AJ$2</f>
        <v>900</v>
      </c>
      <c r="AL5" s="17">
        <v>0</v>
      </c>
      <c r="AM5" s="17">
        <f>AL5+$AM$2</f>
        <v>1000</v>
      </c>
    </row>
    <row r="6" spans="1:39" x14ac:dyDescent="0.25">
      <c r="A6" s="9" t="s">
        <v>241</v>
      </c>
      <c r="B6" s="9" t="s">
        <v>235</v>
      </c>
      <c r="C6" s="9">
        <f>VLOOKUP(B6,{"iPhone",1;"Motorola",2;"Nokia",3;"Samsung",4;"Sony Erickson",5;"Sprint",6},2,0)</f>
        <v>2</v>
      </c>
      <c r="D6"/>
      <c r="E6"/>
      <c r="F6"/>
      <c r="G6"/>
      <c r="H6" s="9" t="s">
        <v>241</v>
      </c>
      <c r="I6" s="9" t="s">
        <v>242</v>
      </c>
      <c r="J6" s="9">
        <f>VLOOKUP(I6,{"Excellent",4;"Poor",1;"Good",3;"OK",2},2,0)</f>
        <v>1</v>
      </c>
      <c r="L6" s="9" t="s">
        <v>243</v>
      </c>
      <c r="M6" s="66"/>
      <c r="O6" s="9">
        <v>219</v>
      </c>
      <c r="P6" s="9">
        <f t="shared" si="0"/>
        <v>103.88888888888889</v>
      </c>
      <c r="R6" s="9" t="s">
        <v>244</v>
      </c>
      <c r="S6" s="9">
        <v>1499</v>
      </c>
      <c r="U6" s="9" t="str">
        <f t="shared" si="1"/>
        <v>900 up tp 1200</v>
      </c>
      <c r="V6" s="66">
        <f t="shared" si="2"/>
        <v>6</v>
      </c>
      <c r="X6" s="9">
        <f t="shared" ref="X6:X69" si="4">CONVERT(O6,"F","K")</f>
        <v>377.03888888888889</v>
      </c>
      <c r="Z6" s="9" t="s">
        <v>245</v>
      </c>
      <c r="AA6" s="67">
        <v>500</v>
      </c>
      <c r="AC6" s="9" t="str">
        <f t="shared" ref="AC6:AC10" si="5">AL6&amp;" up tp "&amp;AM6</f>
        <v>1000 up tp 2000</v>
      </c>
      <c r="AD6" s="66">
        <f t="shared" ref="AD6:AD10" si="6">COUNTIFS($AA$5:$AA$14,"&gt;="&amp;AL6,$AA$5:$AA$14,"&lt;"&amp;AM6)</f>
        <v>1</v>
      </c>
      <c r="AI6" s="17">
        <f>AJ5</f>
        <v>900</v>
      </c>
      <c r="AJ6" s="17">
        <f t="shared" si="3"/>
        <v>1200</v>
      </c>
      <c r="AL6" s="17">
        <f>AM5</f>
        <v>1000</v>
      </c>
      <c r="AM6" s="17">
        <f>AL6+$AM$2</f>
        <v>2000</v>
      </c>
    </row>
    <row r="7" spans="1:39" x14ac:dyDescent="0.25">
      <c r="A7" s="9" t="s">
        <v>246</v>
      </c>
      <c r="B7" s="9" t="s">
        <v>247</v>
      </c>
      <c r="C7" s="9">
        <f>VLOOKUP(B7,{"iPhone",1;"Motorola",2;"Nokia",3;"Samsung",4;"Sony Erickson",5;"Sprint",6},2,0)</f>
        <v>4</v>
      </c>
      <c r="D7"/>
      <c r="E7"/>
      <c r="F7"/>
      <c r="G7"/>
      <c r="H7" s="9" t="s">
        <v>246</v>
      </c>
      <c r="I7" s="9" t="s">
        <v>243</v>
      </c>
      <c r="J7" s="9">
        <f>VLOOKUP(I7,{"Excellent",4;"Poor",1;"Good",3;"OK",2},2,0)</f>
        <v>3</v>
      </c>
      <c r="L7" s="9" t="s">
        <v>237</v>
      </c>
      <c r="M7" s="66"/>
      <c r="O7" s="9">
        <v>218</v>
      </c>
      <c r="P7" s="9">
        <f t="shared" si="0"/>
        <v>103.33333333333333</v>
      </c>
      <c r="R7" s="9" t="s">
        <v>249</v>
      </c>
      <c r="S7" s="9">
        <v>1018</v>
      </c>
      <c r="U7" s="9" t="str">
        <f t="shared" si="1"/>
        <v>1200 up tp 1500</v>
      </c>
      <c r="V7" s="66">
        <f t="shared" si="2"/>
        <v>1</v>
      </c>
      <c r="X7" s="9">
        <f t="shared" si="4"/>
        <v>376.48333333333329</v>
      </c>
      <c r="Z7" s="9" t="s">
        <v>250</v>
      </c>
      <c r="AA7" s="67">
        <v>4589.7</v>
      </c>
      <c r="AC7" s="9" t="str">
        <f t="shared" si="5"/>
        <v>2000 up tp 3000</v>
      </c>
      <c r="AD7" s="66">
        <f t="shared" si="6"/>
        <v>1</v>
      </c>
      <c r="AI7" s="17">
        <f t="shared" ref="AI7:AI10" si="7">AJ6</f>
        <v>1200</v>
      </c>
      <c r="AJ7" s="17">
        <f t="shared" si="3"/>
        <v>1500</v>
      </c>
      <c r="AL7" s="17">
        <f t="shared" ref="AL7:AL10" si="8">AM6</f>
        <v>2000</v>
      </c>
      <c r="AM7" s="17">
        <f t="shared" ref="AM7:AM10" si="9">AL7+$AM$2</f>
        <v>3000</v>
      </c>
    </row>
    <row r="8" spans="1:39" x14ac:dyDescent="0.25">
      <c r="A8" s="9" t="s">
        <v>251</v>
      </c>
      <c r="B8" s="9" t="s">
        <v>248</v>
      </c>
      <c r="C8" s="9">
        <f>VLOOKUP(B8,{"iPhone",1;"Motorola",2;"Nokia",3;"Samsung",4;"Sony Erickson",5;"Sprint",6},2,0)</f>
        <v>3</v>
      </c>
      <c r="D8"/>
      <c r="E8"/>
      <c r="F8"/>
      <c r="G8"/>
      <c r="H8" s="9" t="s">
        <v>251</v>
      </c>
      <c r="I8" s="9" t="s">
        <v>243</v>
      </c>
      <c r="J8" s="9">
        <f>VLOOKUP(I8,{"Excellent",4;"Poor",1;"Good",3;"OK",2},2,0)</f>
        <v>3</v>
      </c>
      <c r="L8" s="9" t="s">
        <v>242</v>
      </c>
      <c r="M8" s="66"/>
      <c r="O8" s="9">
        <v>217</v>
      </c>
      <c r="P8" s="9">
        <f t="shared" si="0"/>
        <v>102.77777777777777</v>
      </c>
      <c r="R8" s="9" t="s">
        <v>252</v>
      </c>
      <c r="S8" s="9">
        <v>1718</v>
      </c>
      <c r="U8" s="9" t="str">
        <f t="shared" si="1"/>
        <v>1500 up tp 1800</v>
      </c>
      <c r="V8" s="66">
        <f t="shared" si="2"/>
        <v>3</v>
      </c>
      <c r="X8" s="9">
        <f t="shared" si="4"/>
        <v>375.92777777777775</v>
      </c>
      <c r="Z8" s="9" t="s">
        <v>240</v>
      </c>
      <c r="AA8" s="67">
        <v>25.25</v>
      </c>
      <c r="AC8" s="9" t="str">
        <f t="shared" si="5"/>
        <v>3000 up tp 4000</v>
      </c>
      <c r="AD8" s="66">
        <f t="shared" si="6"/>
        <v>0</v>
      </c>
      <c r="AI8" s="17">
        <f t="shared" si="7"/>
        <v>1500</v>
      </c>
      <c r="AJ8" s="17">
        <f t="shared" si="3"/>
        <v>1800</v>
      </c>
      <c r="AL8" s="17">
        <f t="shared" si="8"/>
        <v>3000</v>
      </c>
      <c r="AM8" s="17">
        <f t="shared" si="9"/>
        <v>4000</v>
      </c>
    </row>
    <row r="9" spans="1:39" x14ac:dyDescent="0.25">
      <c r="A9" s="9" t="s">
        <v>253</v>
      </c>
      <c r="B9" s="9" t="s">
        <v>235</v>
      </c>
      <c r="C9" s="9">
        <f>VLOOKUP(B9,{"iPhone",1;"Motorola",2;"Nokia",3;"Samsung",4;"Sony Erickson",5;"Sprint",6},2,0)</f>
        <v>2</v>
      </c>
      <c r="D9"/>
      <c r="E9"/>
      <c r="F9"/>
      <c r="G9"/>
      <c r="H9" s="9" t="s">
        <v>253</v>
      </c>
      <c r="I9" s="9" t="s">
        <v>237</v>
      </c>
      <c r="J9" s="9">
        <f>VLOOKUP(I9,{"Excellent",4;"Poor",1;"Good",3;"OK",2},2,0)</f>
        <v>2</v>
      </c>
      <c r="O9" s="9">
        <v>216</v>
      </c>
      <c r="P9" s="9">
        <f t="shared" si="0"/>
        <v>102.22222222222221</v>
      </c>
      <c r="R9" s="9" t="s">
        <v>255</v>
      </c>
      <c r="S9" s="9">
        <v>1953</v>
      </c>
      <c r="U9" s="9" t="str">
        <f t="shared" si="1"/>
        <v>1800 up tp 2100</v>
      </c>
      <c r="V9" s="66">
        <f t="shared" si="2"/>
        <v>2</v>
      </c>
      <c r="X9" s="9">
        <f t="shared" si="4"/>
        <v>375.37222222222221</v>
      </c>
      <c r="Z9" s="9" t="s">
        <v>256</v>
      </c>
      <c r="AA9" s="67">
        <v>158</v>
      </c>
      <c r="AC9" s="9" t="str">
        <f t="shared" si="5"/>
        <v>4000 up tp 5000</v>
      </c>
      <c r="AD9" s="66">
        <f t="shared" si="6"/>
        <v>2</v>
      </c>
      <c r="AI9" s="17">
        <f t="shared" si="7"/>
        <v>1800</v>
      </c>
      <c r="AJ9" s="17">
        <f t="shared" si="3"/>
        <v>2100</v>
      </c>
      <c r="AL9" s="17">
        <f t="shared" si="8"/>
        <v>4000</v>
      </c>
      <c r="AM9" s="17">
        <f t="shared" si="9"/>
        <v>5000</v>
      </c>
    </row>
    <row r="10" spans="1:39" ht="30" x14ac:dyDescent="0.25">
      <c r="A10" s="9" t="s">
        <v>257</v>
      </c>
      <c r="B10" s="9" t="s">
        <v>248</v>
      </c>
      <c r="C10" s="9">
        <f>VLOOKUP(B10,{"iPhone",1;"Motorola",2;"Nokia",3;"Samsung",4;"Sony Erickson",5;"Sprint",6},2,0)</f>
        <v>3</v>
      </c>
      <c r="D10"/>
      <c r="E10"/>
      <c r="F10"/>
      <c r="G10"/>
      <c r="H10" s="9" t="s">
        <v>257</v>
      </c>
      <c r="I10" s="9" t="s">
        <v>242</v>
      </c>
      <c r="J10" s="9">
        <f>VLOOKUP(I10,{"Excellent",4;"Poor",1;"Good",3;"OK",2},2,0)</f>
        <v>1</v>
      </c>
      <c r="L10" s="62" t="s">
        <v>224</v>
      </c>
      <c r="M10" s="63" t="s">
        <v>225</v>
      </c>
      <c r="O10" s="9">
        <v>215</v>
      </c>
      <c r="P10" s="9">
        <f t="shared" si="0"/>
        <v>101.66666666666666</v>
      </c>
      <c r="R10" s="9" t="s">
        <v>259</v>
      </c>
      <c r="S10" s="9">
        <v>904</v>
      </c>
      <c r="U10" s="9" t="str">
        <f t="shared" si="1"/>
        <v>2100 up tp 2400</v>
      </c>
      <c r="V10" s="66">
        <f t="shared" si="2"/>
        <v>1</v>
      </c>
      <c r="X10" s="9">
        <f t="shared" si="4"/>
        <v>374.81666666666661</v>
      </c>
      <c r="Z10" s="9" t="s">
        <v>260</v>
      </c>
      <c r="AA10" s="67">
        <v>4525.5</v>
      </c>
      <c r="AC10" s="9" t="str">
        <f t="shared" si="5"/>
        <v>5000 up tp 6000</v>
      </c>
      <c r="AD10" s="66">
        <f t="shared" si="6"/>
        <v>1</v>
      </c>
      <c r="AI10" s="17">
        <f t="shared" si="7"/>
        <v>2100</v>
      </c>
      <c r="AJ10" s="17">
        <f t="shared" si="3"/>
        <v>2400</v>
      </c>
      <c r="AL10" s="17">
        <f t="shared" si="8"/>
        <v>5000</v>
      </c>
      <c r="AM10" s="17">
        <f t="shared" si="9"/>
        <v>6000</v>
      </c>
    </row>
    <row r="11" spans="1:39" x14ac:dyDescent="0.25">
      <c r="A11" s="9" t="s">
        <v>261</v>
      </c>
      <c r="B11" s="9" t="s">
        <v>258</v>
      </c>
      <c r="C11" s="9">
        <f>VLOOKUP(B11,{"iPhone",1;"Motorola",2;"Nokia",3;"Samsung",4;"Sony Erickson",5;"Sprint",6},2,0)</f>
        <v>6</v>
      </c>
      <c r="D11"/>
      <c r="E11"/>
      <c r="F11"/>
      <c r="G11"/>
      <c r="H11" s="9" t="s">
        <v>261</v>
      </c>
      <c r="I11" s="9" t="s">
        <v>242</v>
      </c>
      <c r="J11" s="9">
        <f>VLOOKUP(I11,{"Excellent",4;"Poor",1;"Good",3;"OK",2},2,0)</f>
        <v>1</v>
      </c>
      <c r="L11" s="9">
        <v>4</v>
      </c>
      <c r="M11" s="66"/>
      <c r="O11" s="9">
        <v>214</v>
      </c>
      <c r="P11" s="9">
        <f t="shared" si="0"/>
        <v>101.11111111111111</v>
      </c>
      <c r="R11" s="9" t="s">
        <v>263</v>
      </c>
      <c r="S11" s="9">
        <v>1697</v>
      </c>
      <c r="X11" s="9">
        <f t="shared" si="4"/>
        <v>374.26111111111106</v>
      </c>
      <c r="Z11" s="9" t="s">
        <v>264</v>
      </c>
      <c r="AA11" s="67">
        <v>526.5</v>
      </c>
    </row>
    <row r="12" spans="1:39" x14ac:dyDescent="0.25">
      <c r="A12" s="9" t="s">
        <v>265</v>
      </c>
      <c r="B12" s="9" t="s">
        <v>236</v>
      </c>
      <c r="C12" s="9">
        <f>VLOOKUP(B12,{"iPhone",1;"Motorola",2;"Nokia",3;"Samsung",4;"Sony Erickson",5;"Sprint",6},2,0)</f>
        <v>1</v>
      </c>
      <c r="D12"/>
      <c r="E12"/>
      <c r="F12"/>
      <c r="G12"/>
      <c r="H12" s="9" t="s">
        <v>265</v>
      </c>
      <c r="I12" s="9" t="s">
        <v>237</v>
      </c>
      <c r="J12" s="9">
        <f>VLOOKUP(I12,{"Excellent",4;"Poor",1;"Good",3;"OK",2},2,0)</f>
        <v>2</v>
      </c>
      <c r="L12" s="9">
        <v>3</v>
      </c>
      <c r="M12" s="66"/>
      <c r="O12" s="9">
        <v>213</v>
      </c>
      <c r="P12" s="9">
        <f t="shared" si="0"/>
        <v>100.55555555555556</v>
      </c>
      <c r="R12" s="9" t="s">
        <v>266</v>
      </c>
      <c r="S12" s="9">
        <v>959</v>
      </c>
      <c r="U12" s="9" t="s">
        <v>267</v>
      </c>
      <c r="V12" s="66">
        <f>AVERAGE(S5:S17)</f>
        <v>1415.4615384615386</v>
      </c>
      <c r="X12" s="9">
        <f t="shared" si="4"/>
        <v>373.70555555555552</v>
      </c>
      <c r="Z12" s="68" t="s">
        <v>268</v>
      </c>
      <c r="AA12" s="69">
        <v>2258.1999999999998</v>
      </c>
      <c r="AC12" s="9" t="s">
        <v>267</v>
      </c>
      <c r="AD12" s="70">
        <f>AVERAGE(AA5:AA14)</f>
        <v>1931.05</v>
      </c>
    </row>
    <row r="13" spans="1:39" x14ac:dyDescent="0.25">
      <c r="A13" s="9" t="s">
        <v>269</v>
      </c>
      <c r="B13" s="9" t="s">
        <v>235</v>
      </c>
      <c r="C13" s="9">
        <f>VLOOKUP(B13,{"iPhone",1;"Motorola",2;"Nokia",3;"Samsung",4;"Sony Erickson",5;"Sprint",6},2,0)</f>
        <v>2</v>
      </c>
      <c r="D13"/>
      <c r="E13"/>
      <c r="F13"/>
      <c r="G13"/>
      <c r="H13" s="9" t="s">
        <v>269</v>
      </c>
      <c r="I13" s="9" t="s">
        <v>242</v>
      </c>
      <c r="J13" s="9">
        <f>VLOOKUP(I13,{"Excellent",4;"Poor",1;"Good",3;"OK",2},2,0)</f>
        <v>1</v>
      </c>
      <c r="L13" s="9">
        <v>2</v>
      </c>
      <c r="M13" s="66"/>
      <c r="O13" s="9">
        <v>212</v>
      </c>
      <c r="P13" s="9">
        <f t="shared" si="0"/>
        <v>100</v>
      </c>
      <c r="R13" s="9" t="s">
        <v>270</v>
      </c>
      <c r="S13" s="9">
        <v>960</v>
      </c>
      <c r="X13" s="9">
        <f t="shared" si="4"/>
        <v>373.15</v>
      </c>
      <c r="Z13" s="68" t="s">
        <v>271</v>
      </c>
      <c r="AA13" s="69">
        <f>AA12/2</f>
        <v>1129.0999999999999</v>
      </c>
    </row>
    <row r="14" spans="1:39" x14ac:dyDescent="0.25">
      <c r="A14" s="9" t="s">
        <v>272</v>
      </c>
      <c r="B14" s="9" t="s">
        <v>236</v>
      </c>
      <c r="C14" s="9">
        <f>VLOOKUP(B14,{"iPhone",1;"Motorola",2;"Nokia",3;"Samsung",4;"Sony Erickson",5;"Sprint",6},2,0)</f>
        <v>1</v>
      </c>
      <c r="D14"/>
      <c r="E14"/>
      <c r="F14"/>
      <c r="G14"/>
      <c r="H14" s="9" t="s">
        <v>272</v>
      </c>
      <c r="I14" s="9" t="s">
        <v>242</v>
      </c>
      <c r="J14" s="9">
        <f>VLOOKUP(I14,{"Excellent",4;"Poor",1;"Good",3;"OK",2},2,0)</f>
        <v>1</v>
      </c>
      <c r="L14" s="9">
        <v>1</v>
      </c>
      <c r="M14" s="66"/>
      <c r="O14" s="9">
        <v>211</v>
      </c>
      <c r="P14" s="9">
        <f t="shared" si="0"/>
        <v>99.444444444444443</v>
      </c>
      <c r="R14" s="9" t="s">
        <v>272</v>
      </c>
      <c r="S14" s="9">
        <v>1808</v>
      </c>
      <c r="U14" s="9" t="s">
        <v>259</v>
      </c>
      <c r="V14" s="9">
        <f t="shared" ref="V14:V15" si="10">VLOOKUP(U14,$R$5:$S$17,2,0)</f>
        <v>904</v>
      </c>
      <c r="X14" s="9">
        <f t="shared" si="4"/>
        <v>372.59444444444443</v>
      </c>
      <c r="Z14" s="68" t="s">
        <v>273</v>
      </c>
      <c r="AA14" s="69">
        <v>5598.25</v>
      </c>
      <c r="AC14" s="9" t="str">
        <f>Z13</f>
        <v>Phil</v>
      </c>
      <c r="AD14" s="9">
        <f>VLOOKUP(AC14,$Z$5:$AA$14,2,0)</f>
        <v>1129.0999999999999</v>
      </c>
    </row>
    <row r="15" spans="1:39" x14ac:dyDescent="0.25">
      <c r="A15" s="9" t="s">
        <v>274</v>
      </c>
      <c r="B15" s="9" t="s">
        <v>247</v>
      </c>
      <c r="C15" s="9">
        <f>VLOOKUP(B15,{"iPhone",1;"Motorola",2;"Nokia",3;"Samsung",4;"Sony Erickson",5;"Sprint",6},2,0)</f>
        <v>4</v>
      </c>
      <c r="D15"/>
      <c r="E15"/>
      <c r="F15"/>
      <c r="G15"/>
      <c r="H15" s="9" t="s">
        <v>274</v>
      </c>
      <c r="I15" s="9" t="s">
        <v>242</v>
      </c>
      <c r="J15" s="9">
        <f>VLOOKUP(I15,{"Excellent",4;"Poor",1;"Good",3;"OK",2},2,0)</f>
        <v>1</v>
      </c>
      <c r="O15" s="9">
        <v>210</v>
      </c>
      <c r="P15" s="9">
        <f t="shared" si="0"/>
        <v>98.888888888888886</v>
      </c>
      <c r="R15" s="9" t="s">
        <v>274</v>
      </c>
      <c r="S15" s="9">
        <v>2183</v>
      </c>
      <c r="U15" s="9" t="s">
        <v>272</v>
      </c>
      <c r="V15" s="9">
        <f t="shared" si="10"/>
        <v>1808</v>
      </c>
      <c r="X15" s="9">
        <f t="shared" si="4"/>
        <v>372.03888888888889</v>
      </c>
      <c r="AC15" s="9" t="str">
        <f>Z12</f>
        <v>Pham</v>
      </c>
      <c r="AD15" s="9">
        <f>VLOOKUP(AC15,$Z$5:$AA$14,2,0)</f>
        <v>2258.1999999999998</v>
      </c>
    </row>
    <row r="16" spans="1:39" x14ac:dyDescent="0.25">
      <c r="A16" s="9" t="s">
        <v>275</v>
      </c>
      <c r="B16" s="9" t="s">
        <v>235</v>
      </c>
      <c r="C16" s="9">
        <f>VLOOKUP(B16,{"iPhone",1;"Motorola",2;"Nokia",3;"Samsung",4;"Sony Erickson",5;"Sprint",6},2,0)</f>
        <v>2</v>
      </c>
      <c r="D16"/>
      <c r="E16"/>
      <c r="F16"/>
      <c r="G16"/>
      <c r="H16" s="9" t="s">
        <v>275</v>
      </c>
      <c r="I16" s="9" t="s">
        <v>237</v>
      </c>
      <c r="J16" s="9">
        <f>VLOOKUP(I16,{"Excellent",4;"Poor",1;"Good",3;"OK",2},2,0)</f>
        <v>2</v>
      </c>
      <c r="L16" s="9" t="s">
        <v>267</v>
      </c>
      <c r="M16" s="66"/>
      <c r="O16" s="9">
        <v>209</v>
      </c>
      <c r="P16" s="9">
        <f t="shared" si="0"/>
        <v>98.333333333333329</v>
      </c>
      <c r="R16" s="9" t="s">
        <v>275</v>
      </c>
      <c r="S16" s="9">
        <v>1124</v>
      </c>
      <c r="U16" s="68" t="s">
        <v>176</v>
      </c>
      <c r="V16" s="66"/>
      <c r="X16" s="9">
        <f t="shared" si="4"/>
        <v>371.48333333333329</v>
      </c>
      <c r="AC16" s="68" t="s">
        <v>176</v>
      </c>
      <c r="AD16" s="66"/>
    </row>
    <row r="17" spans="1:30" x14ac:dyDescent="0.25">
      <c r="A17" s="9" t="s">
        <v>276</v>
      </c>
      <c r="B17" s="9" t="s">
        <v>247</v>
      </c>
      <c r="C17" s="9">
        <f>VLOOKUP(B17,{"iPhone",1;"Motorola",2;"Nokia",3;"Samsung",4;"Sony Erickson",5;"Sprint",6},2,0)</f>
        <v>4</v>
      </c>
      <c r="D17"/>
      <c r="E17"/>
      <c r="F17"/>
      <c r="G17"/>
      <c r="H17" s="9" t="s">
        <v>276</v>
      </c>
      <c r="I17" s="9" t="s">
        <v>238</v>
      </c>
      <c r="J17" s="9">
        <f>VLOOKUP(I17,{"Excellent",4;"Poor",1;"Good",3;"OK",2},2,0)</f>
        <v>4</v>
      </c>
      <c r="O17" s="9">
        <v>208</v>
      </c>
      <c r="P17" s="9">
        <f t="shared" si="0"/>
        <v>97.777777777777771</v>
      </c>
      <c r="R17" s="9" t="s">
        <v>276</v>
      </c>
      <c r="S17" s="9">
        <v>1077</v>
      </c>
      <c r="U17" s="9" t="s">
        <v>277</v>
      </c>
      <c r="V17" s="71"/>
      <c r="X17" s="9">
        <f t="shared" si="4"/>
        <v>370.92777777777775</v>
      </c>
      <c r="AC17" s="9" t="s">
        <v>277</v>
      </c>
      <c r="AD17" s="71"/>
    </row>
    <row r="18" spans="1:30" x14ac:dyDescent="0.25">
      <c r="A18" s="9" t="s">
        <v>278</v>
      </c>
      <c r="B18" s="9" t="s">
        <v>236</v>
      </c>
      <c r="C18" s="9">
        <f>VLOOKUP(B18,{"iPhone",1;"Motorola",2;"Nokia",3;"Samsung",4;"Sony Erickson",5;"Sprint",6},2,0)</f>
        <v>1</v>
      </c>
      <c r="D18"/>
      <c r="E18"/>
      <c r="F18"/>
      <c r="G18"/>
      <c r="H18" s="9" t="s">
        <v>278</v>
      </c>
      <c r="I18" s="9" t="s">
        <v>238</v>
      </c>
      <c r="J18" s="9">
        <f>VLOOKUP(I18,{"Excellent",4;"Poor",1;"Good",3;"OK",2},2,0)</f>
        <v>4</v>
      </c>
      <c r="O18" s="9">
        <v>207</v>
      </c>
      <c r="P18" s="9">
        <f t="shared" si="0"/>
        <v>97.222222222222214</v>
      </c>
      <c r="U18" s="116" t="str">
        <f>V15&amp;"/"&amp;V14&amp;" does not tell us that "&amp;U15&amp;" did twice as good as "&amp;U14&amp;"."</f>
        <v>1808/904 does not tell us that Student 10 did twice as good as Student 6.</v>
      </c>
      <c r="V18" s="117"/>
      <c r="X18" s="9">
        <f t="shared" si="4"/>
        <v>370.37222222222221</v>
      </c>
      <c r="AC18" s="116" t="str">
        <f>AD15&amp;"/"&amp;AD14&amp;" tells us that "&amp;AC15&amp;" has twice as much as "&amp;AC14&amp;"."</f>
        <v>2258.2/1129.1 tells us that Pham has twice as much as Phil.</v>
      </c>
      <c r="AD18" s="117"/>
    </row>
    <row r="19" spans="1:30" x14ac:dyDescent="0.25">
      <c r="A19" s="9" t="s">
        <v>279</v>
      </c>
      <c r="B19" s="9" t="s">
        <v>248</v>
      </c>
      <c r="C19" s="9">
        <f>VLOOKUP(B19,{"iPhone",1;"Motorola",2;"Nokia",3;"Samsung",4;"Sony Erickson",5;"Sprint",6},2,0)</f>
        <v>3</v>
      </c>
      <c r="D19"/>
      <c r="E19"/>
      <c r="F19"/>
      <c r="G19"/>
      <c r="H19" s="9" t="s">
        <v>279</v>
      </c>
      <c r="I19" s="9" t="s">
        <v>242</v>
      </c>
      <c r="J19" s="9">
        <f>VLOOKUP(I19,{"Excellent",4;"Poor",1;"Good",3;"OK",2},2,0)</f>
        <v>1</v>
      </c>
      <c r="O19" s="9">
        <v>206</v>
      </c>
      <c r="P19" s="9">
        <f t="shared" si="0"/>
        <v>96.666666666666657</v>
      </c>
      <c r="U19" s="118"/>
      <c r="V19" s="119"/>
      <c r="X19" s="9">
        <f t="shared" si="4"/>
        <v>369.81666666666661</v>
      </c>
      <c r="AC19" s="118"/>
      <c r="AD19" s="119"/>
    </row>
    <row r="20" spans="1:30" x14ac:dyDescent="0.25">
      <c r="A20" s="9" t="s">
        <v>280</v>
      </c>
      <c r="B20" s="9" t="s">
        <v>248</v>
      </c>
      <c r="C20" s="9">
        <f>VLOOKUP(B20,{"iPhone",1;"Motorola",2;"Nokia",3;"Samsung",4;"Sony Erickson",5;"Sprint",6},2,0)</f>
        <v>3</v>
      </c>
      <c r="D20"/>
      <c r="E20"/>
      <c r="F20"/>
      <c r="G20"/>
      <c r="H20" s="9" t="s">
        <v>280</v>
      </c>
      <c r="I20" s="9" t="s">
        <v>242</v>
      </c>
      <c r="J20" s="9">
        <f>VLOOKUP(I20,{"Excellent",4;"Poor",1;"Good",3;"OK",2},2,0)</f>
        <v>1</v>
      </c>
      <c r="O20" s="9">
        <v>205</v>
      </c>
      <c r="P20" s="9">
        <f t="shared" si="0"/>
        <v>96.111111111111114</v>
      </c>
      <c r="U20" s="120"/>
      <c r="V20" s="121"/>
      <c r="X20" s="9">
        <f t="shared" si="4"/>
        <v>369.26111111111106</v>
      </c>
      <c r="AC20" s="120"/>
      <c r="AD20" s="121"/>
    </row>
    <row r="21" spans="1:30" x14ac:dyDescent="0.25">
      <c r="A21" s="9" t="s">
        <v>281</v>
      </c>
      <c r="B21" s="9" t="s">
        <v>258</v>
      </c>
      <c r="C21" s="9">
        <f>VLOOKUP(B21,{"iPhone",1;"Motorola",2;"Nokia",3;"Samsung",4;"Sony Erickson",5;"Sprint",6},2,0)</f>
        <v>6</v>
      </c>
      <c r="D21"/>
      <c r="E21"/>
      <c r="F21"/>
      <c r="G21"/>
      <c r="H21" s="9" t="s">
        <v>281</v>
      </c>
      <c r="I21" s="9" t="s">
        <v>243</v>
      </c>
      <c r="J21" s="9">
        <f>VLOOKUP(I21,{"Excellent",4;"Poor",1;"Good",3;"OK",2},2,0)</f>
        <v>3</v>
      </c>
      <c r="O21" s="9">
        <v>204</v>
      </c>
      <c r="P21" s="9">
        <f t="shared" si="0"/>
        <v>95.555555555555557</v>
      </c>
      <c r="U21" s="116" t="s">
        <v>282</v>
      </c>
      <c r="V21" s="117"/>
      <c r="X21" s="9">
        <f t="shared" si="4"/>
        <v>368.70555555555552</v>
      </c>
      <c r="AC21" s="116" t="s">
        <v>283</v>
      </c>
      <c r="AD21" s="117"/>
    </row>
    <row r="22" spans="1:30" x14ac:dyDescent="0.25">
      <c r="A22" s="9" t="s">
        <v>284</v>
      </c>
      <c r="B22" s="9" t="s">
        <v>254</v>
      </c>
      <c r="C22" s="9">
        <f>VLOOKUP(B22,{"iPhone",1;"Motorola",2;"Nokia",3;"Samsung",4;"Sony Erickson",5;"Sprint",6},2,0)</f>
        <v>5</v>
      </c>
      <c r="D22"/>
      <c r="E22"/>
      <c r="F22"/>
      <c r="G22"/>
      <c r="H22" s="9" t="s">
        <v>284</v>
      </c>
      <c r="I22" s="9" t="s">
        <v>242</v>
      </c>
      <c r="J22" s="9">
        <f>VLOOKUP(I22,{"Excellent",4;"Poor",1;"Good",3;"OK",2},2,0)</f>
        <v>1</v>
      </c>
      <c r="O22" s="9">
        <v>203</v>
      </c>
      <c r="P22" s="9">
        <f t="shared" si="0"/>
        <v>95</v>
      </c>
      <c r="U22" s="118"/>
      <c r="V22" s="119"/>
      <c r="X22" s="9">
        <f t="shared" si="4"/>
        <v>368.15</v>
      </c>
      <c r="AC22" s="118"/>
      <c r="AD22" s="119"/>
    </row>
    <row r="23" spans="1:30" x14ac:dyDescent="0.25">
      <c r="A23" s="9" t="s">
        <v>285</v>
      </c>
      <c r="B23" s="9" t="s">
        <v>248</v>
      </c>
      <c r="C23" s="9">
        <f>VLOOKUP(B23,{"iPhone",1;"Motorola",2;"Nokia",3;"Samsung",4;"Sony Erickson",5;"Sprint",6},2,0)</f>
        <v>3</v>
      </c>
      <c r="D23"/>
      <c r="E23"/>
      <c r="F23"/>
      <c r="G23"/>
      <c r="H23" s="9" t="s">
        <v>285</v>
      </c>
      <c r="I23" s="9" t="s">
        <v>238</v>
      </c>
      <c r="J23" s="9">
        <f>VLOOKUP(I23,{"Excellent",4;"Poor",1;"Good",3;"OK",2},2,0)</f>
        <v>4</v>
      </c>
      <c r="O23" s="9">
        <v>202</v>
      </c>
      <c r="P23" s="9">
        <f t="shared" si="0"/>
        <v>94.444444444444443</v>
      </c>
      <c r="U23" s="120"/>
      <c r="V23" s="121"/>
      <c r="X23" s="9">
        <f t="shared" si="4"/>
        <v>367.59444444444443</v>
      </c>
      <c r="AC23" s="120"/>
      <c r="AD23" s="121"/>
    </row>
    <row r="24" spans="1:30" x14ac:dyDescent="0.25">
      <c r="A24" s="9" t="s">
        <v>286</v>
      </c>
      <c r="B24" s="9" t="s">
        <v>248</v>
      </c>
      <c r="C24" s="9">
        <f>VLOOKUP(B24,{"iPhone",1;"Motorola",2;"Nokia",3;"Samsung",4;"Sony Erickson",5;"Sprint",6},2,0)</f>
        <v>3</v>
      </c>
      <c r="D24"/>
      <c r="E24"/>
      <c r="F24"/>
      <c r="G24"/>
      <c r="H24" s="9" t="s">
        <v>286</v>
      </c>
      <c r="I24" s="9" t="s">
        <v>242</v>
      </c>
      <c r="J24" s="9">
        <f>VLOOKUP(I24,{"Excellent",4;"Poor",1;"Good",3;"OK",2},2,0)</f>
        <v>1</v>
      </c>
      <c r="O24" s="9">
        <v>201</v>
      </c>
      <c r="P24" s="9">
        <f t="shared" si="0"/>
        <v>93.888888888888886</v>
      </c>
      <c r="X24" s="9">
        <f t="shared" si="4"/>
        <v>367.03888888888889</v>
      </c>
    </row>
    <row r="25" spans="1:30" x14ac:dyDescent="0.25">
      <c r="A25" s="9" t="s">
        <v>287</v>
      </c>
      <c r="B25" s="9" t="s">
        <v>236</v>
      </c>
      <c r="C25" s="9">
        <f>VLOOKUP(B25,{"iPhone",1;"Motorola",2;"Nokia",3;"Samsung",4;"Sony Erickson",5;"Sprint",6},2,0)</f>
        <v>1</v>
      </c>
      <c r="D25"/>
      <c r="E25"/>
      <c r="F25"/>
      <c r="G25"/>
      <c r="H25" s="9" t="s">
        <v>287</v>
      </c>
      <c r="I25" s="9" t="s">
        <v>237</v>
      </c>
      <c r="J25" s="9">
        <f>VLOOKUP(I25,{"Excellent",4;"Poor",1;"Good",3;"OK",2},2,0)</f>
        <v>2</v>
      </c>
      <c r="O25" s="9">
        <v>200</v>
      </c>
      <c r="P25" s="9">
        <f t="shared" si="0"/>
        <v>93.333333333333329</v>
      </c>
      <c r="X25" s="9">
        <f t="shared" si="4"/>
        <v>366.48333333333329</v>
      </c>
    </row>
    <row r="26" spans="1:30" x14ac:dyDescent="0.25">
      <c r="A26" s="9" t="s">
        <v>288</v>
      </c>
      <c r="B26" s="9" t="s">
        <v>236</v>
      </c>
      <c r="C26" s="9">
        <f>VLOOKUP(B26,{"iPhone",1;"Motorola",2;"Nokia",3;"Samsung",4;"Sony Erickson",5;"Sprint",6},2,0)</f>
        <v>1</v>
      </c>
      <c r="D26"/>
      <c r="E26"/>
      <c r="F26"/>
      <c r="G26"/>
      <c r="H26" s="9" t="s">
        <v>288</v>
      </c>
      <c r="I26" s="9" t="s">
        <v>237</v>
      </c>
      <c r="J26" s="9">
        <f>VLOOKUP(I26,{"Excellent",4;"Poor",1;"Good",3;"OK",2},2,0)</f>
        <v>2</v>
      </c>
      <c r="O26" s="9">
        <v>199</v>
      </c>
      <c r="P26" s="9">
        <f t="shared" si="0"/>
        <v>92.777777777777771</v>
      </c>
      <c r="X26" s="9">
        <f t="shared" si="4"/>
        <v>365.92777777777775</v>
      </c>
    </row>
    <row r="27" spans="1:30" x14ac:dyDescent="0.25">
      <c r="A27" s="9" t="s">
        <v>289</v>
      </c>
      <c r="B27" s="9" t="s">
        <v>248</v>
      </c>
      <c r="C27" s="9">
        <f>VLOOKUP(B27,{"iPhone",1;"Motorola",2;"Nokia",3;"Samsung",4;"Sony Erickson",5;"Sprint",6},2,0)</f>
        <v>3</v>
      </c>
      <c r="D27"/>
      <c r="E27"/>
      <c r="F27"/>
      <c r="G27"/>
      <c r="H27" s="9" t="s">
        <v>289</v>
      </c>
      <c r="I27" s="9" t="s">
        <v>237</v>
      </c>
      <c r="J27" s="9">
        <f>VLOOKUP(I27,{"Excellent",4;"Poor",1;"Good",3;"OK",2},2,0)</f>
        <v>2</v>
      </c>
      <c r="O27" s="9">
        <v>198</v>
      </c>
      <c r="P27" s="9">
        <f t="shared" si="0"/>
        <v>92.222222222222214</v>
      </c>
      <c r="X27" s="9">
        <f t="shared" si="4"/>
        <v>365.37222222222221</v>
      </c>
    </row>
    <row r="28" spans="1:30" x14ac:dyDescent="0.25">
      <c r="A28" s="9" t="s">
        <v>290</v>
      </c>
      <c r="B28" s="9" t="s">
        <v>247</v>
      </c>
      <c r="C28" s="9">
        <f>VLOOKUP(B28,{"iPhone",1;"Motorola",2;"Nokia",3;"Samsung",4;"Sony Erickson",5;"Sprint",6},2,0)</f>
        <v>4</v>
      </c>
      <c r="D28"/>
      <c r="E28"/>
      <c r="F28"/>
      <c r="G28"/>
      <c r="H28" s="9" t="s">
        <v>290</v>
      </c>
      <c r="I28" s="9" t="s">
        <v>238</v>
      </c>
      <c r="J28" s="9">
        <f>VLOOKUP(I28,{"Excellent",4;"Poor",1;"Good",3;"OK",2},2,0)</f>
        <v>4</v>
      </c>
      <c r="O28" s="9">
        <v>197</v>
      </c>
      <c r="P28" s="9">
        <f t="shared" si="0"/>
        <v>91.666666666666671</v>
      </c>
      <c r="X28" s="9">
        <f t="shared" si="4"/>
        <v>364.81666666666666</v>
      </c>
    </row>
    <row r="29" spans="1:30" x14ac:dyDescent="0.25">
      <c r="A29" s="9" t="s">
        <v>291</v>
      </c>
      <c r="B29" s="9" t="s">
        <v>236</v>
      </c>
      <c r="C29" s="9">
        <f>VLOOKUP(B29,{"iPhone",1;"Motorola",2;"Nokia",3;"Samsung",4;"Sony Erickson",5;"Sprint",6},2,0)</f>
        <v>1</v>
      </c>
      <c r="D29"/>
      <c r="E29"/>
      <c r="F29"/>
      <c r="G29"/>
      <c r="H29" s="9" t="s">
        <v>291</v>
      </c>
      <c r="I29" s="9" t="s">
        <v>237</v>
      </c>
      <c r="J29" s="9">
        <f>VLOOKUP(I29,{"Excellent",4;"Poor",1;"Good",3;"OK",2},2,0)</f>
        <v>2</v>
      </c>
      <c r="O29" s="9">
        <v>196</v>
      </c>
      <c r="P29" s="9">
        <f t="shared" si="0"/>
        <v>91.111111111111114</v>
      </c>
      <c r="X29" s="9">
        <f t="shared" si="4"/>
        <v>364.26111111111106</v>
      </c>
    </row>
    <row r="30" spans="1:30" x14ac:dyDescent="0.25">
      <c r="A30" s="9" t="s">
        <v>292</v>
      </c>
      <c r="B30" s="9" t="s">
        <v>236</v>
      </c>
      <c r="C30" s="9">
        <f>VLOOKUP(B30,{"iPhone",1;"Motorola",2;"Nokia",3;"Samsung",4;"Sony Erickson",5;"Sprint",6},2,0)</f>
        <v>1</v>
      </c>
      <c r="D30"/>
      <c r="E30"/>
      <c r="F30"/>
      <c r="G30"/>
      <c r="H30" s="9" t="s">
        <v>292</v>
      </c>
      <c r="I30" s="9" t="s">
        <v>237</v>
      </c>
      <c r="J30" s="9">
        <f>VLOOKUP(I30,{"Excellent",4;"Poor",1;"Good",3;"OK",2},2,0)</f>
        <v>2</v>
      </c>
      <c r="O30" s="9">
        <v>195</v>
      </c>
      <c r="P30" s="9">
        <f t="shared" si="0"/>
        <v>90.555555555555557</v>
      </c>
      <c r="X30" s="9">
        <f t="shared" si="4"/>
        <v>363.70555555555552</v>
      </c>
    </row>
    <row r="31" spans="1:30" x14ac:dyDescent="0.25">
      <c r="A31" s="9" t="s">
        <v>293</v>
      </c>
      <c r="B31" s="9" t="s">
        <v>236</v>
      </c>
      <c r="C31" s="9">
        <f>VLOOKUP(B31,{"iPhone",1;"Motorola",2;"Nokia",3;"Samsung",4;"Sony Erickson",5;"Sprint",6},2,0)</f>
        <v>1</v>
      </c>
      <c r="D31"/>
      <c r="E31"/>
      <c r="F31"/>
      <c r="G31"/>
      <c r="H31" s="9" t="s">
        <v>293</v>
      </c>
      <c r="I31" s="9" t="s">
        <v>242</v>
      </c>
      <c r="J31" s="9">
        <f>VLOOKUP(I31,{"Excellent",4;"Poor",1;"Good",3;"OK",2},2,0)</f>
        <v>1</v>
      </c>
      <c r="O31" s="9">
        <v>194</v>
      </c>
      <c r="P31" s="9">
        <f t="shared" si="0"/>
        <v>90</v>
      </c>
      <c r="X31" s="9">
        <f t="shared" si="4"/>
        <v>363.15</v>
      </c>
    </row>
    <row r="32" spans="1:30" x14ac:dyDescent="0.25">
      <c r="A32" s="9" t="s">
        <v>294</v>
      </c>
      <c r="B32" s="9" t="s">
        <v>258</v>
      </c>
      <c r="C32" s="9">
        <f>VLOOKUP(B32,{"iPhone",1;"Motorola",2;"Nokia",3;"Samsung",4;"Sony Erickson",5;"Sprint",6},2,0)</f>
        <v>6</v>
      </c>
      <c r="D32"/>
      <c r="E32"/>
      <c r="F32"/>
      <c r="G32"/>
      <c r="H32" s="9" t="s">
        <v>294</v>
      </c>
      <c r="I32" s="9" t="s">
        <v>237</v>
      </c>
      <c r="J32" s="9">
        <f>VLOOKUP(I32,{"Excellent",4;"Poor",1;"Good",3;"OK",2},2,0)</f>
        <v>2</v>
      </c>
      <c r="O32" s="9">
        <v>193</v>
      </c>
      <c r="P32" s="9">
        <f t="shared" si="0"/>
        <v>89.444444444444443</v>
      </c>
      <c r="X32" s="9">
        <f t="shared" si="4"/>
        <v>362.59444444444443</v>
      </c>
    </row>
    <row r="33" spans="1:24" x14ac:dyDescent="0.25">
      <c r="A33" s="9" t="s">
        <v>295</v>
      </c>
      <c r="B33" s="9" t="s">
        <v>236</v>
      </c>
      <c r="C33" s="9">
        <f>VLOOKUP(B33,{"iPhone",1;"Motorola",2;"Nokia",3;"Samsung",4;"Sony Erickson",5;"Sprint",6},2,0)</f>
        <v>1</v>
      </c>
      <c r="D33"/>
      <c r="E33"/>
      <c r="F33"/>
      <c r="G33"/>
      <c r="H33" s="9" t="s">
        <v>295</v>
      </c>
      <c r="I33" s="9" t="s">
        <v>243</v>
      </c>
      <c r="J33" s="9">
        <f>VLOOKUP(I33,{"Excellent",4;"Poor",1;"Good",3;"OK",2},2,0)</f>
        <v>3</v>
      </c>
      <c r="O33" s="9">
        <v>192</v>
      </c>
      <c r="P33" s="9">
        <f t="shared" si="0"/>
        <v>88.888888888888886</v>
      </c>
      <c r="X33" s="9">
        <f t="shared" si="4"/>
        <v>362.03888888888889</v>
      </c>
    </row>
    <row r="34" spans="1:24" x14ac:dyDescent="0.25">
      <c r="A34" s="9" t="s">
        <v>296</v>
      </c>
      <c r="B34" s="9" t="s">
        <v>254</v>
      </c>
      <c r="C34" s="9">
        <f>VLOOKUP(B34,{"iPhone",1;"Motorola",2;"Nokia",3;"Samsung",4;"Sony Erickson",5;"Sprint",6},2,0)</f>
        <v>5</v>
      </c>
      <c r="D34"/>
      <c r="E34"/>
      <c r="F34"/>
      <c r="G34"/>
      <c r="H34" s="9" t="s">
        <v>296</v>
      </c>
      <c r="I34" s="9" t="s">
        <v>238</v>
      </c>
      <c r="J34" s="9">
        <f>VLOOKUP(I34,{"Excellent",4;"Poor",1;"Good",3;"OK",2},2,0)</f>
        <v>4</v>
      </c>
      <c r="O34" s="9">
        <v>191</v>
      </c>
      <c r="P34" s="9">
        <f t="shared" si="0"/>
        <v>88.333333333333329</v>
      </c>
      <c r="X34" s="9">
        <f t="shared" si="4"/>
        <v>361.48333333333329</v>
      </c>
    </row>
    <row r="35" spans="1:24" x14ac:dyDescent="0.25">
      <c r="A35" s="9" t="s">
        <v>297</v>
      </c>
      <c r="B35" s="9" t="s">
        <v>247</v>
      </c>
      <c r="C35" s="9">
        <f>VLOOKUP(B35,{"iPhone",1;"Motorola",2;"Nokia",3;"Samsung",4;"Sony Erickson",5;"Sprint",6},2,0)</f>
        <v>4</v>
      </c>
      <c r="D35"/>
      <c r="E35"/>
      <c r="F35"/>
      <c r="G35"/>
      <c r="H35" s="9" t="s">
        <v>297</v>
      </c>
      <c r="I35" s="9" t="s">
        <v>238</v>
      </c>
      <c r="J35" s="9">
        <f>VLOOKUP(I35,{"Excellent",4;"Poor",1;"Good",3;"OK",2},2,0)</f>
        <v>4</v>
      </c>
      <c r="O35" s="9">
        <v>190</v>
      </c>
      <c r="P35" s="9">
        <f t="shared" si="0"/>
        <v>87.777777777777771</v>
      </c>
      <c r="X35" s="9">
        <f t="shared" si="4"/>
        <v>360.92777777777775</v>
      </c>
    </row>
    <row r="36" spans="1:24" x14ac:dyDescent="0.25">
      <c r="A36" s="9" t="s">
        <v>298</v>
      </c>
      <c r="B36" s="9" t="s">
        <v>248</v>
      </c>
      <c r="C36" s="9">
        <f>VLOOKUP(B36,{"iPhone",1;"Motorola",2;"Nokia",3;"Samsung",4;"Sony Erickson",5;"Sprint",6},2,0)</f>
        <v>3</v>
      </c>
      <c r="D36"/>
      <c r="E36"/>
      <c r="F36"/>
      <c r="G36"/>
      <c r="H36" s="9" t="s">
        <v>298</v>
      </c>
      <c r="I36" s="9" t="s">
        <v>237</v>
      </c>
      <c r="J36" s="9">
        <f>VLOOKUP(I36,{"Excellent",4;"Poor",1;"Good",3;"OK",2},2,0)</f>
        <v>2</v>
      </c>
      <c r="O36" s="9">
        <v>189</v>
      </c>
      <c r="P36" s="9">
        <f t="shared" si="0"/>
        <v>87.222222222222214</v>
      </c>
      <c r="X36" s="9">
        <f t="shared" si="4"/>
        <v>360.37222222222221</v>
      </c>
    </row>
    <row r="37" spans="1:24" x14ac:dyDescent="0.25">
      <c r="A37" s="9" t="s">
        <v>299</v>
      </c>
      <c r="B37" s="9" t="s">
        <v>236</v>
      </c>
      <c r="C37" s="9">
        <f>VLOOKUP(B37,{"iPhone",1;"Motorola",2;"Nokia",3;"Samsung",4;"Sony Erickson",5;"Sprint",6},2,0)</f>
        <v>1</v>
      </c>
      <c r="D37"/>
      <c r="E37"/>
      <c r="F37"/>
      <c r="G37"/>
      <c r="H37" s="9" t="s">
        <v>299</v>
      </c>
      <c r="I37" s="9" t="s">
        <v>243</v>
      </c>
      <c r="J37" s="9">
        <f>VLOOKUP(I37,{"Excellent",4;"Poor",1;"Good",3;"OK",2},2,0)</f>
        <v>3</v>
      </c>
      <c r="O37" s="9">
        <v>188</v>
      </c>
      <c r="P37" s="9">
        <f t="shared" si="0"/>
        <v>86.666666666666671</v>
      </c>
      <c r="X37" s="9">
        <f t="shared" si="4"/>
        <v>359.81666666666666</v>
      </c>
    </row>
    <row r="38" spans="1:24" x14ac:dyDescent="0.25">
      <c r="A38" s="9" t="s">
        <v>300</v>
      </c>
      <c r="B38" s="9" t="s">
        <v>248</v>
      </c>
      <c r="C38" s="9">
        <f>VLOOKUP(B38,{"iPhone",1;"Motorola",2;"Nokia",3;"Samsung",4;"Sony Erickson",5;"Sprint",6},2,0)</f>
        <v>3</v>
      </c>
      <c r="D38"/>
      <c r="E38"/>
      <c r="F38"/>
      <c r="G38"/>
      <c r="H38" s="9" t="s">
        <v>300</v>
      </c>
      <c r="I38" s="9" t="s">
        <v>242</v>
      </c>
      <c r="J38" s="9">
        <f>VLOOKUP(I38,{"Excellent",4;"Poor",1;"Good",3;"OK",2},2,0)</f>
        <v>1</v>
      </c>
      <c r="O38" s="9">
        <v>187</v>
      </c>
      <c r="P38" s="9">
        <f t="shared" si="0"/>
        <v>86.111111111111114</v>
      </c>
      <c r="X38" s="9">
        <f t="shared" si="4"/>
        <v>359.26111111111106</v>
      </c>
    </row>
    <row r="39" spans="1:24" x14ac:dyDescent="0.25">
      <c r="A39" s="9" t="s">
        <v>301</v>
      </c>
      <c r="B39" s="9" t="s">
        <v>236</v>
      </c>
      <c r="C39" s="9">
        <f>VLOOKUP(B39,{"iPhone",1;"Motorola",2;"Nokia",3;"Samsung",4;"Sony Erickson",5;"Sprint",6},2,0)</f>
        <v>1</v>
      </c>
      <c r="D39"/>
      <c r="E39"/>
      <c r="F39"/>
      <c r="G39"/>
      <c r="H39" s="9" t="s">
        <v>301</v>
      </c>
      <c r="I39" s="9" t="s">
        <v>242</v>
      </c>
      <c r="J39" s="9">
        <f>VLOOKUP(I39,{"Excellent",4;"Poor",1;"Good",3;"OK",2},2,0)</f>
        <v>1</v>
      </c>
      <c r="O39" s="9">
        <v>186</v>
      </c>
      <c r="P39" s="9">
        <f t="shared" si="0"/>
        <v>85.555555555555557</v>
      </c>
      <c r="X39" s="9">
        <f t="shared" si="4"/>
        <v>358.70555555555552</v>
      </c>
    </row>
    <row r="40" spans="1:24" x14ac:dyDescent="0.25">
      <c r="A40" s="9" t="s">
        <v>302</v>
      </c>
      <c r="B40" s="9" t="s">
        <v>247</v>
      </c>
      <c r="C40" s="9">
        <f>VLOOKUP(B40,{"iPhone",1;"Motorola",2;"Nokia",3;"Samsung",4;"Sony Erickson",5;"Sprint",6},2,0)</f>
        <v>4</v>
      </c>
      <c r="D40"/>
      <c r="E40"/>
      <c r="F40"/>
      <c r="G40"/>
      <c r="H40" s="9" t="s">
        <v>302</v>
      </c>
      <c r="I40" s="9" t="s">
        <v>242</v>
      </c>
      <c r="J40" s="9">
        <f>VLOOKUP(I40,{"Excellent",4;"Poor",1;"Good",3;"OK",2},2,0)</f>
        <v>1</v>
      </c>
      <c r="O40" s="9">
        <v>185</v>
      </c>
      <c r="P40" s="9">
        <f t="shared" si="0"/>
        <v>85</v>
      </c>
      <c r="X40" s="9">
        <f t="shared" si="4"/>
        <v>358.15</v>
      </c>
    </row>
    <row r="41" spans="1:24" x14ac:dyDescent="0.25">
      <c r="A41" s="9" t="s">
        <v>303</v>
      </c>
      <c r="B41" s="9" t="s">
        <v>254</v>
      </c>
      <c r="C41" s="9">
        <f>VLOOKUP(B41,{"iPhone",1;"Motorola",2;"Nokia",3;"Samsung",4;"Sony Erickson",5;"Sprint",6},2,0)</f>
        <v>5</v>
      </c>
      <c r="D41"/>
      <c r="E41"/>
      <c r="F41"/>
      <c r="G41"/>
      <c r="H41" s="9" t="s">
        <v>303</v>
      </c>
      <c r="I41" s="9" t="s">
        <v>238</v>
      </c>
      <c r="J41" s="9">
        <f>VLOOKUP(I41,{"Excellent",4;"Poor",1;"Good",3;"OK",2},2,0)</f>
        <v>4</v>
      </c>
      <c r="O41" s="9">
        <v>184</v>
      </c>
      <c r="P41" s="9">
        <f t="shared" si="0"/>
        <v>84.444444444444443</v>
      </c>
      <c r="X41" s="9">
        <f t="shared" si="4"/>
        <v>357.59444444444443</v>
      </c>
    </row>
    <row r="42" spans="1:24" x14ac:dyDescent="0.25">
      <c r="A42" s="9" t="s">
        <v>304</v>
      </c>
      <c r="B42" s="9" t="s">
        <v>236</v>
      </c>
      <c r="C42" s="9">
        <f>VLOOKUP(B42,{"iPhone",1;"Motorola",2;"Nokia",3;"Samsung",4;"Sony Erickson",5;"Sprint",6},2,0)</f>
        <v>1</v>
      </c>
      <c r="D42"/>
      <c r="E42"/>
      <c r="F42"/>
      <c r="G42"/>
      <c r="H42" s="9" t="s">
        <v>304</v>
      </c>
      <c r="I42" s="9" t="s">
        <v>242</v>
      </c>
      <c r="J42" s="9">
        <f>VLOOKUP(I42,{"Excellent",4;"Poor",1;"Good",3;"OK",2},2,0)</f>
        <v>1</v>
      </c>
      <c r="O42" s="9">
        <v>183</v>
      </c>
      <c r="P42" s="9">
        <f t="shared" si="0"/>
        <v>83.888888888888886</v>
      </c>
      <c r="X42" s="9">
        <f t="shared" si="4"/>
        <v>357.03888888888889</v>
      </c>
    </row>
    <row r="43" spans="1:24" x14ac:dyDescent="0.25">
      <c r="A43" s="9" t="s">
        <v>305</v>
      </c>
      <c r="B43" s="9" t="s">
        <v>254</v>
      </c>
      <c r="C43" s="9">
        <f>VLOOKUP(B43,{"iPhone",1;"Motorola",2;"Nokia",3;"Samsung",4;"Sony Erickson",5;"Sprint",6},2,0)</f>
        <v>5</v>
      </c>
      <c r="D43"/>
      <c r="E43"/>
      <c r="F43"/>
      <c r="G43"/>
      <c r="H43" s="9" t="s">
        <v>305</v>
      </c>
      <c r="I43" s="9" t="s">
        <v>237</v>
      </c>
      <c r="J43" s="9">
        <f>VLOOKUP(I43,{"Excellent",4;"Poor",1;"Good",3;"OK",2},2,0)</f>
        <v>2</v>
      </c>
      <c r="O43" s="9">
        <v>182</v>
      </c>
      <c r="P43" s="9">
        <f t="shared" si="0"/>
        <v>83.333333333333329</v>
      </c>
      <c r="X43" s="9">
        <f t="shared" si="4"/>
        <v>356.48333333333329</v>
      </c>
    </row>
    <row r="44" spans="1:24" x14ac:dyDescent="0.25">
      <c r="A44" s="9" t="s">
        <v>306</v>
      </c>
      <c r="B44" s="9" t="s">
        <v>248</v>
      </c>
      <c r="C44" s="9">
        <f>VLOOKUP(B44,{"iPhone",1;"Motorola",2;"Nokia",3;"Samsung",4;"Sony Erickson",5;"Sprint",6},2,0)</f>
        <v>3</v>
      </c>
      <c r="D44"/>
      <c r="E44"/>
      <c r="F44"/>
      <c r="G44"/>
      <c r="H44" s="9" t="s">
        <v>306</v>
      </c>
      <c r="I44" s="9" t="s">
        <v>242</v>
      </c>
      <c r="J44" s="9">
        <f>VLOOKUP(I44,{"Excellent",4;"Poor",1;"Good",3;"OK",2},2,0)</f>
        <v>1</v>
      </c>
      <c r="O44" s="9">
        <v>181</v>
      </c>
      <c r="P44" s="9">
        <f t="shared" si="0"/>
        <v>82.777777777777771</v>
      </c>
      <c r="X44" s="9">
        <f t="shared" si="4"/>
        <v>355.92777777777775</v>
      </c>
    </row>
    <row r="45" spans="1:24" x14ac:dyDescent="0.25">
      <c r="A45" s="9" t="s">
        <v>307</v>
      </c>
      <c r="B45" s="9" t="s">
        <v>248</v>
      </c>
      <c r="C45" s="9">
        <f>VLOOKUP(B45,{"iPhone",1;"Motorola",2;"Nokia",3;"Samsung",4;"Sony Erickson",5;"Sprint",6},2,0)</f>
        <v>3</v>
      </c>
      <c r="D45"/>
      <c r="E45"/>
      <c r="F45"/>
      <c r="G45"/>
      <c r="H45" s="9" t="s">
        <v>307</v>
      </c>
      <c r="I45" s="9" t="s">
        <v>238</v>
      </c>
      <c r="J45" s="9">
        <f>VLOOKUP(I45,{"Excellent",4;"Poor",1;"Good",3;"OK",2},2,0)</f>
        <v>4</v>
      </c>
      <c r="O45" s="9">
        <v>180</v>
      </c>
      <c r="P45" s="9">
        <f t="shared" si="0"/>
        <v>82.222222222222214</v>
      </c>
      <c r="X45" s="9">
        <f t="shared" si="4"/>
        <v>355.37222222222221</v>
      </c>
    </row>
    <row r="46" spans="1:24" x14ac:dyDescent="0.25">
      <c r="A46" s="9" t="s">
        <v>308</v>
      </c>
      <c r="B46" s="9" t="s">
        <v>254</v>
      </c>
      <c r="C46" s="9">
        <f>VLOOKUP(B46,{"iPhone",1;"Motorola",2;"Nokia",3;"Samsung",4;"Sony Erickson",5;"Sprint",6},2,0)</f>
        <v>5</v>
      </c>
      <c r="D46"/>
      <c r="E46"/>
      <c r="F46"/>
      <c r="G46"/>
      <c r="H46" s="9" t="s">
        <v>308</v>
      </c>
      <c r="I46" s="9" t="s">
        <v>237</v>
      </c>
      <c r="J46" s="9">
        <f>VLOOKUP(I46,{"Excellent",4;"Poor",1;"Good",3;"OK",2},2,0)</f>
        <v>2</v>
      </c>
      <c r="O46" s="9">
        <v>179</v>
      </c>
      <c r="P46" s="9">
        <f t="shared" si="0"/>
        <v>81.666666666666671</v>
      </c>
      <c r="X46" s="9">
        <f t="shared" si="4"/>
        <v>354.81666666666666</v>
      </c>
    </row>
    <row r="47" spans="1:24" x14ac:dyDescent="0.25">
      <c r="A47" s="9" t="s">
        <v>309</v>
      </c>
      <c r="B47" s="9" t="s">
        <v>258</v>
      </c>
      <c r="C47" s="9">
        <f>VLOOKUP(B47,{"iPhone",1;"Motorola",2;"Nokia",3;"Samsung",4;"Sony Erickson",5;"Sprint",6},2,0)</f>
        <v>6</v>
      </c>
      <c r="D47"/>
      <c r="E47"/>
      <c r="F47"/>
      <c r="G47"/>
      <c r="H47" s="9" t="s">
        <v>309</v>
      </c>
      <c r="I47" s="9" t="s">
        <v>237</v>
      </c>
      <c r="J47" s="9">
        <f>VLOOKUP(I47,{"Excellent",4;"Poor",1;"Good",3;"OK",2},2,0)</f>
        <v>2</v>
      </c>
      <c r="O47" s="9">
        <v>178</v>
      </c>
      <c r="P47" s="9">
        <f t="shared" si="0"/>
        <v>81.111111111111114</v>
      </c>
      <c r="X47" s="9">
        <f t="shared" si="4"/>
        <v>354.26111111111106</v>
      </c>
    </row>
    <row r="48" spans="1:24" x14ac:dyDescent="0.25">
      <c r="A48" s="9" t="s">
        <v>310</v>
      </c>
      <c r="B48" s="9" t="s">
        <v>248</v>
      </c>
      <c r="C48" s="9">
        <f>VLOOKUP(B48,{"iPhone",1;"Motorola",2;"Nokia",3;"Samsung",4;"Sony Erickson",5;"Sprint",6},2,0)</f>
        <v>3</v>
      </c>
      <c r="D48"/>
      <c r="E48"/>
      <c r="F48"/>
      <c r="G48"/>
      <c r="H48" s="9" t="s">
        <v>310</v>
      </c>
      <c r="I48" s="9" t="s">
        <v>242</v>
      </c>
      <c r="J48" s="9">
        <f>VLOOKUP(I48,{"Excellent",4;"Poor",1;"Good",3;"OK",2},2,0)</f>
        <v>1</v>
      </c>
      <c r="O48" s="9">
        <v>177</v>
      </c>
      <c r="P48" s="9">
        <f t="shared" si="0"/>
        <v>80.555555555555557</v>
      </c>
      <c r="X48" s="9">
        <f t="shared" si="4"/>
        <v>353.70555555555552</v>
      </c>
    </row>
    <row r="49" spans="1:24" x14ac:dyDescent="0.25">
      <c r="A49" s="9" t="s">
        <v>311</v>
      </c>
      <c r="B49" s="9" t="s">
        <v>248</v>
      </c>
      <c r="C49" s="9">
        <f>VLOOKUP(B49,{"iPhone",1;"Motorola",2;"Nokia",3;"Samsung",4;"Sony Erickson",5;"Sprint",6},2,0)</f>
        <v>3</v>
      </c>
      <c r="D49"/>
      <c r="E49"/>
      <c r="F49"/>
      <c r="G49"/>
      <c r="H49" s="9" t="s">
        <v>311</v>
      </c>
      <c r="I49" s="9" t="s">
        <v>242</v>
      </c>
      <c r="J49" s="9">
        <f>VLOOKUP(I49,{"Excellent",4;"Poor",1;"Good",3;"OK",2},2,0)</f>
        <v>1</v>
      </c>
      <c r="O49" s="9">
        <v>176</v>
      </c>
      <c r="P49" s="9">
        <f t="shared" si="0"/>
        <v>80</v>
      </c>
      <c r="X49" s="9">
        <f t="shared" si="4"/>
        <v>353.15</v>
      </c>
    </row>
    <row r="50" spans="1:24" x14ac:dyDescent="0.25">
      <c r="A50" s="9" t="s">
        <v>312</v>
      </c>
      <c r="B50" s="9" t="s">
        <v>235</v>
      </c>
      <c r="C50" s="9">
        <f>VLOOKUP(B50,{"iPhone",1;"Motorola",2;"Nokia",3;"Samsung",4;"Sony Erickson",5;"Sprint",6},2,0)</f>
        <v>2</v>
      </c>
      <c r="D50"/>
      <c r="E50"/>
      <c r="F50"/>
      <c r="G50"/>
      <c r="H50" s="9" t="s">
        <v>312</v>
      </c>
      <c r="I50" s="9" t="s">
        <v>242</v>
      </c>
      <c r="J50" s="9">
        <f>VLOOKUP(I50,{"Excellent",4;"Poor",1;"Good",3;"OK",2},2,0)</f>
        <v>1</v>
      </c>
      <c r="O50" s="9">
        <v>175</v>
      </c>
      <c r="P50" s="9">
        <f t="shared" si="0"/>
        <v>79.444444444444443</v>
      </c>
      <c r="X50" s="9">
        <f t="shared" si="4"/>
        <v>352.59444444444443</v>
      </c>
    </row>
    <row r="51" spans="1:24" x14ac:dyDescent="0.25">
      <c r="A51" s="9" t="s">
        <v>313</v>
      </c>
      <c r="B51" s="9" t="s">
        <v>247</v>
      </c>
      <c r="C51" s="9">
        <f>VLOOKUP(B51,{"iPhone",1;"Motorola",2;"Nokia",3;"Samsung",4;"Sony Erickson",5;"Sprint",6},2,0)</f>
        <v>4</v>
      </c>
      <c r="D51"/>
      <c r="E51"/>
      <c r="F51"/>
      <c r="G51"/>
      <c r="H51" s="9" t="s">
        <v>313</v>
      </c>
      <c r="I51" s="9" t="s">
        <v>237</v>
      </c>
      <c r="J51" s="9">
        <f>VLOOKUP(I51,{"Excellent",4;"Poor",1;"Good",3;"OK",2},2,0)</f>
        <v>2</v>
      </c>
      <c r="O51" s="9">
        <v>174</v>
      </c>
      <c r="P51" s="9">
        <f t="shared" si="0"/>
        <v>78.888888888888886</v>
      </c>
      <c r="X51" s="9">
        <f t="shared" si="4"/>
        <v>352.03888888888889</v>
      </c>
    </row>
    <row r="52" spans="1:24" x14ac:dyDescent="0.25">
      <c r="A52" s="9" t="s">
        <v>314</v>
      </c>
      <c r="B52" s="9" t="s">
        <v>236</v>
      </c>
      <c r="C52" s="9">
        <f>VLOOKUP(B52,{"iPhone",1;"Motorola",2;"Nokia",3;"Samsung",4;"Sony Erickson",5;"Sprint",6},2,0)</f>
        <v>1</v>
      </c>
      <c r="H52" s="9" t="s">
        <v>314</v>
      </c>
      <c r="I52" s="9" t="s">
        <v>243</v>
      </c>
      <c r="J52" s="9">
        <f>VLOOKUP(I52,{"Excellent",4;"Poor",1;"Good",3;"OK",2},2,0)</f>
        <v>3</v>
      </c>
      <c r="O52" s="9">
        <v>173</v>
      </c>
      <c r="P52" s="9">
        <f t="shared" si="0"/>
        <v>78.333333333333329</v>
      </c>
      <c r="X52" s="9">
        <f t="shared" si="4"/>
        <v>351.48333333333329</v>
      </c>
    </row>
    <row r="53" spans="1:24" x14ac:dyDescent="0.25">
      <c r="A53" s="9" t="s">
        <v>315</v>
      </c>
      <c r="B53" s="9" t="s">
        <v>248</v>
      </c>
      <c r="C53" s="9">
        <f>VLOOKUP(B53,{"iPhone",1;"Motorola",2;"Nokia",3;"Samsung",4;"Sony Erickson",5;"Sprint",6},2,0)</f>
        <v>3</v>
      </c>
      <c r="H53" s="9" t="s">
        <v>315</v>
      </c>
      <c r="I53" s="9" t="s">
        <v>243</v>
      </c>
      <c r="J53" s="9">
        <f>VLOOKUP(I53,{"Excellent",4;"Poor",1;"Good",3;"OK",2},2,0)</f>
        <v>3</v>
      </c>
      <c r="O53" s="9">
        <v>172</v>
      </c>
      <c r="P53" s="9">
        <f t="shared" si="0"/>
        <v>77.777777777777771</v>
      </c>
      <c r="X53" s="9">
        <f t="shared" si="4"/>
        <v>350.92777777777775</v>
      </c>
    </row>
    <row r="54" spans="1:24" x14ac:dyDescent="0.25">
      <c r="A54" s="9" t="s">
        <v>316</v>
      </c>
      <c r="B54" s="9" t="s">
        <v>248</v>
      </c>
      <c r="C54" s="9">
        <f>VLOOKUP(B54,{"iPhone",1;"Motorola",2;"Nokia",3;"Samsung",4;"Sony Erickson",5;"Sprint",6},2,0)</f>
        <v>3</v>
      </c>
      <c r="H54" s="9" t="s">
        <v>316</v>
      </c>
      <c r="I54" s="9" t="s">
        <v>237</v>
      </c>
      <c r="J54" s="9">
        <f>VLOOKUP(I54,{"Excellent",4;"Poor",1;"Good",3;"OK",2},2,0)</f>
        <v>2</v>
      </c>
      <c r="O54" s="9">
        <v>171</v>
      </c>
      <c r="P54" s="9">
        <f t="shared" si="0"/>
        <v>77.222222222222214</v>
      </c>
      <c r="X54" s="9">
        <f t="shared" si="4"/>
        <v>350.37222222222221</v>
      </c>
    </row>
    <row r="55" spans="1:24" x14ac:dyDescent="0.25">
      <c r="A55" s="9" t="s">
        <v>317</v>
      </c>
      <c r="B55" s="9" t="s">
        <v>258</v>
      </c>
      <c r="C55" s="9">
        <f>VLOOKUP(B55,{"iPhone",1;"Motorola",2;"Nokia",3;"Samsung",4;"Sony Erickson",5;"Sprint",6},2,0)</f>
        <v>6</v>
      </c>
      <c r="H55" s="9" t="s">
        <v>317</v>
      </c>
      <c r="I55" s="9" t="s">
        <v>238</v>
      </c>
      <c r="J55" s="9">
        <f>VLOOKUP(I55,{"Excellent",4;"Poor",1;"Good",3;"OK",2},2,0)</f>
        <v>4</v>
      </c>
      <c r="O55" s="9">
        <v>170</v>
      </c>
      <c r="P55" s="9">
        <f t="shared" si="0"/>
        <v>76.666666666666671</v>
      </c>
      <c r="X55" s="9">
        <f t="shared" si="4"/>
        <v>349.81666666666666</v>
      </c>
    </row>
    <row r="56" spans="1:24" x14ac:dyDescent="0.25">
      <c r="A56" s="9" t="s">
        <v>318</v>
      </c>
      <c r="B56" s="9" t="s">
        <v>248</v>
      </c>
      <c r="C56" s="9">
        <f>VLOOKUP(B56,{"iPhone",1;"Motorola",2;"Nokia",3;"Samsung",4;"Sony Erickson",5;"Sprint",6},2,0)</f>
        <v>3</v>
      </c>
      <c r="H56" s="9" t="s">
        <v>318</v>
      </c>
      <c r="I56" s="9" t="s">
        <v>242</v>
      </c>
      <c r="J56" s="9">
        <f>VLOOKUP(I56,{"Excellent",4;"Poor",1;"Good",3;"OK",2},2,0)</f>
        <v>1</v>
      </c>
      <c r="O56" s="9">
        <v>169</v>
      </c>
      <c r="P56" s="9">
        <f t="shared" si="0"/>
        <v>76.111111111111114</v>
      </c>
      <c r="X56" s="9">
        <f t="shared" si="4"/>
        <v>349.26111111111106</v>
      </c>
    </row>
    <row r="57" spans="1:24" x14ac:dyDescent="0.25">
      <c r="A57" s="9" t="s">
        <v>319</v>
      </c>
      <c r="B57" s="9" t="s">
        <v>248</v>
      </c>
      <c r="C57" s="9">
        <f>VLOOKUP(B57,{"iPhone",1;"Motorola",2;"Nokia",3;"Samsung",4;"Sony Erickson",5;"Sprint",6},2,0)</f>
        <v>3</v>
      </c>
      <c r="H57" s="9" t="s">
        <v>319</v>
      </c>
      <c r="I57" s="9" t="s">
        <v>238</v>
      </c>
      <c r="J57" s="9">
        <f>VLOOKUP(I57,{"Excellent",4;"Poor",1;"Good",3;"OK",2},2,0)</f>
        <v>4</v>
      </c>
      <c r="O57" s="9">
        <v>168</v>
      </c>
      <c r="P57" s="9">
        <f t="shared" si="0"/>
        <v>75.555555555555557</v>
      </c>
      <c r="X57" s="9">
        <f t="shared" si="4"/>
        <v>348.70555555555552</v>
      </c>
    </row>
    <row r="58" spans="1:24" x14ac:dyDescent="0.25">
      <c r="A58" s="9" t="s">
        <v>320</v>
      </c>
      <c r="B58" s="9" t="s">
        <v>258</v>
      </c>
      <c r="C58" s="9">
        <f>VLOOKUP(B58,{"iPhone",1;"Motorola",2;"Nokia",3;"Samsung",4;"Sony Erickson",5;"Sprint",6},2,0)</f>
        <v>6</v>
      </c>
      <c r="H58" s="9" t="s">
        <v>320</v>
      </c>
      <c r="I58" s="9" t="s">
        <v>243</v>
      </c>
      <c r="J58" s="9">
        <f>VLOOKUP(I58,{"Excellent",4;"Poor",1;"Good",3;"OK",2},2,0)</f>
        <v>3</v>
      </c>
      <c r="O58" s="9">
        <v>167</v>
      </c>
      <c r="P58" s="9">
        <f t="shared" si="0"/>
        <v>75</v>
      </c>
      <c r="X58" s="9">
        <f t="shared" si="4"/>
        <v>348.15</v>
      </c>
    </row>
    <row r="59" spans="1:24" x14ac:dyDescent="0.25">
      <c r="A59" s="9" t="s">
        <v>321</v>
      </c>
      <c r="B59" s="9" t="s">
        <v>254</v>
      </c>
      <c r="C59" s="9">
        <f>VLOOKUP(B59,{"iPhone",1;"Motorola",2;"Nokia",3;"Samsung",4;"Sony Erickson",5;"Sprint",6},2,0)</f>
        <v>5</v>
      </c>
      <c r="H59" s="9" t="s">
        <v>321</v>
      </c>
      <c r="I59" s="9" t="s">
        <v>242</v>
      </c>
      <c r="J59" s="9">
        <f>VLOOKUP(I59,{"Excellent",4;"Poor",1;"Good",3;"OK",2},2,0)</f>
        <v>1</v>
      </c>
      <c r="O59" s="9">
        <v>166</v>
      </c>
      <c r="P59" s="9">
        <f t="shared" si="0"/>
        <v>74.444444444444443</v>
      </c>
      <c r="X59" s="9">
        <f t="shared" si="4"/>
        <v>347.59444444444443</v>
      </c>
    </row>
    <row r="60" spans="1:24" x14ac:dyDescent="0.25">
      <c r="A60" s="9" t="s">
        <v>322</v>
      </c>
      <c r="B60" s="9" t="s">
        <v>248</v>
      </c>
      <c r="C60" s="9">
        <f>VLOOKUP(B60,{"iPhone",1;"Motorola",2;"Nokia",3;"Samsung",4;"Sony Erickson",5;"Sprint",6},2,0)</f>
        <v>3</v>
      </c>
      <c r="H60" s="9" t="s">
        <v>322</v>
      </c>
      <c r="I60" s="9" t="s">
        <v>242</v>
      </c>
      <c r="J60" s="9">
        <f>VLOOKUP(I60,{"Excellent",4;"Poor",1;"Good",3;"OK",2},2,0)</f>
        <v>1</v>
      </c>
      <c r="O60" s="9">
        <v>165</v>
      </c>
      <c r="P60" s="9">
        <f t="shared" si="0"/>
        <v>73.888888888888886</v>
      </c>
      <c r="X60" s="9">
        <f t="shared" si="4"/>
        <v>347.03888888888889</v>
      </c>
    </row>
    <row r="61" spans="1:24" x14ac:dyDescent="0.25">
      <c r="A61" s="9" t="s">
        <v>323</v>
      </c>
      <c r="B61" s="9" t="s">
        <v>236</v>
      </c>
      <c r="C61" s="9">
        <f>VLOOKUP(B61,{"iPhone",1;"Motorola",2;"Nokia",3;"Samsung",4;"Sony Erickson",5;"Sprint",6},2,0)</f>
        <v>1</v>
      </c>
      <c r="H61" s="9" t="s">
        <v>323</v>
      </c>
      <c r="I61" s="9" t="s">
        <v>243</v>
      </c>
      <c r="J61" s="9">
        <f>VLOOKUP(I61,{"Excellent",4;"Poor",1;"Good",3;"OK",2},2,0)</f>
        <v>3</v>
      </c>
      <c r="O61" s="9">
        <v>164</v>
      </c>
      <c r="P61" s="9">
        <f t="shared" si="0"/>
        <v>73.333333333333329</v>
      </c>
      <c r="X61" s="9">
        <f t="shared" si="4"/>
        <v>346.48333333333329</v>
      </c>
    </row>
    <row r="62" spans="1:24" x14ac:dyDescent="0.25">
      <c r="A62" s="9" t="s">
        <v>324</v>
      </c>
      <c r="B62" s="9" t="s">
        <v>247</v>
      </c>
      <c r="C62" s="9">
        <f>VLOOKUP(B62,{"iPhone",1;"Motorola",2;"Nokia",3;"Samsung",4;"Sony Erickson",5;"Sprint",6},2,0)</f>
        <v>4</v>
      </c>
      <c r="H62" s="9" t="s">
        <v>324</v>
      </c>
      <c r="I62" s="9" t="s">
        <v>242</v>
      </c>
      <c r="J62" s="9">
        <f>VLOOKUP(I62,{"Excellent",4;"Poor",1;"Good",3;"OK",2},2,0)</f>
        <v>1</v>
      </c>
      <c r="O62" s="9">
        <v>163</v>
      </c>
      <c r="P62" s="9">
        <f t="shared" si="0"/>
        <v>72.777777777777771</v>
      </c>
      <c r="X62" s="9">
        <f t="shared" si="4"/>
        <v>345.92777777777775</v>
      </c>
    </row>
    <row r="63" spans="1:24" x14ac:dyDescent="0.25">
      <c r="A63" s="9" t="s">
        <v>325</v>
      </c>
      <c r="B63" s="9" t="s">
        <v>235</v>
      </c>
      <c r="C63" s="9">
        <f>VLOOKUP(B63,{"iPhone",1;"Motorola",2;"Nokia",3;"Samsung",4;"Sony Erickson",5;"Sprint",6},2,0)</f>
        <v>2</v>
      </c>
      <c r="H63" s="9" t="s">
        <v>325</v>
      </c>
      <c r="I63" s="9" t="s">
        <v>237</v>
      </c>
      <c r="J63" s="9">
        <f>VLOOKUP(I63,{"Excellent",4;"Poor",1;"Good",3;"OK",2},2,0)</f>
        <v>2</v>
      </c>
      <c r="O63" s="9">
        <v>162</v>
      </c>
      <c r="P63" s="9">
        <f t="shared" si="0"/>
        <v>72.222222222222214</v>
      </c>
      <c r="X63" s="9">
        <f t="shared" si="4"/>
        <v>345.37222222222221</v>
      </c>
    </row>
    <row r="64" spans="1:24" x14ac:dyDescent="0.25">
      <c r="A64" s="9" t="s">
        <v>326</v>
      </c>
      <c r="B64" s="9" t="s">
        <v>236</v>
      </c>
      <c r="C64" s="9">
        <f>VLOOKUP(B64,{"iPhone",1;"Motorola",2;"Nokia",3;"Samsung",4;"Sony Erickson",5;"Sprint",6},2,0)</f>
        <v>1</v>
      </c>
      <c r="H64" s="9" t="s">
        <v>326</v>
      </c>
      <c r="I64" s="9" t="s">
        <v>242</v>
      </c>
      <c r="J64" s="9">
        <f>VLOOKUP(I64,{"Excellent",4;"Poor",1;"Good",3;"OK",2},2,0)</f>
        <v>1</v>
      </c>
      <c r="O64" s="9">
        <v>161</v>
      </c>
      <c r="P64" s="9">
        <f t="shared" si="0"/>
        <v>71.666666666666671</v>
      </c>
      <c r="X64" s="9">
        <f t="shared" si="4"/>
        <v>344.81666666666666</v>
      </c>
    </row>
    <row r="65" spans="1:24" x14ac:dyDescent="0.25">
      <c r="A65" s="9" t="s">
        <v>327</v>
      </c>
      <c r="B65" s="9" t="s">
        <v>254</v>
      </c>
      <c r="C65" s="9">
        <f>VLOOKUP(B65,{"iPhone",1;"Motorola",2;"Nokia",3;"Samsung",4;"Sony Erickson",5;"Sprint",6},2,0)</f>
        <v>5</v>
      </c>
      <c r="H65" s="9" t="s">
        <v>327</v>
      </c>
      <c r="I65" s="9" t="s">
        <v>242</v>
      </c>
      <c r="J65" s="9">
        <f>VLOOKUP(I65,{"Excellent",4;"Poor",1;"Good",3;"OK",2},2,0)</f>
        <v>1</v>
      </c>
      <c r="O65" s="9">
        <v>160</v>
      </c>
      <c r="P65" s="9">
        <f t="shared" si="0"/>
        <v>71.111111111111114</v>
      </c>
      <c r="X65" s="9">
        <f t="shared" si="4"/>
        <v>344.26111111111106</v>
      </c>
    </row>
    <row r="66" spans="1:24" x14ac:dyDescent="0.25">
      <c r="A66" s="9" t="s">
        <v>328</v>
      </c>
      <c r="B66" s="9" t="s">
        <v>248</v>
      </c>
      <c r="C66" s="9">
        <f>VLOOKUP(B66,{"iPhone",1;"Motorola",2;"Nokia",3;"Samsung",4;"Sony Erickson",5;"Sprint",6},2,0)</f>
        <v>3</v>
      </c>
      <c r="H66" s="9" t="s">
        <v>328</v>
      </c>
      <c r="I66" s="9" t="s">
        <v>237</v>
      </c>
      <c r="J66" s="9">
        <f>VLOOKUP(I66,{"Excellent",4;"Poor",1;"Good",3;"OK",2},2,0)</f>
        <v>2</v>
      </c>
      <c r="O66" s="9">
        <v>159</v>
      </c>
      <c r="P66" s="9">
        <f t="shared" si="0"/>
        <v>70.555555555555557</v>
      </c>
      <c r="X66" s="9">
        <f t="shared" si="4"/>
        <v>343.70555555555552</v>
      </c>
    </row>
    <row r="67" spans="1:24" x14ac:dyDescent="0.25">
      <c r="A67" s="9" t="s">
        <v>329</v>
      </c>
      <c r="B67" s="9" t="s">
        <v>248</v>
      </c>
      <c r="C67" s="9">
        <f>VLOOKUP(B67,{"iPhone",1;"Motorola",2;"Nokia",3;"Samsung",4;"Sony Erickson",5;"Sprint",6},2,0)</f>
        <v>3</v>
      </c>
      <c r="H67" s="9" t="s">
        <v>329</v>
      </c>
      <c r="I67" s="9" t="s">
        <v>242</v>
      </c>
      <c r="J67" s="9">
        <f>VLOOKUP(I67,{"Excellent",4;"Poor",1;"Good",3;"OK",2},2,0)</f>
        <v>1</v>
      </c>
      <c r="O67" s="9">
        <v>158</v>
      </c>
      <c r="P67" s="9">
        <f t="shared" si="0"/>
        <v>70</v>
      </c>
      <c r="X67" s="9">
        <f t="shared" si="4"/>
        <v>343.15</v>
      </c>
    </row>
    <row r="68" spans="1:24" x14ac:dyDescent="0.25">
      <c r="A68" s="9" t="s">
        <v>330</v>
      </c>
      <c r="B68" s="9" t="s">
        <v>236</v>
      </c>
      <c r="C68" s="9">
        <f>VLOOKUP(B68,{"iPhone",1;"Motorola",2;"Nokia",3;"Samsung",4;"Sony Erickson",5;"Sprint",6},2,0)</f>
        <v>1</v>
      </c>
      <c r="H68" s="9" t="s">
        <v>330</v>
      </c>
      <c r="I68" s="9" t="s">
        <v>242</v>
      </c>
      <c r="J68" s="9">
        <f>VLOOKUP(I68,{"Excellent",4;"Poor",1;"Good",3;"OK",2},2,0)</f>
        <v>1</v>
      </c>
      <c r="O68" s="9">
        <v>157</v>
      </c>
      <c r="P68" s="9">
        <f t="shared" si="0"/>
        <v>69.444444444444443</v>
      </c>
      <c r="X68" s="9">
        <f t="shared" si="4"/>
        <v>342.59444444444443</v>
      </c>
    </row>
    <row r="69" spans="1:24" x14ac:dyDescent="0.25">
      <c r="A69" s="9" t="s">
        <v>331</v>
      </c>
      <c r="B69" s="9" t="s">
        <v>236</v>
      </c>
      <c r="C69" s="9">
        <f>VLOOKUP(B69,{"iPhone",1;"Motorola",2;"Nokia",3;"Samsung",4;"Sony Erickson",5;"Sprint",6},2,0)</f>
        <v>1</v>
      </c>
      <c r="H69" s="9" t="s">
        <v>331</v>
      </c>
      <c r="I69" s="9" t="s">
        <v>242</v>
      </c>
      <c r="J69" s="9">
        <f>VLOOKUP(I69,{"Excellent",4;"Poor",1;"Good",3;"OK",2},2,0)</f>
        <v>1</v>
      </c>
      <c r="O69" s="9">
        <v>156</v>
      </c>
      <c r="P69" s="9">
        <f t="shared" ref="P69:P132" si="11">CONVERT(O69,"F","C")</f>
        <v>68.888888888888886</v>
      </c>
      <c r="X69" s="9">
        <f t="shared" si="4"/>
        <v>342.03888888888889</v>
      </c>
    </row>
    <row r="70" spans="1:24" x14ac:dyDescent="0.25">
      <c r="A70" s="9" t="s">
        <v>332</v>
      </c>
      <c r="B70" s="9" t="s">
        <v>236</v>
      </c>
      <c r="C70" s="9">
        <f>VLOOKUP(B70,{"iPhone",1;"Motorola",2;"Nokia",3;"Samsung",4;"Sony Erickson",5;"Sprint",6},2,0)</f>
        <v>1</v>
      </c>
      <c r="H70" s="9" t="s">
        <v>332</v>
      </c>
      <c r="I70" s="9" t="s">
        <v>242</v>
      </c>
      <c r="J70" s="9">
        <f>VLOOKUP(I70,{"Excellent",4;"Poor",1;"Good",3;"OK",2},2,0)</f>
        <v>1</v>
      </c>
      <c r="O70" s="9">
        <v>155</v>
      </c>
      <c r="P70" s="9">
        <f t="shared" si="11"/>
        <v>68.333333333333329</v>
      </c>
      <c r="X70" s="9">
        <f t="shared" ref="X70:X133" si="12">CONVERT(O70,"F","K")</f>
        <v>341.48333333333329</v>
      </c>
    </row>
    <row r="71" spans="1:24" x14ac:dyDescent="0.25">
      <c r="A71" s="9" t="s">
        <v>333</v>
      </c>
      <c r="B71" s="9" t="s">
        <v>236</v>
      </c>
      <c r="C71" s="9">
        <f>VLOOKUP(B71,{"iPhone",1;"Motorola",2;"Nokia",3;"Samsung",4;"Sony Erickson",5;"Sprint",6},2,0)</f>
        <v>1</v>
      </c>
      <c r="H71" s="9" t="s">
        <v>333</v>
      </c>
      <c r="I71" s="9" t="s">
        <v>237</v>
      </c>
      <c r="J71" s="9">
        <f>VLOOKUP(I71,{"Excellent",4;"Poor",1;"Good",3;"OK",2},2,0)</f>
        <v>2</v>
      </c>
      <c r="O71" s="9">
        <v>154</v>
      </c>
      <c r="P71" s="9">
        <f t="shared" si="11"/>
        <v>67.777777777777771</v>
      </c>
      <c r="X71" s="9">
        <f t="shared" si="12"/>
        <v>340.92777777777775</v>
      </c>
    </row>
    <row r="72" spans="1:24" x14ac:dyDescent="0.25">
      <c r="A72" s="9" t="s">
        <v>334</v>
      </c>
      <c r="B72" s="9" t="s">
        <v>258</v>
      </c>
      <c r="C72" s="9">
        <f>VLOOKUP(B72,{"iPhone",1;"Motorola",2;"Nokia",3;"Samsung",4;"Sony Erickson",5;"Sprint",6},2,0)</f>
        <v>6</v>
      </c>
      <c r="H72" s="9" t="s">
        <v>334</v>
      </c>
      <c r="I72" s="9" t="s">
        <v>242</v>
      </c>
      <c r="J72" s="9">
        <f>VLOOKUP(I72,{"Excellent",4;"Poor",1;"Good",3;"OK",2},2,0)</f>
        <v>1</v>
      </c>
      <c r="O72" s="9">
        <v>153</v>
      </c>
      <c r="P72" s="9">
        <f t="shared" si="11"/>
        <v>67.222222222222214</v>
      </c>
      <c r="X72" s="9">
        <f t="shared" si="12"/>
        <v>340.37222222222221</v>
      </c>
    </row>
    <row r="73" spans="1:24" x14ac:dyDescent="0.25">
      <c r="A73" s="9" t="s">
        <v>335</v>
      </c>
      <c r="B73" s="9" t="s">
        <v>236</v>
      </c>
      <c r="C73" s="9">
        <f>VLOOKUP(B73,{"iPhone",1;"Motorola",2;"Nokia",3;"Samsung",4;"Sony Erickson",5;"Sprint",6},2,0)</f>
        <v>1</v>
      </c>
      <c r="H73" s="9" t="s">
        <v>335</v>
      </c>
      <c r="I73" s="9" t="s">
        <v>242</v>
      </c>
      <c r="J73" s="9">
        <f>VLOOKUP(I73,{"Excellent",4;"Poor",1;"Good",3;"OK",2},2,0)</f>
        <v>1</v>
      </c>
      <c r="O73" s="9">
        <v>152</v>
      </c>
      <c r="P73" s="9">
        <f t="shared" si="11"/>
        <v>66.666666666666671</v>
      </c>
      <c r="X73" s="9">
        <f t="shared" si="12"/>
        <v>339.81666666666666</v>
      </c>
    </row>
    <row r="74" spans="1:24" x14ac:dyDescent="0.25">
      <c r="A74" s="9" t="s">
        <v>336</v>
      </c>
      <c r="B74" s="9" t="s">
        <v>248</v>
      </c>
      <c r="C74" s="9">
        <f>VLOOKUP(B74,{"iPhone",1;"Motorola",2;"Nokia",3;"Samsung",4;"Sony Erickson",5;"Sprint",6},2,0)</f>
        <v>3</v>
      </c>
      <c r="H74" s="9" t="s">
        <v>336</v>
      </c>
      <c r="I74" s="9" t="s">
        <v>242</v>
      </c>
      <c r="J74" s="9">
        <f>VLOOKUP(I74,{"Excellent",4;"Poor",1;"Good",3;"OK",2},2,0)</f>
        <v>1</v>
      </c>
      <c r="O74" s="9">
        <v>151</v>
      </c>
      <c r="P74" s="9">
        <f t="shared" si="11"/>
        <v>66.111111111111114</v>
      </c>
      <c r="X74" s="9">
        <f t="shared" si="12"/>
        <v>339.26111111111106</v>
      </c>
    </row>
    <row r="75" spans="1:24" x14ac:dyDescent="0.25">
      <c r="A75" s="9" t="s">
        <v>337</v>
      </c>
      <c r="B75" s="9" t="s">
        <v>235</v>
      </c>
      <c r="C75" s="9">
        <f>VLOOKUP(B75,{"iPhone",1;"Motorola",2;"Nokia",3;"Samsung",4;"Sony Erickson",5;"Sprint",6},2,0)</f>
        <v>2</v>
      </c>
      <c r="H75" s="9" t="s">
        <v>337</v>
      </c>
      <c r="I75" s="9" t="s">
        <v>242</v>
      </c>
      <c r="J75" s="9">
        <f>VLOOKUP(I75,{"Excellent",4;"Poor",1;"Good",3;"OK",2},2,0)</f>
        <v>1</v>
      </c>
      <c r="O75" s="9">
        <v>150</v>
      </c>
      <c r="P75" s="9">
        <f t="shared" si="11"/>
        <v>65.555555555555557</v>
      </c>
      <c r="X75" s="9">
        <f t="shared" si="12"/>
        <v>338.70555555555552</v>
      </c>
    </row>
    <row r="76" spans="1:24" x14ac:dyDescent="0.25">
      <c r="A76" s="9" t="s">
        <v>338</v>
      </c>
      <c r="B76" s="9" t="s">
        <v>258</v>
      </c>
      <c r="C76" s="9">
        <f>VLOOKUP(B76,{"iPhone",1;"Motorola",2;"Nokia",3;"Samsung",4;"Sony Erickson",5;"Sprint",6},2,0)</f>
        <v>6</v>
      </c>
      <c r="H76" s="9" t="s">
        <v>338</v>
      </c>
      <c r="I76" s="9" t="s">
        <v>243</v>
      </c>
      <c r="J76" s="9">
        <f>VLOOKUP(I76,{"Excellent",4;"Poor",1;"Good",3;"OK",2},2,0)</f>
        <v>3</v>
      </c>
      <c r="O76" s="9">
        <v>149</v>
      </c>
      <c r="P76" s="9">
        <f t="shared" si="11"/>
        <v>65</v>
      </c>
      <c r="X76" s="9">
        <f t="shared" si="12"/>
        <v>338.15</v>
      </c>
    </row>
    <row r="77" spans="1:24" x14ac:dyDescent="0.25">
      <c r="A77" s="9" t="s">
        <v>339</v>
      </c>
      <c r="B77" s="9" t="s">
        <v>236</v>
      </c>
      <c r="C77" s="9">
        <f>VLOOKUP(B77,{"iPhone",1;"Motorola",2;"Nokia",3;"Samsung",4;"Sony Erickson",5;"Sprint",6},2,0)</f>
        <v>1</v>
      </c>
      <c r="H77" s="9" t="s">
        <v>339</v>
      </c>
      <c r="I77" s="9" t="s">
        <v>237</v>
      </c>
      <c r="J77" s="9">
        <f>VLOOKUP(I77,{"Excellent",4;"Poor",1;"Good",3;"OK",2},2,0)</f>
        <v>2</v>
      </c>
      <c r="O77" s="9">
        <v>148</v>
      </c>
      <c r="P77" s="9">
        <f t="shared" si="11"/>
        <v>64.444444444444443</v>
      </c>
      <c r="X77" s="9">
        <f t="shared" si="12"/>
        <v>337.59444444444443</v>
      </c>
    </row>
    <row r="78" spans="1:24" x14ac:dyDescent="0.25">
      <c r="A78" s="9" t="s">
        <v>340</v>
      </c>
      <c r="B78" s="9" t="s">
        <v>254</v>
      </c>
      <c r="C78" s="9">
        <f>VLOOKUP(B78,{"iPhone",1;"Motorola",2;"Nokia",3;"Samsung",4;"Sony Erickson",5;"Sprint",6},2,0)</f>
        <v>5</v>
      </c>
      <c r="H78" s="9" t="s">
        <v>340</v>
      </c>
      <c r="I78" s="9" t="s">
        <v>238</v>
      </c>
      <c r="J78" s="9">
        <f>VLOOKUP(I78,{"Excellent",4;"Poor",1;"Good",3;"OK",2},2,0)</f>
        <v>4</v>
      </c>
      <c r="O78" s="9">
        <v>147</v>
      </c>
      <c r="P78" s="9">
        <f t="shared" si="11"/>
        <v>63.888888888888886</v>
      </c>
      <c r="X78" s="9">
        <f t="shared" si="12"/>
        <v>337.03888888888889</v>
      </c>
    </row>
    <row r="79" spans="1:24" x14ac:dyDescent="0.25">
      <c r="A79" s="9" t="s">
        <v>341</v>
      </c>
      <c r="B79" s="9" t="s">
        <v>248</v>
      </c>
      <c r="C79" s="9">
        <f>VLOOKUP(B79,{"iPhone",1;"Motorola",2;"Nokia",3;"Samsung",4;"Sony Erickson",5;"Sprint",6},2,0)</f>
        <v>3</v>
      </c>
      <c r="H79" s="9" t="s">
        <v>341</v>
      </c>
      <c r="I79" s="9" t="s">
        <v>242</v>
      </c>
      <c r="J79" s="9">
        <f>VLOOKUP(I79,{"Excellent",4;"Poor",1;"Good",3;"OK",2},2,0)</f>
        <v>1</v>
      </c>
      <c r="O79" s="9">
        <v>146</v>
      </c>
      <c r="P79" s="9">
        <f t="shared" si="11"/>
        <v>63.333333333333329</v>
      </c>
      <c r="X79" s="9">
        <f t="shared" si="12"/>
        <v>336.48333333333329</v>
      </c>
    </row>
    <row r="80" spans="1:24" x14ac:dyDescent="0.25">
      <c r="A80" s="9" t="s">
        <v>342</v>
      </c>
      <c r="B80" s="9" t="s">
        <v>235</v>
      </c>
      <c r="C80" s="9">
        <f>VLOOKUP(B80,{"iPhone",1;"Motorola",2;"Nokia",3;"Samsung",4;"Sony Erickson",5;"Sprint",6},2,0)</f>
        <v>2</v>
      </c>
      <c r="H80" s="9" t="s">
        <v>342</v>
      </c>
      <c r="I80" s="9" t="s">
        <v>243</v>
      </c>
      <c r="J80" s="9">
        <f>VLOOKUP(I80,{"Excellent",4;"Poor",1;"Good",3;"OK",2},2,0)</f>
        <v>3</v>
      </c>
      <c r="O80" s="9">
        <v>145</v>
      </c>
      <c r="P80" s="9">
        <f t="shared" si="11"/>
        <v>62.777777777777779</v>
      </c>
      <c r="X80" s="9">
        <f t="shared" si="12"/>
        <v>335.92777777777775</v>
      </c>
    </row>
    <row r="81" spans="1:24" x14ac:dyDescent="0.25">
      <c r="A81" s="9" t="s">
        <v>343</v>
      </c>
      <c r="B81" s="9" t="s">
        <v>236</v>
      </c>
      <c r="C81" s="9">
        <f>VLOOKUP(B81,{"iPhone",1;"Motorola",2;"Nokia",3;"Samsung",4;"Sony Erickson",5;"Sprint",6},2,0)</f>
        <v>1</v>
      </c>
      <c r="H81" s="9" t="s">
        <v>343</v>
      </c>
      <c r="I81" s="9" t="s">
        <v>242</v>
      </c>
      <c r="J81" s="9">
        <f>VLOOKUP(I81,{"Excellent",4;"Poor",1;"Good",3;"OK",2},2,0)</f>
        <v>1</v>
      </c>
      <c r="O81" s="9">
        <v>144</v>
      </c>
      <c r="P81" s="9">
        <f t="shared" si="11"/>
        <v>62.222222222222221</v>
      </c>
      <c r="X81" s="9">
        <f t="shared" si="12"/>
        <v>335.37222222222221</v>
      </c>
    </row>
    <row r="82" spans="1:24" x14ac:dyDescent="0.25">
      <c r="A82" s="9" t="s">
        <v>344</v>
      </c>
      <c r="B82" s="9" t="s">
        <v>235</v>
      </c>
      <c r="C82" s="9">
        <f>VLOOKUP(B82,{"iPhone",1;"Motorola",2;"Nokia",3;"Samsung",4;"Sony Erickson",5;"Sprint",6},2,0)</f>
        <v>2</v>
      </c>
      <c r="H82" s="9" t="s">
        <v>344</v>
      </c>
      <c r="I82" s="9" t="s">
        <v>237</v>
      </c>
      <c r="J82" s="9">
        <f>VLOOKUP(I82,{"Excellent",4;"Poor",1;"Good",3;"OK",2},2,0)</f>
        <v>2</v>
      </c>
      <c r="O82" s="9">
        <v>143</v>
      </c>
      <c r="P82" s="9">
        <f t="shared" si="11"/>
        <v>61.666666666666664</v>
      </c>
      <c r="X82" s="9">
        <f t="shared" si="12"/>
        <v>334.81666666666666</v>
      </c>
    </row>
    <row r="83" spans="1:24" x14ac:dyDescent="0.25">
      <c r="A83" s="9" t="s">
        <v>345</v>
      </c>
      <c r="B83" s="9" t="s">
        <v>248</v>
      </c>
      <c r="C83" s="9">
        <f>VLOOKUP(B83,{"iPhone",1;"Motorola",2;"Nokia",3;"Samsung",4;"Sony Erickson",5;"Sprint",6},2,0)</f>
        <v>3</v>
      </c>
      <c r="H83" s="9" t="s">
        <v>345</v>
      </c>
      <c r="I83" s="9" t="s">
        <v>243</v>
      </c>
      <c r="J83" s="9">
        <f>VLOOKUP(I83,{"Excellent",4;"Poor",1;"Good",3;"OK",2},2,0)</f>
        <v>3</v>
      </c>
      <c r="O83" s="9">
        <v>142</v>
      </c>
      <c r="P83" s="9">
        <f t="shared" si="11"/>
        <v>61.111111111111107</v>
      </c>
      <c r="X83" s="9">
        <f t="shared" si="12"/>
        <v>334.26111111111106</v>
      </c>
    </row>
    <row r="84" spans="1:24" x14ac:dyDescent="0.25">
      <c r="A84" s="9" t="s">
        <v>346</v>
      </c>
      <c r="B84" s="9" t="s">
        <v>235</v>
      </c>
      <c r="C84" s="9">
        <f>VLOOKUP(B84,{"iPhone",1;"Motorola",2;"Nokia",3;"Samsung",4;"Sony Erickson",5;"Sprint",6},2,0)</f>
        <v>2</v>
      </c>
      <c r="H84" s="9" t="s">
        <v>346</v>
      </c>
      <c r="I84" s="9" t="s">
        <v>242</v>
      </c>
      <c r="J84" s="9">
        <f>VLOOKUP(I84,{"Excellent",4;"Poor",1;"Good",3;"OK",2},2,0)</f>
        <v>1</v>
      </c>
      <c r="O84" s="9">
        <v>141</v>
      </c>
      <c r="P84" s="9">
        <f t="shared" si="11"/>
        <v>60.555555555555557</v>
      </c>
      <c r="X84" s="9">
        <f t="shared" si="12"/>
        <v>333.70555555555552</v>
      </c>
    </row>
    <row r="85" spans="1:24" x14ac:dyDescent="0.25">
      <c r="A85" s="9" t="s">
        <v>347</v>
      </c>
      <c r="B85" s="9" t="s">
        <v>248</v>
      </c>
      <c r="C85" s="9">
        <f>VLOOKUP(B85,{"iPhone",1;"Motorola",2;"Nokia",3;"Samsung",4;"Sony Erickson",5;"Sprint",6},2,0)</f>
        <v>3</v>
      </c>
      <c r="H85" s="9" t="s">
        <v>347</v>
      </c>
      <c r="I85" s="9" t="s">
        <v>242</v>
      </c>
      <c r="J85" s="9">
        <f>VLOOKUP(I85,{"Excellent",4;"Poor",1;"Good",3;"OK",2},2,0)</f>
        <v>1</v>
      </c>
      <c r="O85" s="9">
        <v>140</v>
      </c>
      <c r="P85" s="9">
        <f t="shared" si="11"/>
        <v>60</v>
      </c>
      <c r="X85" s="9">
        <f t="shared" si="12"/>
        <v>333.15</v>
      </c>
    </row>
    <row r="86" spans="1:24" x14ac:dyDescent="0.25">
      <c r="A86" s="9" t="s">
        <v>348</v>
      </c>
      <c r="B86" s="9" t="s">
        <v>258</v>
      </c>
      <c r="C86" s="9">
        <f>VLOOKUP(B86,{"iPhone",1;"Motorola",2;"Nokia",3;"Samsung",4;"Sony Erickson",5;"Sprint",6},2,0)</f>
        <v>6</v>
      </c>
      <c r="H86" s="9" t="s">
        <v>348</v>
      </c>
      <c r="I86" s="9" t="s">
        <v>242</v>
      </c>
      <c r="J86" s="9">
        <f>VLOOKUP(I86,{"Excellent",4;"Poor",1;"Good",3;"OK",2},2,0)</f>
        <v>1</v>
      </c>
      <c r="O86" s="9">
        <v>139</v>
      </c>
      <c r="P86" s="9">
        <f t="shared" si="11"/>
        <v>59.444444444444443</v>
      </c>
      <c r="X86" s="9">
        <f t="shared" si="12"/>
        <v>332.59444444444443</v>
      </c>
    </row>
    <row r="87" spans="1:24" x14ac:dyDescent="0.25">
      <c r="A87" s="9" t="s">
        <v>349</v>
      </c>
      <c r="B87" s="9" t="s">
        <v>258</v>
      </c>
      <c r="C87" s="9">
        <f>VLOOKUP(B87,{"iPhone",1;"Motorola",2;"Nokia",3;"Samsung",4;"Sony Erickson",5;"Sprint",6},2,0)</f>
        <v>6</v>
      </c>
      <c r="H87" s="9" t="s">
        <v>349</v>
      </c>
      <c r="I87" s="9" t="s">
        <v>242</v>
      </c>
      <c r="J87" s="9">
        <f>VLOOKUP(I87,{"Excellent",4;"Poor",1;"Good",3;"OK",2},2,0)</f>
        <v>1</v>
      </c>
      <c r="O87" s="9">
        <v>138</v>
      </c>
      <c r="P87" s="9">
        <f t="shared" si="11"/>
        <v>58.888888888888886</v>
      </c>
      <c r="X87" s="9">
        <f t="shared" si="12"/>
        <v>332.03888888888889</v>
      </c>
    </row>
    <row r="88" spans="1:24" x14ac:dyDescent="0.25">
      <c r="A88" s="9" t="s">
        <v>350</v>
      </c>
      <c r="B88" s="9" t="s">
        <v>236</v>
      </c>
      <c r="C88" s="9">
        <f>VLOOKUP(B88,{"iPhone",1;"Motorola",2;"Nokia",3;"Samsung",4;"Sony Erickson",5;"Sprint",6},2,0)</f>
        <v>1</v>
      </c>
      <c r="H88" s="9" t="s">
        <v>350</v>
      </c>
      <c r="I88" s="9" t="s">
        <v>242</v>
      </c>
      <c r="J88" s="9">
        <f>VLOOKUP(I88,{"Excellent",4;"Poor",1;"Good",3;"OK",2},2,0)</f>
        <v>1</v>
      </c>
      <c r="O88" s="9">
        <v>137</v>
      </c>
      <c r="P88" s="9">
        <f t="shared" si="11"/>
        <v>58.333333333333329</v>
      </c>
      <c r="X88" s="9">
        <f t="shared" si="12"/>
        <v>331.48333333333329</v>
      </c>
    </row>
    <row r="89" spans="1:24" x14ac:dyDescent="0.25">
      <c r="A89" s="9" t="s">
        <v>351</v>
      </c>
      <c r="B89" s="9" t="s">
        <v>236</v>
      </c>
      <c r="C89" s="9">
        <f>VLOOKUP(B89,{"iPhone",1;"Motorola",2;"Nokia",3;"Samsung",4;"Sony Erickson",5;"Sprint",6},2,0)</f>
        <v>1</v>
      </c>
      <c r="H89" s="9" t="s">
        <v>351</v>
      </c>
      <c r="I89" s="9" t="s">
        <v>243</v>
      </c>
      <c r="J89" s="9">
        <f>VLOOKUP(I89,{"Excellent",4;"Poor",1;"Good",3;"OK",2},2,0)</f>
        <v>3</v>
      </c>
      <c r="O89" s="9">
        <v>136</v>
      </c>
      <c r="P89" s="9">
        <f t="shared" si="11"/>
        <v>57.777777777777779</v>
      </c>
      <c r="X89" s="9">
        <f t="shared" si="12"/>
        <v>330.92777777777775</v>
      </c>
    </row>
    <row r="90" spans="1:24" x14ac:dyDescent="0.25">
      <c r="A90" s="9" t="s">
        <v>352</v>
      </c>
      <c r="B90" s="9" t="s">
        <v>236</v>
      </c>
      <c r="C90" s="9">
        <f>VLOOKUP(B90,{"iPhone",1;"Motorola",2;"Nokia",3;"Samsung",4;"Sony Erickson",5;"Sprint",6},2,0)</f>
        <v>1</v>
      </c>
      <c r="H90" s="9" t="s">
        <v>352</v>
      </c>
      <c r="I90" s="9" t="s">
        <v>237</v>
      </c>
      <c r="J90" s="9">
        <f>VLOOKUP(I90,{"Excellent",4;"Poor",1;"Good",3;"OK",2},2,0)</f>
        <v>2</v>
      </c>
      <c r="O90" s="9">
        <v>135</v>
      </c>
      <c r="P90" s="9">
        <f t="shared" si="11"/>
        <v>57.222222222222221</v>
      </c>
      <c r="X90" s="9">
        <f t="shared" si="12"/>
        <v>330.37222222222221</v>
      </c>
    </row>
    <row r="91" spans="1:24" x14ac:dyDescent="0.25">
      <c r="A91" s="9" t="s">
        <v>353</v>
      </c>
      <c r="B91" s="9" t="s">
        <v>236</v>
      </c>
      <c r="C91" s="9">
        <f>VLOOKUP(B91,{"iPhone",1;"Motorola",2;"Nokia",3;"Samsung",4;"Sony Erickson",5;"Sprint",6},2,0)</f>
        <v>1</v>
      </c>
      <c r="H91" s="9" t="s">
        <v>353</v>
      </c>
      <c r="I91" s="9" t="s">
        <v>237</v>
      </c>
      <c r="J91" s="9">
        <f>VLOOKUP(I91,{"Excellent",4;"Poor",1;"Good",3;"OK",2},2,0)</f>
        <v>2</v>
      </c>
      <c r="O91" s="9">
        <v>134</v>
      </c>
      <c r="P91" s="9">
        <f t="shared" si="11"/>
        <v>56.666666666666664</v>
      </c>
      <c r="X91" s="9">
        <f t="shared" si="12"/>
        <v>329.81666666666666</v>
      </c>
    </row>
    <row r="92" spans="1:24" x14ac:dyDescent="0.25">
      <c r="A92" s="9" t="s">
        <v>354</v>
      </c>
      <c r="B92" s="9" t="s">
        <v>258</v>
      </c>
      <c r="C92" s="9">
        <f>VLOOKUP(B92,{"iPhone",1;"Motorola",2;"Nokia",3;"Samsung",4;"Sony Erickson",5;"Sprint",6},2,0)</f>
        <v>6</v>
      </c>
      <c r="H92" s="9" t="s">
        <v>354</v>
      </c>
      <c r="I92" s="9" t="s">
        <v>243</v>
      </c>
      <c r="J92" s="9">
        <f>VLOOKUP(I92,{"Excellent",4;"Poor",1;"Good",3;"OK",2},2,0)</f>
        <v>3</v>
      </c>
      <c r="O92" s="9">
        <v>133</v>
      </c>
      <c r="P92" s="9">
        <f t="shared" si="11"/>
        <v>56.111111111111107</v>
      </c>
      <c r="X92" s="9">
        <f t="shared" si="12"/>
        <v>329.26111111111106</v>
      </c>
    </row>
    <row r="93" spans="1:24" x14ac:dyDescent="0.25">
      <c r="A93" s="9" t="s">
        <v>355</v>
      </c>
      <c r="B93" s="9" t="s">
        <v>235</v>
      </c>
      <c r="C93" s="9">
        <f>VLOOKUP(B93,{"iPhone",1;"Motorola",2;"Nokia",3;"Samsung",4;"Sony Erickson",5;"Sprint",6},2,0)</f>
        <v>2</v>
      </c>
      <c r="H93" s="9" t="s">
        <v>355</v>
      </c>
      <c r="I93" s="9" t="s">
        <v>242</v>
      </c>
      <c r="J93" s="9">
        <f>VLOOKUP(I93,{"Excellent",4;"Poor",1;"Good",3;"OK",2},2,0)</f>
        <v>1</v>
      </c>
      <c r="O93" s="9">
        <v>132</v>
      </c>
      <c r="P93" s="9">
        <f t="shared" si="11"/>
        <v>55.555555555555557</v>
      </c>
      <c r="X93" s="9">
        <f t="shared" si="12"/>
        <v>328.70555555555552</v>
      </c>
    </row>
    <row r="94" spans="1:24" x14ac:dyDescent="0.25">
      <c r="A94" s="9" t="s">
        <v>356</v>
      </c>
      <c r="B94" s="9" t="s">
        <v>254</v>
      </c>
      <c r="C94" s="9">
        <f>VLOOKUP(B94,{"iPhone",1;"Motorola",2;"Nokia",3;"Samsung",4;"Sony Erickson",5;"Sprint",6},2,0)</f>
        <v>5</v>
      </c>
      <c r="H94" s="9" t="s">
        <v>356</v>
      </c>
      <c r="I94" s="9" t="s">
        <v>237</v>
      </c>
      <c r="J94" s="9">
        <f>VLOOKUP(I94,{"Excellent",4;"Poor",1;"Good",3;"OK",2},2,0)</f>
        <v>2</v>
      </c>
      <c r="O94" s="9">
        <v>131</v>
      </c>
      <c r="P94" s="9">
        <f t="shared" si="11"/>
        <v>55</v>
      </c>
      <c r="X94" s="9">
        <f t="shared" si="12"/>
        <v>328.15</v>
      </c>
    </row>
    <row r="95" spans="1:24" x14ac:dyDescent="0.25">
      <c r="A95" s="9" t="s">
        <v>357</v>
      </c>
      <c r="B95" s="9" t="s">
        <v>235</v>
      </c>
      <c r="C95" s="9">
        <f>VLOOKUP(B95,{"iPhone",1;"Motorola",2;"Nokia",3;"Samsung",4;"Sony Erickson",5;"Sprint",6},2,0)</f>
        <v>2</v>
      </c>
      <c r="H95" s="9" t="s">
        <v>357</v>
      </c>
      <c r="I95" s="9" t="s">
        <v>242</v>
      </c>
      <c r="J95" s="9">
        <f>VLOOKUP(I95,{"Excellent",4;"Poor",1;"Good",3;"OK",2},2,0)</f>
        <v>1</v>
      </c>
      <c r="O95" s="9">
        <v>130</v>
      </c>
      <c r="P95" s="9">
        <f t="shared" si="11"/>
        <v>54.444444444444443</v>
      </c>
      <c r="X95" s="9">
        <f t="shared" si="12"/>
        <v>327.59444444444443</v>
      </c>
    </row>
    <row r="96" spans="1:24" x14ac:dyDescent="0.25">
      <c r="A96" s="9" t="s">
        <v>358</v>
      </c>
      <c r="B96" s="9" t="s">
        <v>247</v>
      </c>
      <c r="C96" s="9">
        <f>VLOOKUP(B96,{"iPhone",1;"Motorola",2;"Nokia",3;"Samsung",4;"Sony Erickson",5;"Sprint",6},2,0)</f>
        <v>4</v>
      </c>
      <c r="H96" s="9" t="s">
        <v>358</v>
      </c>
      <c r="I96" s="9" t="s">
        <v>243</v>
      </c>
      <c r="J96" s="9">
        <f>VLOOKUP(I96,{"Excellent",4;"Poor",1;"Good",3;"OK",2},2,0)</f>
        <v>3</v>
      </c>
      <c r="O96" s="9">
        <v>129</v>
      </c>
      <c r="P96" s="9">
        <f t="shared" si="11"/>
        <v>53.888888888888886</v>
      </c>
      <c r="X96" s="9">
        <f t="shared" si="12"/>
        <v>327.03888888888889</v>
      </c>
    </row>
    <row r="97" spans="1:24" x14ac:dyDescent="0.25">
      <c r="A97" s="9" t="s">
        <v>359</v>
      </c>
      <c r="B97" s="9" t="s">
        <v>248</v>
      </c>
      <c r="C97" s="9">
        <f>VLOOKUP(B97,{"iPhone",1;"Motorola",2;"Nokia",3;"Samsung",4;"Sony Erickson",5;"Sprint",6},2,0)</f>
        <v>3</v>
      </c>
      <c r="H97" s="9" t="s">
        <v>359</v>
      </c>
      <c r="I97" s="9" t="s">
        <v>243</v>
      </c>
      <c r="J97" s="9">
        <f>VLOOKUP(I97,{"Excellent",4;"Poor",1;"Good",3;"OK",2},2,0)</f>
        <v>3</v>
      </c>
      <c r="O97" s="9">
        <v>128</v>
      </c>
      <c r="P97" s="9">
        <f t="shared" si="11"/>
        <v>53.333333333333329</v>
      </c>
      <c r="X97" s="9">
        <f t="shared" si="12"/>
        <v>326.48333333333329</v>
      </c>
    </row>
    <row r="98" spans="1:24" x14ac:dyDescent="0.25">
      <c r="A98" s="9" t="s">
        <v>360</v>
      </c>
      <c r="B98" s="9" t="s">
        <v>254</v>
      </c>
      <c r="C98" s="9">
        <f>VLOOKUP(B98,{"iPhone",1;"Motorola",2;"Nokia",3;"Samsung",4;"Sony Erickson",5;"Sprint",6},2,0)</f>
        <v>5</v>
      </c>
      <c r="H98" s="9" t="s">
        <v>360</v>
      </c>
      <c r="I98" s="9" t="s">
        <v>242</v>
      </c>
      <c r="J98" s="9">
        <f>VLOOKUP(I98,{"Excellent",4;"Poor",1;"Good",3;"OK",2},2,0)</f>
        <v>1</v>
      </c>
      <c r="O98" s="9">
        <v>127</v>
      </c>
      <c r="P98" s="9">
        <f t="shared" si="11"/>
        <v>52.777777777777779</v>
      </c>
      <c r="X98" s="9">
        <f t="shared" si="12"/>
        <v>325.92777777777775</v>
      </c>
    </row>
    <row r="99" spans="1:24" x14ac:dyDescent="0.25">
      <c r="A99" s="9" t="s">
        <v>361</v>
      </c>
      <c r="B99" s="9" t="s">
        <v>236</v>
      </c>
      <c r="C99" s="9">
        <f>VLOOKUP(B99,{"iPhone",1;"Motorola",2;"Nokia",3;"Samsung",4;"Sony Erickson",5;"Sprint",6},2,0)</f>
        <v>1</v>
      </c>
      <c r="H99" s="9" t="s">
        <v>361</v>
      </c>
      <c r="I99" s="9" t="s">
        <v>237</v>
      </c>
      <c r="J99" s="9">
        <f>VLOOKUP(I99,{"Excellent",4;"Poor",1;"Good",3;"OK",2},2,0)</f>
        <v>2</v>
      </c>
      <c r="O99" s="9">
        <v>126</v>
      </c>
      <c r="P99" s="9">
        <f t="shared" si="11"/>
        <v>52.222222222222221</v>
      </c>
      <c r="X99" s="9">
        <f t="shared" si="12"/>
        <v>325.37222222222221</v>
      </c>
    </row>
    <row r="100" spans="1:24" x14ac:dyDescent="0.25">
      <c r="A100" s="9" t="s">
        <v>362</v>
      </c>
      <c r="B100" s="9" t="s">
        <v>248</v>
      </c>
      <c r="C100" s="9">
        <f>VLOOKUP(B100,{"iPhone",1;"Motorola",2;"Nokia",3;"Samsung",4;"Sony Erickson",5;"Sprint",6},2,0)</f>
        <v>3</v>
      </c>
      <c r="H100" s="9" t="s">
        <v>362</v>
      </c>
      <c r="I100" s="9" t="s">
        <v>242</v>
      </c>
      <c r="J100" s="9">
        <f>VLOOKUP(I100,{"Excellent",4;"Poor",1;"Good",3;"OK",2},2,0)</f>
        <v>1</v>
      </c>
      <c r="O100" s="9">
        <v>125</v>
      </c>
      <c r="P100" s="9">
        <f t="shared" si="11"/>
        <v>51.666666666666664</v>
      </c>
      <c r="X100" s="9">
        <f t="shared" si="12"/>
        <v>324.81666666666666</v>
      </c>
    </row>
    <row r="101" spans="1:24" x14ac:dyDescent="0.25">
      <c r="A101" s="9" t="s">
        <v>363</v>
      </c>
      <c r="B101" s="9" t="s">
        <v>236</v>
      </c>
      <c r="C101" s="9">
        <f>VLOOKUP(B101,{"iPhone",1;"Motorola",2;"Nokia",3;"Samsung",4;"Sony Erickson",5;"Sprint",6},2,0)</f>
        <v>1</v>
      </c>
      <c r="H101" s="9" t="s">
        <v>363</v>
      </c>
      <c r="I101" s="9" t="s">
        <v>242</v>
      </c>
      <c r="J101" s="9">
        <f>VLOOKUP(I101,{"Excellent",4;"Poor",1;"Good",3;"OK",2},2,0)</f>
        <v>1</v>
      </c>
      <c r="O101" s="9">
        <v>124</v>
      </c>
      <c r="P101" s="9">
        <f t="shared" si="11"/>
        <v>51.111111111111107</v>
      </c>
      <c r="X101" s="9">
        <f t="shared" si="12"/>
        <v>324.26111111111106</v>
      </c>
    </row>
    <row r="102" spans="1:24" x14ac:dyDescent="0.25">
      <c r="A102" s="9" t="s">
        <v>364</v>
      </c>
      <c r="B102" s="9" t="s">
        <v>248</v>
      </c>
      <c r="C102" s="9">
        <f>VLOOKUP(B102,{"iPhone",1;"Motorola",2;"Nokia",3;"Samsung",4;"Sony Erickson",5;"Sprint",6},2,0)</f>
        <v>3</v>
      </c>
      <c r="H102" s="9" t="s">
        <v>364</v>
      </c>
      <c r="I102" s="9" t="s">
        <v>242</v>
      </c>
      <c r="J102" s="9">
        <f>VLOOKUP(I102,{"Excellent",4;"Poor",1;"Good",3;"OK",2},2,0)</f>
        <v>1</v>
      </c>
      <c r="O102" s="9">
        <v>123</v>
      </c>
      <c r="P102" s="9">
        <f t="shared" si="11"/>
        <v>50.555555555555557</v>
      </c>
      <c r="X102" s="9">
        <f t="shared" si="12"/>
        <v>323.70555555555552</v>
      </c>
    </row>
    <row r="103" spans="1:24" x14ac:dyDescent="0.25">
      <c r="A103" s="9" t="s">
        <v>365</v>
      </c>
      <c r="B103" s="9" t="s">
        <v>254</v>
      </c>
      <c r="C103" s="9">
        <f>VLOOKUP(B103,{"iPhone",1;"Motorola",2;"Nokia",3;"Samsung",4;"Sony Erickson",5;"Sprint",6},2,0)</f>
        <v>5</v>
      </c>
      <c r="H103" s="9" t="s">
        <v>365</v>
      </c>
      <c r="I103" s="9" t="s">
        <v>242</v>
      </c>
      <c r="J103" s="9">
        <f>VLOOKUP(I103,{"Excellent",4;"Poor",1;"Good",3;"OK",2},2,0)</f>
        <v>1</v>
      </c>
      <c r="O103" s="9">
        <v>122</v>
      </c>
      <c r="P103" s="9">
        <f t="shared" si="11"/>
        <v>50</v>
      </c>
      <c r="X103" s="9">
        <f t="shared" si="12"/>
        <v>323.14999999999998</v>
      </c>
    </row>
    <row r="104" spans="1:24" x14ac:dyDescent="0.25">
      <c r="A104" s="9" t="s">
        <v>366</v>
      </c>
      <c r="B104" s="9" t="s">
        <v>258</v>
      </c>
      <c r="C104" s="9">
        <f>VLOOKUP(B104,{"iPhone",1;"Motorola",2;"Nokia",3;"Samsung",4;"Sony Erickson",5;"Sprint",6},2,0)</f>
        <v>6</v>
      </c>
      <c r="H104" s="9" t="s">
        <v>366</v>
      </c>
      <c r="I104" s="9" t="s">
        <v>242</v>
      </c>
      <c r="J104" s="9">
        <f>VLOOKUP(I104,{"Excellent",4;"Poor",1;"Good",3;"OK",2},2,0)</f>
        <v>1</v>
      </c>
      <c r="O104" s="9">
        <v>121</v>
      </c>
      <c r="P104" s="9">
        <f t="shared" si="11"/>
        <v>49.444444444444443</v>
      </c>
      <c r="X104" s="9">
        <f t="shared" si="12"/>
        <v>322.59444444444443</v>
      </c>
    </row>
    <row r="105" spans="1:24" x14ac:dyDescent="0.25">
      <c r="A105" s="9" t="s">
        <v>367</v>
      </c>
      <c r="B105" s="9" t="s">
        <v>248</v>
      </c>
      <c r="C105" s="9">
        <f>VLOOKUP(B105,{"iPhone",1;"Motorola",2;"Nokia",3;"Samsung",4;"Sony Erickson",5;"Sprint",6},2,0)</f>
        <v>3</v>
      </c>
      <c r="H105" s="9" t="s">
        <v>367</v>
      </c>
      <c r="I105" s="9" t="s">
        <v>242</v>
      </c>
      <c r="J105" s="9">
        <f>VLOOKUP(I105,{"Excellent",4;"Poor",1;"Good",3;"OK",2},2,0)</f>
        <v>1</v>
      </c>
      <c r="O105" s="9">
        <v>120</v>
      </c>
      <c r="P105" s="9">
        <f t="shared" si="11"/>
        <v>48.888888888888886</v>
      </c>
      <c r="X105" s="9">
        <f t="shared" si="12"/>
        <v>322.03888888888889</v>
      </c>
    </row>
    <row r="106" spans="1:24" x14ac:dyDescent="0.25">
      <c r="A106" s="9" t="s">
        <v>368</v>
      </c>
      <c r="B106" s="9" t="s">
        <v>236</v>
      </c>
      <c r="C106" s="9">
        <f>VLOOKUP(B106,{"iPhone",1;"Motorola",2;"Nokia",3;"Samsung",4;"Sony Erickson",5;"Sprint",6},2,0)</f>
        <v>1</v>
      </c>
      <c r="H106" s="9" t="s">
        <v>368</v>
      </c>
      <c r="I106" s="9" t="s">
        <v>242</v>
      </c>
      <c r="J106" s="9">
        <f>VLOOKUP(I106,{"Excellent",4;"Poor",1;"Good",3;"OK",2},2,0)</f>
        <v>1</v>
      </c>
      <c r="O106" s="9">
        <v>119</v>
      </c>
      <c r="P106" s="9">
        <f t="shared" si="11"/>
        <v>48.333333333333329</v>
      </c>
      <c r="X106" s="9">
        <f t="shared" si="12"/>
        <v>321.48333333333329</v>
      </c>
    </row>
    <row r="107" spans="1:24" x14ac:dyDescent="0.25">
      <c r="A107" s="9" t="s">
        <v>369</v>
      </c>
      <c r="B107" s="9" t="s">
        <v>258</v>
      </c>
      <c r="C107" s="9">
        <f>VLOOKUP(B107,{"iPhone",1;"Motorola",2;"Nokia",3;"Samsung",4;"Sony Erickson",5;"Sprint",6},2,0)</f>
        <v>6</v>
      </c>
      <c r="H107" s="9" t="s">
        <v>369</v>
      </c>
      <c r="I107" s="9" t="s">
        <v>242</v>
      </c>
      <c r="J107" s="9">
        <f>VLOOKUP(I107,{"Excellent",4;"Poor",1;"Good",3;"OK",2},2,0)</f>
        <v>1</v>
      </c>
      <c r="O107" s="9">
        <v>118</v>
      </c>
      <c r="P107" s="9">
        <f t="shared" si="11"/>
        <v>47.777777777777779</v>
      </c>
      <c r="X107" s="9">
        <f t="shared" si="12"/>
        <v>320.92777777777775</v>
      </c>
    </row>
    <row r="108" spans="1:24" x14ac:dyDescent="0.25">
      <c r="A108" s="9" t="s">
        <v>370</v>
      </c>
      <c r="B108" s="9" t="s">
        <v>254</v>
      </c>
      <c r="C108" s="9">
        <f>VLOOKUP(B108,{"iPhone",1;"Motorola",2;"Nokia",3;"Samsung",4;"Sony Erickson",5;"Sprint",6},2,0)</f>
        <v>5</v>
      </c>
      <c r="H108" s="9" t="s">
        <v>370</v>
      </c>
      <c r="I108" s="9" t="s">
        <v>242</v>
      </c>
      <c r="J108" s="9">
        <f>VLOOKUP(I108,{"Excellent",4;"Poor",1;"Good",3;"OK",2},2,0)</f>
        <v>1</v>
      </c>
      <c r="O108" s="9">
        <v>117</v>
      </c>
      <c r="P108" s="9">
        <f t="shared" si="11"/>
        <v>47.222222222222221</v>
      </c>
      <c r="X108" s="9">
        <f t="shared" si="12"/>
        <v>320.37222222222221</v>
      </c>
    </row>
    <row r="109" spans="1:24" x14ac:dyDescent="0.25">
      <c r="A109" s="9" t="s">
        <v>371</v>
      </c>
      <c r="B109" s="9" t="s">
        <v>235</v>
      </c>
      <c r="C109" s="9">
        <f>VLOOKUP(B109,{"iPhone",1;"Motorola",2;"Nokia",3;"Samsung",4;"Sony Erickson",5;"Sprint",6},2,0)</f>
        <v>2</v>
      </c>
      <c r="H109" s="9" t="s">
        <v>371</v>
      </c>
      <c r="I109" s="9" t="s">
        <v>242</v>
      </c>
      <c r="J109" s="9">
        <f>VLOOKUP(I109,{"Excellent",4;"Poor",1;"Good",3;"OK",2},2,0)</f>
        <v>1</v>
      </c>
      <c r="O109" s="9">
        <v>116</v>
      </c>
      <c r="P109" s="9">
        <f t="shared" si="11"/>
        <v>46.666666666666664</v>
      </c>
      <c r="X109" s="9">
        <f t="shared" si="12"/>
        <v>319.81666666666666</v>
      </c>
    </row>
    <row r="110" spans="1:24" x14ac:dyDescent="0.25">
      <c r="A110" s="9" t="s">
        <v>372</v>
      </c>
      <c r="B110" s="9" t="s">
        <v>248</v>
      </c>
      <c r="C110" s="9">
        <f>VLOOKUP(B110,{"iPhone",1;"Motorola",2;"Nokia",3;"Samsung",4;"Sony Erickson",5;"Sprint",6},2,0)</f>
        <v>3</v>
      </c>
      <c r="H110" s="9" t="s">
        <v>372</v>
      </c>
      <c r="I110" s="9" t="s">
        <v>242</v>
      </c>
      <c r="J110" s="9">
        <f>VLOOKUP(I110,{"Excellent",4;"Poor",1;"Good",3;"OK",2},2,0)</f>
        <v>1</v>
      </c>
      <c r="O110" s="9">
        <v>115</v>
      </c>
      <c r="P110" s="9">
        <f t="shared" si="11"/>
        <v>46.111111111111107</v>
      </c>
      <c r="X110" s="9">
        <f t="shared" si="12"/>
        <v>319.26111111111106</v>
      </c>
    </row>
    <row r="111" spans="1:24" x14ac:dyDescent="0.25">
      <c r="A111" s="9" t="s">
        <v>373</v>
      </c>
      <c r="B111" s="9" t="s">
        <v>236</v>
      </c>
      <c r="C111" s="9">
        <f>VLOOKUP(B111,{"iPhone",1;"Motorola",2;"Nokia",3;"Samsung",4;"Sony Erickson",5;"Sprint",6},2,0)</f>
        <v>1</v>
      </c>
      <c r="H111" s="9" t="s">
        <v>373</v>
      </c>
      <c r="I111" s="9" t="s">
        <v>237</v>
      </c>
      <c r="J111" s="9">
        <f>VLOOKUP(I111,{"Excellent",4;"Poor",1;"Good",3;"OK",2},2,0)</f>
        <v>2</v>
      </c>
      <c r="O111" s="9">
        <v>114</v>
      </c>
      <c r="P111" s="9">
        <f t="shared" si="11"/>
        <v>45.555555555555557</v>
      </c>
      <c r="X111" s="9">
        <f t="shared" si="12"/>
        <v>318.70555555555552</v>
      </c>
    </row>
    <row r="112" spans="1:24" x14ac:dyDescent="0.25">
      <c r="A112" s="9" t="s">
        <v>374</v>
      </c>
      <c r="B112" s="9" t="s">
        <v>248</v>
      </c>
      <c r="C112" s="9">
        <f>VLOOKUP(B112,{"iPhone",1;"Motorola",2;"Nokia",3;"Samsung",4;"Sony Erickson",5;"Sprint",6},2,0)</f>
        <v>3</v>
      </c>
      <c r="H112" s="9" t="s">
        <v>374</v>
      </c>
      <c r="I112" s="9" t="s">
        <v>238</v>
      </c>
      <c r="J112" s="9">
        <f>VLOOKUP(I112,{"Excellent",4;"Poor",1;"Good",3;"OK",2},2,0)</f>
        <v>4</v>
      </c>
      <c r="O112" s="9">
        <v>113</v>
      </c>
      <c r="P112" s="9">
        <f t="shared" si="11"/>
        <v>45</v>
      </c>
      <c r="X112" s="9">
        <f t="shared" si="12"/>
        <v>318.14999999999998</v>
      </c>
    </row>
    <row r="113" spans="1:24" x14ac:dyDescent="0.25">
      <c r="A113" s="9" t="s">
        <v>375</v>
      </c>
      <c r="B113" s="9" t="s">
        <v>248</v>
      </c>
      <c r="C113" s="9">
        <f>VLOOKUP(B113,{"iPhone",1;"Motorola",2;"Nokia",3;"Samsung",4;"Sony Erickson",5;"Sprint",6},2,0)</f>
        <v>3</v>
      </c>
      <c r="H113" s="9" t="s">
        <v>375</v>
      </c>
      <c r="I113" s="9" t="s">
        <v>242</v>
      </c>
      <c r="J113" s="9">
        <f>VLOOKUP(I113,{"Excellent",4;"Poor",1;"Good",3;"OK",2},2,0)</f>
        <v>1</v>
      </c>
      <c r="O113" s="9">
        <v>112</v>
      </c>
      <c r="P113" s="9">
        <f t="shared" si="11"/>
        <v>44.444444444444443</v>
      </c>
      <c r="X113" s="9">
        <f t="shared" si="12"/>
        <v>317.59444444444443</v>
      </c>
    </row>
    <row r="114" spans="1:24" x14ac:dyDescent="0.25">
      <c r="A114" s="9" t="s">
        <v>376</v>
      </c>
      <c r="B114" s="9" t="s">
        <v>235</v>
      </c>
      <c r="C114" s="9">
        <f>VLOOKUP(B114,{"iPhone",1;"Motorola",2;"Nokia",3;"Samsung",4;"Sony Erickson",5;"Sprint",6},2,0)</f>
        <v>2</v>
      </c>
      <c r="H114" s="9" t="s">
        <v>376</v>
      </c>
      <c r="I114" s="9" t="s">
        <v>238</v>
      </c>
      <c r="J114" s="9">
        <f>VLOOKUP(I114,{"Excellent",4;"Poor",1;"Good",3;"OK",2},2,0)</f>
        <v>4</v>
      </c>
      <c r="O114" s="9">
        <v>111</v>
      </c>
      <c r="P114" s="9">
        <f t="shared" si="11"/>
        <v>43.888888888888886</v>
      </c>
      <c r="X114" s="9">
        <f t="shared" si="12"/>
        <v>317.03888888888889</v>
      </c>
    </row>
    <row r="115" spans="1:24" x14ac:dyDescent="0.25">
      <c r="A115" s="9" t="s">
        <v>377</v>
      </c>
      <c r="B115" s="9" t="s">
        <v>236</v>
      </c>
      <c r="C115" s="9">
        <f>VLOOKUP(B115,{"iPhone",1;"Motorola",2;"Nokia",3;"Samsung",4;"Sony Erickson",5;"Sprint",6},2,0)</f>
        <v>1</v>
      </c>
      <c r="H115" s="9" t="s">
        <v>377</v>
      </c>
      <c r="I115" s="9" t="s">
        <v>237</v>
      </c>
      <c r="J115" s="9">
        <f>VLOOKUP(I115,{"Excellent",4;"Poor",1;"Good",3;"OK",2},2,0)</f>
        <v>2</v>
      </c>
      <c r="O115" s="9">
        <v>110</v>
      </c>
      <c r="P115" s="9">
        <f t="shared" si="11"/>
        <v>43.333333333333336</v>
      </c>
      <c r="X115" s="9">
        <f t="shared" si="12"/>
        <v>316.48333333333329</v>
      </c>
    </row>
    <row r="116" spans="1:24" x14ac:dyDescent="0.25">
      <c r="A116" s="9" t="s">
        <v>378</v>
      </c>
      <c r="B116" s="9" t="s">
        <v>248</v>
      </c>
      <c r="C116" s="9">
        <f>VLOOKUP(B116,{"iPhone",1;"Motorola",2;"Nokia",3;"Samsung",4;"Sony Erickson",5;"Sprint",6},2,0)</f>
        <v>3</v>
      </c>
      <c r="H116" s="9" t="s">
        <v>378</v>
      </c>
      <c r="I116" s="9" t="s">
        <v>243</v>
      </c>
      <c r="J116" s="9">
        <f>VLOOKUP(I116,{"Excellent",4;"Poor",1;"Good",3;"OK",2},2,0)</f>
        <v>3</v>
      </c>
      <c r="O116" s="9">
        <v>109</v>
      </c>
      <c r="P116" s="9">
        <f t="shared" si="11"/>
        <v>42.777777777777779</v>
      </c>
      <c r="X116" s="9">
        <f t="shared" si="12"/>
        <v>315.92777777777775</v>
      </c>
    </row>
    <row r="117" spans="1:24" x14ac:dyDescent="0.25">
      <c r="A117" s="9" t="s">
        <v>379</v>
      </c>
      <c r="B117" s="9" t="s">
        <v>248</v>
      </c>
      <c r="C117" s="9">
        <f>VLOOKUP(B117,{"iPhone",1;"Motorola",2;"Nokia",3;"Samsung",4;"Sony Erickson",5;"Sprint",6},2,0)</f>
        <v>3</v>
      </c>
      <c r="H117" s="9" t="s">
        <v>379</v>
      </c>
      <c r="I117" s="9" t="s">
        <v>242</v>
      </c>
      <c r="J117" s="9">
        <f>VLOOKUP(I117,{"Excellent",4;"Poor",1;"Good",3;"OK",2},2,0)</f>
        <v>1</v>
      </c>
      <c r="O117" s="9">
        <v>108</v>
      </c>
      <c r="P117" s="9">
        <f t="shared" si="11"/>
        <v>42.222222222222221</v>
      </c>
      <c r="X117" s="9">
        <f t="shared" si="12"/>
        <v>315.37222222222221</v>
      </c>
    </row>
    <row r="118" spans="1:24" x14ac:dyDescent="0.25">
      <c r="A118" s="9" t="s">
        <v>380</v>
      </c>
      <c r="B118" s="9" t="s">
        <v>248</v>
      </c>
      <c r="C118" s="9">
        <f>VLOOKUP(B118,{"iPhone",1;"Motorola",2;"Nokia",3;"Samsung",4;"Sony Erickson",5;"Sprint",6},2,0)</f>
        <v>3</v>
      </c>
      <c r="H118" s="9" t="s">
        <v>380</v>
      </c>
      <c r="I118" s="9" t="s">
        <v>243</v>
      </c>
      <c r="J118" s="9">
        <f>VLOOKUP(I118,{"Excellent",4;"Poor",1;"Good",3;"OK",2},2,0)</f>
        <v>3</v>
      </c>
      <c r="O118" s="9">
        <v>107</v>
      </c>
      <c r="P118" s="9">
        <f t="shared" si="11"/>
        <v>41.666666666666664</v>
      </c>
      <c r="X118" s="9">
        <f t="shared" si="12"/>
        <v>314.81666666666666</v>
      </c>
    </row>
    <row r="119" spans="1:24" x14ac:dyDescent="0.25">
      <c r="A119" s="9" t="s">
        <v>381</v>
      </c>
      <c r="B119" s="9" t="s">
        <v>235</v>
      </c>
      <c r="C119" s="9">
        <f>VLOOKUP(B119,{"iPhone",1;"Motorola",2;"Nokia",3;"Samsung",4;"Sony Erickson",5;"Sprint",6},2,0)</f>
        <v>2</v>
      </c>
      <c r="H119" s="9" t="s">
        <v>381</v>
      </c>
      <c r="I119" s="9" t="s">
        <v>237</v>
      </c>
      <c r="J119" s="9">
        <f>VLOOKUP(I119,{"Excellent",4;"Poor",1;"Good",3;"OK",2},2,0)</f>
        <v>2</v>
      </c>
      <c r="O119" s="9">
        <v>106</v>
      </c>
      <c r="P119" s="9">
        <f t="shared" si="11"/>
        <v>41.111111111111107</v>
      </c>
      <c r="X119" s="9">
        <f t="shared" si="12"/>
        <v>314.26111111111106</v>
      </c>
    </row>
    <row r="120" spans="1:24" x14ac:dyDescent="0.25">
      <c r="A120" s="9" t="s">
        <v>382</v>
      </c>
      <c r="B120" s="9" t="s">
        <v>258</v>
      </c>
      <c r="C120" s="9">
        <f>VLOOKUP(B120,{"iPhone",1;"Motorola",2;"Nokia",3;"Samsung",4;"Sony Erickson",5;"Sprint",6},2,0)</f>
        <v>6</v>
      </c>
      <c r="H120" s="9" t="s">
        <v>382</v>
      </c>
      <c r="I120" s="9" t="s">
        <v>237</v>
      </c>
      <c r="J120" s="9">
        <f>VLOOKUP(I120,{"Excellent",4;"Poor",1;"Good",3;"OK",2},2,0)</f>
        <v>2</v>
      </c>
      <c r="O120" s="9">
        <v>105</v>
      </c>
      <c r="P120" s="9">
        <f t="shared" si="11"/>
        <v>40.555555555555557</v>
      </c>
      <c r="X120" s="9">
        <f t="shared" si="12"/>
        <v>313.70555555555552</v>
      </c>
    </row>
    <row r="121" spans="1:24" x14ac:dyDescent="0.25">
      <c r="A121" s="9" t="s">
        <v>383</v>
      </c>
      <c r="B121" s="9" t="s">
        <v>258</v>
      </c>
      <c r="C121" s="9">
        <f>VLOOKUP(B121,{"iPhone",1;"Motorola",2;"Nokia",3;"Samsung",4;"Sony Erickson",5;"Sprint",6},2,0)</f>
        <v>6</v>
      </c>
      <c r="H121" s="9" t="s">
        <v>383</v>
      </c>
      <c r="I121" s="9" t="s">
        <v>242</v>
      </c>
      <c r="J121" s="9">
        <f>VLOOKUP(I121,{"Excellent",4;"Poor",1;"Good",3;"OK",2},2,0)</f>
        <v>1</v>
      </c>
      <c r="O121" s="9">
        <v>104</v>
      </c>
      <c r="P121" s="9">
        <f t="shared" si="11"/>
        <v>40</v>
      </c>
      <c r="X121" s="9">
        <f t="shared" si="12"/>
        <v>313.14999999999998</v>
      </c>
    </row>
    <row r="122" spans="1:24" x14ac:dyDescent="0.25">
      <c r="A122" s="9" t="s">
        <v>384</v>
      </c>
      <c r="B122" s="9" t="s">
        <v>258</v>
      </c>
      <c r="C122" s="9">
        <f>VLOOKUP(B122,{"iPhone",1;"Motorola",2;"Nokia",3;"Samsung",4;"Sony Erickson",5;"Sprint",6},2,0)</f>
        <v>6</v>
      </c>
      <c r="H122" s="9" t="s">
        <v>384</v>
      </c>
      <c r="I122" s="9" t="s">
        <v>238</v>
      </c>
      <c r="J122" s="9">
        <f>VLOOKUP(I122,{"Excellent",4;"Poor",1;"Good",3;"OK",2},2,0)</f>
        <v>4</v>
      </c>
      <c r="O122" s="9">
        <v>103</v>
      </c>
      <c r="P122" s="9">
        <f t="shared" si="11"/>
        <v>39.444444444444443</v>
      </c>
      <c r="X122" s="9">
        <f t="shared" si="12"/>
        <v>312.59444444444443</v>
      </c>
    </row>
    <row r="123" spans="1:24" x14ac:dyDescent="0.25">
      <c r="A123" s="9" t="s">
        <v>385</v>
      </c>
      <c r="B123" s="9" t="s">
        <v>248</v>
      </c>
      <c r="C123" s="9">
        <f>VLOOKUP(B123,{"iPhone",1;"Motorola",2;"Nokia",3;"Samsung",4;"Sony Erickson",5;"Sprint",6},2,0)</f>
        <v>3</v>
      </c>
      <c r="H123" s="9" t="s">
        <v>385</v>
      </c>
      <c r="I123" s="9" t="s">
        <v>238</v>
      </c>
      <c r="J123" s="9">
        <f>VLOOKUP(I123,{"Excellent",4;"Poor",1;"Good",3;"OK",2},2,0)</f>
        <v>4</v>
      </c>
      <c r="O123" s="9">
        <v>102</v>
      </c>
      <c r="P123" s="9">
        <f t="shared" si="11"/>
        <v>38.888888888888886</v>
      </c>
      <c r="X123" s="9">
        <f t="shared" si="12"/>
        <v>312.03888888888889</v>
      </c>
    </row>
    <row r="124" spans="1:24" x14ac:dyDescent="0.25">
      <c r="A124" s="9" t="s">
        <v>386</v>
      </c>
      <c r="B124" s="9" t="s">
        <v>248</v>
      </c>
      <c r="C124" s="9">
        <f>VLOOKUP(B124,{"iPhone",1;"Motorola",2;"Nokia",3;"Samsung",4;"Sony Erickson",5;"Sprint",6},2,0)</f>
        <v>3</v>
      </c>
      <c r="H124" s="9" t="s">
        <v>386</v>
      </c>
      <c r="I124" s="9" t="s">
        <v>238</v>
      </c>
      <c r="J124" s="9">
        <f>VLOOKUP(I124,{"Excellent",4;"Poor",1;"Good",3;"OK",2},2,0)</f>
        <v>4</v>
      </c>
      <c r="O124" s="9">
        <v>101</v>
      </c>
      <c r="P124" s="9">
        <f t="shared" si="11"/>
        <v>38.333333333333336</v>
      </c>
      <c r="X124" s="9">
        <f t="shared" si="12"/>
        <v>311.48333333333329</v>
      </c>
    </row>
    <row r="125" spans="1:24" x14ac:dyDescent="0.25">
      <c r="A125" s="9" t="s">
        <v>387</v>
      </c>
      <c r="B125" s="9" t="s">
        <v>258</v>
      </c>
      <c r="C125" s="9">
        <f>VLOOKUP(B125,{"iPhone",1;"Motorola",2;"Nokia",3;"Samsung",4;"Sony Erickson",5;"Sprint",6},2,0)</f>
        <v>6</v>
      </c>
      <c r="H125" s="9" t="s">
        <v>387</v>
      </c>
      <c r="I125" s="9" t="s">
        <v>238</v>
      </c>
      <c r="J125" s="9">
        <f>VLOOKUP(I125,{"Excellent",4;"Poor",1;"Good",3;"OK",2},2,0)</f>
        <v>4</v>
      </c>
      <c r="O125" s="9">
        <v>100</v>
      </c>
      <c r="P125" s="9">
        <f t="shared" si="11"/>
        <v>37.777777777777779</v>
      </c>
      <c r="X125" s="9">
        <f t="shared" si="12"/>
        <v>310.92777777777775</v>
      </c>
    </row>
    <row r="126" spans="1:24" x14ac:dyDescent="0.25">
      <c r="A126" s="9" t="s">
        <v>388</v>
      </c>
      <c r="B126" s="9" t="s">
        <v>248</v>
      </c>
      <c r="C126" s="9">
        <f>VLOOKUP(B126,{"iPhone",1;"Motorola",2;"Nokia",3;"Samsung",4;"Sony Erickson",5;"Sprint",6},2,0)</f>
        <v>3</v>
      </c>
      <c r="H126" s="9" t="s">
        <v>388</v>
      </c>
      <c r="I126" s="9" t="s">
        <v>237</v>
      </c>
      <c r="J126" s="9">
        <f>VLOOKUP(I126,{"Excellent",4;"Poor",1;"Good",3;"OK",2},2,0)</f>
        <v>2</v>
      </c>
      <c r="O126" s="9">
        <v>99</v>
      </c>
      <c r="P126" s="9">
        <f t="shared" si="11"/>
        <v>37.222222222222221</v>
      </c>
      <c r="X126" s="9">
        <f t="shared" si="12"/>
        <v>310.37222222222221</v>
      </c>
    </row>
    <row r="127" spans="1:24" x14ac:dyDescent="0.25">
      <c r="A127" s="9" t="s">
        <v>389</v>
      </c>
      <c r="B127" s="9" t="s">
        <v>247</v>
      </c>
      <c r="C127" s="9">
        <f>VLOOKUP(B127,{"iPhone",1;"Motorola",2;"Nokia",3;"Samsung",4;"Sony Erickson",5;"Sprint",6},2,0)</f>
        <v>4</v>
      </c>
      <c r="H127" s="9" t="s">
        <v>389</v>
      </c>
      <c r="I127" s="9" t="s">
        <v>243</v>
      </c>
      <c r="J127" s="9">
        <f>VLOOKUP(I127,{"Excellent",4;"Poor",1;"Good",3;"OK",2},2,0)</f>
        <v>3</v>
      </c>
      <c r="O127" s="9">
        <v>98</v>
      </c>
      <c r="P127" s="9">
        <f t="shared" si="11"/>
        <v>36.666666666666664</v>
      </c>
      <c r="X127" s="9">
        <f t="shared" si="12"/>
        <v>309.81666666666666</v>
      </c>
    </row>
    <row r="128" spans="1:24" x14ac:dyDescent="0.25">
      <c r="A128" s="9" t="s">
        <v>390</v>
      </c>
      <c r="B128" s="9" t="s">
        <v>247</v>
      </c>
      <c r="C128" s="9">
        <f>VLOOKUP(B128,{"iPhone",1;"Motorola",2;"Nokia",3;"Samsung",4;"Sony Erickson",5;"Sprint",6},2,0)</f>
        <v>4</v>
      </c>
      <c r="H128" s="9" t="s">
        <v>390</v>
      </c>
      <c r="I128" s="9" t="s">
        <v>242</v>
      </c>
      <c r="J128" s="9">
        <f>VLOOKUP(I128,{"Excellent",4;"Poor",1;"Good",3;"OK",2},2,0)</f>
        <v>1</v>
      </c>
      <c r="O128" s="9">
        <v>97</v>
      </c>
      <c r="P128" s="9">
        <f t="shared" si="11"/>
        <v>36.111111111111107</v>
      </c>
      <c r="X128" s="9">
        <f t="shared" si="12"/>
        <v>309.26111111111106</v>
      </c>
    </row>
    <row r="129" spans="1:24" x14ac:dyDescent="0.25">
      <c r="A129" s="9" t="s">
        <v>391</v>
      </c>
      <c r="B129" s="9" t="s">
        <v>247</v>
      </c>
      <c r="C129" s="9">
        <f>VLOOKUP(B129,{"iPhone",1;"Motorola",2;"Nokia",3;"Samsung",4;"Sony Erickson",5;"Sprint",6},2,0)</f>
        <v>4</v>
      </c>
      <c r="H129" s="9" t="s">
        <v>391</v>
      </c>
      <c r="I129" s="9" t="s">
        <v>242</v>
      </c>
      <c r="J129" s="9">
        <f>VLOOKUP(I129,{"Excellent",4;"Poor",1;"Good",3;"OK",2},2,0)</f>
        <v>1</v>
      </c>
      <c r="O129" s="9">
        <v>96</v>
      </c>
      <c r="P129" s="9">
        <f t="shared" si="11"/>
        <v>35.555555555555557</v>
      </c>
      <c r="X129" s="9">
        <f t="shared" si="12"/>
        <v>308.70555555555552</v>
      </c>
    </row>
    <row r="130" spans="1:24" x14ac:dyDescent="0.25">
      <c r="A130" s="9" t="s">
        <v>392</v>
      </c>
      <c r="B130" s="9" t="s">
        <v>247</v>
      </c>
      <c r="C130" s="9">
        <f>VLOOKUP(B130,{"iPhone",1;"Motorola",2;"Nokia",3;"Samsung",4;"Sony Erickson",5;"Sprint",6},2,0)</f>
        <v>4</v>
      </c>
      <c r="H130" s="9" t="s">
        <v>392</v>
      </c>
      <c r="I130" s="9" t="s">
        <v>238</v>
      </c>
      <c r="J130" s="9">
        <f>VLOOKUP(I130,{"Excellent",4;"Poor",1;"Good",3;"OK",2},2,0)</f>
        <v>4</v>
      </c>
      <c r="O130" s="9">
        <v>95</v>
      </c>
      <c r="P130" s="9">
        <f t="shared" si="11"/>
        <v>35</v>
      </c>
      <c r="X130" s="9">
        <f t="shared" si="12"/>
        <v>308.14999999999998</v>
      </c>
    </row>
    <row r="131" spans="1:24" x14ac:dyDescent="0.25">
      <c r="A131" s="9" t="s">
        <v>393</v>
      </c>
      <c r="B131" s="9" t="s">
        <v>235</v>
      </c>
      <c r="C131" s="9">
        <f>VLOOKUP(B131,{"iPhone",1;"Motorola",2;"Nokia",3;"Samsung",4;"Sony Erickson",5;"Sprint",6},2,0)</f>
        <v>2</v>
      </c>
      <c r="H131" s="9" t="s">
        <v>393</v>
      </c>
      <c r="I131" s="9" t="s">
        <v>242</v>
      </c>
      <c r="J131" s="9">
        <f>VLOOKUP(I131,{"Excellent",4;"Poor",1;"Good",3;"OK",2},2,0)</f>
        <v>1</v>
      </c>
      <c r="O131" s="9">
        <v>94</v>
      </c>
      <c r="P131" s="9">
        <f t="shared" si="11"/>
        <v>34.444444444444443</v>
      </c>
      <c r="X131" s="9">
        <f t="shared" si="12"/>
        <v>307.59444444444443</v>
      </c>
    </row>
    <row r="132" spans="1:24" x14ac:dyDescent="0.25">
      <c r="A132" s="9" t="s">
        <v>394</v>
      </c>
      <c r="B132" s="9" t="s">
        <v>254</v>
      </c>
      <c r="C132" s="9">
        <f>VLOOKUP(B132,{"iPhone",1;"Motorola",2;"Nokia",3;"Samsung",4;"Sony Erickson",5;"Sprint",6},2,0)</f>
        <v>5</v>
      </c>
      <c r="H132" s="9" t="s">
        <v>394</v>
      </c>
      <c r="I132" s="9" t="s">
        <v>242</v>
      </c>
      <c r="J132" s="9">
        <f>VLOOKUP(I132,{"Excellent",4;"Poor",1;"Good",3;"OK",2},2,0)</f>
        <v>1</v>
      </c>
      <c r="O132" s="9">
        <v>93</v>
      </c>
      <c r="P132" s="9">
        <f t="shared" si="11"/>
        <v>33.888888888888886</v>
      </c>
      <c r="X132" s="9">
        <f t="shared" si="12"/>
        <v>307.03888888888889</v>
      </c>
    </row>
    <row r="133" spans="1:24" x14ac:dyDescent="0.25">
      <c r="A133" s="9" t="s">
        <v>395</v>
      </c>
      <c r="B133" s="9" t="s">
        <v>235</v>
      </c>
      <c r="C133" s="9">
        <f>VLOOKUP(B133,{"iPhone",1;"Motorola",2;"Nokia",3;"Samsung",4;"Sony Erickson",5;"Sprint",6},2,0)</f>
        <v>2</v>
      </c>
      <c r="H133" s="9" t="s">
        <v>395</v>
      </c>
      <c r="I133" s="9" t="s">
        <v>237</v>
      </c>
      <c r="J133" s="9">
        <f>VLOOKUP(I133,{"Excellent",4;"Poor",1;"Good",3;"OK",2},2,0)</f>
        <v>2</v>
      </c>
      <c r="O133" s="9">
        <v>92</v>
      </c>
      <c r="P133" s="9">
        <f t="shared" ref="P133:P196" si="13">CONVERT(O133,"F","C")</f>
        <v>33.333333333333336</v>
      </c>
      <c r="X133" s="9">
        <f t="shared" si="12"/>
        <v>306.48333333333329</v>
      </c>
    </row>
    <row r="134" spans="1:24" x14ac:dyDescent="0.25">
      <c r="A134" s="9" t="s">
        <v>396</v>
      </c>
      <c r="B134" s="9" t="s">
        <v>236</v>
      </c>
      <c r="C134" s="9">
        <f>VLOOKUP(B134,{"iPhone",1;"Motorola",2;"Nokia",3;"Samsung",4;"Sony Erickson",5;"Sprint",6},2,0)</f>
        <v>1</v>
      </c>
      <c r="H134" s="9" t="s">
        <v>396</v>
      </c>
      <c r="I134" s="9" t="s">
        <v>242</v>
      </c>
      <c r="J134" s="9">
        <f>VLOOKUP(I134,{"Excellent",4;"Poor",1;"Good",3;"OK",2},2,0)</f>
        <v>1</v>
      </c>
      <c r="O134" s="9">
        <v>91</v>
      </c>
      <c r="P134" s="9">
        <f t="shared" si="13"/>
        <v>32.777777777777779</v>
      </c>
      <c r="X134" s="9">
        <f t="shared" ref="X134:X197" si="14">CONVERT(O134,"F","K")</f>
        <v>305.92777777777775</v>
      </c>
    </row>
    <row r="135" spans="1:24" x14ac:dyDescent="0.25">
      <c r="A135" s="9" t="s">
        <v>397</v>
      </c>
      <c r="B135" s="9" t="s">
        <v>236</v>
      </c>
      <c r="C135" s="9">
        <f>VLOOKUP(B135,{"iPhone",1;"Motorola",2;"Nokia",3;"Samsung",4;"Sony Erickson",5;"Sprint",6},2,0)</f>
        <v>1</v>
      </c>
      <c r="H135" s="9" t="s">
        <v>397</v>
      </c>
      <c r="I135" s="9" t="s">
        <v>242</v>
      </c>
      <c r="J135" s="9">
        <f>VLOOKUP(I135,{"Excellent",4;"Poor",1;"Good",3;"OK",2},2,0)</f>
        <v>1</v>
      </c>
      <c r="O135" s="9">
        <v>90</v>
      </c>
      <c r="P135" s="9">
        <f t="shared" si="13"/>
        <v>32.222222222222221</v>
      </c>
      <c r="X135" s="9">
        <f t="shared" si="14"/>
        <v>305.37222222222221</v>
      </c>
    </row>
    <row r="136" spans="1:24" x14ac:dyDescent="0.25">
      <c r="A136" s="9" t="s">
        <v>398</v>
      </c>
      <c r="B136" s="9" t="s">
        <v>258</v>
      </c>
      <c r="C136" s="9">
        <f>VLOOKUP(B136,{"iPhone",1;"Motorola",2;"Nokia",3;"Samsung",4;"Sony Erickson",5;"Sprint",6},2,0)</f>
        <v>6</v>
      </c>
      <c r="H136" s="9" t="s">
        <v>398</v>
      </c>
      <c r="I136" s="9" t="s">
        <v>242</v>
      </c>
      <c r="J136" s="9">
        <f>VLOOKUP(I136,{"Excellent",4;"Poor",1;"Good",3;"OK",2},2,0)</f>
        <v>1</v>
      </c>
      <c r="O136" s="9">
        <v>89</v>
      </c>
      <c r="P136" s="9">
        <f t="shared" si="13"/>
        <v>31.666666666666664</v>
      </c>
      <c r="X136" s="9">
        <f t="shared" si="14"/>
        <v>304.81666666666666</v>
      </c>
    </row>
    <row r="137" spans="1:24" x14ac:dyDescent="0.25">
      <c r="A137" s="9" t="s">
        <v>399</v>
      </c>
      <c r="B137" s="9" t="s">
        <v>247</v>
      </c>
      <c r="C137" s="9">
        <f>VLOOKUP(B137,{"iPhone",1;"Motorola",2;"Nokia",3;"Samsung",4;"Sony Erickson",5;"Sprint",6},2,0)</f>
        <v>4</v>
      </c>
      <c r="H137" s="9" t="s">
        <v>399</v>
      </c>
      <c r="I137" s="9" t="s">
        <v>237</v>
      </c>
      <c r="J137" s="9">
        <f>VLOOKUP(I137,{"Excellent",4;"Poor",1;"Good",3;"OK",2},2,0)</f>
        <v>2</v>
      </c>
      <c r="O137" s="9">
        <v>88</v>
      </c>
      <c r="P137" s="9">
        <f t="shared" si="13"/>
        <v>31.111111111111111</v>
      </c>
      <c r="X137" s="9">
        <f t="shared" si="14"/>
        <v>304.26111111111106</v>
      </c>
    </row>
    <row r="138" spans="1:24" x14ac:dyDescent="0.25">
      <c r="A138" s="9" t="s">
        <v>400</v>
      </c>
      <c r="B138" s="9" t="s">
        <v>248</v>
      </c>
      <c r="C138" s="9">
        <f>VLOOKUP(B138,{"iPhone",1;"Motorola",2;"Nokia",3;"Samsung",4;"Sony Erickson",5;"Sprint",6},2,0)</f>
        <v>3</v>
      </c>
      <c r="H138" s="9" t="s">
        <v>400</v>
      </c>
      <c r="I138" s="9" t="s">
        <v>242</v>
      </c>
      <c r="J138" s="9">
        <f>VLOOKUP(I138,{"Excellent",4;"Poor",1;"Good",3;"OK",2},2,0)</f>
        <v>1</v>
      </c>
      <c r="O138" s="9">
        <v>87</v>
      </c>
      <c r="P138" s="9">
        <f t="shared" si="13"/>
        <v>30.555555555555554</v>
      </c>
      <c r="X138" s="9">
        <f t="shared" si="14"/>
        <v>303.70555555555552</v>
      </c>
    </row>
    <row r="139" spans="1:24" x14ac:dyDescent="0.25">
      <c r="A139" s="9" t="s">
        <v>401</v>
      </c>
      <c r="B139" s="9" t="s">
        <v>235</v>
      </c>
      <c r="C139" s="9">
        <f>VLOOKUP(B139,{"iPhone",1;"Motorola",2;"Nokia",3;"Samsung",4;"Sony Erickson",5;"Sprint",6},2,0)</f>
        <v>2</v>
      </c>
      <c r="H139" s="9" t="s">
        <v>401</v>
      </c>
      <c r="I139" s="9" t="s">
        <v>237</v>
      </c>
      <c r="J139" s="9">
        <f>VLOOKUP(I139,{"Excellent",4;"Poor",1;"Good",3;"OK",2},2,0)</f>
        <v>2</v>
      </c>
      <c r="O139" s="9">
        <v>86</v>
      </c>
      <c r="P139" s="9">
        <f t="shared" si="13"/>
        <v>30</v>
      </c>
      <c r="X139" s="9">
        <f t="shared" si="14"/>
        <v>303.14999999999998</v>
      </c>
    </row>
    <row r="140" spans="1:24" x14ac:dyDescent="0.25">
      <c r="A140" s="9" t="s">
        <v>402</v>
      </c>
      <c r="B140" s="9" t="s">
        <v>248</v>
      </c>
      <c r="C140" s="9">
        <f>VLOOKUP(B140,{"iPhone",1;"Motorola",2;"Nokia",3;"Samsung",4;"Sony Erickson",5;"Sprint",6},2,0)</f>
        <v>3</v>
      </c>
      <c r="H140" s="9" t="s">
        <v>402</v>
      </c>
      <c r="I140" s="9" t="s">
        <v>242</v>
      </c>
      <c r="J140" s="9">
        <f>VLOOKUP(I140,{"Excellent",4;"Poor",1;"Good",3;"OK",2},2,0)</f>
        <v>1</v>
      </c>
      <c r="O140" s="9">
        <v>85</v>
      </c>
      <c r="P140" s="9">
        <f t="shared" si="13"/>
        <v>29.444444444444443</v>
      </c>
      <c r="X140" s="9">
        <f t="shared" si="14"/>
        <v>302.59444444444443</v>
      </c>
    </row>
    <row r="141" spans="1:24" x14ac:dyDescent="0.25">
      <c r="A141" s="9" t="s">
        <v>403</v>
      </c>
      <c r="B141" s="9" t="s">
        <v>235</v>
      </c>
      <c r="C141" s="9">
        <f>VLOOKUP(B141,{"iPhone",1;"Motorola",2;"Nokia",3;"Samsung",4;"Sony Erickson",5;"Sprint",6},2,0)</f>
        <v>2</v>
      </c>
      <c r="H141" s="9" t="s">
        <v>403</v>
      </c>
      <c r="I141" s="9" t="s">
        <v>242</v>
      </c>
      <c r="J141" s="9">
        <f>VLOOKUP(I141,{"Excellent",4;"Poor",1;"Good",3;"OK",2},2,0)</f>
        <v>1</v>
      </c>
      <c r="O141" s="9">
        <v>84</v>
      </c>
      <c r="P141" s="9">
        <f t="shared" si="13"/>
        <v>28.888888888888889</v>
      </c>
      <c r="X141" s="9">
        <f t="shared" si="14"/>
        <v>302.03888888888889</v>
      </c>
    </row>
    <row r="142" spans="1:24" x14ac:dyDescent="0.25">
      <c r="A142" s="9" t="s">
        <v>404</v>
      </c>
      <c r="B142" s="9" t="s">
        <v>254</v>
      </c>
      <c r="C142" s="9">
        <f>VLOOKUP(B142,{"iPhone",1;"Motorola",2;"Nokia",3;"Samsung",4;"Sony Erickson",5;"Sprint",6},2,0)</f>
        <v>5</v>
      </c>
      <c r="H142" s="9" t="s">
        <v>404</v>
      </c>
      <c r="I142" s="9" t="s">
        <v>237</v>
      </c>
      <c r="J142" s="9">
        <f>VLOOKUP(I142,{"Excellent",4;"Poor",1;"Good",3;"OK",2},2,0)</f>
        <v>2</v>
      </c>
      <c r="O142" s="9">
        <v>83</v>
      </c>
      <c r="P142" s="9">
        <f t="shared" si="13"/>
        <v>28.333333333333332</v>
      </c>
      <c r="X142" s="9">
        <f t="shared" si="14"/>
        <v>301.48333333333329</v>
      </c>
    </row>
    <row r="143" spans="1:24" x14ac:dyDescent="0.25">
      <c r="A143" s="9" t="s">
        <v>405</v>
      </c>
      <c r="B143" s="9" t="s">
        <v>247</v>
      </c>
      <c r="C143" s="9">
        <f>VLOOKUP(B143,{"iPhone",1;"Motorola",2;"Nokia",3;"Samsung",4;"Sony Erickson",5;"Sprint",6},2,0)</f>
        <v>4</v>
      </c>
      <c r="H143" s="9" t="s">
        <v>405</v>
      </c>
      <c r="I143" s="9" t="s">
        <v>238</v>
      </c>
      <c r="J143" s="9">
        <f>VLOOKUP(I143,{"Excellent",4;"Poor",1;"Good",3;"OK",2},2,0)</f>
        <v>4</v>
      </c>
      <c r="O143" s="9">
        <v>82</v>
      </c>
      <c r="P143" s="9">
        <f t="shared" si="13"/>
        <v>27.777777777777779</v>
      </c>
      <c r="X143" s="9">
        <f t="shared" si="14"/>
        <v>300.92777777777775</v>
      </c>
    </row>
    <row r="144" spans="1:24" x14ac:dyDescent="0.25">
      <c r="A144" s="9" t="s">
        <v>406</v>
      </c>
      <c r="B144" s="9" t="s">
        <v>248</v>
      </c>
      <c r="C144" s="9">
        <f>VLOOKUP(B144,{"iPhone",1;"Motorola",2;"Nokia",3;"Samsung",4;"Sony Erickson",5;"Sprint",6},2,0)</f>
        <v>3</v>
      </c>
      <c r="H144" s="9" t="s">
        <v>406</v>
      </c>
      <c r="I144" s="9" t="s">
        <v>237</v>
      </c>
      <c r="J144" s="9">
        <f>VLOOKUP(I144,{"Excellent",4;"Poor",1;"Good",3;"OK",2},2,0)</f>
        <v>2</v>
      </c>
      <c r="O144" s="9">
        <v>81</v>
      </c>
      <c r="P144" s="9">
        <f t="shared" si="13"/>
        <v>27.222222222222221</v>
      </c>
      <c r="X144" s="9">
        <f t="shared" si="14"/>
        <v>300.37222222222221</v>
      </c>
    </row>
    <row r="145" spans="1:24" x14ac:dyDescent="0.25">
      <c r="A145" s="9" t="s">
        <v>407</v>
      </c>
      <c r="B145" s="9" t="s">
        <v>236</v>
      </c>
      <c r="C145" s="9">
        <f>VLOOKUP(B145,{"iPhone",1;"Motorola",2;"Nokia",3;"Samsung",4;"Sony Erickson",5;"Sprint",6},2,0)</f>
        <v>1</v>
      </c>
      <c r="H145" s="9" t="s">
        <v>407</v>
      </c>
      <c r="I145" s="9" t="s">
        <v>242</v>
      </c>
      <c r="J145" s="9">
        <f>VLOOKUP(I145,{"Excellent",4;"Poor",1;"Good",3;"OK",2},2,0)</f>
        <v>1</v>
      </c>
      <c r="O145" s="9">
        <v>80</v>
      </c>
      <c r="P145" s="9">
        <f t="shared" si="13"/>
        <v>26.666666666666664</v>
      </c>
      <c r="X145" s="9">
        <f t="shared" si="14"/>
        <v>299.81666666666666</v>
      </c>
    </row>
    <row r="146" spans="1:24" x14ac:dyDescent="0.25">
      <c r="A146" s="9" t="s">
        <v>408</v>
      </c>
      <c r="B146" s="9" t="s">
        <v>235</v>
      </c>
      <c r="C146" s="9">
        <f>VLOOKUP(B146,{"iPhone",1;"Motorola",2;"Nokia",3;"Samsung",4;"Sony Erickson",5;"Sprint",6},2,0)</f>
        <v>2</v>
      </c>
      <c r="H146" s="9" t="s">
        <v>408</v>
      </c>
      <c r="I146" s="9" t="s">
        <v>242</v>
      </c>
      <c r="J146" s="9">
        <f>VLOOKUP(I146,{"Excellent",4;"Poor",1;"Good",3;"OK",2},2,0)</f>
        <v>1</v>
      </c>
      <c r="O146" s="9">
        <v>79</v>
      </c>
      <c r="P146" s="9">
        <f t="shared" si="13"/>
        <v>26.111111111111111</v>
      </c>
      <c r="X146" s="9">
        <f t="shared" si="14"/>
        <v>299.26111111111106</v>
      </c>
    </row>
    <row r="147" spans="1:24" x14ac:dyDescent="0.25">
      <c r="A147" s="9" t="s">
        <v>409</v>
      </c>
      <c r="B147" s="9" t="s">
        <v>236</v>
      </c>
      <c r="C147" s="9">
        <f>VLOOKUP(B147,{"iPhone",1;"Motorola",2;"Nokia",3;"Samsung",4;"Sony Erickson",5;"Sprint",6},2,0)</f>
        <v>1</v>
      </c>
      <c r="H147" s="9" t="s">
        <v>409</v>
      </c>
      <c r="I147" s="9" t="s">
        <v>242</v>
      </c>
      <c r="J147" s="9">
        <f>VLOOKUP(I147,{"Excellent",4;"Poor",1;"Good",3;"OK",2},2,0)</f>
        <v>1</v>
      </c>
      <c r="O147" s="9">
        <v>78</v>
      </c>
      <c r="P147" s="9">
        <f t="shared" si="13"/>
        <v>25.555555555555554</v>
      </c>
      <c r="X147" s="9">
        <f t="shared" si="14"/>
        <v>298.70555555555552</v>
      </c>
    </row>
    <row r="148" spans="1:24" x14ac:dyDescent="0.25">
      <c r="A148" s="9" t="s">
        <v>410</v>
      </c>
      <c r="B148" s="9" t="s">
        <v>247</v>
      </c>
      <c r="C148" s="9">
        <f>VLOOKUP(B148,{"iPhone",1;"Motorola",2;"Nokia",3;"Samsung",4;"Sony Erickson",5;"Sprint",6},2,0)</f>
        <v>4</v>
      </c>
      <c r="H148" s="9" t="s">
        <v>410</v>
      </c>
      <c r="I148" s="9" t="s">
        <v>242</v>
      </c>
      <c r="J148" s="9">
        <f>VLOOKUP(I148,{"Excellent",4;"Poor",1;"Good",3;"OK",2},2,0)</f>
        <v>1</v>
      </c>
      <c r="O148" s="9">
        <v>77</v>
      </c>
      <c r="P148" s="9">
        <f t="shared" si="13"/>
        <v>25</v>
      </c>
      <c r="X148" s="9">
        <f t="shared" si="14"/>
        <v>298.14999999999998</v>
      </c>
    </row>
    <row r="149" spans="1:24" x14ac:dyDescent="0.25">
      <c r="A149" s="9" t="s">
        <v>411</v>
      </c>
      <c r="B149" s="9" t="s">
        <v>235</v>
      </c>
      <c r="C149" s="9">
        <f>VLOOKUP(B149,{"iPhone",1;"Motorola",2;"Nokia",3;"Samsung",4;"Sony Erickson",5;"Sprint",6},2,0)</f>
        <v>2</v>
      </c>
      <c r="H149" s="9" t="s">
        <v>411</v>
      </c>
      <c r="I149" s="9" t="s">
        <v>237</v>
      </c>
      <c r="J149" s="9">
        <f>VLOOKUP(I149,{"Excellent",4;"Poor",1;"Good",3;"OK",2},2,0)</f>
        <v>2</v>
      </c>
      <c r="O149" s="9">
        <v>76</v>
      </c>
      <c r="P149" s="9">
        <f t="shared" si="13"/>
        <v>24.444444444444443</v>
      </c>
      <c r="X149" s="9">
        <f t="shared" si="14"/>
        <v>297.59444444444443</v>
      </c>
    </row>
    <row r="150" spans="1:24" x14ac:dyDescent="0.25">
      <c r="A150" s="9" t="s">
        <v>412</v>
      </c>
      <c r="B150" s="9" t="s">
        <v>248</v>
      </c>
      <c r="C150" s="9">
        <f>VLOOKUP(B150,{"iPhone",1;"Motorola",2;"Nokia",3;"Samsung",4;"Sony Erickson",5;"Sprint",6},2,0)</f>
        <v>3</v>
      </c>
      <c r="H150" s="9" t="s">
        <v>412</v>
      </c>
      <c r="I150" s="9" t="s">
        <v>242</v>
      </c>
      <c r="J150" s="9">
        <f>VLOOKUP(I150,{"Excellent",4;"Poor",1;"Good",3;"OK",2},2,0)</f>
        <v>1</v>
      </c>
      <c r="O150" s="9">
        <v>75</v>
      </c>
      <c r="P150" s="9">
        <f t="shared" si="13"/>
        <v>23.888888888888889</v>
      </c>
      <c r="X150" s="9">
        <f t="shared" si="14"/>
        <v>297.03888888888889</v>
      </c>
    </row>
    <row r="151" spans="1:24" x14ac:dyDescent="0.25">
      <c r="A151" s="9" t="s">
        <v>413</v>
      </c>
      <c r="B151" s="9" t="s">
        <v>235</v>
      </c>
      <c r="C151" s="9">
        <f>VLOOKUP(B151,{"iPhone",1;"Motorola",2;"Nokia",3;"Samsung",4;"Sony Erickson",5;"Sprint",6},2,0)</f>
        <v>2</v>
      </c>
      <c r="H151" s="9" t="s">
        <v>413</v>
      </c>
      <c r="I151" s="9" t="s">
        <v>242</v>
      </c>
      <c r="J151" s="9">
        <f>VLOOKUP(I151,{"Excellent",4;"Poor",1;"Good",3;"OK",2},2,0)</f>
        <v>1</v>
      </c>
      <c r="O151" s="9">
        <v>74</v>
      </c>
      <c r="P151" s="9">
        <f t="shared" si="13"/>
        <v>23.333333333333332</v>
      </c>
      <c r="X151" s="9">
        <f t="shared" si="14"/>
        <v>296.48333333333329</v>
      </c>
    </row>
    <row r="152" spans="1:24" x14ac:dyDescent="0.25">
      <c r="A152" s="9" t="s">
        <v>414</v>
      </c>
      <c r="B152" s="9" t="s">
        <v>247</v>
      </c>
      <c r="C152" s="9">
        <f>VLOOKUP(B152,{"iPhone",1;"Motorola",2;"Nokia",3;"Samsung",4;"Sony Erickson",5;"Sprint",6},2,0)</f>
        <v>4</v>
      </c>
      <c r="H152" s="9" t="s">
        <v>414</v>
      </c>
      <c r="I152" s="9" t="s">
        <v>237</v>
      </c>
      <c r="J152" s="9">
        <f>VLOOKUP(I152,{"Excellent",4;"Poor",1;"Good",3;"OK",2},2,0)</f>
        <v>2</v>
      </c>
      <c r="O152" s="9">
        <v>73</v>
      </c>
      <c r="P152" s="9">
        <f t="shared" si="13"/>
        <v>22.777777777777779</v>
      </c>
      <c r="X152" s="9">
        <f t="shared" si="14"/>
        <v>295.92777777777775</v>
      </c>
    </row>
    <row r="153" spans="1:24" x14ac:dyDescent="0.25">
      <c r="A153" s="9" t="s">
        <v>415</v>
      </c>
      <c r="B153" s="9" t="s">
        <v>258</v>
      </c>
      <c r="C153" s="9">
        <f>VLOOKUP(B153,{"iPhone",1;"Motorola",2;"Nokia",3;"Samsung",4;"Sony Erickson",5;"Sprint",6},2,0)</f>
        <v>6</v>
      </c>
      <c r="H153" s="9" t="s">
        <v>415</v>
      </c>
      <c r="I153" s="9" t="s">
        <v>242</v>
      </c>
      <c r="J153" s="9">
        <f>VLOOKUP(I153,{"Excellent",4;"Poor",1;"Good",3;"OK",2},2,0)</f>
        <v>1</v>
      </c>
      <c r="O153" s="9">
        <v>72</v>
      </c>
      <c r="P153" s="9">
        <f t="shared" si="13"/>
        <v>22.222222222222221</v>
      </c>
      <c r="X153" s="9">
        <f t="shared" si="14"/>
        <v>295.37222222222221</v>
      </c>
    </row>
    <row r="154" spans="1:24" x14ac:dyDescent="0.25">
      <c r="A154" s="9" t="s">
        <v>416</v>
      </c>
      <c r="B154" s="9" t="s">
        <v>247</v>
      </c>
      <c r="C154" s="9">
        <f>VLOOKUP(B154,{"iPhone",1;"Motorola",2;"Nokia",3;"Samsung",4;"Sony Erickson",5;"Sprint",6},2,0)</f>
        <v>4</v>
      </c>
      <c r="H154" s="9" t="s">
        <v>416</v>
      </c>
      <c r="I154" s="9" t="s">
        <v>238</v>
      </c>
      <c r="J154" s="9">
        <f>VLOOKUP(I154,{"Excellent",4;"Poor",1;"Good",3;"OK",2},2,0)</f>
        <v>4</v>
      </c>
      <c r="O154" s="9">
        <v>71</v>
      </c>
      <c r="P154" s="9">
        <f t="shared" si="13"/>
        <v>21.666666666666668</v>
      </c>
      <c r="X154" s="9">
        <f t="shared" si="14"/>
        <v>294.81666666666666</v>
      </c>
    </row>
    <row r="155" spans="1:24" x14ac:dyDescent="0.25">
      <c r="A155" s="9" t="s">
        <v>417</v>
      </c>
      <c r="B155" s="9" t="s">
        <v>254</v>
      </c>
      <c r="C155" s="9">
        <f>VLOOKUP(B155,{"iPhone",1;"Motorola",2;"Nokia",3;"Samsung",4;"Sony Erickson",5;"Sprint",6},2,0)</f>
        <v>5</v>
      </c>
      <c r="H155" s="9" t="s">
        <v>417</v>
      </c>
      <c r="I155" s="9" t="s">
        <v>238</v>
      </c>
      <c r="J155" s="9">
        <f>VLOOKUP(I155,{"Excellent",4;"Poor",1;"Good",3;"OK",2},2,0)</f>
        <v>4</v>
      </c>
      <c r="O155" s="9">
        <v>70</v>
      </c>
      <c r="P155" s="9">
        <f t="shared" si="13"/>
        <v>21.111111111111111</v>
      </c>
      <c r="X155" s="9">
        <f t="shared" si="14"/>
        <v>294.26111111111106</v>
      </c>
    </row>
    <row r="156" spans="1:24" x14ac:dyDescent="0.25">
      <c r="A156" s="9" t="s">
        <v>418</v>
      </c>
      <c r="B156" s="9" t="s">
        <v>248</v>
      </c>
      <c r="C156" s="9">
        <f>VLOOKUP(B156,{"iPhone",1;"Motorola",2;"Nokia",3;"Samsung",4;"Sony Erickson",5;"Sprint",6},2,0)</f>
        <v>3</v>
      </c>
      <c r="H156" s="9" t="s">
        <v>418</v>
      </c>
      <c r="I156" s="9" t="s">
        <v>238</v>
      </c>
      <c r="J156" s="9">
        <f>VLOOKUP(I156,{"Excellent",4;"Poor",1;"Good",3;"OK",2},2,0)</f>
        <v>4</v>
      </c>
      <c r="O156" s="9">
        <v>69</v>
      </c>
      <c r="P156" s="9">
        <f t="shared" si="13"/>
        <v>20.555555555555554</v>
      </c>
      <c r="X156" s="9">
        <f t="shared" si="14"/>
        <v>293.70555555555552</v>
      </c>
    </row>
    <row r="157" spans="1:24" x14ac:dyDescent="0.25">
      <c r="A157" s="9" t="s">
        <v>419</v>
      </c>
      <c r="B157" s="9" t="s">
        <v>236</v>
      </c>
      <c r="C157" s="9">
        <f>VLOOKUP(B157,{"iPhone",1;"Motorola",2;"Nokia",3;"Samsung",4;"Sony Erickson",5;"Sprint",6},2,0)</f>
        <v>1</v>
      </c>
      <c r="H157" s="9" t="s">
        <v>419</v>
      </c>
      <c r="I157" s="9" t="s">
        <v>237</v>
      </c>
      <c r="J157" s="9">
        <f>VLOOKUP(I157,{"Excellent",4;"Poor",1;"Good",3;"OK",2},2,0)</f>
        <v>2</v>
      </c>
      <c r="O157" s="9">
        <v>68</v>
      </c>
      <c r="P157" s="9">
        <f t="shared" si="13"/>
        <v>20</v>
      </c>
      <c r="X157" s="9">
        <f t="shared" si="14"/>
        <v>293.14999999999998</v>
      </c>
    </row>
    <row r="158" spans="1:24" x14ac:dyDescent="0.25">
      <c r="A158" s="9" t="s">
        <v>420</v>
      </c>
      <c r="B158" s="9" t="s">
        <v>258</v>
      </c>
      <c r="C158" s="9">
        <f>VLOOKUP(B158,{"iPhone",1;"Motorola",2;"Nokia",3;"Samsung",4;"Sony Erickson",5;"Sprint",6},2,0)</f>
        <v>6</v>
      </c>
      <c r="H158" s="9" t="s">
        <v>420</v>
      </c>
      <c r="I158" s="9" t="s">
        <v>242</v>
      </c>
      <c r="J158" s="9">
        <f>VLOOKUP(I158,{"Excellent",4;"Poor",1;"Good",3;"OK",2},2,0)</f>
        <v>1</v>
      </c>
      <c r="O158" s="9">
        <v>67</v>
      </c>
      <c r="P158" s="9">
        <f t="shared" si="13"/>
        <v>19.444444444444443</v>
      </c>
      <c r="X158" s="9">
        <f t="shared" si="14"/>
        <v>292.59444444444443</v>
      </c>
    </row>
    <row r="159" spans="1:24" x14ac:dyDescent="0.25">
      <c r="A159" s="9" t="s">
        <v>421</v>
      </c>
      <c r="B159" s="9" t="s">
        <v>236</v>
      </c>
      <c r="C159" s="9">
        <f>VLOOKUP(B159,{"iPhone",1;"Motorola",2;"Nokia",3;"Samsung",4;"Sony Erickson",5;"Sprint",6},2,0)</f>
        <v>1</v>
      </c>
      <c r="H159" s="9" t="s">
        <v>421</v>
      </c>
      <c r="I159" s="9" t="s">
        <v>237</v>
      </c>
      <c r="J159" s="9">
        <f>VLOOKUP(I159,{"Excellent",4;"Poor",1;"Good",3;"OK",2},2,0)</f>
        <v>2</v>
      </c>
      <c r="O159" s="9">
        <v>66</v>
      </c>
      <c r="P159" s="9">
        <f t="shared" si="13"/>
        <v>18.888888888888889</v>
      </c>
      <c r="X159" s="9">
        <f t="shared" si="14"/>
        <v>292.03888888888889</v>
      </c>
    </row>
    <row r="160" spans="1:24" x14ac:dyDescent="0.25">
      <c r="A160" s="9" t="s">
        <v>422</v>
      </c>
      <c r="B160" s="9" t="s">
        <v>236</v>
      </c>
      <c r="C160" s="9">
        <f>VLOOKUP(B160,{"iPhone",1;"Motorola",2;"Nokia",3;"Samsung",4;"Sony Erickson",5;"Sprint",6},2,0)</f>
        <v>1</v>
      </c>
      <c r="H160" s="9" t="s">
        <v>422</v>
      </c>
      <c r="I160" s="9" t="s">
        <v>242</v>
      </c>
      <c r="J160" s="9">
        <f>VLOOKUP(I160,{"Excellent",4;"Poor",1;"Good",3;"OK",2},2,0)</f>
        <v>1</v>
      </c>
      <c r="O160" s="9">
        <v>65</v>
      </c>
      <c r="P160" s="9">
        <f t="shared" si="13"/>
        <v>18.333333333333332</v>
      </c>
      <c r="X160" s="9">
        <f t="shared" si="14"/>
        <v>291.48333333333329</v>
      </c>
    </row>
    <row r="161" spans="1:24" x14ac:dyDescent="0.25">
      <c r="A161" s="9" t="s">
        <v>423</v>
      </c>
      <c r="B161" s="9" t="s">
        <v>247</v>
      </c>
      <c r="C161" s="9">
        <f>VLOOKUP(B161,{"iPhone",1;"Motorola",2;"Nokia",3;"Samsung",4;"Sony Erickson",5;"Sprint",6},2,0)</f>
        <v>4</v>
      </c>
      <c r="H161" s="9" t="s">
        <v>423</v>
      </c>
      <c r="I161" s="9" t="s">
        <v>242</v>
      </c>
      <c r="J161" s="9">
        <f>VLOOKUP(I161,{"Excellent",4;"Poor",1;"Good",3;"OK",2},2,0)</f>
        <v>1</v>
      </c>
      <c r="O161" s="9">
        <v>64</v>
      </c>
      <c r="P161" s="9">
        <f t="shared" si="13"/>
        <v>17.777777777777779</v>
      </c>
      <c r="X161" s="9">
        <f t="shared" si="14"/>
        <v>290.92777777777775</v>
      </c>
    </row>
    <row r="162" spans="1:24" x14ac:dyDescent="0.25">
      <c r="A162" s="9" t="s">
        <v>424</v>
      </c>
      <c r="B162" s="9" t="s">
        <v>248</v>
      </c>
      <c r="C162" s="9">
        <f>VLOOKUP(B162,{"iPhone",1;"Motorola",2;"Nokia",3;"Samsung",4;"Sony Erickson",5;"Sprint",6},2,0)</f>
        <v>3</v>
      </c>
      <c r="H162" s="9" t="s">
        <v>424</v>
      </c>
      <c r="I162" s="9" t="s">
        <v>242</v>
      </c>
      <c r="J162" s="9">
        <f>VLOOKUP(I162,{"Excellent",4;"Poor",1;"Good",3;"OK",2},2,0)</f>
        <v>1</v>
      </c>
      <c r="O162" s="9">
        <v>63</v>
      </c>
      <c r="P162" s="9">
        <f t="shared" si="13"/>
        <v>17.222222222222221</v>
      </c>
      <c r="X162" s="9">
        <f t="shared" si="14"/>
        <v>290.37222222222221</v>
      </c>
    </row>
    <row r="163" spans="1:24" x14ac:dyDescent="0.25">
      <c r="A163" s="9" t="s">
        <v>425</v>
      </c>
      <c r="B163" s="9" t="s">
        <v>248</v>
      </c>
      <c r="C163" s="9">
        <f>VLOOKUP(B163,{"iPhone",1;"Motorola",2;"Nokia",3;"Samsung",4;"Sony Erickson",5;"Sprint",6},2,0)</f>
        <v>3</v>
      </c>
      <c r="H163" s="9" t="s">
        <v>425</v>
      </c>
      <c r="I163" s="9" t="s">
        <v>242</v>
      </c>
      <c r="J163" s="9">
        <f>VLOOKUP(I163,{"Excellent",4;"Poor",1;"Good",3;"OK",2},2,0)</f>
        <v>1</v>
      </c>
      <c r="O163" s="9">
        <v>62</v>
      </c>
      <c r="P163" s="9">
        <f t="shared" si="13"/>
        <v>16.666666666666668</v>
      </c>
      <c r="X163" s="9">
        <f t="shared" si="14"/>
        <v>289.81666666666666</v>
      </c>
    </row>
    <row r="164" spans="1:24" x14ac:dyDescent="0.25">
      <c r="A164" s="9" t="s">
        <v>426</v>
      </c>
      <c r="B164" s="9" t="s">
        <v>236</v>
      </c>
      <c r="C164" s="9">
        <f>VLOOKUP(B164,{"iPhone",1;"Motorola",2;"Nokia",3;"Samsung",4;"Sony Erickson",5;"Sprint",6},2,0)</f>
        <v>1</v>
      </c>
      <c r="H164" s="9" t="s">
        <v>426</v>
      </c>
      <c r="I164" s="9" t="s">
        <v>242</v>
      </c>
      <c r="J164" s="9">
        <f>VLOOKUP(I164,{"Excellent",4;"Poor",1;"Good",3;"OK",2},2,0)</f>
        <v>1</v>
      </c>
      <c r="O164" s="9">
        <v>61</v>
      </c>
      <c r="P164" s="9">
        <f t="shared" si="13"/>
        <v>16.111111111111111</v>
      </c>
      <c r="X164" s="9">
        <f t="shared" si="14"/>
        <v>289.26111111111106</v>
      </c>
    </row>
    <row r="165" spans="1:24" x14ac:dyDescent="0.25">
      <c r="A165" s="9" t="s">
        <v>427</v>
      </c>
      <c r="B165" s="9" t="s">
        <v>254</v>
      </c>
      <c r="C165" s="9">
        <f>VLOOKUP(B165,{"iPhone",1;"Motorola",2;"Nokia",3;"Samsung",4;"Sony Erickson",5;"Sprint",6},2,0)</f>
        <v>5</v>
      </c>
      <c r="H165" s="9" t="s">
        <v>427</v>
      </c>
      <c r="I165" s="9" t="s">
        <v>237</v>
      </c>
      <c r="J165" s="9">
        <f>VLOOKUP(I165,{"Excellent",4;"Poor",1;"Good",3;"OK",2},2,0)</f>
        <v>2</v>
      </c>
      <c r="O165" s="9">
        <v>60</v>
      </c>
      <c r="P165" s="9">
        <f t="shared" si="13"/>
        <v>15.555555555555555</v>
      </c>
      <c r="X165" s="9">
        <f t="shared" si="14"/>
        <v>288.70555555555552</v>
      </c>
    </row>
    <row r="166" spans="1:24" x14ac:dyDescent="0.25">
      <c r="A166" s="9" t="s">
        <v>428</v>
      </c>
      <c r="B166" s="9" t="s">
        <v>248</v>
      </c>
      <c r="C166" s="9">
        <f>VLOOKUP(B166,{"iPhone",1;"Motorola",2;"Nokia",3;"Samsung",4;"Sony Erickson",5;"Sprint",6},2,0)</f>
        <v>3</v>
      </c>
      <c r="H166" s="9" t="s">
        <v>428</v>
      </c>
      <c r="I166" s="9" t="s">
        <v>242</v>
      </c>
      <c r="J166" s="9">
        <f>VLOOKUP(I166,{"Excellent",4;"Poor",1;"Good",3;"OK",2},2,0)</f>
        <v>1</v>
      </c>
      <c r="O166" s="9">
        <v>59</v>
      </c>
      <c r="P166" s="9">
        <f t="shared" si="13"/>
        <v>15</v>
      </c>
      <c r="X166" s="9">
        <f t="shared" si="14"/>
        <v>288.14999999999998</v>
      </c>
    </row>
    <row r="167" spans="1:24" x14ac:dyDescent="0.25">
      <c r="A167" s="9" t="s">
        <v>429</v>
      </c>
      <c r="B167" s="9" t="s">
        <v>258</v>
      </c>
      <c r="C167" s="9">
        <f>VLOOKUP(B167,{"iPhone",1;"Motorola",2;"Nokia",3;"Samsung",4;"Sony Erickson",5;"Sprint",6},2,0)</f>
        <v>6</v>
      </c>
      <c r="H167" s="9" t="s">
        <v>429</v>
      </c>
      <c r="I167" s="9" t="s">
        <v>242</v>
      </c>
      <c r="J167" s="9">
        <f>VLOOKUP(I167,{"Excellent",4;"Poor",1;"Good",3;"OK",2},2,0)</f>
        <v>1</v>
      </c>
      <c r="O167" s="9">
        <v>58</v>
      </c>
      <c r="P167" s="9">
        <f t="shared" si="13"/>
        <v>14.444444444444445</v>
      </c>
      <c r="X167" s="9">
        <f t="shared" si="14"/>
        <v>287.59444444444443</v>
      </c>
    </row>
    <row r="168" spans="1:24" x14ac:dyDescent="0.25">
      <c r="A168" s="9" t="s">
        <v>430</v>
      </c>
      <c r="B168" s="9" t="s">
        <v>248</v>
      </c>
      <c r="C168" s="9">
        <f>VLOOKUP(B168,{"iPhone",1;"Motorola",2;"Nokia",3;"Samsung",4;"Sony Erickson",5;"Sprint",6},2,0)</f>
        <v>3</v>
      </c>
      <c r="H168" s="9" t="s">
        <v>430</v>
      </c>
      <c r="I168" s="9" t="s">
        <v>238</v>
      </c>
      <c r="J168" s="9">
        <f>VLOOKUP(I168,{"Excellent",4;"Poor",1;"Good",3;"OK",2},2,0)</f>
        <v>4</v>
      </c>
      <c r="O168" s="9">
        <v>57</v>
      </c>
      <c r="P168" s="9">
        <f t="shared" si="13"/>
        <v>13.888888888888889</v>
      </c>
      <c r="X168" s="9">
        <f t="shared" si="14"/>
        <v>287.03888888888889</v>
      </c>
    </row>
    <row r="169" spans="1:24" x14ac:dyDescent="0.25">
      <c r="A169" s="9" t="s">
        <v>431</v>
      </c>
      <c r="B169" s="9" t="s">
        <v>247</v>
      </c>
      <c r="C169" s="9">
        <f>VLOOKUP(B169,{"iPhone",1;"Motorola",2;"Nokia",3;"Samsung",4;"Sony Erickson",5;"Sprint",6},2,0)</f>
        <v>4</v>
      </c>
      <c r="H169" s="9" t="s">
        <v>431</v>
      </c>
      <c r="I169" s="9" t="s">
        <v>243</v>
      </c>
      <c r="J169" s="9">
        <f>VLOOKUP(I169,{"Excellent",4;"Poor",1;"Good",3;"OK",2},2,0)</f>
        <v>3</v>
      </c>
      <c r="O169" s="9">
        <v>56</v>
      </c>
      <c r="P169" s="9">
        <f t="shared" si="13"/>
        <v>13.333333333333332</v>
      </c>
      <c r="X169" s="9">
        <f t="shared" si="14"/>
        <v>286.48333333333329</v>
      </c>
    </row>
    <row r="170" spans="1:24" x14ac:dyDescent="0.25">
      <c r="A170" s="9" t="s">
        <v>432</v>
      </c>
      <c r="B170" s="9" t="s">
        <v>236</v>
      </c>
      <c r="C170" s="9">
        <f>VLOOKUP(B170,{"iPhone",1;"Motorola",2;"Nokia",3;"Samsung",4;"Sony Erickson",5;"Sprint",6},2,0)</f>
        <v>1</v>
      </c>
      <c r="H170" s="9" t="s">
        <v>432</v>
      </c>
      <c r="I170" s="9" t="s">
        <v>237</v>
      </c>
      <c r="J170" s="9">
        <f>VLOOKUP(I170,{"Excellent",4;"Poor",1;"Good",3;"OK",2},2,0)</f>
        <v>2</v>
      </c>
      <c r="O170" s="9">
        <v>55</v>
      </c>
      <c r="P170" s="9">
        <f t="shared" si="13"/>
        <v>12.777777777777777</v>
      </c>
      <c r="X170" s="9">
        <f t="shared" si="14"/>
        <v>285.92777777777775</v>
      </c>
    </row>
    <row r="171" spans="1:24" x14ac:dyDescent="0.25">
      <c r="A171" s="9" t="s">
        <v>433</v>
      </c>
      <c r="B171" s="9" t="s">
        <v>247</v>
      </c>
      <c r="C171" s="9">
        <f>VLOOKUP(B171,{"iPhone",1;"Motorola",2;"Nokia",3;"Samsung",4;"Sony Erickson",5;"Sprint",6},2,0)</f>
        <v>4</v>
      </c>
      <c r="H171" s="9" t="s">
        <v>433</v>
      </c>
      <c r="I171" s="9" t="s">
        <v>243</v>
      </c>
      <c r="J171" s="9">
        <f>VLOOKUP(I171,{"Excellent",4;"Poor",1;"Good",3;"OK",2},2,0)</f>
        <v>3</v>
      </c>
      <c r="O171" s="9">
        <v>54</v>
      </c>
      <c r="P171" s="9">
        <f t="shared" si="13"/>
        <v>12.222222222222221</v>
      </c>
      <c r="X171" s="9">
        <f t="shared" si="14"/>
        <v>285.37222222222221</v>
      </c>
    </row>
    <row r="172" spans="1:24" x14ac:dyDescent="0.25">
      <c r="A172" s="9" t="s">
        <v>434</v>
      </c>
      <c r="B172" s="9" t="s">
        <v>235</v>
      </c>
      <c r="C172" s="9">
        <f>VLOOKUP(B172,{"iPhone",1;"Motorola",2;"Nokia",3;"Samsung",4;"Sony Erickson",5;"Sprint",6},2,0)</f>
        <v>2</v>
      </c>
      <c r="H172" s="9" t="s">
        <v>434</v>
      </c>
      <c r="I172" s="9" t="s">
        <v>237</v>
      </c>
      <c r="J172" s="9">
        <f>VLOOKUP(I172,{"Excellent",4;"Poor",1;"Good",3;"OK",2},2,0)</f>
        <v>2</v>
      </c>
      <c r="O172" s="9">
        <v>53</v>
      </c>
      <c r="P172" s="9">
        <f t="shared" si="13"/>
        <v>11.666666666666666</v>
      </c>
      <c r="X172" s="9">
        <f t="shared" si="14"/>
        <v>284.81666666666666</v>
      </c>
    </row>
    <row r="173" spans="1:24" x14ac:dyDescent="0.25">
      <c r="A173" s="9" t="s">
        <v>435</v>
      </c>
      <c r="B173" s="9" t="s">
        <v>254</v>
      </c>
      <c r="C173" s="9">
        <f>VLOOKUP(B173,{"iPhone",1;"Motorola",2;"Nokia",3;"Samsung",4;"Sony Erickson",5;"Sprint",6},2,0)</f>
        <v>5</v>
      </c>
      <c r="H173" s="9" t="s">
        <v>435</v>
      </c>
      <c r="I173" s="9" t="s">
        <v>242</v>
      </c>
      <c r="J173" s="9">
        <f>VLOOKUP(I173,{"Excellent",4;"Poor",1;"Good",3;"OK",2},2,0)</f>
        <v>1</v>
      </c>
      <c r="O173" s="9">
        <v>52</v>
      </c>
      <c r="P173" s="9">
        <f t="shared" si="13"/>
        <v>11.111111111111111</v>
      </c>
      <c r="X173" s="9">
        <f t="shared" si="14"/>
        <v>284.26111111111106</v>
      </c>
    </row>
    <row r="174" spans="1:24" x14ac:dyDescent="0.25">
      <c r="A174" s="9" t="s">
        <v>436</v>
      </c>
      <c r="B174" s="9" t="s">
        <v>248</v>
      </c>
      <c r="C174" s="9">
        <f>VLOOKUP(B174,{"iPhone",1;"Motorola",2;"Nokia",3;"Samsung",4;"Sony Erickson",5;"Sprint",6},2,0)</f>
        <v>3</v>
      </c>
      <c r="H174" s="9" t="s">
        <v>436</v>
      </c>
      <c r="I174" s="9" t="s">
        <v>242</v>
      </c>
      <c r="J174" s="9">
        <f>VLOOKUP(I174,{"Excellent",4;"Poor",1;"Good",3;"OK",2},2,0)</f>
        <v>1</v>
      </c>
      <c r="O174" s="9">
        <v>51</v>
      </c>
      <c r="P174" s="9">
        <f t="shared" si="13"/>
        <v>10.555555555555555</v>
      </c>
      <c r="X174" s="9">
        <f t="shared" si="14"/>
        <v>283.70555555555552</v>
      </c>
    </row>
    <row r="175" spans="1:24" x14ac:dyDescent="0.25">
      <c r="A175" s="9" t="s">
        <v>437</v>
      </c>
      <c r="B175" s="9" t="s">
        <v>248</v>
      </c>
      <c r="C175" s="9">
        <f>VLOOKUP(B175,{"iPhone",1;"Motorola",2;"Nokia",3;"Samsung",4;"Sony Erickson",5;"Sprint",6},2,0)</f>
        <v>3</v>
      </c>
      <c r="H175" s="9" t="s">
        <v>437</v>
      </c>
      <c r="I175" s="9" t="s">
        <v>237</v>
      </c>
      <c r="J175" s="9">
        <f>VLOOKUP(I175,{"Excellent",4;"Poor",1;"Good",3;"OK",2},2,0)</f>
        <v>2</v>
      </c>
      <c r="O175" s="9">
        <v>50</v>
      </c>
      <c r="P175" s="9">
        <f t="shared" si="13"/>
        <v>10</v>
      </c>
      <c r="X175" s="9">
        <f t="shared" si="14"/>
        <v>283.14999999999998</v>
      </c>
    </row>
    <row r="176" spans="1:24" x14ac:dyDescent="0.25">
      <c r="A176" s="9" t="s">
        <v>438</v>
      </c>
      <c r="B176" s="9" t="s">
        <v>248</v>
      </c>
      <c r="C176" s="9">
        <f>VLOOKUP(B176,{"iPhone",1;"Motorola",2;"Nokia",3;"Samsung",4;"Sony Erickson",5;"Sprint",6},2,0)</f>
        <v>3</v>
      </c>
      <c r="H176" s="9" t="s">
        <v>438</v>
      </c>
      <c r="I176" s="9" t="s">
        <v>237</v>
      </c>
      <c r="J176" s="9">
        <f>VLOOKUP(I176,{"Excellent",4;"Poor",1;"Good",3;"OK",2},2,0)</f>
        <v>2</v>
      </c>
      <c r="O176" s="9">
        <v>49</v>
      </c>
      <c r="P176" s="9">
        <f t="shared" si="13"/>
        <v>9.4444444444444446</v>
      </c>
      <c r="X176" s="9">
        <f t="shared" si="14"/>
        <v>282.59444444444443</v>
      </c>
    </row>
    <row r="177" spans="1:24" x14ac:dyDescent="0.25">
      <c r="A177" s="9" t="s">
        <v>439</v>
      </c>
      <c r="B177" s="9" t="s">
        <v>248</v>
      </c>
      <c r="C177" s="9">
        <f>VLOOKUP(B177,{"iPhone",1;"Motorola",2;"Nokia",3;"Samsung",4;"Sony Erickson",5;"Sprint",6},2,0)</f>
        <v>3</v>
      </c>
      <c r="H177" s="9" t="s">
        <v>439</v>
      </c>
      <c r="I177" s="9" t="s">
        <v>242</v>
      </c>
      <c r="J177" s="9">
        <f>VLOOKUP(I177,{"Excellent",4;"Poor",1;"Good",3;"OK",2},2,0)</f>
        <v>1</v>
      </c>
      <c r="O177" s="9">
        <v>48</v>
      </c>
      <c r="P177" s="9">
        <f t="shared" si="13"/>
        <v>8.8888888888888893</v>
      </c>
      <c r="X177" s="9">
        <f t="shared" si="14"/>
        <v>282.03888888888889</v>
      </c>
    </row>
    <row r="178" spans="1:24" x14ac:dyDescent="0.25">
      <c r="A178" s="9" t="s">
        <v>440</v>
      </c>
      <c r="B178" s="9" t="s">
        <v>236</v>
      </c>
      <c r="C178" s="9">
        <f>VLOOKUP(B178,{"iPhone",1;"Motorola",2;"Nokia",3;"Samsung",4;"Sony Erickson",5;"Sprint",6},2,0)</f>
        <v>1</v>
      </c>
      <c r="H178" s="9" t="s">
        <v>440</v>
      </c>
      <c r="I178" s="9" t="s">
        <v>237</v>
      </c>
      <c r="J178" s="9">
        <f>VLOOKUP(I178,{"Excellent",4;"Poor",1;"Good",3;"OK",2},2,0)</f>
        <v>2</v>
      </c>
      <c r="O178" s="9">
        <v>47</v>
      </c>
      <c r="P178" s="9">
        <f t="shared" si="13"/>
        <v>8.3333333333333339</v>
      </c>
      <c r="X178" s="9">
        <f t="shared" si="14"/>
        <v>281.48333333333329</v>
      </c>
    </row>
    <row r="179" spans="1:24" x14ac:dyDescent="0.25">
      <c r="A179" s="9" t="s">
        <v>441</v>
      </c>
      <c r="B179" s="9" t="s">
        <v>235</v>
      </c>
      <c r="C179" s="9">
        <f>VLOOKUP(B179,{"iPhone",1;"Motorola",2;"Nokia",3;"Samsung",4;"Sony Erickson",5;"Sprint",6},2,0)</f>
        <v>2</v>
      </c>
      <c r="H179" s="9" t="s">
        <v>441</v>
      </c>
      <c r="I179" s="9" t="s">
        <v>243</v>
      </c>
      <c r="J179" s="9">
        <f>VLOOKUP(I179,{"Excellent",4;"Poor",1;"Good",3;"OK",2},2,0)</f>
        <v>3</v>
      </c>
      <c r="O179" s="9">
        <v>46</v>
      </c>
      <c r="P179" s="9">
        <f t="shared" si="13"/>
        <v>7.7777777777777777</v>
      </c>
      <c r="X179" s="9">
        <f t="shared" si="14"/>
        <v>280.92777777777775</v>
      </c>
    </row>
    <row r="180" spans="1:24" x14ac:dyDescent="0.25">
      <c r="A180" s="9" t="s">
        <v>442</v>
      </c>
      <c r="B180" s="9" t="s">
        <v>258</v>
      </c>
      <c r="C180" s="9">
        <f>VLOOKUP(B180,{"iPhone",1;"Motorola",2;"Nokia",3;"Samsung",4;"Sony Erickson",5;"Sprint",6},2,0)</f>
        <v>6</v>
      </c>
      <c r="H180" s="9" t="s">
        <v>442</v>
      </c>
      <c r="I180" s="9" t="s">
        <v>242</v>
      </c>
      <c r="J180" s="9">
        <f>VLOOKUP(I180,{"Excellent",4;"Poor",1;"Good",3;"OK",2},2,0)</f>
        <v>1</v>
      </c>
      <c r="O180" s="9">
        <v>45</v>
      </c>
      <c r="P180" s="9">
        <f t="shared" si="13"/>
        <v>7.2222222222222223</v>
      </c>
      <c r="X180" s="9">
        <f t="shared" si="14"/>
        <v>280.37222222222221</v>
      </c>
    </row>
    <row r="181" spans="1:24" x14ac:dyDescent="0.25">
      <c r="A181" s="9" t="s">
        <v>443</v>
      </c>
      <c r="B181" s="9" t="s">
        <v>236</v>
      </c>
      <c r="C181" s="9">
        <f>VLOOKUP(B181,{"iPhone",1;"Motorola",2;"Nokia",3;"Samsung",4;"Sony Erickson",5;"Sprint",6},2,0)</f>
        <v>1</v>
      </c>
      <c r="H181" s="9" t="s">
        <v>443</v>
      </c>
      <c r="I181" s="9" t="s">
        <v>238</v>
      </c>
      <c r="J181" s="9">
        <f>VLOOKUP(I181,{"Excellent",4;"Poor",1;"Good",3;"OK",2},2,0)</f>
        <v>4</v>
      </c>
      <c r="O181" s="9">
        <v>44</v>
      </c>
      <c r="P181" s="9">
        <f t="shared" si="13"/>
        <v>6.6666666666666661</v>
      </c>
      <c r="X181" s="9">
        <f t="shared" si="14"/>
        <v>279.81666666666666</v>
      </c>
    </row>
    <row r="182" spans="1:24" x14ac:dyDescent="0.25">
      <c r="A182" s="9" t="s">
        <v>444</v>
      </c>
      <c r="B182" s="9" t="s">
        <v>235</v>
      </c>
      <c r="C182" s="9">
        <f>VLOOKUP(B182,{"iPhone",1;"Motorola",2;"Nokia",3;"Samsung",4;"Sony Erickson",5;"Sprint",6},2,0)</f>
        <v>2</v>
      </c>
      <c r="H182" s="9" t="s">
        <v>444</v>
      </c>
      <c r="I182" s="9" t="s">
        <v>242</v>
      </c>
      <c r="J182" s="9">
        <f>VLOOKUP(I182,{"Excellent",4;"Poor",1;"Good",3;"OK",2},2,0)</f>
        <v>1</v>
      </c>
      <c r="O182" s="9">
        <v>43</v>
      </c>
      <c r="P182" s="9">
        <f t="shared" si="13"/>
        <v>6.1111111111111107</v>
      </c>
      <c r="X182" s="9">
        <f t="shared" si="14"/>
        <v>279.26111111111106</v>
      </c>
    </row>
    <row r="183" spans="1:24" x14ac:dyDescent="0.25">
      <c r="A183" s="9" t="s">
        <v>445</v>
      </c>
      <c r="B183" s="9" t="s">
        <v>248</v>
      </c>
      <c r="C183" s="9">
        <f>VLOOKUP(B183,{"iPhone",1;"Motorola",2;"Nokia",3;"Samsung",4;"Sony Erickson",5;"Sprint",6},2,0)</f>
        <v>3</v>
      </c>
      <c r="H183" s="9" t="s">
        <v>445</v>
      </c>
      <c r="I183" s="9" t="s">
        <v>242</v>
      </c>
      <c r="J183" s="9">
        <f>VLOOKUP(I183,{"Excellent",4;"Poor",1;"Good",3;"OK",2},2,0)</f>
        <v>1</v>
      </c>
      <c r="O183" s="9">
        <v>42</v>
      </c>
      <c r="P183" s="9">
        <f t="shared" si="13"/>
        <v>5.5555555555555554</v>
      </c>
      <c r="X183" s="9">
        <f t="shared" si="14"/>
        <v>278.70555555555552</v>
      </c>
    </row>
    <row r="184" spans="1:24" x14ac:dyDescent="0.25">
      <c r="A184" s="9" t="s">
        <v>446</v>
      </c>
      <c r="B184" s="9" t="s">
        <v>236</v>
      </c>
      <c r="C184" s="9">
        <f>VLOOKUP(B184,{"iPhone",1;"Motorola",2;"Nokia",3;"Samsung",4;"Sony Erickson",5;"Sprint",6},2,0)</f>
        <v>1</v>
      </c>
      <c r="H184" s="9" t="s">
        <v>446</v>
      </c>
      <c r="I184" s="9" t="s">
        <v>242</v>
      </c>
      <c r="J184" s="9">
        <f>VLOOKUP(I184,{"Excellent",4;"Poor",1;"Good",3;"OK",2},2,0)</f>
        <v>1</v>
      </c>
      <c r="O184" s="9">
        <v>41</v>
      </c>
      <c r="P184" s="9">
        <f t="shared" si="13"/>
        <v>5</v>
      </c>
      <c r="X184" s="9">
        <f t="shared" si="14"/>
        <v>278.14999999999998</v>
      </c>
    </row>
    <row r="185" spans="1:24" x14ac:dyDescent="0.25">
      <c r="A185" s="9" t="s">
        <v>447</v>
      </c>
      <c r="B185" s="9" t="s">
        <v>236</v>
      </c>
      <c r="C185" s="9">
        <f>VLOOKUP(B185,{"iPhone",1;"Motorola",2;"Nokia",3;"Samsung",4;"Sony Erickson",5;"Sprint",6},2,0)</f>
        <v>1</v>
      </c>
      <c r="H185" s="9" t="s">
        <v>447</v>
      </c>
      <c r="I185" s="9" t="s">
        <v>237</v>
      </c>
      <c r="J185" s="9">
        <f>VLOOKUP(I185,{"Excellent",4;"Poor",1;"Good",3;"OK",2},2,0)</f>
        <v>2</v>
      </c>
      <c r="O185" s="9">
        <v>40</v>
      </c>
      <c r="P185" s="9">
        <f t="shared" si="13"/>
        <v>4.4444444444444446</v>
      </c>
      <c r="X185" s="9">
        <f t="shared" si="14"/>
        <v>277.59444444444443</v>
      </c>
    </row>
    <row r="186" spans="1:24" x14ac:dyDescent="0.25">
      <c r="A186" s="9" t="s">
        <v>448</v>
      </c>
      <c r="B186" s="9" t="s">
        <v>236</v>
      </c>
      <c r="C186" s="9">
        <f>VLOOKUP(B186,{"iPhone",1;"Motorola",2;"Nokia",3;"Samsung",4;"Sony Erickson",5;"Sprint",6},2,0)</f>
        <v>1</v>
      </c>
      <c r="H186" s="9" t="s">
        <v>448</v>
      </c>
      <c r="I186" s="9" t="s">
        <v>242</v>
      </c>
      <c r="J186" s="9">
        <f>VLOOKUP(I186,{"Excellent",4;"Poor",1;"Good",3;"OK",2},2,0)</f>
        <v>1</v>
      </c>
      <c r="O186" s="9">
        <v>39</v>
      </c>
      <c r="P186" s="9">
        <f t="shared" si="13"/>
        <v>3.8888888888888888</v>
      </c>
      <c r="X186" s="9">
        <f t="shared" si="14"/>
        <v>277.03888888888889</v>
      </c>
    </row>
    <row r="187" spans="1:24" x14ac:dyDescent="0.25">
      <c r="A187" s="9" t="s">
        <v>449</v>
      </c>
      <c r="B187" s="9" t="s">
        <v>258</v>
      </c>
      <c r="C187" s="9">
        <f>VLOOKUP(B187,{"iPhone",1;"Motorola",2;"Nokia",3;"Samsung",4;"Sony Erickson",5;"Sprint",6},2,0)</f>
        <v>6</v>
      </c>
      <c r="H187" s="9" t="s">
        <v>449</v>
      </c>
      <c r="I187" s="9" t="s">
        <v>242</v>
      </c>
      <c r="J187" s="9">
        <f>VLOOKUP(I187,{"Excellent",4;"Poor",1;"Good",3;"OK",2},2,0)</f>
        <v>1</v>
      </c>
      <c r="O187" s="9">
        <v>38</v>
      </c>
      <c r="P187" s="9">
        <f t="shared" si="13"/>
        <v>3.333333333333333</v>
      </c>
      <c r="X187" s="9">
        <f t="shared" si="14"/>
        <v>276.48333333333329</v>
      </c>
    </row>
    <row r="188" spans="1:24" x14ac:dyDescent="0.25">
      <c r="A188" s="9" t="s">
        <v>450</v>
      </c>
      <c r="B188" s="9" t="s">
        <v>248</v>
      </c>
      <c r="C188" s="9">
        <f>VLOOKUP(B188,{"iPhone",1;"Motorola",2;"Nokia",3;"Samsung",4;"Sony Erickson",5;"Sprint",6},2,0)</f>
        <v>3</v>
      </c>
      <c r="H188" s="9" t="s">
        <v>450</v>
      </c>
      <c r="I188" s="9" t="s">
        <v>242</v>
      </c>
      <c r="J188" s="9">
        <f>VLOOKUP(I188,{"Excellent",4;"Poor",1;"Good",3;"OK",2},2,0)</f>
        <v>1</v>
      </c>
      <c r="O188" s="9">
        <v>37</v>
      </c>
      <c r="P188" s="9">
        <f t="shared" si="13"/>
        <v>2.7777777777777777</v>
      </c>
      <c r="X188" s="9">
        <f t="shared" si="14"/>
        <v>275.92777777777775</v>
      </c>
    </row>
    <row r="189" spans="1:24" x14ac:dyDescent="0.25">
      <c r="A189" s="9" t="s">
        <v>451</v>
      </c>
      <c r="B189" s="9" t="s">
        <v>236</v>
      </c>
      <c r="C189" s="9">
        <f>VLOOKUP(B189,{"iPhone",1;"Motorola",2;"Nokia",3;"Samsung",4;"Sony Erickson",5;"Sprint",6},2,0)</f>
        <v>1</v>
      </c>
      <c r="H189" s="9" t="s">
        <v>451</v>
      </c>
      <c r="I189" s="9" t="s">
        <v>242</v>
      </c>
      <c r="J189" s="9">
        <f>VLOOKUP(I189,{"Excellent",4;"Poor",1;"Good",3;"OK",2},2,0)</f>
        <v>1</v>
      </c>
      <c r="O189" s="9">
        <v>36</v>
      </c>
      <c r="P189" s="9">
        <f t="shared" si="13"/>
        <v>2.2222222222222223</v>
      </c>
      <c r="X189" s="9">
        <f t="shared" si="14"/>
        <v>275.37222222222221</v>
      </c>
    </row>
    <row r="190" spans="1:24" x14ac:dyDescent="0.25">
      <c r="A190" s="9" t="s">
        <v>452</v>
      </c>
      <c r="B190" s="9" t="s">
        <v>236</v>
      </c>
      <c r="C190" s="9">
        <f>VLOOKUP(B190,{"iPhone",1;"Motorola",2;"Nokia",3;"Samsung",4;"Sony Erickson",5;"Sprint",6},2,0)</f>
        <v>1</v>
      </c>
      <c r="H190" s="9" t="s">
        <v>452</v>
      </c>
      <c r="I190" s="9" t="s">
        <v>237</v>
      </c>
      <c r="J190" s="9">
        <f>VLOOKUP(I190,{"Excellent",4;"Poor",1;"Good",3;"OK",2},2,0)</f>
        <v>2</v>
      </c>
      <c r="O190" s="9">
        <v>35</v>
      </c>
      <c r="P190" s="9">
        <f t="shared" si="13"/>
        <v>1.6666666666666665</v>
      </c>
      <c r="X190" s="9">
        <f t="shared" si="14"/>
        <v>274.81666666666666</v>
      </c>
    </row>
    <row r="191" spans="1:24" x14ac:dyDescent="0.25">
      <c r="A191" s="9" t="s">
        <v>453</v>
      </c>
      <c r="B191" s="9" t="s">
        <v>258</v>
      </c>
      <c r="C191" s="9">
        <f>VLOOKUP(B191,{"iPhone",1;"Motorola",2;"Nokia",3;"Samsung",4;"Sony Erickson",5;"Sprint",6},2,0)</f>
        <v>6</v>
      </c>
      <c r="H191" s="9" t="s">
        <v>453</v>
      </c>
      <c r="I191" s="9" t="s">
        <v>242</v>
      </c>
      <c r="J191" s="9">
        <f>VLOOKUP(I191,{"Excellent",4;"Poor",1;"Good",3;"OK",2},2,0)</f>
        <v>1</v>
      </c>
      <c r="O191" s="9">
        <v>34</v>
      </c>
      <c r="P191" s="9">
        <f t="shared" si="13"/>
        <v>1.1111111111111112</v>
      </c>
      <c r="X191" s="9">
        <f t="shared" si="14"/>
        <v>274.26111111111106</v>
      </c>
    </row>
    <row r="192" spans="1:24" x14ac:dyDescent="0.25">
      <c r="A192" s="9" t="s">
        <v>454</v>
      </c>
      <c r="B192" s="9" t="s">
        <v>235</v>
      </c>
      <c r="C192" s="9">
        <f>VLOOKUP(B192,{"iPhone",1;"Motorola",2;"Nokia",3;"Samsung",4;"Sony Erickson",5;"Sprint",6},2,0)</f>
        <v>2</v>
      </c>
      <c r="H192" s="9" t="s">
        <v>454</v>
      </c>
      <c r="I192" s="9" t="s">
        <v>242</v>
      </c>
      <c r="J192" s="9">
        <f>VLOOKUP(I192,{"Excellent",4;"Poor",1;"Good",3;"OK",2},2,0)</f>
        <v>1</v>
      </c>
      <c r="O192" s="9">
        <v>33</v>
      </c>
      <c r="P192" s="9">
        <f t="shared" si="13"/>
        <v>0.55555555555555558</v>
      </c>
      <c r="X192" s="9">
        <f t="shared" si="14"/>
        <v>273.70555555555552</v>
      </c>
    </row>
    <row r="193" spans="1:24" x14ac:dyDescent="0.25">
      <c r="A193" s="9" t="s">
        <v>455</v>
      </c>
      <c r="B193" s="9" t="s">
        <v>236</v>
      </c>
      <c r="C193" s="9">
        <f>VLOOKUP(B193,{"iPhone",1;"Motorola",2;"Nokia",3;"Samsung",4;"Sony Erickson",5;"Sprint",6},2,0)</f>
        <v>1</v>
      </c>
      <c r="H193" s="9" t="s">
        <v>455</v>
      </c>
      <c r="I193" s="9" t="s">
        <v>243</v>
      </c>
      <c r="J193" s="9">
        <f>VLOOKUP(I193,{"Excellent",4;"Poor",1;"Good",3;"OK",2},2,0)</f>
        <v>3</v>
      </c>
      <c r="O193" s="9">
        <v>32</v>
      </c>
      <c r="P193" s="9">
        <f t="shared" si="13"/>
        <v>0</v>
      </c>
      <c r="X193" s="9">
        <f t="shared" si="14"/>
        <v>273.14999999999998</v>
      </c>
    </row>
    <row r="194" spans="1:24" x14ac:dyDescent="0.25">
      <c r="A194" s="9" t="s">
        <v>456</v>
      </c>
      <c r="B194" s="9" t="s">
        <v>236</v>
      </c>
      <c r="C194" s="9">
        <f>VLOOKUP(B194,{"iPhone",1;"Motorola",2;"Nokia",3;"Samsung",4;"Sony Erickson",5;"Sprint",6},2,0)</f>
        <v>1</v>
      </c>
      <c r="H194" s="9" t="s">
        <v>456</v>
      </c>
      <c r="I194" s="9" t="s">
        <v>243</v>
      </c>
      <c r="J194" s="9">
        <f>VLOOKUP(I194,{"Excellent",4;"Poor",1;"Good",3;"OK",2},2,0)</f>
        <v>3</v>
      </c>
      <c r="O194" s="9">
        <v>31</v>
      </c>
      <c r="P194" s="9">
        <f t="shared" si="13"/>
        <v>-0.55555555555555558</v>
      </c>
      <c r="X194" s="9">
        <f t="shared" si="14"/>
        <v>272.59444444444443</v>
      </c>
    </row>
    <row r="195" spans="1:24" x14ac:dyDescent="0.25">
      <c r="A195" s="9" t="s">
        <v>457</v>
      </c>
      <c r="B195" s="9" t="s">
        <v>236</v>
      </c>
      <c r="C195" s="9">
        <f>VLOOKUP(B195,{"iPhone",1;"Motorola",2;"Nokia",3;"Samsung",4;"Sony Erickson",5;"Sprint",6},2,0)</f>
        <v>1</v>
      </c>
      <c r="H195" s="9" t="s">
        <v>457</v>
      </c>
      <c r="I195" s="9" t="s">
        <v>237</v>
      </c>
      <c r="J195" s="9">
        <f>VLOOKUP(I195,{"Excellent",4;"Poor",1;"Good",3;"OK",2},2,0)</f>
        <v>2</v>
      </c>
      <c r="O195" s="9">
        <v>30</v>
      </c>
      <c r="P195" s="9">
        <f t="shared" si="13"/>
        <v>-1.1111111111111112</v>
      </c>
      <c r="X195" s="9">
        <f t="shared" si="14"/>
        <v>272.03888888888889</v>
      </c>
    </row>
    <row r="196" spans="1:24" x14ac:dyDescent="0.25">
      <c r="A196" s="9" t="s">
        <v>458</v>
      </c>
      <c r="B196" s="9" t="s">
        <v>254</v>
      </c>
      <c r="C196" s="9">
        <f>VLOOKUP(B196,{"iPhone",1;"Motorola",2;"Nokia",3;"Samsung",4;"Sony Erickson",5;"Sprint",6},2,0)</f>
        <v>5</v>
      </c>
      <c r="H196" s="9" t="s">
        <v>458</v>
      </c>
      <c r="I196" s="9" t="s">
        <v>243</v>
      </c>
      <c r="J196" s="9">
        <f>VLOOKUP(I196,{"Excellent",4;"Poor",1;"Good",3;"OK",2},2,0)</f>
        <v>3</v>
      </c>
      <c r="O196" s="9">
        <v>29</v>
      </c>
      <c r="P196" s="9">
        <f t="shared" si="13"/>
        <v>-1.6666666666666665</v>
      </c>
      <c r="X196" s="9">
        <f t="shared" si="14"/>
        <v>271.48333333333329</v>
      </c>
    </row>
    <row r="197" spans="1:24" x14ac:dyDescent="0.25">
      <c r="A197" s="9" t="s">
        <v>459</v>
      </c>
      <c r="B197" s="9" t="s">
        <v>236</v>
      </c>
      <c r="C197" s="9">
        <f>VLOOKUP(B197,{"iPhone",1;"Motorola",2;"Nokia",3;"Samsung",4;"Sony Erickson",5;"Sprint",6},2,0)</f>
        <v>1</v>
      </c>
      <c r="H197" s="9" t="s">
        <v>459</v>
      </c>
      <c r="I197" s="9" t="s">
        <v>242</v>
      </c>
      <c r="J197" s="9">
        <f>VLOOKUP(I197,{"Excellent",4;"Poor",1;"Good",3;"OK",2},2,0)</f>
        <v>1</v>
      </c>
      <c r="O197" s="9">
        <v>28</v>
      </c>
      <c r="P197" s="9">
        <f t="shared" ref="P197:P260" si="15">CONVERT(O197,"F","C")</f>
        <v>-2.2222222222222223</v>
      </c>
      <c r="X197" s="9">
        <f t="shared" si="14"/>
        <v>270.92777777777775</v>
      </c>
    </row>
    <row r="198" spans="1:24" x14ac:dyDescent="0.25">
      <c r="A198" s="9" t="s">
        <v>460</v>
      </c>
      <c r="B198" s="9" t="s">
        <v>235</v>
      </c>
      <c r="C198" s="9">
        <f>VLOOKUP(B198,{"iPhone",1;"Motorola",2;"Nokia",3;"Samsung",4;"Sony Erickson",5;"Sprint",6},2,0)</f>
        <v>2</v>
      </c>
      <c r="H198" s="9" t="s">
        <v>460</v>
      </c>
      <c r="I198" s="9" t="s">
        <v>237</v>
      </c>
      <c r="J198" s="9">
        <f>VLOOKUP(I198,{"Excellent",4;"Poor",1;"Good",3;"OK",2},2,0)</f>
        <v>2</v>
      </c>
      <c r="O198" s="9">
        <v>27</v>
      </c>
      <c r="P198" s="9">
        <f t="shared" si="15"/>
        <v>-2.7777777777777777</v>
      </c>
      <c r="X198" s="9">
        <f t="shared" ref="X198:X261" si="16">CONVERT(O198,"F","K")</f>
        <v>270.37222222222221</v>
      </c>
    </row>
    <row r="199" spans="1:24" x14ac:dyDescent="0.25">
      <c r="A199" s="9" t="s">
        <v>461</v>
      </c>
      <c r="B199" s="9" t="s">
        <v>236</v>
      </c>
      <c r="C199" s="9">
        <f>VLOOKUP(B199,{"iPhone",1;"Motorola",2;"Nokia",3;"Samsung",4;"Sony Erickson",5;"Sprint",6},2,0)</f>
        <v>1</v>
      </c>
      <c r="H199" s="9" t="s">
        <v>461</v>
      </c>
      <c r="I199" s="9" t="s">
        <v>243</v>
      </c>
      <c r="J199" s="9">
        <f>VLOOKUP(I199,{"Excellent",4;"Poor",1;"Good",3;"OK",2},2,0)</f>
        <v>3</v>
      </c>
      <c r="O199" s="9">
        <v>26</v>
      </c>
      <c r="P199" s="9">
        <f t="shared" si="15"/>
        <v>-3.333333333333333</v>
      </c>
      <c r="X199" s="9">
        <f t="shared" si="16"/>
        <v>269.81666666666666</v>
      </c>
    </row>
    <row r="200" spans="1:24" x14ac:dyDescent="0.25">
      <c r="A200" s="9" t="s">
        <v>462</v>
      </c>
      <c r="B200" s="9" t="s">
        <v>248</v>
      </c>
      <c r="C200" s="9">
        <f>VLOOKUP(B200,{"iPhone",1;"Motorola",2;"Nokia",3;"Samsung",4;"Sony Erickson",5;"Sprint",6},2,0)</f>
        <v>3</v>
      </c>
      <c r="H200" s="9" t="s">
        <v>462</v>
      </c>
      <c r="I200" s="9" t="s">
        <v>242</v>
      </c>
      <c r="J200" s="9">
        <f>VLOOKUP(I200,{"Excellent",4;"Poor",1;"Good",3;"OK",2},2,0)</f>
        <v>1</v>
      </c>
      <c r="O200" s="9">
        <v>25</v>
      </c>
      <c r="P200" s="9">
        <f t="shared" si="15"/>
        <v>-3.8888888888888888</v>
      </c>
      <c r="X200" s="9">
        <f t="shared" si="16"/>
        <v>269.26111111111106</v>
      </c>
    </row>
    <row r="201" spans="1:24" x14ac:dyDescent="0.25">
      <c r="A201" s="9" t="s">
        <v>463</v>
      </c>
      <c r="B201" s="9" t="s">
        <v>254</v>
      </c>
      <c r="C201" s="9">
        <f>VLOOKUP(B201,{"iPhone",1;"Motorola",2;"Nokia",3;"Samsung",4;"Sony Erickson",5;"Sprint",6},2,0)</f>
        <v>5</v>
      </c>
      <c r="H201" s="9" t="s">
        <v>463</v>
      </c>
      <c r="I201" s="9" t="s">
        <v>237</v>
      </c>
      <c r="J201" s="9">
        <f>VLOOKUP(I201,{"Excellent",4;"Poor",1;"Good",3;"OK",2},2,0)</f>
        <v>2</v>
      </c>
      <c r="O201" s="9">
        <v>24</v>
      </c>
      <c r="P201" s="9">
        <f t="shared" si="15"/>
        <v>-4.4444444444444446</v>
      </c>
      <c r="X201" s="9">
        <f t="shared" si="16"/>
        <v>268.70555555555552</v>
      </c>
    </row>
    <row r="202" spans="1:24" x14ac:dyDescent="0.25">
      <c r="A202" s="9" t="s">
        <v>464</v>
      </c>
      <c r="B202" s="9" t="s">
        <v>247</v>
      </c>
      <c r="C202" s="9">
        <f>VLOOKUP(B202,{"iPhone",1;"Motorola",2;"Nokia",3;"Samsung",4;"Sony Erickson",5;"Sprint",6},2,0)</f>
        <v>4</v>
      </c>
      <c r="H202" s="9" t="s">
        <v>464</v>
      </c>
      <c r="I202" s="9" t="s">
        <v>242</v>
      </c>
      <c r="J202" s="9">
        <f>VLOOKUP(I202,{"Excellent",4;"Poor",1;"Good",3;"OK",2},2,0)</f>
        <v>1</v>
      </c>
      <c r="O202" s="9">
        <v>23</v>
      </c>
      <c r="P202" s="9">
        <f t="shared" si="15"/>
        <v>-5</v>
      </c>
      <c r="X202" s="9">
        <f t="shared" si="16"/>
        <v>268.14999999999998</v>
      </c>
    </row>
    <row r="203" spans="1:24" x14ac:dyDescent="0.25">
      <c r="A203" s="9" t="s">
        <v>465</v>
      </c>
      <c r="B203" s="9" t="s">
        <v>258</v>
      </c>
      <c r="C203" s="9">
        <f>VLOOKUP(B203,{"iPhone",1;"Motorola",2;"Nokia",3;"Samsung",4;"Sony Erickson",5;"Sprint",6},2,0)</f>
        <v>6</v>
      </c>
      <c r="H203" s="9" t="s">
        <v>465</v>
      </c>
      <c r="I203" s="9" t="s">
        <v>237</v>
      </c>
      <c r="J203" s="9">
        <f>VLOOKUP(I203,{"Excellent",4;"Poor",1;"Good",3;"OK",2},2,0)</f>
        <v>2</v>
      </c>
      <c r="O203" s="9">
        <v>22</v>
      </c>
      <c r="P203" s="9">
        <f t="shared" si="15"/>
        <v>-5.5555555555555554</v>
      </c>
      <c r="X203" s="9">
        <f t="shared" si="16"/>
        <v>267.59444444444443</v>
      </c>
    </row>
    <row r="204" spans="1:24" x14ac:dyDescent="0.25">
      <c r="A204" s="9" t="s">
        <v>466</v>
      </c>
      <c r="B204" s="9" t="s">
        <v>236</v>
      </c>
      <c r="C204" s="9">
        <f>VLOOKUP(B204,{"iPhone",1;"Motorola",2;"Nokia",3;"Samsung",4;"Sony Erickson",5;"Sprint",6},2,0)</f>
        <v>1</v>
      </c>
      <c r="H204" s="9" t="s">
        <v>466</v>
      </c>
      <c r="I204" s="9" t="s">
        <v>242</v>
      </c>
      <c r="J204" s="9">
        <f>VLOOKUP(I204,{"Excellent",4;"Poor",1;"Good",3;"OK",2},2,0)</f>
        <v>1</v>
      </c>
      <c r="O204" s="9">
        <v>21</v>
      </c>
      <c r="P204" s="9">
        <f t="shared" si="15"/>
        <v>-6.1111111111111107</v>
      </c>
      <c r="X204" s="9">
        <f t="shared" si="16"/>
        <v>267.03888888888889</v>
      </c>
    </row>
    <row r="205" spans="1:24" x14ac:dyDescent="0.25">
      <c r="A205" s="9" t="s">
        <v>467</v>
      </c>
      <c r="B205" s="9" t="s">
        <v>235</v>
      </c>
      <c r="C205" s="9">
        <f>VLOOKUP(B205,{"iPhone",1;"Motorola",2;"Nokia",3;"Samsung",4;"Sony Erickson",5;"Sprint",6},2,0)</f>
        <v>2</v>
      </c>
      <c r="H205" s="9" t="s">
        <v>467</v>
      </c>
      <c r="I205" s="9" t="s">
        <v>243</v>
      </c>
      <c r="J205" s="9">
        <f>VLOOKUP(I205,{"Excellent",4;"Poor",1;"Good",3;"OK",2},2,0)</f>
        <v>3</v>
      </c>
      <c r="O205" s="9">
        <v>20</v>
      </c>
      <c r="P205" s="9">
        <f t="shared" si="15"/>
        <v>-6.6666666666666661</v>
      </c>
      <c r="X205" s="9">
        <f t="shared" si="16"/>
        <v>266.48333333333329</v>
      </c>
    </row>
    <row r="206" spans="1:24" x14ac:dyDescent="0.25">
      <c r="A206" s="9" t="s">
        <v>468</v>
      </c>
      <c r="B206" s="9" t="s">
        <v>236</v>
      </c>
      <c r="C206" s="9">
        <f>VLOOKUP(B206,{"iPhone",1;"Motorola",2;"Nokia",3;"Samsung",4;"Sony Erickson",5;"Sprint",6},2,0)</f>
        <v>1</v>
      </c>
      <c r="H206" s="9" t="s">
        <v>468</v>
      </c>
      <c r="I206" s="9" t="s">
        <v>237</v>
      </c>
      <c r="J206" s="9">
        <f>VLOOKUP(I206,{"Excellent",4;"Poor",1;"Good",3;"OK",2},2,0)</f>
        <v>2</v>
      </c>
      <c r="O206" s="9">
        <v>19</v>
      </c>
      <c r="P206" s="9">
        <f t="shared" si="15"/>
        <v>-7.2222222222222223</v>
      </c>
      <c r="X206" s="9">
        <f t="shared" si="16"/>
        <v>265.92777777777775</v>
      </c>
    </row>
    <row r="207" spans="1:24" x14ac:dyDescent="0.25">
      <c r="A207" s="9" t="s">
        <v>469</v>
      </c>
      <c r="B207" s="9" t="s">
        <v>236</v>
      </c>
      <c r="C207" s="9">
        <f>VLOOKUP(B207,{"iPhone",1;"Motorola",2;"Nokia",3;"Samsung",4;"Sony Erickson",5;"Sprint",6},2,0)</f>
        <v>1</v>
      </c>
      <c r="H207" s="9" t="s">
        <v>469</v>
      </c>
      <c r="I207" s="9" t="s">
        <v>238</v>
      </c>
      <c r="J207" s="9">
        <f>VLOOKUP(I207,{"Excellent",4;"Poor",1;"Good",3;"OK",2},2,0)</f>
        <v>4</v>
      </c>
      <c r="O207" s="9">
        <v>18</v>
      </c>
      <c r="P207" s="9">
        <f t="shared" si="15"/>
        <v>-7.7777777777777777</v>
      </c>
      <c r="X207" s="9">
        <f t="shared" si="16"/>
        <v>265.37222222222221</v>
      </c>
    </row>
    <row r="208" spans="1:24" x14ac:dyDescent="0.25">
      <c r="A208" s="9" t="s">
        <v>470</v>
      </c>
      <c r="B208" s="9" t="s">
        <v>258</v>
      </c>
      <c r="C208" s="9">
        <f>VLOOKUP(B208,{"iPhone",1;"Motorola",2;"Nokia",3;"Samsung",4;"Sony Erickson",5;"Sprint",6},2,0)</f>
        <v>6</v>
      </c>
      <c r="H208" s="9" t="s">
        <v>470</v>
      </c>
      <c r="I208" s="9" t="s">
        <v>243</v>
      </c>
      <c r="J208" s="9">
        <f>VLOOKUP(I208,{"Excellent",4;"Poor",1;"Good",3;"OK",2},2,0)</f>
        <v>3</v>
      </c>
      <c r="O208" s="9">
        <v>17</v>
      </c>
      <c r="P208" s="9">
        <f t="shared" si="15"/>
        <v>-8.3333333333333339</v>
      </c>
      <c r="X208" s="9">
        <f t="shared" si="16"/>
        <v>264.81666666666666</v>
      </c>
    </row>
    <row r="209" spans="1:24" x14ac:dyDescent="0.25">
      <c r="A209" s="9" t="s">
        <v>471</v>
      </c>
      <c r="B209" s="9" t="s">
        <v>258</v>
      </c>
      <c r="C209" s="9">
        <f>VLOOKUP(B209,{"iPhone",1;"Motorola",2;"Nokia",3;"Samsung",4;"Sony Erickson",5;"Sprint",6},2,0)</f>
        <v>6</v>
      </c>
      <c r="H209" s="9" t="s">
        <v>471</v>
      </c>
      <c r="I209" s="9" t="s">
        <v>242</v>
      </c>
      <c r="J209" s="9">
        <f>VLOOKUP(I209,{"Excellent",4;"Poor",1;"Good",3;"OK",2},2,0)</f>
        <v>1</v>
      </c>
      <c r="O209" s="9">
        <v>16</v>
      </c>
      <c r="P209" s="9">
        <f t="shared" si="15"/>
        <v>-8.8888888888888893</v>
      </c>
      <c r="X209" s="9">
        <f t="shared" si="16"/>
        <v>264.26111111111106</v>
      </c>
    </row>
    <row r="210" spans="1:24" x14ac:dyDescent="0.25">
      <c r="A210" s="9" t="s">
        <v>472</v>
      </c>
      <c r="B210" s="9" t="s">
        <v>236</v>
      </c>
      <c r="C210" s="9">
        <f>VLOOKUP(B210,{"iPhone",1;"Motorola",2;"Nokia",3;"Samsung",4;"Sony Erickson",5;"Sprint",6},2,0)</f>
        <v>1</v>
      </c>
      <c r="H210" s="9" t="s">
        <v>472</v>
      </c>
      <c r="I210" s="9" t="s">
        <v>242</v>
      </c>
      <c r="J210" s="9">
        <f>VLOOKUP(I210,{"Excellent",4;"Poor",1;"Good",3;"OK",2},2,0)</f>
        <v>1</v>
      </c>
      <c r="O210" s="9">
        <v>15</v>
      </c>
      <c r="P210" s="9">
        <f t="shared" si="15"/>
        <v>-9.4444444444444446</v>
      </c>
      <c r="X210" s="9">
        <f t="shared" si="16"/>
        <v>263.70555555555552</v>
      </c>
    </row>
    <row r="211" spans="1:24" x14ac:dyDescent="0.25">
      <c r="A211" s="9" t="s">
        <v>473</v>
      </c>
      <c r="B211" s="9" t="s">
        <v>254</v>
      </c>
      <c r="C211" s="9">
        <f>VLOOKUP(B211,{"iPhone",1;"Motorola",2;"Nokia",3;"Samsung",4;"Sony Erickson",5;"Sprint",6},2,0)</f>
        <v>5</v>
      </c>
      <c r="H211" s="9" t="s">
        <v>473</v>
      </c>
      <c r="I211" s="9" t="s">
        <v>242</v>
      </c>
      <c r="J211" s="9">
        <f>VLOOKUP(I211,{"Excellent",4;"Poor",1;"Good",3;"OK",2},2,0)</f>
        <v>1</v>
      </c>
      <c r="O211" s="9">
        <v>14</v>
      </c>
      <c r="P211" s="9">
        <f t="shared" si="15"/>
        <v>-10</v>
      </c>
      <c r="X211" s="9">
        <f t="shared" si="16"/>
        <v>263.14999999999998</v>
      </c>
    </row>
    <row r="212" spans="1:24" x14ac:dyDescent="0.25">
      <c r="A212" s="9" t="s">
        <v>474</v>
      </c>
      <c r="B212" s="9" t="s">
        <v>235</v>
      </c>
      <c r="C212" s="9">
        <f>VLOOKUP(B212,{"iPhone",1;"Motorola",2;"Nokia",3;"Samsung",4;"Sony Erickson",5;"Sprint",6},2,0)</f>
        <v>2</v>
      </c>
      <c r="H212" s="9" t="s">
        <v>474</v>
      </c>
      <c r="I212" s="9" t="s">
        <v>242</v>
      </c>
      <c r="J212" s="9">
        <f>VLOOKUP(I212,{"Excellent",4;"Poor",1;"Good",3;"OK",2},2,0)</f>
        <v>1</v>
      </c>
      <c r="O212" s="9">
        <v>13</v>
      </c>
      <c r="P212" s="9">
        <f t="shared" si="15"/>
        <v>-10.555555555555555</v>
      </c>
      <c r="X212" s="9">
        <f t="shared" si="16"/>
        <v>262.59444444444443</v>
      </c>
    </row>
    <row r="213" spans="1:24" x14ac:dyDescent="0.25">
      <c r="A213" s="9" t="s">
        <v>475</v>
      </c>
      <c r="B213" s="9" t="s">
        <v>236</v>
      </c>
      <c r="C213" s="9">
        <f>VLOOKUP(B213,{"iPhone",1;"Motorola",2;"Nokia",3;"Samsung",4;"Sony Erickson",5;"Sprint",6},2,0)</f>
        <v>1</v>
      </c>
      <c r="H213" s="9" t="s">
        <v>475</v>
      </c>
      <c r="I213" s="9" t="s">
        <v>242</v>
      </c>
      <c r="J213" s="9">
        <f>VLOOKUP(I213,{"Excellent",4;"Poor",1;"Good",3;"OK",2},2,0)</f>
        <v>1</v>
      </c>
      <c r="O213" s="9">
        <v>12</v>
      </c>
      <c r="P213" s="9">
        <f t="shared" si="15"/>
        <v>-11.111111111111111</v>
      </c>
      <c r="X213" s="9">
        <f t="shared" si="16"/>
        <v>262.03888888888889</v>
      </c>
    </row>
    <row r="214" spans="1:24" x14ac:dyDescent="0.25">
      <c r="A214" s="9" t="s">
        <v>476</v>
      </c>
      <c r="B214" s="9" t="s">
        <v>236</v>
      </c>
      <c r="C214" s="9">
        <f>VLOOKUP(B214,{"iPhone",1;"Motorola",2;"Nokia",3;"Samsung",4;"Sony Erickson",5;"Sprint",6},2,0)</f>
        <v>1</v>
      </c>
      <c r="H214" s="9" t="s">
        <v>476</v>
      </c>
      <c r="I214" s="9" t="s">
        <v>242</v>
      </c>
      <c r="J214" s="9">
        <f>VLOOKUP(I214,{"Excellent",4;"Poor",1;"Good",3;"OK",2},2,0)</f>
        <v>1</v>
      </c>
      <c r="O214" s="9">
        <v>11</v>
      </c>
      <c r="P214" s="9">
        <f t="shared" si="15"/>
        <v>-11.666666666666666</v>
      </c>
      <c r="X214" s="9">
        <f t="shared" si="16"/>
        <v>261.48333333333329</v>
      </c>
    </row>
    <row r="215" spans="1:24" x14ac:dyDescent="0.25">
      <c r="A215" s="9" t="s">
        <v>477</v>
      </c>
      <c r="B215" s="9" t="s">
        <v>247</v>
      </c>
      <c r="C215" s="9">
        <f>VLOOKUP(B215,{"iPhone",1;"Motorola",2;"Nokia",3;"Samsung",4;"Sony Erickson",5;"Sprint",6},2,0)</f>
        <v>4</v>
      </c>
      <c r="H215" s="9" t="s">
        <v>477</v>
      </c>
      <c r="I215" s="9" t="s">
        <v>242</v>
      </c>
      <c r="J215" s="9">
        <f>VLOOKUP(I215,{"Excellent",4;"Poor",1;"Good",3;"OK",2},2,0)</f>
        <v>1</v>
      </c>
      <c r="O215" s="9">
        <v>10</v>
      </c>
      <c r="P215" s="9">
        <f t="shared" si="15"/>
        <v>-12.222222222222221</v>
      </c>
      <c r="X215" s="9">
        <f t="shared" si="16"/>
        <v>260.92777777777775</v>
      </c>
    </row>
    <row r="216" spans="1:24" x14ac:dyDescent="0.25">
      <c r="A216" s="9" t="s">
        <v>478</v>
      </c>
      <c r="B216" s="9" t="s">
        <v>258</v>
      </c>
      <c r="C216" s="9">
        <f>VLOOKUP(B216,{"iPhone",1;"Motorola",2;"Nokia",3;"Samsung",4;"Sony Erickson",5;"Sprint",6},2,0)</f>
        <v>6</v>
      </c>
      <c r="H216" s="9" t="s">
        <v>478</v>
      </c>
      <c r="I216" s="9" t="s">
        <v>238</v>
      </c>
      <c r="J216" s="9">
        <f>VLOOKUP(I216,{"Excellent",4;"Poor",1;"Good",3;"OK",2},2,0)</f>
        <v>4</v>
      </c>
      <c r="O216" s="9">
        <v>9</v>
      </c>
      <c r="P216" s="9">
        <f t="shared" si="15"/>
        <v>-12.777777777777777</v>
      </c>
      <c r="X216" s="9">
        <f t="shared" si="16"/>
        <v>260.37222222222221</v>
      </c>
    </row>
    <row r="217" spans="1:24" x14ac:dyDescent="0.25">
      <c r="A217" s="9" t="s">
        <v>479</v>
      </c>
      <c r="B217" s="9" t="s">
        <v>236</v>
      </c>
      <c r="C217" s="9">
        <f>VLOOKUP(B217,{"iPhone",1;"Motorola",2;"Nokia",3;"Samsung",4;"Sony Erickson",5;"Sprint",6},2,0)</f>
        <v>1</v>
      </c>
      <c r="H217" s="9" t="s">
        <v>479</v>
      </c>
      <c r="I217" s="9" t="s">
        <v>238</v>
      </c>
      <c r="J217" s="9">
        <f>VLOOKUP(I217,{"Excellent",4;"Poor",1;"Good",3;"OK",2},2,0)</f>
        <v>4</v>
      </c>
      <c r="O217" s="9">
        <v>8</v>
      </c>
      <c r="P217" s="9">
        <f t="shared" si="15"/>
        <v>-13.333333333333332</v>
      </c>
      <c r="X217" s="9">
        <f t="shared" si="16"/>
        <v>259.81666666666666</v>
      </c>
    </row>
    <row r="218" spans="1:24" x14ac:dyDescent="0.25">
      <c r="A218" s="9" t="s">
        <v>480</v>
      </c>
      <c r="B218" s="9" t="s">
        <v>236</v>
      </c>
      <c r="C218" s="9">
        <f>VLOOKUP(B218,{"iPhone",1;"Motorola",2;"Nokia",3;"Samsung",4;"Sony Erickson",5;"Sprint",6},2,0)</f>
        <v>1</v>
      </c>
      <c r="H218" s="9" t="s">
        <v>480</v>
      </c>
      <c r="I218" s="9" t="s">
        <v>238</v>
      </c>
      <c r="J218" s="9">
        <f>VLOOKUP(I218,{"Excellent",4;"Poor",1;"Good",3;"OK",2},2,0)</f>
        <v>4</v>
      </c>
      <c r="O218" s="9">
        <v>7</v>
      </c>
      <c r="P218" s="9">
        <f t="shared" si="15"/>
        <v>-13.888888888888889</v>
      </c>
      <c r="X218" s="9">
        <f t="shared" si="16"/>
        <v>259.26111111111106</v>
      </c>
    </row>
    <row r="219" spans="1:24" x14ac:dyDescent="0.25">
      <c r="A219" s="9" t="s">
        <v>481</v>
      </c>
      <c r="B219" s="9" t="s">
        <v>248</v>
      </c>
      <c r="C219" s="9">
        <f>VLOOKUP(B219,{"iPhone",1;"Motorola",2;"Nokia",3;"Samsung",4;"Sony Erickson",5;"Sprint",6},2,0)</f>
        <v>3</v>
      </c>
      <c r="H219" s="9" t="s">
        <v>481</v>
      </c>
      <c r="I219" s="9" t="s">
        <v>237</v>
      </c>
      <c r="J219" s="9">
        <f>VLOOKUP(I219,{"Excellent",4;"Poor",1;"Good",3;"OK",2},2,0)</f>
        <v>2</v>
      </c>
      <c r="O219" s="9">
        <v>6</v>
      </c>
      <c r="P219" s="9">
        <f t="shared" si="15"/>
        <v>-14.444444444444445</v>
      </c>
      <c r="X219" s="9">
        <f t="shared" si="16"/>
        <v>258.70555555555552</v>
      </c>
    </row>
    <row r="220" spans="1:24" x14ac:dyDescent="0.25">
      <c r="A220" s="9" t="s">
        <v>482</v>
      </c>
      <c r="B220" s="9" t="s">
        <v>236</v>
      </c>
      <c r="C220" s="9">
        <f>VLOOKUP(B220,{"iPhone",1;"Motorola",2;"Nokia",3;"Samsung",4;"Sony Erickson",5;"Sprint",6},2,0)</f>
        <v>1</v>
      </c>
      <c r="H220" s="9" t="s">
        <v>482</v>
      </c>
      <c r="I220" s="9" t="s">
        <v>238</v>
      </c>
      <c r="J220" s="9">
        <f>VLOOKUP(I220,{"Excellent",4;"Poor",1;"Good",3;"OK",2},2,0)</f>
        <v>4</v>
      </c>
      <c r="O220" s="9">
        <v>5</v>
      </c>
      <c r="P220" s="9">
        <f t="shared" si="15"/>
        <v>-15</v>
      </c>
      <c r="X220" s="9">
        <f t="shared" si="16"/>
        <v>258.14999999999998</v>
      </c>
    </row>
    <row r="221" spans="1:24" x14ac:dyDescent="0.25">
      <c r="A221" s="9" t="s">
        <v>483</v>
      </c>
      <c r="B221" s="9" t="s">
        <v>258</v>
      </c>
      <c r="C221" s="9">
        <f>VLOOKUP(B221,{"iPhone",1;"Motorola",2;"Nokia",3;"Samsung",4;"Sony Erickson",5;"Sprint",6},2,0)</f>
        <v>6</v>
      </c>
      <c r="H221" s="9" t="s">
        <v>483</v>
      </c>
      <c r="I221" s="9" t="s">
        <v>242</v>
      </c>
      <c r="J221" s="9">
        <f>VLOOKUP(I221,{"Excellent",4;"Poor",1;"Good",3;"OK",2},2,0)</f>
        <v>1</v>
      </c>
      <c r="O221" s="9">
        <v>4</v>
      </c>
      <c r="P221" s="9">
        <f t="shared" si="15"/>
        <v>-15.555555555555555</v>
      </c>
      <c r="X221" s="9">
        <f t="shared" si="16"/>
        <v>257.59444444444443</v>
      </c>
    </row>
    <row r="222" spans="1:24" x14ac:dyDescent="0.25">
      <c r="A222" s="9" t="s">
        <v>484</v>
      </c>
      <c r="B222" s="9" t="s">
        <v>236</v>
      </c>
      <c r="C222" s="9">
        <f>VLOOKUP(B222,{"iPhone",1;"Motorola",2;"Nokia",3;"Samsung",4;"Sony Erickson",5;"Sprint",6},2,0)</f>
        <v>1</v>
      </c>
      <c r="H222" s="9" t="s">
        <v>484</v>
      </c>
      <c r="I222" s="9" t="s">
        <v>242</v>
      </c>
      <c r="J222" s="9">
        <f>VLOOKUP(I222,{"Excellent",4;"Poor",1;"Good",3;"OK",2},2,0)</f>
        <v>1</v>
      </c>
      <c r="O222" s="9">
        <v>3</v>
      </c>
      <c r="P222" s="9">
        <f t="shared" si="15"/>
        <v>-16.111111111111111</v>
      </c>
      <c r="X222" s="9">
        <f t="shared" si="16"/>
        <v>257.03888888888889</v>
      </c>
    </row>
    <row r="223" spans="1:24" x14ac:dyDescent="0.25">
      <c r="A223" s="9" t="s">
        <v>485</v>
      </c>
      <c r="B223" s="9" t="s">
        <v>248</v>
      </c>
      <c r="C223" s="9">
        <f>VLOOKUP(B223,{"iPhone",1;"Motorola",2;"Nokia",3;"Samsung",4;"Sony Erickson",5;"Sprint",6},2,0)</f>
        <v>3</v>
      </c>
      <c r="H223" s="9" t="s">
        <v>485</v>
      </c>
      <c r="I223" s="9" t="s">
        <v>237</v>
      </c>
      <c r="J223" s="9">
        <f>VLOOKUP(I223,{"Excellent",4;"Poor",1;"Good",3;"OK",2},2,0)</f>
        <v>2</v>
      </c>
      <c r="O223" s="9">
        <v>2</v>
      </c>
      <c r="P223" s="9">
        <f t="shared" si="15"/>
        <v>-16.666666666666668</v>
      </c>
      <c r="X223" s="9">
        <f t="shared" si="16"/>
        <v>256.48333333333329</v>
      </c>
    </row>
    <row r="224" spans="1:24" x14ac:dyDescent="0.25">
      <c r="A224" s="9" t="s">
        <v>486</v>
      </c>
      <c r="B224" s="9" t="s">
        <v>236</v>
      </c>
      <c r="C224" s="9">
        <f>VLOOKUP(B224,{"iPhone",1;"Motorola",2;"Nokia",3;"Samsung",4;"Sony Erickson",5;"Sprint",6},2,0)</f>
        <v>1</v>
      </c>
      <c r="H224" s="9" t="s">
        <v>486</v>
      </c>
      <c r="I224" s="9" t="s">
        <v>242</v>
      </c>
      <c r="J224" s="9">
        <f>VLOOKUP(I224,{"Excellent",4;"Poor",1;"Good",3;"OK",2},2,0)</f>
        <v>1</v>
      </c>
      <c r="O224" s="9">
        <v>1</v>
      </c>
      <c r="P224" s="9">
        <f t="shared" si="15"/>
        <v>-17.222222222222221</v>
      </c>
      <c r="X224" s="9">
        <f t="shared" si="16"/>
        <v>255.92777777777775</v>
      </c>
    </row>
    <row r="225" spans="1:24" x14ac:dyDescent="0.25">
      <c r="A225" s="9" t="s">
        <v>487</v>
      </c>
      <c r="B225" s="9" t="s">
        <v>248</v>
      </c>
      <c r="C225" s="9">
        <f>VLOOKUP(B225,{"iPhone",1;"Motorola",2;"Nokia",3;"Samsung",4;"Sony Erickson",5;"Sprint",6},2,0)</f>
        <v>3</v>
      </c>
      <c r="H225" s="9" t="s">
        <v>487</v>
      </c>
      <c r="I225" s="9" t="s">
        <v>237</v>
      </c>
      <c r="J225" s="9">
        <f>VLOOKUP(I225,{"Excellent",4;"Poor",1;"Good",3;"OK",2},2,0)</f>
        <v>2</v>
      </c>
      <c r="O225" s="9">
        <v>0</v>
      </c>
      <c r="P225" s="9">
        <f t="shared" si="15"/>
        <v>-17.777777777777779</v>
      </c>
      <c r="X225" s="9">
        <f t="shared" si="16"/>
        <v>255.37222222222221</v>
      </c>
    </row>
    <row r="226" spans="1:24" x14ac:dyDescent="0.25">
      <c r="A226" s="9" t="s">
        <v>488</v>
      </c>
      <c r="B226" s="9" t="s">
        <v>258</v>
      </c>
      <c r="C226" s="9">
        <f>VLOOKUP(B226,{"iPhone",1;"Motorola",2;"Nokia",3;"Samsung",4;"Sony Erickson",5;"Sprint",6},2,0)</f>
        <v>6</v>
      </c>
      <c r="H226" s="9" t="s">
        <v>488</v>
      </c>
      <c r="I226" s="9" t="s">
        <v>237</v>
      </c>
      <c r="J226" s="9">
        <f>VLOOKUP(I226,{"Excellent",4;"Poor",1;"Good",3;"OK",2},2,0)</f>
        <v>2</v>
      </c>
      <c r="O226" s="9">
        <v>-1</v>
      </c>
      <c r="P226" s="9">
        <f t="shared" si="15"/>
        <v>-18.333333333333332</v>
      </c>
      <c r="X226" s="9">
        <f t="shared" si="16"/>
        <v>254.81666666666663</v>
      </c>
    </row>
    <row r="227" spans="1:24" x14ac:dyDescent="0.25">
      <c r="A227" s="9" t="s">
        <v>489</v>
      </c>
      <c r="B227" s="9" t="s">
        <v>248</v>
      </c>
      <c r="C227" s="9">
        <f>VLOOKUP(B227,{"iPhone",1;"Motorola",2;"Nokia",3;"Samsung",4;"Sony Erickson",5;"Sprint",6},2,0)</f>
        <v>3</v>
      </c>
      <c r="H227" s="9" t="s">
        <v>489</v>
      </c>
      <c r="I227" s="9" t="s">
        <v>242</v>
      </c>
      <c r="J227" s="9">
        <f>VLOOKUP(I227,{"Excellent",4;"Poor",1;"Good",3;"OK",2},2,0)</f>
        <v>1</v>
      </c>
      <c r="O227" s="9">
        <v>-2</v>
      </c>
      <c r="P227" s="9">
        <f t="shared" si="15"/>
        <v>-18.888888888888889</v>
      </c>
      <c r="X227" s="9">
        <f t="shared" si="16"/>
        <v>254.26111111111109</v>
      </c>
    </row>
    <row r="228" spans="1:24" x14ac:dyDescent="0.25">
      <c r="A228" s="9" t="s">
        <v>490</v>
      </c>
      <c r="B228" s="9" t="s">
        <v>248</v>
      </c>
      <c r="C228" s="9">
        <f>VLOOKUP(B228,{"iPhone",1;"Motorola",2;"Nokia",3;"Samsung",4;"Sony Erickson",5;"Sprint",6},2,0)</f>
        <v>3</v>
      </c>
      <c r="H228" s="9" t="s">
        <v>490</v>
      </c>
      <c r="I228" s="9" t="s">
        <v>242</v>
      </c>
      <c r="J228" s="9">
        <f>VLOOKUP(I228,{"Excellent",4;"Poor",1;"Good",3;"OK",2},2,0)</f>
        <v>1</v>
      </c>
      <c r="O228" s="9">
        <v>-3</v>
      </c>
      <c r="P228" s="9">
        <f t="shared" si="15"/>
        <v>-19.444444444444443</v>
      </c>
      <c r="X228" s="9">
        <f t="shared" si="16"/>
        <v>253.70555555555552</v>
      </c>
    </row>
    <row r="229" spans="1:24" x14ac:dyDescent="0.25">
      <c r="A229" s="9" t="s">
        <v>491</v>
      </c>
      <c r="B229" s="9" t="s">
        <v>247</v>
      </c>
      <c r="C229" s="9">
        <f>VLOOKUP(B229,{"iPhone",1;"Motorola",2;"Nokia",3;"Samsung",4;"Sony Erickson",5;"Sprint",6},2,0)</f>
        <v>4</v>
      </c>
      <c r="H229" s="9" t="s">
        <v>491</v>
      </c>
      <c r="I229" s="9" t="s">
        <v>237</v>
      </c>
      <c r="J229" s="9">
        <f>VLOOKUP(I229,{"Excellent",4;"Poor",1;"Good",3;"OK",2},2,0)</f>
        <v>2</v>
      </c>
      <c r="O229" s="9">
        <v>-4</v>
      </c>
      <c r="P229" s="9">
        <f t="shared" si="15"/>
        <v>-20</v>
      </c>
      <c r="X229" s="9">
        <f t="shared" si="16"/>
        <v>253.14999999999998</v>
      </c>
    </row>
    <row r="230" spans="1:24" x14ac:dyDescent="0.25">
      <c r="A230" s="9" t="s">
        <v>492</v>
      </c>
      <c r="B230" s="9" t="s">
        <v>236</v>
      </c>
      <c r="C230" s="9">
        <f>VLOOKUP(B230,{"iPhone",1;"Motorola",2;"Nokia",3;"Samsung",4;"Sony Erickson",5;"Sprint",6},2,0)</f>
        <v>1</v>
      </c>
      <c r="H230" s="9" t="s">
        <v>492</v>
      </c>
      <c r="I230" s="9" t="s">
        <v>237</v>
      </c>
      <c r="J230" s="9">
        <f>VLOOKUP(I230,{"Excellent",4;"Poor",1;"Good",3;"OK",2},2,0)</f>
        <v>2</v>
      </c>
      <c r="O230" s="9">
        <v>-5</v>
      </c>
      <c r="P230" s="9">
        <f t="shared" si="15"/>
        <v>-20.555555555555554</v>
      </c>
      <c r="X230" s="9">
        <f t="shared" si="16"/>
        <v>252.59444444444443</v>
      </c>
    </row>
    <row r="231" spans="1:24" x14ac:dyDescent="0.25">
      <c r="A231" s="9" t="s">
        <v>493</v>
      </c>
      <c r="B231" s="9" t="s">
        <v>236</v>
      </c>
      <c r="C231" s="9">
        <f>VLOOKUP(B231,{"iPhone",1;"Motorola",2;"Nokia",3;"Samsung",4;"Sony Erickson",5;"Sprint",6},2,0)</f>
        <v>1</v>
      </c>
      <c r="H231" s="9" t="s">
        <v>493</v>
      </c>
      <c r="I231" s="9" t="s">
        <v>242</v>
      </c>
      <c r="J231" s="9">
        <f>VLOOKUP(I231,{"Excellent",4;"Poor",1;"Good",3;"OK",2},2,0)</f>
        <v>1</v>
      </c>
      <c r="O231" s="9">
        <v>-6</v>
      </c>
      <c r="P231" s="9">
        <f t="shared" si="15"/>
        <v>-21.111111111111111</v>
      </c>
      <c r="X231" s="9">
        <f t="shared" si="16"/>
        <v>252.03888888888886</v>
      </c>
    </row>
    <row r="232" spans="1:24" x14ac:dyDescent="0.25">
      <c r="A232" s="9" t="s">
        <v>494</v>
      </c>
      <c r="B232" s="9" t="s">
        <v>258</v>
      </c>
      <c r="C232" s="9">
        <f>VLOOKUP(B232,{"iPhone",1;"Motorola",2;"Nokia",3;"Samsung",4;"Sony Erickson",5;"Sprint",6},2,0)</f>
        <v>6</v>
      </c>
      <c r="H232" s="9" t="s">
        <v>494</v>
      </c>
      <c r="I232" s="9" t="s">
        <v>237</v>
      </c>
      <c r="J232" s="9">
        <f>VLOOKUP(I232,{"Excellent",4;"Poor",1;"Good",3;"OK",2},2,0)</f>
        <v>2</v>
      </c>
      <c r="O232" s="9">
        <v>-7</v>
      </c>
      <c r="P232" s="9">
        <f t="shared" si="15"/>
        <v>-21.666666666666668</v>
      </c>
      <c r="X232" s="9">
        <f t="shared" si="16"/>
        <v>251.48333333333332</v>
      </c>
    </row>
    <row r="233" spans="1:24" x14ac:dyDescent="0.25">
      <c r="A233" s="9" t="s">
        <v>495</v>
      </c>
      <c r="B233" s="9" t="s">
        <v>235</v>
      </c>
      <c r="C233" s="9">
        <f>VLOOKUP(B233,{"iPhone",1;"Motorola",2;"Nokia",3;"Samsung",4;"Sony Erickson",5;"Sprint",6},2,0)</f>
        <v>2</v>
      </c>
      <c r="H233" s="9" t="s">
        <v>495</v>
      </c>
      <c r="I233" s="9" t="s">
        <v>242</v>
      </c>
      <c r="J233" s="9">
        <f>VLOOKUP(I233,{"Excellent",4;"Poor",1;"Good",3;"OK",2},2,0)</f>
        <v>1</v>
      </c>
      <c r="O233" s="9">
        <v>-8</v>
      </c>
      <c r="P233" s="9">
        <f t="shared" si="15"/>
        <v>-22.222222222222221</v>
      </c>
      <c r="X233" s="9">
        <f t="shared" si="16"/>
        <v>250.92777777777775</v>
      </c>
    </row>
    <row r="234" spans="1:24" x14ac:dyDescent="0.25">
      <c r="A234" s="9" t="s">
        <v>496</v>
      </c>
      <c r="B234" s="9" t="s">
        <v>258</v>
      </c>
      <c r="C234" s="9">
        <f>VLOOKUP(B234,{"iPhone",1;"Motorola",2;"Nokia",3;"Samsung",4;"Sony Erickson",5;"Sprint",6},2,0)</f>
        <v>6</v>
      </c>
      <c r="H234" s="9" t="s">
        <v>496</v>
      </c>
      <c r="I234" s="9" t="s">
        <v>242</v>
      </c>
      <c r="J234" s="9">
        <f>VLOOKUP(I234,{"Excellent",4;"Poor",1;"Good",3;"OK",2},2,0)</f>
        <v>1</v>
      </c>
      <c r="O234" s="9">
        <v>-9</v>
      </c>
      <c r="P234" s="9">
        <f t="shared" si="15"/>
        <v>-22.777777777777779</v>
      </c>
      <c r="X234" s="9">
        <f t="shared" si="16"/>
        <v>250.37222222222221</v>
      </c>
    </row>
    <row r="235" spans="1:24" x14ac:dyDescent="0.25">
      <c r="A235" s="9" t="s">
        <v>497</v>
      </c>
      <c r="B235" s="9" t="s">
        <v>236</v>
      </c>
      <c r="C235" s="9">
        <f>VLOOKUP(B235,{"iPhone",1;"Motorola",2;"Nokia",3;"Samsung",4;"Sony Erickson",5;"Sprint",6},2,0)</f>
        <v>1</v>
      </c>
      <c r="H235" s="9" t="s">
        <v>497</v>
      </c>
      <c r="I235" s="9" t="s">
        <v>242</v>
      </c>
      <c r="J235" s="9">
        <f>VLOOKUP(I235,{"Excellent",4;"Poor",1;"Good",3;"OK",2},2,0)</f>
        <v>1</v>
      </c>
      <c r="O235" s="9">
        <v>-10</v>
      </c>
      <c r="P235" s="9">
        <f t="shared" si="15"/>
        <v>-23.333333333333332</v>
      </c>
      <c r="X235" s="9">
        <f t="shared" si="16"/>
        <v>249.81666666666663</v>
      </c>
    </row>
    <row r="236" spans="1:24" x14ac:dyDescent="0.25">
      <c r="A236" s="9" t="s">
        <v>498</v>
      </c>
      <c r="B236" s="9" t="s">
        <v>236</v>
      </c>
      <c r="C236" s="9">
        <f>VLOOKUP(B236,{"iPhone",1;"Motorola",2;"Nokia",3;"Samsung",4;"Sony Erickson",5;"Sprint",6},2,0)</f>
        <v>1</v>
      </c>
      <c r="H236" s="9" t="s">
        <v>498</v>
      </c>
      <c r="I236" s="9" t="s">
        <v>242</v>
      </c>
      <c r="J236" s="9">
        <f>VLOOKUP(I236,{"Excellent",4;"Poor",1;"Good",3;"OK",2},2,0)</f>
        <v>1</v>
      </c>
      <c r="O236" s="9">
        <v>-11</v>
      </c>
      <c r="P236" s="9">
        <f t="shared" si="15"/>
        <v>-23.888888888888889</v>
      </c>
      <c r="X236" s="9">
        <f t="shared" si="16"/>
        <v>249.26111111111109</v>
      </c>
    </row>
    <row r="237" spans="1:24" x14ac:dyDescent="0.25">
      <c r="A237" s="9" t="s">
        <v>499</v>
      </c>
      <c r="B237" s="9" t="s">
        <v>254</v>
      </c>
      <c r="C237" s="9">
        <f>VLOOKUP(B237,{"iPhone",1;"Motorola",2;"Nokia",3;"Samsung",4;"Sony Erickson",5;"Sprint",6},2,0)</f>
        <v>5</v>
      </c>
      <c r="H237" s="9" t="s">
        <v>499</v>
      </c>
      <c r="I237" s="9" t="s">
        <v>242</v>
      </c>
      <c r="J237" s="9">
        <f>VLOOKUP(I237,{"Excellent",4;"Poor",1;"Good",3;"OK",2},2,0)</f>
        <v>1</v>
      </c>
      <c r="O237" s="9">
        <v>-12</v>
      </c>
      <c r="P237" s="9">
        <f t="shared" si="15"/>
        <v>-24.444444444444443</v>
      </c>
      <c r="X237" s="9">
        <f t="shared" si="16"/>
        <v>248.70555555555552</v>
      </c>
    </row>
    <row r="238" spans="1:24" x14ac:dyDescent="0.25">
      <c r="A238" s="9" t="s">
        <v>500</v>
      </c>
      <c r="B238" s="9" t="s">
        <v>258</v>
      </c>
      <c r="C238" s="9">
        <f>VLOOKUP(B238,{"iPhone",1;"Motorola",2;"Nokia",3;"Samsung",4;"Sony Erickson",5;"Sprint",6},2,0)</f>
        <v>6</v>
      </c>
      <c r="H238" s="9" t="s">
        <v>500</v>
      </c>
      <c r="I238" s="9" t="s">
        <v>237</v>
      </c>
      <c r="J238" s="9">
        <f>VLOOKUP(I238,{"Excellent",4;"Poor",1;"Good",3;"OK",2},2,0)</f>
        <v>2</v>
      </c>
      <c r="O238" s="9">
        <v>-13</v>
      </c>
      <c r="P238" s="9">
        <f t="shared" si="15"/>
        <v>-25</v>
      </c>
      <c r="X238" s="9">
        <f t="shared" si="16"/>
        <v>248.14999999999998</v>
      </c>
    </row>
    <row r="239" spans="1:24" x14ac:dyDescent="0.25">
      <c r="A239" s="9" t="s">
        <v>501</v>
      </c>
      <c r="B239" s="9" t="s">
        <v>236</v>
      </c>
      <c r="C239" s="9">
        <f>VLOOKUP(B239,{"iPhone",1;"Motorola",2;"Nokia",3;"Samsung",4;"Sony Erickson",5;"Sprint",6},2,0)</f>
        <v>1</v>
      </c>
      <c r="H239" s="9" t="s">
        <v>501</v>
      </c>
      <c r="I239" s="9" t="s">
        <v>242</v>
      </c>
      <c r="J239" s="9">
        <f>VLOOKUP(I239,{"Excellent",4;"Poor",1;"Good",3;"OK",2},2,0)</f>
        <v>1</v>
      </c>
      <c r="O239" s="9">
        <v>-14</v>
      </c>
      <c r="P239" s="9">
        <f t="shared" si="15"/>
        <v>-25.555555555555554</v>
      </c>
      <c r="X239" s="9">
        <f t="shared" si="16"/>
        <v>247.59444444444443</v>
      </c>
    </row>
    <row r="240" spans="1:24" x14ac:dyDescent="0.25">
      <c r="A240" s="9" t="s">
        <v>502</v>
      </c>
      <c r="B240" s="9" t="s">
        <v>236</v>
      </c>
      <c r="C240" s="9">
        <f>VLOOKUP(B240,{"iPhone",1;"Motorola",2;"Nokia",3;"Samsung",4;"Sony Erickson",5;"Sprint",6},2,0)</f>
        <v>1</v>
      </c>
      <c r="H240" s="9" t="s">
        <v>502</v>
      </c>
      <c r="I240" s="9" t="s">
        <v>242</v>
      </c>
      <c r="J240" s="9">
        <f>VLOOKUP(I240,{"Excellent",4;"Poor",1;"Good",3;"OK",2},2,0)</f>
        <v>1</v>
      </c>
      <c r="O240" s="9">
        <v>-15</v>
      </c>
      <c r="P240" s="9">
        <f t="shared" si="15"/>
        <v>-26.111111111111111</v>
      </c>
      <c r="X240" s="9">
        <f t="shared" si="16"/>
        <v>247.03888888888886</v>
      </c>
    </row>
    <row r="241" spans="1:24" x14ac:dyDescent="0.25">
      <c r="A241" s="9" t="s">
        <v>503</v>
      </c>
      <c r="B241" s="9" t="s">
        <v>247</v>
      </c>
      <c r="C241" s="9">
        <f>VLOOKUP(B241,{"iPhone",1;"Motorola",2;"Nokia",3;"Samsung",4;"Sony Erickson",5;"Sprint",6},2,0)</f>
        <v>4</v>
      </c>
      <c r="H241" s="9" t="s">
        <v>503</v>
      </c>
      <c r="I241" s="9" t="s">
        <v>242</v>
      </c>
      <c r="J241" s="9">
        <f>VLOOKUP(I241,{"Excellent",4;"Poor",1;"Good",3;"OK",2},2,0)</f>
        <v>1</v>
      </c>
      <c r="O241" s="9">
        <v>-16</v>
      </c>
      <c r="P241" s="9">
        <f t="shared" si="15"/>
        <v>-26.666666666666664</v>
      </c>
      <c r="X241" s="9">
        <f t="shared" si="16"/>
        <v>246.48333333333332</v>
      </c>
    </row>
    <row r="242" spans="1:24" x14ac:dyDescent="0.25">
      <c r="A242" s="9" t="s">
        <v>504</v>
      </c>
      <c r="B242" s="9" t="s">
        <v>254</v>
      </c>
      <c r="C242" s="9">
        <f>VLOOKUP(B242,{"iPhone",1;"Motorola",2;"Nokia",3;"Samsung",4;"Sony Erickson",5;"Sprint",6},2,0)</f>
        <v>5</v>
      </c>
      <c r="H242" s="9" t="s">
        <v>504</v>
      </c>
      <c r="I242" s="9" t="s">
        <v>243</v>
      </c>
      <c r="J242" s="9">
        <f>VLOOKUP(I242,{"Excellent",4;"Poor",1;"Good",3;"OK",2},2,0)</f>
        <v>3</v>
      </c>
      <c r="O242" s="9">
        <v>-17</v>
      </c>
      <c r="P242" s="9">
        <f t="shared" si="15"/>
        <v>-27.222222222222221</v>
      </c>
      <c r="X242" s="9">
        <f t="shared" si="16"/>
        <v>245.92777777777775</v>
      </c>
    </row>
    <row r="243" spans="1:24" x14ac:dyDescent="0.25">
      <c r="A243" s="9" t="s">
        <v>505</v>
      </c>
      <c r="B243" s="9" t="s">
        <v>254</v>
      </c>
      <c r="C243" s="9">
        <f>VLOOKUP(B243,{"iPhone",1;"Motorola",2;"Nokia",3;"Samsung",4;"Sony Erickson",5;"Sprint",6},2,0)</f>
        <v>5</v>
      </c>
      <c r="H243" s="9" t="s">
        <v>505</v>
      </c>
      <c r="I243" s="9" t="s">
        <v>238</v>
      </c>
      <c r="J243" s="9">
        <f>VLOOKUP(I243,{"Excellent",4;"Poor",1;"Good",3;"OK",2},2,0)</f>
        <v>4</v>
      </c>
      <c r="O243" s="9">
        <v>-18</v>
      </c>
      <c r="P243" s="9">
        <f t="shared" si="15"/>
        <v>-27.777777777777779</v>
      </c>
      <c r="X243" s="9">
        <f t="shared" si="16"/>
        <v>245.37222222222221</v>
      </c>
    </row>
    <row r="244" spans="1:24" x14ac:dyDescent="0.25">
      <c r="A244" s="9" t="s">
        <v>506</v>
      </c>
      <c r="B244" s="9" t="s">
        <v>236</v>
      </c>
      <c r="C244" s="9">
        <f>VLOOKUP(B244,{"iPhone",1;"Motorola",2;"Nokia",3;"Samsung",4;"Sony Erickson",5;"Sprint",6},2,0)</f>
        <v>1</v>
      </c>
      <c r="H244" s="9" t="s">
        <v>506</v>
      </c>
      <c r="I244" s="9" t="s">
        <v>243</v>
      </c>
      <c r="J244" s="9">
        <f>VLOOKUP(I244,{"Excellent",4;"Poor",1;"Good",3;"OK",2},2,0)</f>
        <v>3</v>
      </c>
      <c r="O244" s="9">
        <v>-19</v>
      </c>
      <c r="P244" s="9">
        <f t="shared" si="15"/>
        <v>-28.333333333333332</v>
      </c>
      <c r="X244" s="9">
        <f t="shared" si="16"/>
        <v>244.81666666666663</v>
      </c>
    </row>
    <row r="245" spans="1:24" x14ac:dyDescent="0.25">
      <c r="A245" s="9" t="s">
        <v>507</v>
      </c>
      <c r="B245" s="9" t="s">
        <v>235</v>
      </c>
      <c r="C245" s="9">
        <f>VLOOKUP(B245,{"iPhone",1;"Motorola",2;"Nokia",3;"Samsung",4;"Sony Erickson",5;"Sprint",6},2,0)</f>
        <v>2</v>
      </c>
      <c r="H245" s="9" t="s">
        <v>507</v>
      </c>
      <c r="I245" s="9" t="s">
        <v>242</v>
      </c>
      <c r="J245" s="9">
        <f>VLOOKUP(I245,{"Excellent",4;"Poor",1;"Good",3;"OK",2},2,0)</f>
        <v>1</v>
      </c>
      <c r="O245" s="9">
        <v>-20</v>
      </c>
      <c r="P245" s="9">
        <f t="shared" si="15"/>
        <v>-28.888888888888889</v>
      </c>
      <c r="X245" s="9">
        <f t="shared" si="16"/>
        <v>244.26111111111109</v>
      </c>
    </row>
    <row r="246" spans="1:24" x14ac:dyDescent="0.25">
      <c r="A246" s="9" t="s">
        <v>508</v>
      </c>
      <c r="B246" s="9" t="s">
        <v>247</v>
      </c>
      <c r="C246" s="9">
        <f>VLOOKUP(B246,{"iPhone",1;"Motorola",2;"Nokia",3;"Samsung",4;"Sony Erickson",5;"Sprint",6},2,0)</f>
        <v>4</v>
      </c>
      <c r="H246" s="9" t="s">
        <v>508</v>
      </c>
      <c r="I246" s="9" t="s">
        <v>242</v>
      </c>
      <c r="J246" s="9">
        <f>VLOOKUP(I246,{"Excellent",4;"Poor",1;"Good",3;"OK",2},2,0)</f>
        <v>1</v>
      </c>
      <c r="O246" s="9">
        <v>-21</v>
      </c>
      <c r="P246" s="9">
        <f t="shared" si="15"/>
        <v>-29.444444444444443</v>
      </c>
      <c r="X246" s="9">
        <f t="shared" si="16"/>
        <v>243.70555555555552</v>
      </c>
    </row>
    <row r="247" spans="1:24" x14ac:dyDescent="0.25">
      <c r="A247" s="9" t="s">
        <v>509</v>
      </c>
      <c r="B247" s="9" t="s">
        <v>236</v>
      </c>
      <c r="C247" s="9">
        <f>VLOOKUP(B247,{"iPhone",1;"Motorola",2;"Nokia",3;"Samsung",4;"Sony Erickson",5;"Sprint",6},2,0)</f>
        <v>1</v>
      </c>
      <c r="H247" s="9" t="s">
        <v>509</v>
      </c>
      <c r="I247" s="9" t="s">
        <v>242</v>
      </c>
      <c r="J247" s="9">
        <f>VLOOKUP(I247,{"Excellent",4;"Poor",1;"Good",3;"OK",2},2,0)</f>
        <v>1</v>
      </c>
      <c r="O247" s="9">
        <v>-22</v>
      </c>
      <c r="P247" s="9">
        <f t="shared" si="15"/>
        <v>-30</v>
      </c>
      <c r="X247" s="9">
        <f t="shared" si="16"/>
        <v>243.14999999999998</v>
      </c>
    </row>
    <row r="248" spans="1:24" x14ac:dyDescent="0.25">
      <c r="A248" s="9" t="s">
        <v>510</v>
      </c>
      <c r="B248" s="9" t="s">
        <v>248</v>
      </c>
      <c r="C248" s="9">
        <f>VLOOKUP(B248,{"iPhone",1;"Motorola",2;"Nokia",3;"Samsung",4;"Sony Erickson",5;"Sprint",6},2,0)</f>
        <v>3</v>
      </c>
      <c r="H248" s="9" t="s">
        <v>510</v>
      </c>
      <c r="I248" s="9" t="s">
        <v>242</v>
      </c>
      <c r="J248" s="9">
        <f>VLOOKUP(I248,{"Excellent",4;"Poor",1;"Good",3;"OK",2},2,0)</f>
        <v>1</v>
      </c>
      <c r="O248" s="9">
        <v>-23</v>
      </c>
      <c r="P248" s="9">
        <f t="shared" si="15"/>
        <v>-30.555555555555554</v>
      </c>
      <c r="X248" s="9">
        <f t="shared" si="16"/>
        <v>242.59444444444443</v>
      </c>
    </row>
    <row r="249" spans="1:24" x14ac:dyDescent="0.25">
      <c r="A249" s="9" t="s">
        <v>511</v>
      </c>
      <c r="B249" s="9" t="s">
        <v>254</v>
      </c>
      <c r="C249" s="9">
        <f>VLOOKUP(B249,{"iPhone",1;"Motorola",2;"Nokia",3;"Samsung",4;"Sony Erickson",5;"Sprint",6},2,0)</f>
        <v>5</v>
      </c>
      <c r="H249" s="9" t="s">
        <v>511</v>
      </c>
      <c r="I249" s="9" t="s">
        <v>237</v>
      </c>
      <c r="J249" s="9">
        <f>VLOOKUP(I249,{"Excellent",4;"Poor",1;"Good",3;"OK",2},2,0)</f>
        <v>2</v>
      </c>
      <c r="O249" s="9">
        <v>-24</v>
      </c>
      <c r="P249" s="9">
        <f t="shared" si="15"/>
        <v>-31.111111111111111</v>
      </c>
      <c r="X249" s="9">
        <f t="shared" si="16"/>
        <v>242.03888888888886</v>
      </c>
    </row>
    <row r="250" spans="1:24" x14ac:dyDescent="0.25">
      <c r="A250" s="9" t="s">
        <v>512</v>
      </c>
      <c r="B250" s="9" t="s">
        <v>247</v>
      </c>
      <c r="C250" s="9">
        <f>VLOOKUP(B250,{"iPhone",1;"Motorola",2;"Nokia",3;"Samsung",4;"Sony Erickson",5;"Sprint",6},2,0)</f>
        <v>4</v>
      </c>
      <c r="H250" s="9" t="s">
        <v>512</v>
      </c>
      <c r="I250" s="9" t="s">
        <v>237</v>
      </c>
      <c r="J250" s="9">
        <f>VLOOKUP(I250,{"Excellent",4;"Poor",1;"Good",3;"OK",2},2,0)</f>
        <v>2</v>
      </c>
      <c r="O250" s="9">
        <v>-25</v>
      </c>
      <c r="P250" s="9">
        <f t="shared" si="15"/>
        <v>-31.666666666666664</v>
      </c>
      <c r="X250" s="9">
        <f t="shared" si="16"/>
        <v>241.48333333333332</v>
      </c>
    </row>
    <row r="251" spans="1:24" x14ac:dyDescent="0.25">
      <c r="A251" s="9" t="s">
        <v>513</v>
      </c>
      <c r="B251" s="9" t="s">
        <v>248</v>
      </c>
      <c r="C251" s="9">
        <f>VLOOKUP(B251,{"iPhone",1;"Motorola",2;"Nokia",3;"Samsung",4;"Sony Erickson",5;"Sprint",6},2,0)</f>
        <v>3</v>
      </c>
      <c r="H251" s="9" t="s">
        <v>513</v>
      </c>
      <c r="I251" s="9" t="s">
        <v>243</v>
      </c>
      <c r="J251" s="9">
        <f>VLOOKUP(I251,{"Excellent",4;"Poor",1;"Good",3;"OK",2},2,0)</f>
        <v>3</v>
      </c>
      <c r="O251" s="9">
        <v>-26</v>
      </c>
      <c r="P251" s="9">
        <f t="shared" si="15"/>
        <v>-32.222222222222221</v>
      </c>
      <c r="X251" s="9">
        <f t="shared" si="16"/>
        <v>240.92777777777775</v>
      </c>
    </row>
    <row r="252" spans="1:24" x14ac:dyDescent="0.25">
      <c r="A252" s="9" t="s">
        <v>514</v>
      </c>
      <c r="B252" s="9" t="s">
        <v>235</v>
      </c>
      <c r="C252" s="9">
        <f>VLOOKUP(B252,{"iPhone",1;"Motorola",2;"Nokia",3;"Samsung",4;"Sony Erickson",5;"Sprint",6},2,0)</f>
        <v>2</v>
      </c>
      <c r="H252" s="9" t="s">
        <v>514</v>
      </c>
      <c r="I252" s="9" t="s">
        <v>237</v>
      </c>
      <c r="J252" s="9">
        <f>VLOOKUP(I252,{"Excellent",4;"Poor",1;"Good",3;"OK",2},2,0)</f>
        <v>2</v>
      </c>
      <c r="O252" s="9">
        <v>-27</v>
      </c>
      <c r="P252" s="9">
        <f t="shared" si="15"/>
        <v>-32.777777777777779</v>
      </c>
      <c r="X252" s="9">
        <f t="shared" si="16"/>
        <v>240.37222222222221</v>
      </c>
    </row>
    <row r="253" spans="1:24" x14ac:dyDescent="0.25">
      <c r="A253" s="9" t="s">
        <v>515</v>
      </c>
      <c r="B253" s="9" t="s">
        <v>254</v>
      </c>
      <c r="C253" s="9">
        <f>VLOOKUP(B253,{"iPhone",1;"Motorola",2;"Nokia",3;"Samsung",4;"Sony Erickson",5;"Sprint",6},2,0)</f>
        <v>5</v>
      </c>
      <c r="H253" s="9" t="s">
        <v>515</v>
      </c>
      <c r="I253" s="9" t="s">
        <v>237</v>
      </c>
      <c r="J253" s="9">
        <f>VLOOKUP(I253,{"Excellent",4;"Poor",1;"Good",3;"OK",2},2,0)</f>
        <v>2</v>
      </c>
      <c r="O253" s="9">
        <v>-28</v>
      </c>
      <c r="P253" s="9">
        <f t="shared" si="15"/>
        <v>-33.333333333333336</v>
      </c>
      <c r="X253" s="9">
        <f t="shared" si="16"/>
        <v>239.81666666666663</v>
      </c>
    </row>
    <row r="254" spans="1:24" x14ac:dyDescent="0.25">
      <c r="A254" s="9" t="s">
        <v>516</v>
      </c>
      <c r="B254" s="9" t="s">
        <v>258</v>
      </c>
      <c r="C254" s="9">
        <f>VLOOKUP(B254,{"iPhone",1;"Motorola",2;"Nokia",3;"Samsung",4;"Sony Erickson",5;"Sprint",6},2,0)</f>
        <v>6</v>
      </c>
      <c r="H254" s="9" t="s">
        <v>516</v>
      </c>
      <c r="I254" s="9" t="s">
        <v>242</v>
      </c>
      <c r="J254" s="9">
        <f>VLOOKUP(I254,{"Excellent",4;"Poor",1;"Good",3;"OK",2},2,0)</f>
        <v>1</v>
      </c>
      <c r="O254" s="9">
        <v>-29</v>
      </c>
      <c r="P254" s="9">
        <f t="shared" si="15"/>
        <v>-33.888888888888886</v>
      </c>
      <c r="X254" s="9">
        <f t="shared" si="16"/>
        <v>239.26111111111109</v>
      </c>
    </row>
    <row r="255" spans="1:24" x14ac:dyDescent="0.25">
      <c r="A255" s="9" t="s">
        <v>517</v>
      </c>
      <c r="B255" s="9" t="s">
        <v>248</v>
      </c>
      <c r="C255" s="9">
        <f>VLOOKUP(B255,{"iPhone",1;"Motorola",2;"Nokia",3;"Samsung",4;"Sony Erickson",5;"Sprint",6},2,0)</f>
        <v>3</v>
      </c>
      <c r="H255" s="9" t="s">
        <v>517</v>
      </c>
      <c r="I255" s="9" t="s">
        <v>242</v>
      </c>
      <c r="J255" s="9">
        <f>VLOOKUP(I255,{"Excellent",4;"Poor",1;"Good",3;"OK",2},2,0)</f>
        <v>1</v>
      </c>
      <c r="O255" s="9">
        <v>-30</v>
      </c>
      <c r="P255" s="9">
        <f t="shared" si="15"/>
        <v>-34.444444444444443</v>
      </c>
      <c r="X255" s="9">
        <f t="shared" si="16"/>
        <v>238.70555555555552</v>
      </c>
    </row>
    <row r="256" spans="1:24" x14ac:dyDescent="0.25">
      <c r="A256" s="9" t="s">
        <v>518</v>
      </c>
      <c r="B256" s="9" t="s">
        <v>254</v>
      </c>
      <c r="C256" s="9">
        <f>VLOOKUP(B256,{"iPhone",1;"Motorola",2;"Nokia",3;"Samsung",4;"Sony Erickson",5;"Sprint",6},2,0)</f>
        <v>5</v>
      </c>
      <c r="H256" s="9" t="s">
        <v>518</v>
      </c>
      <c r="I256" s="9" t="s">
        <v>237</v>
      </c>
      <c r="J256" s="9">
        <f>VLOOKUP(I256,{"Excellent",4;"Poor",1;"Good",3;"OK",2},2,0)</f>
        <v>2</v>
      </c>
      <c r="O256" s="9">
        <v>-31</v>
      </c>
      <c r="P256" s="9">
        <f t="shared" si="15"/>
        <v>-35</v>
      </c>
      <c r="X256" s="9">
        <f t="shared" si="16"/>
        <v>238.14999999999998</v>
      </c>
    </row>
    <row r="257" spans="1:24" x14ac:dyDescent="0.25">
      <c r="A257" s="9" t="s">
        <v>519</v>
      </c>
      <c r="B257" s="9" t="s">
        <v>248</v>
      </c>
      <c r="C257" s="9">
        <f>VLOOKUP(B257,{"iPhone",1;"Motorola",2;"Nokia",3;"Samsung",4;"Sony Erickson",5;"Sprint",6},2,0)</f>
        <v>3</v>
      </c>
      <c r="H257" s="9" t="s">
        <v>519</v>
      </c>
      <c r="I257" s="9" t="s">
        <v>237</v>
      </c>
      <c r="J257" s="9">
        <f>VLOOKUP(I257,{"Excellent",4;"Poor",1;"Good",3;"OK",2},2,0)</f>
        <v>2</v>
      </c>
      <c r="O257" s="9">
        <v>-32</v>
      </c>
      <c r="P257" s="9">
        <f t="shared" si="15"/>
        <v>-35.555555555555557</v>
      </c>
      <c r="X257" s="9">
        <f t="shared" si="16"/>
        <v>237.59444444444443</v>
      </c>
    </row>
    <row r="258" spans="1:24" x14ac:dyDescent="0.25">
      <c r="A258" s="9" t="s">
        <v>520</v>
      </c>
      <c r="B258" s="9" t="s">
        <v>254</v>
      </c>
      <c r="C258" s="9">
        <f>VLOOKUP(B258,{"iPhone",1;"Motorola",2;"Nokia",3;"Samsung",4;"Sony Erickson",5;"Sprint",6},2,0)</f>
        <v>5</v>
      </c>
      <c r="H258" s="9" t="s">
        <v>520</v>
      </c>
      <c r="I258" s="9" t="s">
        <v>237</v>
      </c>
      <c r="J258" s="9">
        <f>VLOOKUP(I258,{"Excellent",4;"Poor",1;"Good",3;"OK",2},2,0)</f>
        <v>2</v>
      </c>
      <c r="O258" s="9">
        <v>-33</v>
      </c>
      <c r="P258" s="9">
        <f t="shared" si="15"/>
        <v>-36.111111111111107</v>
      </c>
      <c r="X258" s="9">
        <f t="shared" si="16"/>
        <v>237.03888888888886</v>
      </c>
    </row>
    <row r="259" spans="1:24" x14ac:dyDescent="0.25">
      <c r="A259" s="9" t="s">
        <v>521</v>
      </c>
      <c r="B259" s="9" t="s">
        <v>236</v>
      </c>
      <c r="C259" s="9">
        <f>VLOOKUP(B259,{"iPhone",1;"Motorola",2;"Nokia",3;"Samsung",4;"Sony Erickson",5;"Sprint",6},2,0)</f>
        <v>1</v>
      </c>
      <c r="H259" s="9" t="s">
        <v>521</v>
      </c>
      <c r="I259" s="9" t="s">
        <v>242</v>
      </c>
      <c r="J259" s="9">
        <f>VLOOKUP(I259,{"Excellent",4;"Poor",1;"Good",3;"OK",2},2,0)</f>
        <v>1</v>
      </c>
      <c r="O259" s="9">
        <v>-34</v>
      </c>
      <c r="P259" s="9">
        <f t="shared" si="15"/>
        <v>-36.666666666666664</v>
      </c>
      <c r="X259" s="9">
        <f t="shared" si="16"/>
        <v>236.48333333333332</v>
      </c>
    </row>
    <row r="260" spans="1:24" x14ac:dyDescent="0.25">
      <c r="A260" s="9" t="s">
        <v>522</v>
      </c>
      <c r="B260" s="9" t="s">
        <v>236</v>
      </c>
      <c r="C260" s="9">
        <f>VLOOKUP(B260,{"iPhone",1;"Motorola",2;"Nokia",3;"Samsung",4;"Sony Erickson",5;"Sprint",6},2,0)</f>
        <v>1</v>
      </c>
      <c r="H260" s="9" t="s">
        <v>522</v>
      </c>
      <c r="I260" s="9" t="s">
        <v>237</v>
      </c>
      <c r="J260" s="9">
        <f>VLOOKUP(I260,{"Excellent",4;"Poor",1;"Good",3;"OK",2},2,0)</f>
        <v>2</v>
      </c>
      <c r="O260" s="9">
        <v>-35</v>
      </c>
      <c r="P260" s="9">
        <f t="shared" si="15"/>
        <v>-37.222222222222221</v>
      </c>
      <c r="X260" s="9">
        <f t="shared" si="16"/>
        <v>235.92777777777775</v>
      </c>
    </row>
    <row r="261" spans="1:24" x14ac:dyDescent="0.25">
      <c r="A261" s="9" t="s">
        <v>523</v>
      </c>
      <c r="B261" s="9" t="s">
        <v>235</v>
      </c>
      <c r="C261" s="9">
        <f>VLOOKUP(B261,{"iPhone",1;"Motorola",2;"Nokia",3;"Samsung",4;"Sony Erickson",5;"Sprint",6},2,0)</f>
        <v>2</v>
      </c>
      <c r="H261" s="9" t="s">
        <v>523</v>
      </c>
      <c r="I261" s="9" t="s">
        <v>237</v>
      </c>
      <c r="J261" s="9">
        <f>VLOOKUP(I261,{"Excellent",4;"Poor",1;"Good",3;"OK",2},2,0)</f>
        <v>2</v>
      </c>
      <c r="O261" s="9">
        <v>-36</v>
      </c>
      <c r="P261" s="9">
        <f t="shared" ref="P261:P324" si="17">CONVERT(O261,"F","C")</f>
        <v>-37.777777777777779</v>
      </c>
      <c r="X261" s="9">
        <f t="shared" si="16"/>
        <v>235.37222222222221</v>
      </c>
    </row>
    <row r="262" spans="1:24" x14ac:dyDescent="0.25">
      <c r="A262" s="9" t="s">
        <v>524</v>
      </c>
      <c r="B262" s="9" t="s">
        <v>254</v>
      </c>
      <c r="C262" s="9">
        <f>VLOOKUP(B262,{"iPhone",1;"Motorola",2;"Nokia",3;"Samsung",4;"Sony Erickson",5;"Sprint",6},2,0)</f>
        <v>5</v>
      </c>
      <c r="H262" s="9" t="s">
        <v>524</v>
      </c>
      <c r="I262" s="9" t="s">
        <v>238</v>
      </c>
      <c r="J262" s="9">
        <f>VLOOKUP(I262,{"Excellent",4;"Poor",1;"Good",3;"OK",2},2,0)</f>
        <v>4</v>
      </c>
      <c r="O262" s="9">
        <v>-37</v>
      </c>
      <c r="P262" s="9">
        <f t="shared" si="17"/>
        <v>-38.333333333333336</v>
      </c>
      <c r="X262" s="9">
        <f t="shared" ref="X262:X325" si="18">CONVERT(O262,"F","K")</f>
        <v>234.81666666666663</v>
      </c>
    </row>
    <row r="263" spans="1:24" x14ac:dyDescent="0.25">
      <c r="A263" s="9" t="s">
        <v>525</v>
      </c>
      <c r="B263" s="9" t="s">
        <v>247</v>
      </c>
      <c r="C263" s="9">
        <f>VLOOKUP(B263,{"iPhone",1;"Motorola",2;"Nokia",3;"Samsung",4;"Sony Erickson",5;"Sprint",6},2,0)</f>
        <v>4</v>
      </c>
      <c r="H263" s="9" t="s">
        <v>525</v>
      </c>
      <c r="I263" s="9" t="s">
        <v>243</v>
      </c>
      <c r="J263" s="9">
        <f>VLOOKUP(I263,{"Excellent",4;"Poor",1;"Good",3;"OK",2},2,0)</f>
        <v>3</v>
      </c>
      <c r="O263" s="9">
        <v>-38</v>
      </c>
      <c r="P263" s="9">
        <f t="shared" si="17"/>
        <v>-38.888888888888886</v>
      </c>
      <c r="X263" s="9">
        <f t="shared" si="18"/>
        <v>234.26111111111109</v>
      </c>
    </row>
    <row r="264" spans="1:24" x14ac:dyDescent="0.25">
      <c r="A264" s="9" t="s">
        <v>526</v>
      </c>
      <c r="B264" s="9" t="s">
        <v>247</v>
      </c>
      <c r="C264" s="9">
        <f>VLOOKUP(B264,{"iPhone",1;"Motorola",2;"Nokia",3;"Samsung",4;"Sony Erickson",5;"Sprint",6},2,0)</f>
        <v>4</v>
      </c>
      <c r="H264" s="9" t="s">
        <v>526</v>
      </c>
      <c r="I264" s="9" t="s">
        <v>238</v>
      </c>
      <c r="J264" s="9">
        <f>VLOOKUP(I264,{"Excellent",4;"Poor",1;"Good",3;"OK",2},2,0)</f>
        <v>4</v>
      </c>
      <c r="O264" s="9">
        <v>-39</v>
      </c>
      <c r="P264" s="9">
        <f t="shared" si="17"/>
        <v>-39.444444444444443</v>
      </c>
      <c r="X264" s="9">
        <f t="shared" si="18"/>
        <v>233.70555555555552</v>
      </c>
    </row>
    <row r="265" spans="1:24" x14ac:dyDescent="0.25">
      <c r="A265" s="9" t="s">
        <v>527</v>
      </c>
      <c r="B265" s="9" t="s">
        <v>235</v>
      </c>
      <c r="C265" s="9">
        <f>VLOOKUP(B265,{"iPhone",1;"Motorola",2;"Nokia",3;"Samsung",4;"Sony Erickson",5;"Sprint",6},2,0)</f>
        <v>2</v>
      </c>
      <c r="H265" s="9" t="s">
        <v>527</v>
      </c>
      <c r="I265" s="9" t="s">
        <v>242</v>
      </c>
      <c r="J265" s="9">
        <f>VLOOKUP(I265,{"Excellent",4;"Poor",1;"Good",3;"OK",2},2,0)</f>
        <v>1</v>
      </c>
      <c r="O265" s="9">
        <v>-40</v>
      </c>
      <c r="P265" s="9">
        <f t="shared" si="17"/>
        <v>-40</v>
      </c>
      <c r="X265" s="9">
        <f t="shared" si="18"/>
        <v>233.14999999999998</v>
      </c>
    </row>
    <row r="266" spans="1:24" x14ac:dyDescent="0.25">
      <c r="A266" s="9" t="s">
        <v>528</v>
      </c>
      <c r="B266" s="9" t="s">
        <v>236</v>
      </c>
      <c r="C266" s="9">
        <f>VLOOKUP(B266,{"iPhone",1;"Motorola",2;"Nokia",3;"Samsung",4;"Sony Erickson",5;"Sprint",6},2,0)</f>
        <v>1</v>
      </c>
      <c r="H266" s="9" t="s">
        <v>528</v>
      </c>
      <c r="I266" s="9" t="s">
        <v>237</v>
      </c>
      <c r="J266" s="9">
        <f>VLOOKUP(I266,{"Excellent",4;"Poor",1;"Good",3;"OK",2},2,0)</f>
        <v>2</v>
      </c>
      <c r="O266" s="9">
        <v>-41</v>
      </c>
      <c r="P266" s="9">
        <f t="shared" si="17"/>
        <v>-40.555555555555557</v>
      </c>
      <c r="X266" s="9">
        <f t="shared" si="18"/>
        <v>232.59444444444443</v>
      </c>
    </row>
    <row r="267" spans="1:24" x14ac:dyDescent="0.25">
      <c r="A267" s="9" t="s">
        <v>529</v>
      </c>
      <c r="B267" s="9" t="s">
        <v>236</v>
      </c>
      <c r="C267" s="9">
        <f>VLOOKUP(B267,{"iPhone",1;"Motorola",2;"Nokia",3;"Samsung",4;"Sony Erickson",5;"Sprint",6},2,0)</f>
        <v>1</v>
      </c>
      <c r="H267" s="9" t="s">
        <v>529</v>
      </c>
      <c r="I267" s="9" t="s">
        <v>237</v>
      </c>
      <c r="J267" s="9">
        <f>VLOOKUP(I267,{"Excellent",4;"Poor",1;"Good",3;"OK",2},2,0)</f>
        <v>2</v>
      </c>
      <c r="O267" s="9">
        <v>-42</v>
      </c>
      <c r="P267" s="9">
        <f t="shared" si="17"/>
        <v>-41.111111111111107</v>
      </c>
      <c r="X267" s="9">
        <f t="shared" si="18"/>
        <v>232.03888888888886</v>
      </c>
    </row>
    <row r="268" spans="1:24" x14ac:dyDescent="0.25">
      <c r="A268" s="9" t="s">
        <v>530</v>
      </c>
      <c r="B268" s="9" t="s">
        <v>247</v>
      </c>
      <c r="C268" s="9">
        <f>VLOOKUP(B268,{"iPhone",1;"Motorola",2;"Nokia",3;"Samsung",4;"Sony Erickson",5;"Sprint",6},2,0)</f>
        <v>4</v>
      </c>
      <c r="H268" s="9" t="s">
        <v>530</v>
      </c>
      <c r="I268" s="9" t="s">
        <v>237</v>
      </c>
      <c r="J268" s="9">
        <f>VLOOKUP(I268,{"Excellent",4;"Poor",1;"Good",3;"OK",2},2,0)</f>
        <v>2</v>
      </c>
      <c r="O268" s="9">
        <v>-43</v>
      </c>
      <c r="P268" s="9">
        <f t="shared" si="17"/>
        <v>-41.666666666666664</v>
      </c>
      <c r="X268" s="9">
        <f t="shared" si="18"/>
        <v>231.48333333333332</v>
      </c>
    </row>
    <row r="269" spans="1:24" x14ac:dyDescent="0.25">
      <c r="A269" s="9" t="s">
        <v>531</v>
      </c>
      <c r="B269" s="9" t="s">
        <v>254</v>
      </c>
      <c r="C269" s="9">
        <f>VLOOKUP(B269,{"iPhone",1;"Motorola",2;"Nokia",3;"Samsung",4;"Sony Erickson",5;"Sprint",6},2,0)</f>
        <v>5</v>
      </c>
      <c r="H269" s="9" t="s">
        <v>531</v>
      </c>
      <c r="I269" s="9" t="s">
        <v>242</v>
      </c>
      <c r="J269" s="9">
        <f>VLOOKUP(I269,{"Excellent",4;"Poor",1;"Good",3;"OK",2},2,0)</f>
        <v>1</v>
      </c>
      <c r="O269" s="9">
        <v>-44</v>
      </c>
      <c r="P269" s="9">
        <f t="shared" si="17"/>
        <v>-42.222222222222221</v>
      </c>
      <c r="X269" s="9">
        <f t="shared" si="18"/>
        <v>230.92777777777775</v>
      </c>
    </row>
    <row r="270" spans="1:24" x14ac:dyDescent="0.25">
      <c r="A270" s="9" t="s">
        <v>532</v>
      </c>
      <c r="B270" s="9" t="s">
        <v>254</v>
      </c>
      <c r="C270" s="9">
        <f>VLOOKUP(B270,{"iPhone",1;"Motorola",2;"Nokia",3;"Samsung",4;"Sony Erickson",5;"Sprint",6},2,0)</f>
        <v>5</v>
      </c>
      <c r="H270" s="9" t="s">
        <v>532</v>
      </c>
      <c r="I270" s="9" t="s">
        <v>237</v>
      </c>
      <c r="J270" s="9">
        <f>VLOOKUP(I270,{"Excellent",4;"Poor",1;"Good",3;"OK",2},2,0)</f>
        <v>2</v>
      </c>
      <c r="O270" s="9">
        <v>-45</v>
      </c>
      <c r="P270" s="9">
        <f t="shared" si="17"/>
        <v>-42.777777777777779</v>
      </c>
      <c r="X270" s="9">
        <f t="shared" si="18"/>
        <v>230.37222222222221</v>
      </c>
    </row>
    <row r="271" spans="1:24" x14ac:dyDescent="0.25">
      <c r="A271" s="9" t="s">
        <v>533</v>
      </c>
      <c r="B271" s="9" t="s">
        <v>235</v>
      </c>
      <c r="C271" s="9">
        <f>VLOOKUP(B271,{"iPhone",1;"Motorola",2;"Nokia",3;"Samsung",4;"Sony Erickson",5;"Sprint",6},2,0)</f>
        <v>2</v>
      </c>
      <c r="H271" s="9" t="s">
        <v>533</v>
      </c>
      <c r="I271" s="9" t="s">
        <v>237</v>
      </c>
      <c r="J271" s="9">
        <f>VLOOKUP(I271,{"Excellent",4;"Poor",1;"Good",3;"OK",2},2,0)</f>
        <v>2</v>
      </c>
      <c r="O271" s="9">
        <v>-46</v>
      </c>
      <c r="P271" s="9">
        <f t="shared" si="17"/>
        <v>-43.333333333333336</v>
      </c>
      <c r="X271" s="9">
        <f t="shared" si="18"/>
        <v>229.81666666666663</v>
      </c>
    </row>
    <row r="272" spans="1:24" x14ac:dyDescent="0.25">
      <c r="A272" s="9" t="s">
        <v>534</v>
      </c>
      <c r="B272" s="9" t="s">
        <v>235</v>
      </c>
      <c r="C272" s="9">
        <f>VLOOKUP(B272,{"iPhone",1;"Motorola",2;"Nokia",3;"Samsung",4;"Sony Erickson",5;"Sprint",6},2,0)</f>
        <v>2</v>
      </c>
      <c r="H272" s="9" t="s">
        <v>534</v>
      </c>
      <c r="I272" s="9" t="s">
        <v>238</v>
      </c>
      <c r="J272" s="9">
        <f>VLOOKUP(I272,{"Excellent",4;"Poor",1;"Good",3;"OK",2},2,0)</f>
        <v>4</v>
      </c>
      <c r="O272" s="9">
        <v>-47</v>
      </c>
      <c r="P272" s="9">
        <f t="shared" si="17"/>
        <v>-43.888888888888886</v>
      </c>
      <c r="X272" s="9">
        <f t="shared" si="18"/>
        <v>229.26111111111109</v>
      </c>
    </row>
    <row r="273" spans="1:24" x14ac:dyDescent="0.25">
      <c r="A273" s="9" t="s">
        <v>535</v>
      </c>
      <c r="B273" s="9" t="s">
        <v>236</v>
      </c>
      <c r="C273" s="9">
        <f>VLOOKUP(B273,{"iPhone",1;"Motorola",2;"Nokia",3;"Samsung",4;"Sony Erickson",5;"Sprint",6},2,0)</f>
        <v>1</v>
      </c>
      <c r="H273" s="9" t="s">
        <v>535</v>
      </c>
      <c r="I273" s="9" t="s">
        <v>242</v>
      </c>
      <c r="J273" s="9">
        <f>VLOOKUP(I273,{"Excellent",4;"Poor",1;"Good",3;"OK",2},2,0)</f>
        <v>1</v>
      </c>
      <c r="O273" s="9">
        <v>-48</v>
      </c>
      <c r="P273" s="9">
        <f t="shared" si="17"/>
        <v>-44.444444444444443</v>
      </c>
      <c r="X273" s="9">
        <f t="shared" si="18"/>
        <v>228.70555555555552</v>
      </c>
    </row>
    <row r="274" spans="1:24" x14ac:dyDescent="0.25">
      <c r="A274" s="9" t="s">
        <v>536</v>
      </c>
      <c r="B274" s="9" t="s">
        <v>248</v>
      </c>
      <c r="C274" s="9">
        <f>VLOOKUP(B274,{"iPhone",1;"Motorola",2;"Nokia",3;"Samsung",4;"Sony Erickson",5;"Sprint",6},2,0)</f>
        <v>3</v>
      </c>
      <c r="H274" s="9" t="s">
        <v>536</v>
      </c>
      <c r="I274" s="9" t="s">
        <v>238</v>
      </c>
      <c r="J274" s="9">
        <f>VLOOKUP(I274,{"Excellent",4;"Poor",1;"Good",3;"OK",2},2,0)</f>
        <v>4</v>
      </c>
      <c r="O274" s="9">
        <v>-49</v>
      </c>
      <c r="P274" s="9">
        <f t="shared" si="17"/>
        <v>-45</v>
      </c>
      <c r="X274" s="9">
        <f t="shared" si="18"/>
        <v>228.14999999999998</v>
      </c>
    </row>
    <row r="275" spans="1:24" x14ac:dyDescent="0.25">
      <c r="A275" s="9" t="s">
        <v>537</v>
      </c>
      <c r="B275" s="9" t="s">
        <v>254</v>
      </c>
      <c r="C275" s="9">
        <f>VLOOKUP(B275,{"iPhone",1;"Motorola",2;"Nokia",3;"Samsung",4;"Sony Erickson",5;"Sprint",6},2,0)</f>
        <v>5</v>
      </c>
      <c r="H275" s="9" t="s">
        <v>537</v>
      </c>
      <c r="I275" s="9" t="s">
        <v>237</v>
      </c>
      <c r="J275" s="9">
        <f>VLOOKUP(I275,{"Excellent",4;"Poor",1;"Good",3;"OK",2},2,0)</f>
        <v>2</v>
      </c>
      <c r="O275" s="9">
        <v>-50</v>
      </c>
      <c r="P275" s="9">
        <f t="shared" si="17"/>
        <v>-45.555555555555557</v>
      </c>
      <c r="X275" s="9">
        <f t="shared" si="18"/>
        <v>227.59444444444443</v>
      </c>
    </row>
    <row r="276" spans="1:24" x14ac:dyDescent="0.25">
      <c r="A276" s="9" t="s">
        <v>538</v>
      </c>
      <c r="B276" s="9" t="s">
        <v>248</v>
      </c>
      <c r="C276" s="9">
        <f>VLOOKUP(B276,{"iPhone",1;"Motorola",2;"Nokia",3;"Samsung",4;"Sony Erickson",5;"Sprint",6},2,0)</f>
        <v>3</v>
      </c>
      <c r="H276" s="9" t="s">
        <v>538</v>
      </c>
      <c r="I276" s="9" t="s">
        <v>238</v>
      </c>
      <c r="J276" s="9">
        <f>VLOOKUP(I276,{"Excellent",4;"Poor",1;"Good",3;"OK",2},2,0)</f>
        <v>4</v>
      </c>
      <c r="O276" s="9">
        <v>-51</v>
      </c>
      <c r="P276" s="9">
        <f t="shared" si="17"/>
        <v>-46.111111111111107</v>
      </c>
      <c r="X276" s="9">
        <f t="shared" si="18"/>
        <v>227.03888888888886</v>
      </c>
    </row>
    <row r="277" spans="1:24" x14ac:dyDescent="0.25">
      <c r="A277" s="9" t="s">
        <v>539</v>
      </c>
      <c r="B277" s="9" t="s">
        <v>258</v>
      </c>
      <c r="C277" s="9">
        <f>VLOOKUP(B277,{"iPhone",1;"Motorola",2;"Nokia",3;"Samsung",4;"Sony Erickson",5;"Sprint",6},2,0)</f>
        <v>6</v>
      </c>
      <c r="H277" s="9" t="s">
        <v>539</v>
      </c>
      <c r="I277" s="9" t="s">
        <v>242</v>
      </c>
      <c r="J277" s="9">
        <f>VLOOKUP(I277,{"Excellent",4;"Poor",1;"Good",3;"OK",2},2,0)</f>
        <v>1</v>
      </c>
      <c r="O277" s="9">
        <v>-52</v>
      </c>
      <c r="P277" s="9">
        <f t="shared" si="17"/>
        <v>-46.666666666666664</v>
      </c>
      <c r="X277" s="9">
        <f t="shared" si="18"/>
        <v>226.48333333333332</v>
      </c>
    </row>
    <row r="278" spans="1:24" x14ac:dyDescent="0.25">
      <c r="A278" s="9" t="s">
        <v>540</v>
      </c>
      <c r="B278" s="9" t="s">
        <v>236</v>
      </c>
      <c r="C278" s="9">
        <f>VLOOKUP(B278,{"iPhone",1;"Motorola",2;"Nokia",3;"Samsung",4;"Sony Erickson",5;"Sprint",6},2,0)</f>
        <v>1</v>
      </c>
      <c r="H278" s="9" t="s">
        <v>540</v>
      </c>
      <c r="I278" s="9" t="s">
        <v>243</v>
      </c>
      <c r="J278" s="9">
        <f>VLOOKUP(I278,{"Excellent",4;"Poor",1;"Good",3;"OK",2},2,0)</f>
        <v>3</v>
      </c>
      <c r="O278" s="9">
        <v>-53</v>
      </c>
      <c r="P278" s="9">
        <f t="shared" si="17"/>
        <v>-47.222222222222221</v>
      </c>
      <c r="X278" s="9">
        <f t="shared" si="18"/>
        <v>225.92777777777775</v>
      </c>
    </row>
    <row r="279" spans="1:24" x14ac:dyDescent="0.25">
      <c r="A279" s="9" t="s">
        <v>541</v>
      </c>
      <c r="B279" s="9" t="s">
        <v>248</v>
      </c>
      <c r="C279" s="9">
        <f>VLOOKUP(B279,{"iPhone",1;"Motorola",2;"Nokia",3;"Samsung",4;"Sony Erickson",5;"Sprint",6},2,0)</f>
        <v>3</v>
      </c>
      <c r="H279" s="9" t="s">
        <v>541</v>
      </c>
      <c r="I279" s="9" t="s">
        <v>238</v>
      </c>
      <c r="J279" s="9">
        <f>VLOOKUP(I279,{"Excellent",4;"Poor",1;"Good",3;"OK",2},2,0)</f>
        <v>4</v>
      </c>
      <c r="O279" s="9">
        <v>-54</v>
      </c>
      <c r="P279" s="9">
        <f t="shared" si="17"/>
        <v>-47.777777777777779</v>
      </c>
      <c r="X279" s="9">
        <f t="shared" si="18"/>
        <v>225.37222222222221</v>
      </c>
    </row>
    <row r="280" spans="1:24" x14ac:dyDescent="0.25">
      <c r="A280" s="9" t="s">
        <v>542</v>
      </c>
      <c r="B280" s="9" t="s">
        <v>248</v>
      </c>
      <c r="C280" s="9">
        <f>VLOOKUP(B280,{"iPhone",1;"Motorola",2;"Nokia",3;"Samsung",4;"Sony Erickson",5;"Sprint",6},2,0)</f>
        <v>3</v>
      </c>
      <c r="H280" s="9" t="s">
        <v>542</v>
      </c>
      <c r="I280" s="9" t="s">
        <v>238</v>
      </c>
      <c r="J280" s="9">
        <f>VLOOKUP(I280,{"Excellent",4;"Poor",1;"Good",3;"OK",2},2,0)</f>
        <v>4</v>
      </c>
      <c r="O280" s="9">
        <v>-55</v>
      </c>
      <c r="P280" s="9">
        <f t="shared" si="17"/>
        <v>-48.333333333333329</v>
      </c>
      <c r="X280" s="9">
        <f t="shared" si="18"/>
        <v>224.81666666666666</v>
      </c>
    </row>
    <row r="281" spans="1:24" x14ac:dyDescent="0.25">
      <c r="A281" s="9" t="s">
        <v>543</v>
      </c>
      <c r="B281" s="9" t="s">
        <v>247</v>
      </c>
      <c r="C281" s="9">
        <f>VLOOKUP(B281,{"iPhone",1;"Motorola",2;"Nokia",3;"Samsung",4;"Sony Erickson",5;"Sprint",6},2,0)</f>
        <v>4</v>
      </c>
      <c r="H281" s="9" t="s">
        <v>543</v>
      </c>
      <c r="I281" s="9" t="s">
        <v>242</v>
      </c>
      <c r="J281" s="9">
        <f>VLOOKUP(I281,{"Excellent",4;"Poor",1;"Good",3;"OK",2},2,0)</f>
        <v>1</v>
      </c>
      <c r="O281" s="9">
        <v>-56</v>
      </c>
      <c r="P281" s="9">
        <f t="shared" si="17"/>
        <v>-48.888888888888886</v>
      </c>
      <c r="X281" s="9">
        <f t="shared" si="18"/>
        <v>224.26111111111109</v>
      </c>
    </row>
    <row r="282" spans="1:24" x14ac:dyDescent="0.25">
      <c r="A282" s="9" t="s">
        <v>544</v>
      </c>
      <c r="B282" s="9" t="s">
        <v>254</v>
      </c>
      <c r="C282" s="9">
        <f>VLOOKUP(B282,{"iPhone",1;"Motorola",2;"Nokia",3;"Samsung",4;"Sony Erickson",5;"Sprint",6},2,0)</f>
        <v>5</v>
      </c>
      <c r="H282" s="9" t="s">
        <v>544</v>
      </c>
      <c r="I282" s="9" t="s">
        <v>238</v>
      </c>
      <c r="J282" s="9">
        <f>VLOOKUP(I282,{"Excellent",4;"Poor",1;"Good",3;"OK",2},2,0)</f>
        <v>4</v>
      </c>
      <c r="O282" s="9">
        <v>-57</v>
      </c>
      <c r="P282" s="9">
        <f t="shared" si="17"/>
        <v>-49.444444444444443</v>
      </c>
      <c r="X282" s="9">
        <f t="shared" si="18"/>
        <v>223.70555555555552</v>
      </c>
    </row>
    <row r="283" spans="1:24" x14ac:dyDescent="0.25">
      <c r="A283" s="9" t="s">
        <v>545</v>
      </c>
      <c r="B283" s="9" t="s">
        <v>247</v>
      </c>
      <c r="C283" s="9">
        <f>VLOOKUP(B283,{"iPhone",1;"Motorola",2;"Nokia",3;"Samsung",4;"Sony Erickson",5;"Sprint",6},2,0)</f>
        <v>4</v>
      </c>
      <c r="H283" s="9" t="s">
        <v>545</v>
      </c>
      <c r="I283" s="9" t="s">
        <v>242</v>
      </c>
      <c r="J283" s="9">
        <f>VLOOKUP(I283,{"Excellent",4;"Poor",1;"Good",3;"OK",2},2,0)</f>
        <v>1</v>
      </c>
      <c r="O283" s="9">
        <v>-58</v>
      </c>
      <c r="P283" s="9">
        <f t="shared" si="17"/>
        <v>-50</v>
      </c>
      <c r="X283" s="9">
        <f t="shared" si="18"/>
        <v>223.14999999999998</v>
      </c>
    </row>
    <row r="284" spans="1:24" x14ac:dyDescent="0.25">
      <c r="A284" s="9" t="s">
        <v>546</v>
      </c>
      <c r="B284" s="9" t="s">
        <v>248</v>
      </c>
      <c r="C284" s="9">
        <f>VLOOKUP(B284,{"iPhone",1;"Motorola",2;"Nokia",3;"Samsung",4;"Sony Erickson",5;"Sprint",6},2,0)</f>
        <v>3</v>
      </c>
      <c r="H284" s="9" t="s">
        <v>546</v>
      </c>
      <c r="I284" s="9" t="s">
        <v>242</v>
      </c>
      <c r="J284" s="9">
        <f>VLOOKUP(I284,{"Excellent",4;"Poor",1;"Good",3;"OK",2},2,0)</f>
        <v>1</v>
      </c>
      <c r="O284" s="9">
        <v>-59</v>
      </c>
      <c r="P284" s="9">
        <f t="shared" si="17"/>
        <v>-50.555555555555557</v>
      </c>
      <c r="X284" s="9">
        <f t="shared" si="18"/>
        <v>222.59444444444443</v>
      </c>
    </row>
    <row r="285" spans="1:24" x14ac:dyDescent="0.25">
      <c r="A285" s="9" t="s">
        <v>547</v>
      </c>
      <c r="B285" s="9" t="s">
        <v>247</v>
      </c>
      <c r="C285" s="9">
        <f>VLOOKUP(B285,{"iPhone",1;"Motorola",2;"Nokia",3;"Samsung",4;"Sony Erickson",5;"Sprint",6},2,0)</f>
        <v>4</v>
      </c>
      <c r="H285" s="9" t="s">
        <v>547</v>
      </c>
      <c r="I285" s="9" t="s">
        <v>242</v>
      </c>
      <c r="J285" s="9">
        <f>VLOOKUP(I285,{"Excellent",4;"Poor",1;"Good",3;"OK",2},2,0)</f>
        <v>1</v>
      </c>
      <c r="O285" s="9">
        <v>-60</v>
      </c>
      <c r="P285" s="9">
        <f t="shared" si="17"/>
        <v>-51.111111111111107</v>
      </c>
      <c r="X285" s="9">
        <f t="shared" si="18"/>
        <v>222.03888888888886</v>
      </c>
    </row>
    <row r="286" spans="1:24" x14ac:dyDescent="0.25">
      <c r="A286" s="9" t="s">
        <v>548</v>
      </c>
      <c r="B286" s="9" t="s">
        <v>258</v>
      </c>
      <c r="C286" s="9">
        <f>VLOOKUP(B286,{"iPhone",1;"Motorola",2;"Nokia",3;"Samsung",4;"Sony Erickson",5;"Sprint",6},2,0)</f>
        <v>6</v>
      </c>
      <c r="H286" s="9" t="s">
        <v>548</v>
      </c>
      <c r="I286" s="9" t="s">
        <v>242</v>
      </c>
      <c r="J286" s="9">
        <f>VLOOKUP(I286,{"Excellent",4;"Poor",1;"Good",3;"OK",2},2,0)</f>
        <v>1</v>
      </c>
      <c r="O286" s="9">
        <v>-61</v>
      </c>
      <c r="P286" s="9">
        <f t="shared" si="17"/>
        <v>-51.666666666666664</v>
      </c>
      <c r="X286" s="9">
        <f t="shared" si="18"/>
        <v>221.48333333333332</v>
      </c>
    </row>
    <row r="287" spans="1:24" x14ac:dyDescent="0.25">
      <c r="A287" s="9" t="s">
        <v>549</v>
      </c>
      <c r="B287" s="9" t="s">
        <v>254</v>
      </c>
      <c r="C287" s="9">
        <f>VLOOKUP(B287,{"iPhone",1;"Motorola",2;"Nokia",3;"Samsung",4;"Sony Erickson",5;"Sprint",6},2,0)</f>
        <v>5</v>
      </c>
      <c r="H287" s="9" t="s">
        <v>549</v>
      </c>
      <c r="I287" s="9" t="s">
        <v>237</v>
      </c>
      <c r="J287" s="9">
        <f>VLOOKUP(I287,{"Excellent",4;"Poor",1;"Good",3;"OK",2},2,0)</f>
        <v>2</v>
      </c>
      <c r="O287" s="9">
        <v>-62</v>
      </c>
      <c r="P287" s="9">
        <f t="shared" si="17"/>
        <v>-52.222222222222221</v>
      </c>
      <c r="X287" s="9">
        <f t="shared" si="18"/>
        <v>220.92777777777775</v>
      </c>
    </row>
    <row r="288" spans="1:24" x14ac:dyDescent="0.25">
      <c r="A288" s="9" t="s">
        <v>550</v>
      </c>
      <c r="B288" s="9" t="s">
        <v>235</v>
      </c>
      <c r="C288" s="9">
        <f>VLOOKUP(B288,{"iPhone",1;"Motorola",2;"Nokia",3;"Samsung",4;"Sony Erickson",5;"Sprint",6},2,0)</f>
        <v>2</v>
      </c>
      <c r="H288" s="9" t="s">
        <v>550</v>
      </c>
      <c r="I288" s="9" t="s">
        <v>237</v>
      </c>
      <c r="J288" s="9">
        <f>VLOOKUP(I288,{"Excellent",4;"Poor",1;"Good",3;"OK",2},2,0)</f>
        <v>2</v>
      </c>
      <c r="O288" s="9">
        <v>-63</v>
      </c>
      <c r="P288" s="9">
        <f t="shared" si="17"/>
        <v>-52.777777777777779</v>
      </c>
      <c r="X288" s="9">
        <f t="shared" si="18"/>
        <v>220.37222222222221</v>
      </c>
    </row>
    <row r="289" spans="1:24" x14ac:dyDescent="0.25">
      <c r="A289" s="9" t="s">
        <v>551</v>
      </c>
      <c r="B289" s="9" t="s">
        <v>247</v>
      </c>
      <c r="C289" s="9">
        <f>VLOOKUP(B289,{"iPhone",1;"Motorola",2;"Nokia",3;"Samsung",4;"Sony Erickson",5;"Sprint",6},2,0)</f>
        <v>4</v>
      </c>
      <c r="H289" s="9" t="s">
        <v>551</v>
      </c>
      <c r="I289" s="9" t="s">
        <v>242</v>
      </c>
      <c r="J289" s="9">
        <f>VLOOKUP(I289,{"Excellent",4;"Poor",1;"Good",3;"OK",2},2,0)</f>
        <v>1</v>
      </c>
      <c r="O289" s="9">
        <v>-64</v>
      </c>
      <c r="P289" s="9">
        <f t="shared" si="17"/>
        <v>-53.333333333333329</v>
      </c>
      <c r="X289" s="9">
        <f t="shared" si="18"/>
        <v>219.81666666666666</v>
      </c>
    </row>
    <row r="290" spans="1:24" x14ac:dyDescent="0.25">
      <c r="A290" s="9" t="s">
        <v>552</v>
      </c>
      <c r="B290" s="9" t="s">
        <v>248</v>
      </c>
      <c r="C290" s="9">
        <f>VLOOKUP(B290,{"iPhone",1;"Motorola",2;"Nokia",3;"Samsung",4;"Sony Erickson",5;"Sprint",6},2,0)</f>
        <v>3</v>
      </c>
      <c r="H290" s="9" t="s">
        <v>552</v>
      </c>
      <c r="I290" s="9" t="s">
        <v>238</v>
      </c>
      <c r="J290" s="9">
        <f>VLOOKUP(I290,{"Excellent",4;"Poor",1;"Good",3;"OK",2},2,0)</f>
        <v>4</v>
      </c>
      <c r="O290" s="9">
        <v>-65</v>
      </c>
      <c r="P290" s="9">
        <f t="shared" si="17"/>
        <v>-53.888888888888886</v>
      </c>
      <c r="X290" s="9">
        <f t="shared" si="18"/>
        <v>219.26111111111109</v>
      </c>
    </row>
    <row r="291" spans="1:24" x14ac:dyDescent="0.25">
      <c r="A291" s="9" t="s">
        <v>553</v>
      </c>
      <c r="B291" s="9" t="s">
        <v>247</v>
      </c>
      <c r="C291" s="9">
        <f>VLOOKUP(B291,{"iPhone",1;"Motorola",2;"Nokia",3;"Samsung",4;"Sony Erickson",5;"Sprint",6},2,0)</f>
        <v>4</v>
      </c>
      <c r="H291" s="9" t="s">
        <v>553</v>
      </c>
      <c r="I291" s="9" t="s">
        <v>238</v>
      </c>
      <c r="J291" s="9">
        <f>VLOOKUP(I291,{"Excellent",4;"Poor",1;"Good",3;"OK",2},2,0)</f>
        <v>4</v>
      </c>
      <c r="O291" s="9">
        <v>-66</v>
      </c>
      <c r="P291" s="9">
        <f t="shared" si="17"/>
        <v>-54.444444444444443</v>
      </c>
      <c r="X291" s="9">
        <f t="shared" si="18"/>
        <v>218.70555555555552</v>
      </c>
    </row>
    <row r="292" spans="1:24" x14ac:dyDescent="0.25">
      <c r="A292" s="9" t="s">
        <v>554</v>
      </c>
      <c r="B292" s="9" t="s">
        <v>247</v>
      </c>
      <c r="C292" s="9">
        <f>VLOOKUP(B292,{"iPhone",1;"Motorola",2;"Nokia",3;"Samsung",4;"Sony Erickson",5;"Sprint",6},2,0)</f>
        <v>4</v>
      </c>
      <c r="H292" s="9" t="s">
        <v>554</v>
      </c>
      <c r="I292" s="9" t="s">
        <v>237</v>
      </c>
      <c r="J292" s="9">
        <f>VLOOKUP(I292,{"Excellent",4;"Poor",1;"Good",3;"OK",2},2,0)</f>
        <v>2</v>
      </c>
      <c r="O292" s="9">
        <v>-67</v>
      </c>
      <c r="P292" s="9">
        <f t="shared" si="17"/>
        <v>-55</v>
      </c>
      <c r="X292" s="9">
        <f t="shared" si="18"/>
        <v>218.14999999999998</v>
      </c>
    </row>
    <row r="293" spans="1:24" x14ac:dyDescent="0.25">
      <c r="A293" s="9" t="s">
        <v>555</v>
      </c>
      <c r="B293" s="9" t="s">
        <v>235</v>
      </c>
      <c r="C293" s="9">
        <f>VLOOKUP(B293,{"iPhone",1;"Motorola",2;"Nokia",3;"Samsung",4;"Sony Erickson",5;"Sprint",6},2,0)</f>
        <v>2</v>
      </c>
      <c r="H293" s="9" t="s">
        <v>555</v>
      </c>
      <c r="I293" s="9" t="s">
        <v>242</v>
      </c>
      <c r="J293" s="9">
        <f>VLOOKUP(I293,{"Excellent",4;"Poor",1;"Good",3;"OK",2},2,0)</f>
        <v>1</v>
      </c>
      <c r="O293" s="9">
        <v>-68</v>
      </c>
      <c r="P293" s="9">
        <f t="shared" si="17"/>
        <v>-55.555555555555557</v>
      </c>
      <c r="X293" s="9">
        <f t="shared" si="18"/>
        <v>217.59444444444443</v>
      </c>
    </row>
    <row r="294" spans="1:24" x14ac:dyDescent="0.25">
      <c r="A294" s="9" t="s">
        <v>556</v>
      </c>
      <c r="B294" s="9" t="s">
        <v>236</v>
      </c>
      <c r="C294" s="9">
        <f>VLOOKUP(B294,{"iPhone",1;"Motorola",2;"Nokia",3;"Samsung",4;"Sony Erickson",5;"Sprint",6},2,0)</f>
        <v>1</v>
      </c>
      <c r="H294" s="9" t="s">
        <v>556</v>
      </c>
      <c r="I294" s="9" t="s">
        <v>242</v>
      </c>
      <c r="J294" s="9">
        <f>VLOOKUP(I294,{"Excellent",4;"Poor",1;"Good",3;"OK",2},2,0)</f>
        <v>1</v>
      </c>
      <c r="O294" s="9">
        <v>-69</v>
      </c>
      <c r="P294" s="9">
        <f t="shared" si="17"/>
        <v>-56.111111111111107</v>
      </c>
      <c r="X294" s="9">
        <f t="shared" si="18"/>
        <v>217.03888888888886</v>
      </c>
    </row>
    <row r="295" spans="1:24" x14ac:dyDescent="0.25">
      <c r="A295" s="9" t="s">
        <v>557</v>
      </c>
      <c r="B295" s="9" t="s">
        <v>248</v>
      </c>
      <c r="C295" s="9">
        <f>VLOOKUP(B295,{"iPhone",1;"Motorola",2;"Nokia",3;"Samsung",4;"Sony Erickson",5;"Sprint",6},2,0)</f>
        <v>3</v>
      </c>
      <c r="H295" s="9" t="s">
        <v>557</v>
      </c>
      <c r="I295" s="9" t="s">
        <v>243</v>
      </c>
      <c r="J295" s="9">
        <f>VLOOKUP(I295,{"Excellent",4;"Poor",1;"Good",3;"OK",2},2,0)</f>
        <v>3</v>
      </c>
      <c r="O295" s="9">
        <v>-70</v>
      </c>
      <c r="P295" s="9">
        <f t="shared" si="17"/>
        <v>-56.666666666666664</v>
      </c>
      <c r="X295" s="9">
        <f t="shared" si="18"/>
        <v>216.48333333333332</v>
      </c>
    </row>
    <row r="296" spans="1:24" x14ac:dyDescent="0.25">
      <c r="A296" s="9" t="s">
        <v>558</v>
      </c>
      <c r="B296" s="9" t="s">
        <v>248</v>
      </c>
      <c r="C296" s="9">
        <f>VLOOKUP(B296,{"iPhone",1;"Motorola",2;"Nokia",3;"Samsung",4;"Sony Erickson",5;"Sprint",6},2,0)</f>
        <v>3</v>
      </c>
      <c r="H296" s="9" t="s">
        <v>558</v>
      </c>
      <c r="I296" s="9" t="s">
        <v>242</v>
      </c>
      <c r="J296" s="9">
        <f>VLOOKUP(I296,{"Excellent",4;"Poor",1;"Good",3;"OK",2},2,0)</f>
        <v>1</v>
      </c>
      <c r="O296" s="9">
        <v>-71</v>
      </c>
      <c r="P296" s="9">
        <f t="shared" si="17"/>
        <v>-57.222222222222221</v>
      </c>
      <c r="X296" s="9">
        <f t="shared" si="18"/>
        <v>215.92777777777775</v>
      </c>
    </row>
    <row r="297" spans="1:24" x14ac:dyDescent="0.25">
      <c r="A297" s="9" t="s">
        <v>559</v>
      </c>
      <c r="B297" s="9" t="s">
        <v>248</v>
      </c>
      <c r="C297" s="9">
        <f>VLOOKUP(B297,{"iPhone",1;"Motorola",2;"Nokia",3;"Samsung",4;"Sony Erickson",5;"Sprint",6},2,0)</f>
        <v>3</v>
      </c>
      <c r="H297" s="9" t="s">
        <v>559</v>
      </c>
      <c r="I297" s="9" t="s">
        <v>237</v>
      </c>
      <c r="J297" s="9">
        <f>VLOOKUP(I297,{"Excellent",4;"Poor",1;"Good",3;"OK",2},2,0)</f>
        <v>2</v>
      </c>
      <c r="O297" s="9">
        <v>-72</v>
      </c>
      <c r="P297" s="9">
        <f t="shared" si="17"/>
        <v>-57.777777777777779</v>
      </c>
      <c r="X297" s="9">
        <f t="shared" si="18"/>
        <v>215.37222222222221</v>
      </c>
    </row>
    <row r="298" spans="1:24" x14ac:dyDescent="0.25">
      <c r="A298" s="9" t="s">
        <v>560</v>
      </c>
      <c r="B298" s="9" t="s">
        <v>235</v>
      </c>
      <c r="C298" s="9">
        <f>VLOOKUP(B298,{"iPhone",1;"Motorola",2;"Nokia",3;"Samsung",4;"Sony Erickson",5;"Sprint",6},2,0)</f>
        <v>2</v>
      </c>
      <c r="H298" s="9" t="s">
        <v>560</v>
      </c>
      <c r="I298" s="9" t="s">
        <v>242</v>
      </c>
      <c r="J298" s="9">
        <f>VLOOKUP(I298,{"Excellent",4;"Poor",1;"Good",3;"OK",2},2,0)</f>
        <v>1</v>
      </c>
      <c r="O298" s="9">
        <v>-73</v>
      </c>
      <c r="P298" s="9">
        <f t="shared" si="17"/>
        <v>-58.333333333333329</v>
      </c>
      <c r="X298" s="9">
        <f t="shared" si="18"/>
        <v>214.81666666666666</v>
      </c>
    </row>
    <row r="299" spans="1:24" x14ac:dyDescent="0.25">
      <c r="A299" s="9" t="s">
        <v>561</v>
      </c>
      <c r="B299" s="9" t="s">
        <v>258</v>
      </c>
      <c r="C299" s="9">
        <f>VLOOKUP(B299,{"iPhone",1;"Motorola",2;"Nokia",3;"Samsung",4;"Sony Erickson",5;"Sprint",6},2,0)</f>
        <v>6</v>
      </c>
      <c r="H299" s="9" t="s">
        <v>561</v>
      </c>
      <c r="I299" s="9" t="s">
        <v>238</v>
      </c>
      <c r="J299" s="9">
        <f>VLOOKUP(I299,{"Excellent",4;"Poor",1;"Good",3;"OK",2},2,0)</f>
        <v>4</v>
      </c>
      <c r="O299" s="9">
        <v>-74</v>
      </c>
      <c r="P299" s="9">
        <f t="shared" si="17"/>
        <v>-58.888888888888886</v>
      </c>
      <c r="X299" s="9">
        <f t="shared" si="18"/>
        <v>214.26111111111109</v>
      </c>
    </row>
    <row r="300" spans="1:24" x14ac:dyDescent="0.25">
      <c r="A300" s="9" t="s">
        <v>562</v>
      </c>
      <c r="B300" s="9" t="s">
        <v>235</v>
      </c>
      <c r="C300" s="9">
        <f>VLOOKUP(B300,{"iPhone",1;"Motorola",2;"Nokia",3;"Samsung",4;"Sony Erickson",5;"Sprint",6},2,0)</f>
        <v>2</v>
      </c>
      <c r="H300" s="9" t="s">
        <v>562</v>
      </c>
      <c r="I300" s="9" t="s">
        <v>238</v>
      </c>
      <c r="J300" s="9">
        <f>VLOOKUP(I300,{"Excellent",4;"Poor",1;"Good",3;"OK",2},2,0)</f>
        <v>4</v>
      </c>
      <c r="O300" s="9">
        <v>-75</v>
      </c>
      <c r="P300" s="9">
        <f t="shared" si="17"/>
        <v>-59.444444444444443</v>
      </c>
      <c r="X300" s="9">
        <f t="shared" si="18"/>
        <v>213.70555555555552</v>
      </c>
    </row>
    <row r="301" spans="1:24" x14ac:dyDescent="0.25">
      <c r="A301" s="9" t="s">
        <v>563</v>
      </c>
      <c r="B301" s="9" t="s">
        <v>235</v>
      </c>
      <c r="C301" s="9">
        <f>VLOOKUP(B301,{"iPhone",1;"Motorola",2;"Nokia",3;"Samsung",4;"Sony Erickson",5;"Sprint",6},2,0)</f>
        <v>2</v>
      </c>
      <c r="H301" s="9" t="s">
        <v>563</v>
      </c>
      <c r="I301" s="9" t="s">
        <v>243</v>
      </c>
      <c r="J301" s="9">
        <f>VLOOKUP(I301,{"Excellent",4;"Poor",1;"Good",3;"OK",2},2,0)</f>
        <v>3</v>
      </c>
      <c r="O301" s="9">
        <v>-76</v>
      </c>
      <c r="P301" s="9">
        <f t="shared" si="17"/>
        <v>-60</v>
      </c>
      <c r="X301" s="9">
        <f t="shared" si="18"/>
        <v>213.14999999999998</v>
      </c>
    </row>
    <row r="302" spans="1:24" x14ac:dyDescent="0.25">
      <c r="A302" s="9" t="s">
        <v>564</v>
      </c>
      <c r="B302" s="9" t="s">
        <v>248</v>
      </c>
      <c r="C302" s="9">
        <f>VLOOKUP(B302,{"iPhone",1;"Motorola",2;"Nokia",3;"Samsung",4;"Sony Erickson",5;"Sprint",6},2,0)</f>
        <v>3</v>
      </c>
      <c r="H302" s="9" t="s">
        <v>564</v>
      </c>
      <c r="I302" s="9" t="s">
        <v>237</v>
      </c>
      <c r="J302" s="9">
        <f>VLOOKUP(I302,{"Excellent",4;"Poor",1;"Good",3;"OK",2},2,0)</f>
        <v>2</v>
      </c>
      <c r="O302" s="9">
        <v>-77</v>
      </c>
      <c r="P302" s="9">
        <f t="shared" si="17"/>
        <v>-60.555555555555557</v>
      </c>
      <c r="X302" s="9">
        <f t="shared" si="18"/>
        <v>212.59444444444443</v>
      </c>
    </row>
    <row r="303" spans="1:24" x14ac:dyDescent="0.25">
      <c r="A303" s="9" t="s">
        <v>565</v>
      </c>
      <c r="B303" s="9" t="s">
        <v>258</v>
      </c>
      <c r="C303" s="9">
        <f>VLOOKUP(B303,{"iPhone",1;"Motorola",2;"Nokia",3;"Samsung",4;"Sony Erickson",5;"Sprint",6},2,0)</f>
        <v>6</v>
      </c>
      <c r="H303" s="9" t="s">
        <v>565</v>
      </c>
      <c r="I303" s="9" t="s">
        <v>237</v>
      </c>
      <c r="J303" s="9">
        <f>VLOOKUP(I303,{"Excellent",4;"Poor",1;"Good",3;"OK",2},2,0)</f>
        <v>2</v>
      </c>
      <c r="O303" s="9">
        <v>-78</v>
      </c>
      <c r="P303" s="9">
        <f t="shared" si="17"/>
        <v>-61.111111111111107</v>
      </c>
      <c r="X303" s="9">
        <f t="shared" si="18"/>
        <v>212.03888888888886</v>
      </c>
    </row>
    <row r="304" spans="1:24" x14ac:dyDescent="0.25">
      <c r="A304" s="9" t="s">
        <v>566</v>
      </c>
      <c r="B304" s="9" t="s">
        <v>236</v>
      </c>
      <c r="C304" s="9">
        <f>VLOOKUP(B304,{"iPhone",1;"Motorola",2;"Nokia",3;"Samsung",4;"Sony Erickson",5;"Sprint",6},2,0)</f>
        <v>1</v>
      </c>
      <c r="H304" s="9" t="s">
        <v>566</v>
      </c>
      <c r="I304" s="9" t="s">
        <v>238</v>
      </c>
      <c r="J304" s="9">
        <f>VLOOKUP(I304,{"Excellent",4;"Poor",1;"Good",3;"OK",2},2,0)</f>
        <v>4</v>
      </c>
      <c r="O304" s="9">
        <v>-79</v>
      </c>
      <c r="P304" s="9">
        <f t="shared" si="17"/>
        <v>-61.666666666666664</v>
      </c>
      <c r="X304" s="9">
        <f t="shared" si="18"/>
        <v>211.48333333333332</v>
      </c>
    </row>
    <row r="305" spans="1:24" x14ac:dyDescent="0.25">
      <c r="A305" s="9" t="s">
        <v>567</v>
      </c>
      <c r="B305" s="9" t="s">
        <v>236</v>
      </c>
      <c r="C305" s="9">
        <f>VLOOKUP(B305,{"iPhone",1;"Motorola",2;"Nokia",3;"Samsung",4;"Sony Erickson",5;"Sprint",6},2,0)</f>
        <v>1</v>
      </c>
      <c r="H305" s="9" t="s">
        <v>567</v>
      </c>
      <c r="I305" s="9" t="s">
        <v>242</v>
      </c>
      <c r="J305" s="9">
        <f>VLOOKUP(I305,{"Excellent",4;"Poor",1;"Good",3;"OK",2},2,0)</f>
        <v>1</v>
      </c>
      <c r="O305" s="9">
        <v>-80</v>
      </c>
      <c r="P305" s="9">
        <f t="shared" si="17"/>
        <v>-62.222222222222221</v>
      </c>
      <c r="X305" s="9">
        <f t="shared" si="18"/>
        <v>210.92777777777775</v>
      </c>
    </row>
    <row r="306" spans="1:24" x14ac:dyDescent="0.25">
      <c r="A306" s="9" t="s">
        <v>568</v>
      </c>
      <c r="B306" s="9" t="s">
        <v>248</v>
      </c>
      <c r="C306" s="9">
        <f>VLOOKUP(B306,{"iPhone",1;"Motorola",2;"Nokia",3;"Samsung",4;"Sony Erickson",5;"Sprint",6},2,0)</f>
        <v>3</v>
      </c>
      <c r="H306" s="9" t="s">
        <v>568</v>
      </c>
      <c r="I306" s="9" t="s">
        <v>242</v>
      </c>
      <c r="J306" s="9">
        <f>VLOOKUP(I306,{"Excellent",4;"Poor",1;"Good",3;"OK",2},2,0)</f>
        <v>1</v>
      </c>
      <c r="O306" s="9">
        <v>-81</v>
      </c>
      <c r="P306" s="9">
        <f t="shared" si="17"/>
        <v>-62.777777777777779</v>
      </c>
      <c r="X306" s="9">
        <f t="shared" si="18"/>
        <v>210.37222222222221</v>
      </c>
    </row>
    <row r="307" spans="1:24" x14ac:dyDescent="0.25">
      <c r="A307" s="9" t="s">
        <v>569</v>
      </c>
      <c r="B307" s="9" t="s">
        <v>248</v>
      </c>
      <c r="C307" s="9">
        <f>VLOOKUP(B307,{"iPhone",1;"Motorola",2;"Nokia",3;"Samsung",4;"Sony Erickson",5;"Sprint",6},2,0)</f>
        <v>3</v>
      </c>
      <c r="H307" s="9" t="s">
        <v>569</v>
      </c>
      <c r="I307" s="9" t="s">
        <v>242</v>
      </c>
      <c r="J307" s="9">
        <f>VLOOKUP(I307,{"Excellent",4;"Poor",1;"Good",3;"OK",2},2,0)</f>
        <v>1</v>
      </c>
      <c r="O307" s="9">
        <v>-82</v>
      </c>
      <c r="P307" s="9">
        <f t="shared" si="17"/>
        <v>-63.333333333333329</v>
      </c>
      <c r="X307" s="9">
        <f t="shared" si="18"/>
        <v>209.81666666666666</v>
      </c>
    </row>
    <row r="308" spans="1:24" x14ac:dyDescent="0.25">
      <c r="A308" s="9" t="s">
        <v>570</v>
      </c>
      <c r="B308" s="9" t="s">
        <v>248</v>
      </c>
      <c r="C308" s="9">
        <f>VLOOKUP(B308,{"iPhone",1;"Motorola",2;"Nokia",3;"Samsung",4;"Sony Erickson",5;"Sprint",6},2,0)</f>
        <v>3</v>
      </c>
      <c r="H308" s="9" t="s">
        <v>570</v>
      </c>
      <c r="I308" s="9" t="s">
        <v>237</v>
      </c>
      <c r="J308" s="9">
        <f>VLOOKUP(I308,{"Excellent",4;"Poor",1;"Good",3;"OK",2},2,0)</f>
        <v>2</v>
      </c>
      <c r="O308" s="9">
        <v>-83</v>
      </c>
      <c r="P308" s="9">
        <f t="shared" si="17"/>
        <v>-63.888888888888886</v>
      </c>
      <c r="X308" s="9">
        <f t="shared" si="18"/>
        <v>209.26111111111109</v>
      </c>
    </row>
    <row r="309" spans="1:24" x14ac:dyDescent="0.25">
      <c r="A309" s="9" t="s">
        <v>571</v>
      </c>
      <c r="B309" s="9" t="s">
        <v>248</v>
      </c>
      <c r="C309" s="9">
        <f>VLOOKUP(B309,{"iPhone",1;"Motorola",2;"Nokia",3;"Samsung",4;"Sony Erickson",5;"Sprint",6},2,0)</f>
        <v>3</v>
      </c>
      <c r="H309" s="9" t="s">
        <v>571</v>
      </c>
      <c r="I309" s="9" t="s">
        <v>238</v>
      </c>
      <c r="J309" s="9">
        <f>VLOOKUP(I309,{"Excellent",4;"Poor",1;"Good",3;"OK",2},2,0)</f>
        <v>4</v>
      </c>
      <c r="O309" s="9">
        <v>-84</v>
      </c>
      <c r="P309" s="9">
        <f t="shared" si="17"/>
        <v>-64.444444444444443</v>
      </c>
      <c r="X309" s="9">
        <f t="shared" si="18"/>
        <v>208.70555555555552</v>
      </c>
    </row>
    <row r="310" spans="1:24" x14ac:dyDescent="0.25">
      <c r="A310" s="9" t="s">
        <v>572</v>
      </c>
      <c r="B310" s="9" t="s">
        <v>247</v>
      </c>
      <c r="C310" s="9">
        <f>VLOOKUP(B310,{"iPhone",1;"Motorola",2;"Nokia",3;"Samsung",4;"Sony Erickson",5;"Sprint",6},2,0)</f>
        <v>4</v>
      </c>
      <c r="H310" s="9" t="s">
        <v>572</v>
      </c>
      <c r="I310" s="9" t="s">
        <v>242</v>
      </c>
      <c r="J310" s="9">
        <f>VLOOKUP(I310,{"Excellent",4;"Poor",1;"Good",3;"OK",2},2,0)</f>
        <v>1</v>
      </c>
      <c r="O310" s="9">
        <v>-85</v>
      </c>
      <c r="P310" s="9">
        <f t="shared" si="17"/>
        <v>-65</v>
      </c>
      <c r="X310" s="9">
        <f t="shared" si="18"/>
        <v>208.14999999999998</v>
      </c>
    </row>
    <row r="311" spans="1:24" x14ac:dyDescent="0.25">
      <c r="A311" s="9" t="s">
        <v>573</v>
      </c>
      <c r="B311" s="9" t="s">
        <v>247</v>
      </c>
      <c r="C311" s="9">
        <f>VLOOKUP(B311,{"iPhone",1;"Motorola",2;"Nokia",3;"Samsung",4;"Sony Erickson",5;"Sprint",6},2,0)</f>
        <v>4</v>
      </c>
      <c r="H311" s="9" t="s">
        <v>573</v>
      </c>
      <c r="I311" s="9" t="s">
        <v>242</v>
      </c>
      <c r="J311" s="9">
        <f>VLOOKUP(I311,{"Excellent",4;"Poor",1;"Good",3;"OK",2},2,0)</f>
        <v>1</v>
      </c>
      <c r="O311" s="9">
        <v>-86</v>
      </c>
      <c r="P311" s="9">
        <f t="shared" si="17"/>
        <v>-65.555555555555557</v>
      </c>
      <c r="X311" s="9">
        <f t="shared" si="18"/>
        <v>207.59444444444443</v>
      </c>
    </row>
    <row r="312" spans="1:24" x14ac:dyDescent="0.25">
      <c r="A312" s="9" t="s">
        <v>574</v>
      </c>
      <c r="B312" s="9" t="s">
        <v>236</v>
      </c>
      <c r="C312" s="9">
        <f>VLOOKUP(B312,{"iPhone",1;"Motorola",2;"Nokia",3;"Samsung",4;"Sony Erickson",5;"Sprint",6},2,0)</f>
        <v>1</v>
      </c>
      <c r="H312" s="9" t="s">
        <v>574</v>
      </c>
      <c r="I312" s="9" t="s">
        <v>237</v>
      </c>
      <c r="J312" s="9">
        <f>VLOOKUP(I312,{"Excellent",4;"Poor",1;"Good",3;"OK",2},2,0)</f>
        <v>2</v>
      </c>
      <c r="O312" s="9">
        <v>-87</v>
      </c>
      <c r="P312" s="9">
        <f t="shared" si="17"/>
        <v>-66.111111111111114</v>
      </c>
      <c r="X312" s="9">
        <f t="shared" si="18"/>
        <v>207.03888888888886</v>
      </c>
    </row>
    <row r="313" spans="1:24" x14ac:dyDescent="0.25">
      <c r="A313" s="9" t="s">
        <v>575</v>
      </c>
      <c r="B313" s="9" t="s">
        <v>235</v>
      </c>
      <c r="C313" s="9">
        <f>VLOOKUP(B313,{"iPhone",1;"Motorola",2;"Nokia",3;"Samsung",4;"Sony Erickson",5;"Sprint",6},2,0)</f>
        <v>2</v>
      </c>
      <c r="H313" s="9" t="s">
        <v>575</v>
      </c>
      <c r="I313" s="9" t="s">
        <v>237</v>
      </c>
      <c r="J313" s="9">
        <f>VLOOKUP(I313,{"Excellent",4;"Poor",1;"Good",3;"OK",2},2,0)</f>
        <v>2</v>
      </c>
      <c r="O313" s="9">
        <v>-88</v>
      </c>
      <c r="P313" s="9">
        <f t="shared" si="17"/>
        <v>-66.666666666666671</v>
      </c>
      <c r="X313" s="9">
        <f t="shared" si="18"/>
        <v>206.48333333333329</v>
      </c>
    </row>
    <row r="314" spans="1:24" x14ac:dyDescent="0.25">
      <c r="A314" s="9" t="s">
        <v>576</v>
      </c>
      <c r="B314" s="9" t="s">
        <v>258</v>
      </c>
      <c r="C314" s="9">
        <f>VLOOKUP(B314,{"iPhone",1;"Motorola",2;"Nokia",3;"Samsung",4;"Sony Erickson",5;"Sprint",6},2,0)</f>
        <v>6</v>
      </c>
      <c r="H314" s="9" t="s">
        <v>576</v>
      </c>
      <c r="I314" s="9" t="s">
        <v>243</v>
      </c>
      <c r="J314" s="9">
        <f>VLOOKUP(I314,{"Excellent",4;"Poor",1;"Good",3;"OK",2},2,0)</f>
        <v>3</v>
      </c>
      <c r="O314" s="9">
        <v>-89</v>
      </c>
      <c r="P314" s="9">
        <f t="shared" si="17"/>
        <v>-67.222222222222214</v>
      </c>
      <c r="X314" s="9">
        <f t="shared" si="18"/>
        <v>205.92777777777775</v>
      </c>
    </row>
    <row r="315" spans="1:24" x14ac:dyDescent="0.25">
      <c r="A315" s="9" t="s">
        <v>577</v>
      </c>
      <c r="B315" s="9" t="s">
        <v>236</v>
      </c>
      <c r="C315" s="9">
        <f>VLOOKUP(B315,{"iPhone",1;"Motorola",2;"Nokia",3;"Samsung",4;"Sony Erickson",5;"Sprint",6},2,0)</f>
        <v>1</v>
      </c>
      <c r="H315" s="9" t="s">
        <v>577</v>
      </c>
      <c r="I315" s="9" t="s">
        <v>237</v>
      </c>
      <c r="J315" s="9">
        <f>VLOOKUP(I315,{"Excellent",4;"Poor",1;"Good",3;"OK",2},2,0)</f>
        <v>2</v>
      </c>
      <c r="O315" s="9">
        <v>-90</v>
      </c>
      <c r="P315" s="9">
        <f t="shared" si="17"/>
        <v>-67.777777777777771</v>
      </c>
      <c r="X315" s="9">
        <f t="shared" si="18"/>
        <v>205.37222222222221</v>
      </c>
    </row>
    <row r="316" spans="1:24" x14ac:dyDescent="0.25">
      <c r="A316" s="9" t="s">
        <v>578</v>
      </c>
      <c r="B316" s="9" t="s">
        <v>236</v>
      </c>
      <c r="C316" s="9">
        <f>VLOOKUP(B316,{"iPhone",1;"Motorola",2;"Nokia",3;"Samsung",4;"Sony Erickson",5;"Sprint",6},2,0)</f>
        <v>1</v>
      </c>
      <c r="H316" s="9" t="s">
        <v>578</v>
      </c>
      <c r="I316" s="9" t="s">
        <v>242</v>
      </c>
      <c r="J316" s="9">
        <f>VLOOKUP(I316,{"Excellent",4;"Poor",1;"Good",3;"OK",2},2,0)</f>
        <v>1</v>
      </c>
      <c r="O316" s="9">
        <v>-91</v>
      </c>
      <c r="P316" s="9">
        <f t="shared" si="17"/>
        <v>-68.333333333333329</v>
      </c>
      <c r="X316" s="9">
        <f t="shared" si="18"/>
        <v>204.81666666666666</v>
      </c>
    </row>
    <row r="317" spans="1:24" x14ac:dyDescent="0.25">
      <c r="A317" s="9" t="s">
        <v>579</v>
      </c>
      <c r="B317" s="9" t="s">
        <v>248</v>
      </c>
      <c r="C317" s="9">
        <f>VLOOKUP(B317,{"iPhone",1;"Motorola",2;"Nokia",3;"Samsung",4;"Sony Erickson",5;"Sprint",6},2,0)</f>
        <v>3</v>
      </c>
      <c r="H317" s="9" t="s">
        <v>579</v>
      </c>
      <c r="I317" s="9" t="s">
        <v>242</v>
      </c>
      <c r="J317" s="9">
        <f>VLOOKUP(I317,{"Excellent",4;"Poor",1;"Good",3;"OK",2},2,0)</f>
        <v>1</v>
      </c>
      <c r="O317" s="9">
        <v>-92</v>
      </c>
      <c r="P317" s="9">
        <f t="shared" si="17"/>
        <v>-68.888888888888886</v>
      </c>
      <c r="X317" s="9">
        <f t="shared" si="18"/>
        <v>204.26111111111109</v>
      </c>
    </row>
    <row r="318" spans="1:24" x14ac:dyDescent="0.25">
      <c r="A318" s="9" t="s">
        <v>580</v>
      </c>
      <c r="B318" s="9" t="s">
        <v>247</v>
      </c>
      <c r="C318" s="9">
        <f>VLOOKUP(B318,{"iPhone",1;"Motorola",2;"Nokia",3;"Samsung",4;"Sony Erickson",5;"Sprint",6},2,0)</f>
        <v>4</v>
      </c>
      <c r="H318" s="9" t="s">
        <v>580</v>
      </c>
      <c r="I318" s="9" t="s">
        <v>238</v>
      </c>
      <c r="J318" s="9">
        <f>VLOOKUP(I318,{"Excellent",4;"Poor",1;"Good",3;"OK",2},2,0)</f>
        <v>4</v>
      </c>
      <c r="O318" s="9">
        <v>-93</v>
      </c>
      <c r="P318" s="9">
        <f t="shared" si="17"/>
        <v>-69.444444444444443</v>
      </c>
      <c r="X318" s="9">
        <f t="shared" si="18"/>
        <v>203.70555555555552</v>
      </c>
    </row>
    <row r="319" spans="1:24" x14ac:dyDescent="0.25">
      <c r="A319" s="9" t="s">
        <v>581</v>
      </c>
      <c r="B319" s="9" t="s">
        <v>247</v>
      </c>
      <c r="C319" s="9">
        <f>VLOOKUP(B319,{"iPhone",1;"Motorola",2;"Nokia",3;"Samsung",4;"Sony Erickson",5;"Sprint",6},2,0)</f>
        <v>4</v>
      </c>
      <c r="H319" s="9" t="s">
        <v>581</v>
      </c>
      <c r="I319" s="9" t="s">
        <v>243</v>
      </c>
      <c r="J319" s="9">
        <f>VLOOKUP(I319,{"Excellent",4;"Poor",1;"Good",3;"OK",2},2,0)</f>
        <v>3</v>
      </c>
      <c r="O319" s="9">
        <v>-94</v>
      </c>
      <c r="P319" s="9">
        <f t="shared" si="17"/>
        <v>-70</v>
      </c>
      <c r="X319" s="9">
        <f t="shared" si="18"/>
        <v>203.14999999999998</v>
      </c>
    </row>
    <row r="320" spans="1:24" x14ac:dyDescent="0.25">
      <c r="A320" s="9" t="s">
        <v>582</v>
      </c>
      <c r="B320" s="9" t="s">
        <v>236</v>
      </c>
      <c r="C320" s="9">
        <f>VLOOKUP(B320,{"iPhone",1;"Motorola",2;"Nokia",3;"Samsung",4;"Sony Erickson",5;"Sprint",6},2,0)</f>
        <v>1</v>
      </c>
      <c r="H320" s="9" t="s">
        <v>582</v>
      </c>
      <c r="I320" s="9" t="s">
        <v>243</v>
      </c>
      <c r="J320" s="9">
        <f>VLOOKUP(I320,{"Excellent",4;"Poor",1;"Good",3;"OK",2},2,0)</f>
        <v>3</v>
      </c>
      <c r="O320" s="9">
        <v>-95</v>
      </c>
      <c r="P320" s="9">
        <f t="shared" si="17"/>
        <v>-70.555555555555557</v>
      </c>
      <c r="X320" s="9">
        <f t="shared" si="18"/>
        <v>202.59444444444443</v>
      </c>
    </row>
    <row r="321" spans="1:24" x14ac:dyDescent="0.25">
      <c r="A321" s="9" t="s">
        <v>583</v>
      </c>
      <c r="B321" s="9" t="s">
        <v>247</v>
      </c>
      <c r="C321" s="9">
        <f>VLOOKUP(B321,{"iPhone",1;"Motorola",2;"Nokia",3;"Samsung",4;"Sony Erickson",5;"Sprint",6},2,0)</f>
        <v>4</v>
      </c>
      <c r="H321" s="9" t="s">
        <v>583</v>
      </c>
      <c r="I321" s="9" t="s">
        <v>242</v>
      </c>
      <c r="J321" s="9">
        <f>VLOOKUP(I321,{"Excellent",4;"Poor",1;"Good",3;"OK",2},2,0)</f>
        <v>1</v>
      </c>
      <c r="O321" s="9">
        <v>-96</v>
      </c>
      <c r="P321" s="9">
        <f t="shared" si="17"/>
        <v>-71.111111111111114</v>
      </c>
      <c r="X321" s="9">
        <f t="shared" si="18"/>
        <v>202.03888888888886</v>
      </c>
    </row>
    <row r="322" spans="1:24" x14ac:dyDescent="0.25">
      <c r="A322" s="9" t="s">
        <v>584</v>
      </c>
      <c r="B322" s="9" t="s">
        <v>247</v>
      </c>
      <c r="C322" s="9">
        <f>VLOOKUP(B322,{"iPhone",1;"Motorola",2;"Nokia",3;"Samsung",4;"Sony Erickson",5;"Sprint",6},2,0)</f>
        <v>4</v>
      </c>
      <c r="H322" s="9" t="s">
        <v>584</v>
      </c>
      <c r="I322" s="9" t="s">
        <v>237</v>
      </c>
      <c r="J322" s="9">
        <f>VLOOKUP(I322,{"Excellent",4;"Poor",1;"Good",3;"OK",2},2,0)</f>
        <v>2</v>
      </c>
      <c r="O322" s="9">
        <v>-97</v>
      </c>
      <c r="P322" s="9">
        <f t="shared" si="17"/>
        <v>-71.666666666666671</v>
      </c>
      <c r="X322" s="9">
        <f t="shared" si="18"/>
        <v>201.48333333333329</v>
      </c>
    </row>
    <row r="323" spans="1:24" x14ac:dyDescent="0.25">
      <c r="A323" s="9" t="s">
        <v>585</v>
      </c>
      <c r="B323" s="9" t="s">
        <v>235</v>
      </c>
      <c r="C323" s="9">
        <f>VLOOKUP(B323,{"iPhone",1;"Motorola",2;"Nokia",3;"Samsung",4;"Sony Erickson",5;"Sprint",6},2,0)</f>
        <v>2</v>
      </c>
      <c r="H323" s="9" t="s">
        <v>585</v>
      </c>
      <c r="I323" s="9" t="s">
        <v>238</v>
      </c>
      <c r="J323" s="9">
        <f>VLOOKUP(I323,{"Excellent",4;"Poor",1;"Good",3;"OK",2},2,0)</f>
        <v>4</v>
      </c>
      <c r="O323" s="9">
        <v>-98</v>
      </c>
      <c r="P323" s="9">
        <f t="shared" si="17"/>
        <v>-72.222222222222214</v>
      </c>
      <c r="X323" s="9">
        <f t="shared" si="18"/>
        <v>200.92777777777775</v>
      </c>
    </row>
    <row r="324" spans="1:24" x14ac:dyDescent="0.25">
      <c r="A324" s="9" t="s">
        <v>586</v>
      </c>
      <c r="B324" s="9" t="s">
        <v>254</v>
      </c>
      <c r="C324" s="9">
        <f>VLOOKUP(B324,{"iPhone",1;"Motorola",2;"Nokia",3;"Samsung",4;"Sony Erickson",5;"Sprint",6},2,0)</f>
        <v>5</v>
      </c>
      <c r="H324" s="9" t="s">
        <v>586</v>
      </c>
      <c r="I324" s="9" t="s">
        <v>243</v>
      </c>
      <c r="J324" s="9">
        <f>VLOOKUP(I324,{"Excellent",4;"Poor",1;"Good",3;"OK",2},2,0)</f>
        <v>3</v>
      </c>
      <c r="O324" s="9">
        <v>-99</v>
      </c>
      <c r="P324" s="9">
        <f t="shared" si="17"/>
        <v>-72.777777777777771</v>
      </c>
      <c r="X324" s="9">
        <f t="shared" si="18"/>
        <v>200.37222222222221</v>
      </c>
    </row>
    <row r="325" spans="1:24" x14ac:dyDescent="0.25">
      <c r="A325" s="9" t="s">
        <v>587</v>
      </c>
      <c r="B325" s="9" t="s">
        <v>236</v>
      </c>
      <c r="C325" s="9">
        <f>VLOOKUP(B325,{"iPhone",1;"Motorola",2;"Nokia",3;"Samsung",4;"Sony Erickson",5;"Sprint",6},2,0)</f>
        <v>1</v>
      </c>
      <c r="H325" s="9" t="s">
        <v>587</v>
      </c>
      <c r="I325" s="9" t="s">
        <v>242</v>
      </c>
      <c r="J325" s="9">
        <f>VLOOKUP(I325,{"Excellent",4;"Poor",1;"Good",3;"OK",2},2,0)</f>
        <v>1</v>
      </c>
      <c r="O325" s="9">
        <v>-100</v>
      </c>
      <c r="P325" s="9">
        <f t="shared" ref="P325:P388" si="19">CONVERT(O325,"F","C")</f>
        <v>-73.333333333333329</v>
      </c>
      <c r="X325" s="9">
        <f t="shared" si="18"/>
        <v>199.81666666666666</v>
      </c>
    </row>
    <row r="326" spans="1:24" x14ac:dyDescent="0.25">
      <c r="A326" s="9" t="s">
        <v>588</v>
      </c>
      <c r="B326" s="9" t="s">
        <v>248</v>
      </c>
      <c r="C326" s="9">
        <f>VLOOKUP(B326,{"iPhone",1;"Motorola",2;"Nokia",3;"Samsung",4;"Sony Erickson",5;"Sprint",6},2,0)</f>
        <v>3</v>
      </c>
      <c r="H326" s="9" t="s">
        <v>588</v>
      </c>
      <c r="I326" s="9" t="s">
        <v>242</v>
      </c>
      <c r="J326" s="9">
        <f>VLOOKUP(I326,{"Excellent",4;"Poor",1;"Good",3;"OK",2},2,0)</f>
        <v>1</v>
      </c>
      <c r="O326" s="9">
        <v>-101</v>
      </c>
      <c r="P326" s="9">
        <f t="shared" si="19"/>
        <v>-73.888888888888886</v>
      </c>
      <c r="X326" s="9">
        <f t="shared" ref="X326:X389" si="20">CONVERT(O326,"F","K")</f>
        <v>199.26111111111109</v>
      </c>
    </row>
    <row r="327" spans="1:24" x14ac:dyDescent="0.25">
      <c r="A327" s="9" t="s">
        <v>589</v>
      </c>
      <c r="B327" s="9" t="s">
        <v>236</v>
      </c>
      <c r="C327" s="9">
        <f>VLOOKUP(B327,{"iPhone",1;"Motorola",2;"Nokia",3;"Samsung",4;"Sony Erickson",5;"Sprint",6},2,0)</f>
        <v>1</v>
      </c>
      <c r="H327" s="9" t="s">
        <v>589</v>
      </c>
      <c r="I327" s="9" t="s">
        <v>242</v>
      </c>
      <c r="J327" s="9">
        <f>VLOOKUP(I327,{"Excellent",4;"Poor",1;"Good",3;"OK",2},2,0)</f>
        <v>1</v>
      </c>
      <c r="O327" s="9">
        <v>-102</v>
      </c>
      <c r="P327" s="9">
        <f t="shared" si="19"/>
        <v>-74.444444444444443</v>
      </c>
      <c r="X327" s="9">
        <f t="shared" si="20"/>
        <v>198.70555555555552</v>
      </c>
    </row>
    <row r="328" spans="1:24" x14ac:dyDescent="0.25">
      <c r="A328" s="9" t="s">
        <v>590</v>
      </c>
      <c r="B328" s="9" t="s">
        <v>247</v>
      </c>
      <c r="C328" s="9">
        <f>VLOOKUP(B328,{"iPhone",1;"Motorola",2;"Nokia",3;"Samsung",4;"Sony Erickson",5;"Sprint",6},2,0)</f>
        <v>4</v>
      </c>
      <c r="H328" s="9" t="s">
        <v>590</v>
      </c>
      <c r="I328" s="9" t="s">
        <v>243</v>
      </c>
      <c r="J328" s="9">
        <f>VLOOKUP(I328,{"Excellent",4;"Poor",1;"Good",3;"OK",2},2,0)</f>
        <v>3</v>
      </c>
      <c r="O328" s="9">
        <v>-103</v>
      </c>
      <c r="P328" s="9">
        <f t="shared" si="19"/>
        <v>-75</v>
      </c>
      <c r="X328" s="9">
        <f t="shared" si="20"/>
        <v>198.14999999999998</v>
      </c>
    </row>
    <row r="329" spans="1:24" x14ac:dyDescent="0.25">
      <c r="A329" s="9" t="s">
        <v>591</v>
      </c>
      <c r="B329" s="9" t="s">
        <v>254</v>
      </c>
      <c r="C329" s="9">
        <f>VLOOKUP(B329,{"iPhone",1;"Motorola",2;"Nokia",3;"Samsung",4;"Sony Erickson",5;"Sprint",6},2,0)</f>
        <v>5</v>
      </c>
      <c r="H329" s="9" t="s">
        <v>591</v>
      </c>
      <c r="I329" s="9" t="s">
        <v>242</v>
      </c>
      <c r="J329" s="9">
        <f>VLOOKUP(I329,{"Excellent",4;"Poor",1;"Good",3;"OK",2},2,0)</f>
        <v>1</v>
      </c>
      <c r="O329" s="9">
        <v>-104</v>
      </c>
      <c r="P329" s="9">
        <f t="shared" si="19"/>
        <v>-75.555555555555557</v>
      </c>
      <c r="X329" s="9">
        <f t="shared" si="20"/>
        <v>197.59444444444443</v>
      </c>
    </row>
    <row r="330" spans="1:24" x14ac:dyDescent="0.25">
      <c r="A330" s="9" t="s">
        <v>592</v>
      </c>
      <c r="B330" s="9" t="s">
        <v>235</v>
      </c>
      <c r="C330" s="9">
        <f>VLOOKUP(B330,{"iPhone",1;"Motorola",2;"Nokia",3;"Samsung",4;"Sony Erickson",5;"Sprint",6},2,0)</f>
        <v>2</v>
      </c>
      <c r="H330" s="9" t="s">
        <v>592</v>
      </c>
      <c r="I330" s="9" t="s">
        <v>242</v>
      </c>
      <c r="J330" s="9">
        <f>VLOOKUP(I330,{"Excellent",4;"Poor",1;"Good",3;"OK",2},2,0)</f>
        <v>1</v>
      </c>
      <c r="O330" s="9">
        <v>-105</v>
      </c>
      <c r="P330" s="9">
        <f t="shared" si="19"/>
        <v>-76.111111111111114</v>
      </c>
      <c r="X330" s="9">
        <f t="shared" si="20"/>
        <v>197.03888888888886</v>
      </c>
    </row>
    <row r="331" spans="1:24" x14ac:dyDescent="0.25">
      <c r="A331" s="9" t="s">
        <v>593</v>
      </c>
      <c r="B331" s="9" t="s">
        <v>236</v>
      </c>
      <c r="C331" s="9">
        <f>VLOOKUP(B331,{"iPhone",1;"Motorola",2;"Nokia",3;"Samsung",4;"Sony Erickson",5;"Sprint",6},2,0)</f>
        <v>1</v>
      </c>
      <c r="H331" s="9" t="s">
        <v>593</v>
      </c>
      <c r="I331" s="9" t="s">
        <v>242</v>
      </c>
      <c r="J331" s="9">
        <f>VLOOKUP(I331,{"Excellent",4;"Poor",1;"Good",3;"OK",2},2,0)</f>
        <v>1</v>
      </c>
      <c r="O331" s="9">
        <v>-106</v>
      </c>
      <c r="P331" s="9">
        <f t="shared" si="19"/>
        <v>-76.666666666666671</v>
      </c>
      <c r="X331" s="9">
        <f t="shared" si="20"/>
        <v>196.48333333333329</v>
      </c>
    </row>
    <row r="332" spans="1:24" x14ac:dyDescent="0.25">
      <c r="A332" s="9" t="s">
        <v>594</v>
      </c>
      <c r="B332" s="9" t="s">
        <v>258</v>
      </c>
      <c r="C332" s="9">
        <f>VLOOKUP(B332,{"iPhone",1;"Motorola",2;"Nokia",3;"Samsung",4;"Sony Erickson",5;"Sprint",6},2,0)</f>
        <v>6</v>
      </c>
      <c r="H332" s="9" t="s">
        <v>594</v>
      </c>
      <c r="I332" s="9" t="s">
        <v>238</v>
      </c>
      <c r="J332" s="9">
        <f>VLOOKUP(I332,{"Excellent",4;"Poor",1;"Good",3;"OK",2},2,0)</f>
        <v>4</v>
      </c>
      <c r="O332" s="9">
        <v>-107</v>
      </c>
      <c r="P332" s="9">
        <f t="shared" si="19"/>
        <v>-77.222222222222214</v>
      </c>
      <c r="X332" s="9">
        <f t="shared" si="20"/>
        <v>195.92777777777775</v>
      </c>
    </row>
    <row r="333" spans="1:24" x14ac:dyDescent="0.25">
      <c r="A333" s="9" t="s">
        <v>595</v>
      </c>
      <c r="B333" s="9" t="s">
        <v>235</v>
      </c>
      <c r="C333" s="9">
        <f>VLOOKUP(B333,{"iPhone",1;"Motorola",2;"Nokia",3;"Samsung",4;"Sony Erickson",5;"Sprint",6},2,0)</f>
        <v>2</v>
      </c>
      <c r="H333" s="9" t="s">
        <v>595</v>
      </c>
      <c r="I333" s="9" t="s">
        <v>242</v>
      </c>
      <c r="J333" s="9">
        <f>VLOOKUP(I333,{"Excellent",4;"Poor",1;"Good",3;"OK",2},2,0)</f>
        <v>1</v>
      </c>
      <c r="O333" s="9">
        <v>-108</v>
      </c>
      <c r="P333" s="9">
        <f t="shared" si="19"/>
        <v>-77.777777777777771</v>
      </c>
      <c r="X333" s="9">
        <f t="shared" si="20"/>
        <v>195.37222222222221</v>
      </c>
    </row>
    <row r="334" spans="1:24" x14ac:dyDescent="0.25">
      <c r="A334" s="9" t="s">
        <v>596</v>
      </c>
      <c r="B334" s="9" t="s">
        <v>247</v>
      </c>
      <c r="C334" s="9">
        <f>VLOOKUP(B334,{"iPhone",1;"Motorola",2;"Nokia",3;"Samsung",4;"Sony Erickson",5;"Sprint",6},2,0)</f>
        <v>4</v>
      </c>
      <c r="H334" s="9" t="s">
        <v>596</v>
      </c>
      <c r="I334" s="9" t="s">
        <v>237</v>
      </c>
      <c r="J334" s="9">
        <f>VLOOKUP(I334,{"Excellent",4;"Poor",1;"Good",3;"OK",2},2,0)</f>
        <v>2</v>
      </c>
      <c r="O334" s="9">
        <v>-109</v>
      </c>
      <c r="P334" s="9">
        <f t="shared" si="19"/>
        <v>-78.333333333333329</v>
      </c>
      <c r="X334" s="9">
        <f t="shared" si="20"/>
        <v>194.81666666666666</v>
      </c>
    </row>
    <row r="335" spans="1:24" x14ac:dyDescent="0.25">
      <c r="A335" s="9" t="s">
        <v>597</v>
      </c>
      <c r="B335" s="9" t="s">
        <v>248</v>
      </c>
      <c r="C335" s="9">
        <f>VLOOKUP(B335,{"iPhone",1;"Motorola",2;"Nokia",3;"Samsung",4;"Sony Erickson",5;"Sprint",6},2,0)</f>
        <v>3</v>
      </c>
      <c r="H335" s="9" t="s">
        <v>597</v>
      </c>
      <c r="I335" s="9" t="s">
        <v>237</v>
      </c>
      <c r="J335" s="9">
        <f>VLOOKUP(I335,{"Excellent",4;"Poor",1;"Good",3;"OK",2},2,0)</f>
        <v>2</v>
      </c>
      <c r="O335" s="9">
        <v>-110</v>
      </c>
      <c r="P335" s="9">
        <f t="shared" si="19"/>
        <v>-78.888888888888886</v>
      </c>
      <c r="X335" s="9">
        <f t="shared" si="20"/>
        <v>194.26111111111109</v>
      </c>
    </row>
    <row r="336" spans="1:24" x14ac:dyDescent="0.25">
      <c r="A336" s="9" t="s">
        <v>598</v>
      </c>
      <c r="B336" s="9" t="s">
        <v>254</v>
      </c>
      <c r="C336" s="9">
        <f>VLOOKUP(B336,{"iPhone",1;"Motorola",2;"Nokia",3;"Samsung",4;"Sony Erickson",5;"Sprint",6},2,0)</f>
        <v>5</v>
      </c>
      <c r="H336" s="9" t="s">
        <v>598</v>
      </c>
      <c r="I336" s="9" t="s">
        <v>242</v>
      </c>
      <c r="J336" s="9">
        <f>VLOOKUP(I336,{"Excellent",4;"Poor",1;"Good",3;"OK",2},2,0)</f>
        <v>1</v>
      </c>
      <c r="O336" s="9">
        <v>-111</v>
      </c>
      <c r="P336" s="9">
        <f t="shared" si="19"/>
        <v>-79.444444444444443</v>
      </c>
      <c r="X336" s="9">
        <f t="shared" si="20"/>
        <v>193.70555555555552</v>
      </c>
    </row>
    <row r="337" spans="1:24" x14ac:dyDescent="0.25">
      <c r="A337" s="9" t="s">
        <v>599</v>
      </c>
      <c r="B337" s="9" t="s">
        <v>236</v>
      </c>
      <c r="C337" s="9">
        <f>VLOOKUP(B337,{"iPhone",1;"Motorola",2;"Nokia",3;"Samsung",4;"Sony Erickson",5;"Sprint",6},2,0)</f>
        <v>1</v>
      </c>
      <c r="H337" s="9" t="s">
        <v>599</v>
      </c>
      <c r="I337" s="9" t="s">
        <v>242</v>
      </c>
      <c r="J337" s="9">
        <f>VLOOKUP(I337,{"Excellent",4;"Poor",1;"Good",3;"OK",2},2,0)</f>
        <v>1</v>
      </c>
      <c r="O337" s="9">
        <v>-112</v>
      </c>
      <c r="P337" s="9">
        <f t="shared" si="19"/>
        <v>-80</v>
      </c>
      <c r="X337" s="9">
        <f t="shared" si="20"/>
        <v>193.14999999999998</v>
      </c>
    </row>
    <row r="338" spans="1:24" x14ac:dyDescent="0.25">
      <c r="A338" s="9" t="s">
        <v>600</v>
      </c>
      <c r="B338" s="9" t="s">
        <v>247</v>
      </c>
      <c r="C338" s="9">
        <f>VLOOKUP(B338,{"iPhone",1;"Motorola",2;"Nokia",3;"Samsung",4;"Sony Erickson",5;"Sprint",6},2,0)</f>
        <v>4</v>
      </c>
      <c r="H338" s="9" t="s">
        <v>600</v>
      </c>
      <c r="I338" s="9" t="s">
        <v>243</v>
      </c>
      <c r="J338" s="9">
        <f>VLOOKUP(I338,{"Excellent",4;"Poor",1;"Good",3;"OK",2},2,0)</f>
        <v>3</v>
      </c>
      <c r="O338" s="9">
        <v>-113</v>
      </c>
      <c r="P338" s="9">
        <f t="shared" si="19"/>
        <v>-80.555555555555557</v>
      </c>
      <c r="X338" s="9">
        <f t="shared" si="20"/>
        <v>192.59444444444443</v>
      </c>
    </row>
    <row r="339" spans="1:24" x14ac:dyDescent="0.25">
      <c r="A339" s="9" t="s">
        <v>601</v>
      </c>
      <c r="B339" s="9" t="s">
        <v>236</v>
      </c>
      <c r="C339" s="9">
        <f>VLOOKUP(B339,{"iPhone",1;"Motorola",2;"Nokia",3;"Samsung",4;"Sony Erickson",5;"Sprint",6},2,0)</f>
        <v>1</v>
      </c>
      <c r="H339" s="9" t="s">
        <v>601</v>
      </c>
      <c r="I339" s="9" t="s">
        <v>237</v>
      </c>
      <c r="J339" s="9">
        <f>VLOOKUP(I339,{"Excellent",4;"Poor",1;"Good",3;"OK",2},2,0)</f>
        <v>2</v>
      </c>
      <c r="O339" s="9">
        <v>-114</v>
      </c>
      <c r="P339" s="9">
        <f t="shared" si="19"/>
        <v>-81.111111111111114</v>
      </c>
      <c r="X339" s="9">
        <f t="shared" si="20"/>
        <v>192.03888888888886</v>
      </c>
    </row>
    <row r="340" spans="1:24" x14ac:dyDescent="0.25">
      <c r="A340" s="9" t="s">
        <v>602</v>
      </c>
      <c r="B340" s="9" t="s">
        <v>236</v>
      </c>
      <c r="C340" s="9">
        <f>VLOOKUP(B340,{"iPhone",1;"Motorola",2;"Nokia",3;"Samsung",4;"Sony Erickson",5;"Sprint",6},2,0)</f>
        <v>1</v>
      </c>
      <c r="H340" s="9" t="s">
        <v>602</v>
      </c>
      <c r="I340" s="9" t="s">
        <v>237</v>
      </c>
      <c r="J340" s="9">
        <f>VLOOKUP(I340,{"Excellent",4;"Poor",1;"Good",3;"OK",2},2,0)</f>
        <v>2</v>
      </c>
      <c r="O340" s="9">
        <v>-115</v>
      </c>
      <c r="P340" s="9">
        <f t="shared" si="19"/>
        <v>-81.666666666666671</v>
      </c>
      <c r="X340" s="9">
        <f t="shared" si="20"/>
        <v>191.48333333333329</v>
      </c>
    </row>
    <row r="341" spans="1:24" x14ac:dyDescent="0.25">
      <c r="A341" s="9" t="s">
        <v>603</v>
      </c>
      <c r="B341" s="9" t="s">
        <v>248</v>
      </c>
      <c r="C341" s="9">
        <f>VLOOKUP(B341,{"iPhone",1;"Motorola",2;"Nokia",3;"Samsung",4;"Sony Erickson",5;"Sprint",6},2,0)</f>
        <v>3</v>
      </c>
      <c r="H341" s="9" t="s">
        <v>603</v>
      </c>
      <c r="I341" s="9" t="s">
        <v>238</v>
      </c>
      <c r="J341" s="9">
        <f>VLOOKUP(I341,{"Excellent",4;"Poor",1;"Good",3;"OK",2},2,0)</f>
        <v>4</v>
      </c>
      <c r="O341" s="9">
        <v>-116</v>
      </c>
      <c r="P341" s="9">
        <f t="shared" si="19"/>
        <v>-82.222222222222214</v>
      </c>
      <c r="X341" s="9">
        <f t="shared" si="20"/>
        <v>190.92777777777775</v>
      </c>
    </row>
    <row r="342" spans="1:24" x14ac:dyDescent="0.25">
      <c r="A342" s="9" t="s">
        <v>604</v>
      </c>
      <c r="B342" s="9" t="s">
        <v>235</v>
      </c>
      <c r="C342" s="9">
        <f>VLOOKUP(B342,{"iPhone",1;"Motorola",2;"Nokia",3;"Samsung",4;"Sony Erickson",5;"Sprint",6},2,0)</f>
        <v>2</v>
      </c>
      <c r="H342" s="9" t="s">
        <v>604</v>
      </c>
      <c r="I342" s="9" t="s">
        <v>238</v>
      </c>
      <c r="J342" s="9">
        <f>VLOOKUP(I342,{"Excellent",4;"Poor",1;"Good",3;"OK",2},2,0)</f>
        <v>4</v>
      </c>
      <c r="O342" s="9">
        <v>-117</v>
      </c>
      <c r="P342" s="9">
        <f t="shared" si="19"/>
        <v>-82.777777777777771</v>
      </c>
      <c r="X342" s="9">
        <f t="shared" si="20"/>
        <v>190.37222222222221</v>
      </c>
    </row>
    <row r="343" spans="1:24" x14ac:dyDescent="0.25">
      <c r="A343" s="9" t="s">
        <v>605</v>
      </c>
      <c r="B343" s="9" t="s">
        <v>248</v>
      </c>
      <c r="C343" s="9">
        <f>VLOOKUP(B343,{"iPhone",1;"Motorola",2;"Nokia",3;"Samsung",4;"Sony Erickson",5;"Sprint",6},2,0)</f>
        <v>3</v>
      </c>
      <c r="H343" s="9" t="s">
        <v>605</v>
      </c>
      <c r="I343" s="9" t="s">
        <v>243</v>
      </c>
      <c r="J343" s="9">
        <f>VLOOKUP(I343,{"Excellent",4;"Poor",1;"Good",3;"OK",2},2,0)</f>
        <v>3</v>
      </c>
      <c r="O343" s="9">
        <v>-118</v>
      </c>
      <c r="P343" s="9">
        <f t="shared" si="19"/>
        <v>-83.333333333333329</v>
      </c>
      <c r="X343" s="9">
        <f t="shared" si="20"/>
        <v>189.81666666666666</v>
      </c>
    </row>
    <row r="344" spans="1:24" x14ac:dyDescent="0.25">
      <c r="A344" s="9" t="s">
        <v>606</v>
      </c>
      <c r="B344" s="9" t="s">
        <v>248</v>
      </c>
      <c r="C344" s="9">
        <f>VLOOKUP(B344,{"iPhone",1;"Motorola",2;"Nokia",3;"Samsung",4;"Sony Erickson",5;"Sprint",6},2,0)</f>
        <v>3</v>
      </c>
      <c r="H344" s="9" t="s">
        <v>606</v>
      </c>
      <c r="I344" s="9" t="s">
        <v>242</v>
      </c>
      <c r="J344" s="9">
        <f>VLOOKUP(I344,{"Excellent",4;"Poor",1;"Good",3;"OK",2},2,0)</f>
        <v>1</v>
      </c>
      <c r="O344" s="9">
        <v>-119</v>
      </c>
      <c r="P344" s="9">
        <f t="shared" si="19"/>
        <v>-83.888888888888886</v>
      </c>
      <c r="X344" s="9">
        <f t="shared" si="20"/>
        <v>189.26111111111109</v>
      </c>
    </row>
    <row r="345" spans="1:24" x14ac:dyDescent="0.25">
      <c r="A345" s="9" t="s">
        <v>607</v>
      </c>
      <c r="B345" s="9" t="s">
        <v>247</v>
      </c>
      <c r="C345" s="9">
        <f>VLOOKUP(B345,{"iPhone",1;"Motorola",2;"Nokia",3;"Samsung",4;"Sony Erickson",5;"Sprint",6},2,0)</f>
        <v>4</v>
      </c>
      <c r="H345" s="9" t="s">
        <v>607</v>
      </c>
      <c r="I345" s="9" t="s">
        <v>238</v>
      </c>
      <c r="J345" s="9">
        <f>VLOOKUP(I345,{"Excellent",4;"Poor",1;"Good",3;"OK",2},2,0)</f>
        <v>4</v>
      </c>
      <c r="O345" s="9">
        <v>-120</v>
      </c>
      <c r="P345" s="9">
        <f t="shared" si="19"/>
        <v>-84.444444444444443</v>
      </c>
      <c r="X345" s="9">
        <f t="shared" si="20"/>
        <v>188.70555555555552</v>
      </c>
    </row>
    <row r="346" spans="1:24" x14ac:dyDescent="0.25">
      <c r="A346" s="9" t="s">
        <v>608</v>
      </c>
      <c r="B346" s="9" t="s">
        <v>236</v>
      </c>
      <c r="C346" s="9">
        <f>VLOOKUP(B346,{"iPhone",1;"Motorola",2;"Nokia",3;"Samsung",4;"Sony Erickson",5;"Sprint",6},2,0)</f>
        <v>1</v>
      </c>
      <c r="H346" s="9" t="s">
        <v>608</v>
      </c>
      <c r="I346" s="9" t="s">
        <v>243</v>
      </c>
      <c r="J346" s="9">
        <f>VLOOKUP(I346,{"Excellent",4;"Poor",1;"Good",3;"OK",2},2,0)</f>
        <v>3</v>
      </c>
      <c r="O346" s="9">
        <v>-121</v>
      </c>
      <c r="P346" s="9">
        <f t="shared" si="19"/>
        <v>-85</v>
      </c>
      <c r="X346" s="9">
        <f t="shared" si="20"/>
        <v>188.14999999999998</v>
      </c>
    </row>
    <row r="347" spans="1:24" x14ac:dyDescent="0.25">
      <c r="A347" s="9" t="s">
        <v>609</v>
      </c>
      <c r="B347" s="9" t="s">
        <v>236</v>
      </c>
      <c r="C347" s="9">
        <f>VLOOKUP(B347,{"iPhone",1;"Motorola",2;"Nokia",3;"Samsung",4;"Sony Erickson",5;"Sprint",6},2,0)</f>
        <v>1</v>
      </c>
      <c r="H347" s="9" t="s">
        <v>609</v>
      </c>
      <c r="I347" s="9" t="s">
        <v>243</v>
      </c>
      <c r="J347" s="9">
        <f>VLOOKUP(I347,{"Excellent",4;"Poor",1;"Good",3;"OK",2},2,0)</f>
        <v>3</v>
      </c>
      <c r="O347" s="9">
        <v>-122</v>
      </c>
      <c r="P347" s="9">
        <f t="shared" si="19"/>
        <v>-85.555555555555557</v>
      </c>
      <c r="X347" s="9">
        <f t="shared" si="20"/>
        <v>187.59444444444443</v>
      </c>
    </row>
    <row r="348" spans="1:24" x14ac:dyDescent="0.25">
      <c r="A348" s="9" t="s">
        <v>610</v>
      </c>
      <c r="B348" s="9" t="s">
        <v>258</v>
      </c>
      <c r="C348" s="9">
        <f>VLOOKUP(B348,{"iPhone",1;"Motorola",2;"Nokia",3;"Samsung",4;"Sony Erickson",5;"Sprint",6},2,0)</f>
        <v>6</v>
      </c>
      <c r="H348" s="9" t="s">
        <v>610</v>
      </c>
      <c r="I348" s="9" t="s">
        <v>237</v>
      </c>
      <c r="J348" s="9">
        <f>VLOOKUP(I348,{"Excellent",4;"Poor",1;"Good",3;"OK",2},2,0)</f>
        <v>2</v>
      </c>
      <c r="O348" s="9">
        <v>-123</v>
      </c>
      <c r="P348" s="9">
        <f t="shared" si="19"/>
        <v>-86.111111111111114</v>
      </c>
      <c r="X348" s="9">
        <f t="shared" si="20"/>
        <v>187.03888888888886</v>
      </c>
    </row>
    <row r="349" spans="1:24" x14ac:dyDescent="0.25">
      <c r="A349" s="9" t="s">
        <v>611</v>
      </c>
      <c r="B349" s="9" t="s">
        <v>248</v>
      </c>
      <c r="C349" s="9">
        <f>VLOOKUP(B349,{"iPhone",1;"Motorola",2;"Nokia",3;"Samsung",4;"Sony Erickson",5;"Sprint",6},2,0)</f>
        <v>3</v>
      </c>
      <c r="H349" s="9" t="s">
        <v>611</v>
      </c>
      <c r="I349" s="9" t="s">
        <v>238</v>
      </c>
      <c r="J349" s="9">
        <f>VLOOKUP(I349,{"Excellent",4;"Poor",1;"Good",3;"OK",2},2,0)</f>
        <v>4</v>
      </c>
      <c r="O349" s="9">
        <v>-124</v>
      </c>
      <c r="P349" s="9">
        <f t="shared" si="19"/>
        <v>-86.666666666666671</v>
      </c>
      <c r="X349" s="9">
        <f t="shared" si="20"/>
        <v>186.48333333333329</v>
      </c>
    </row>
    <row r="350" spans="1:24" x14ac:dyDescent="0.25">
      <c r="A350" s="9" t="s">
        <v>612</v>
      </c>
      <c r="B350" s="9" t="s">
        <v>258</v>
      </c>
      <c r="C350" s="9">
        <f>VLOOKUP(B350,{"iPhone",1;"Motorola",2;"Nokia",3;"Samsung",4;"Sony Erickson",5;"Sprint",6},2,0)</f>
        <v>6</v>
      </c>
      <c r="H350" s="9" t="s">
        <v>612</v>
      </c>
      <c r="I350" s="9" t="s">
        <v>242</v>
      </c>
      <c r="J350" s="9">
        <f>VLOOKUP(I350,{"Excellent",4;"Poor",1;"Good",3;"OK",2},2,0)</f>
        <v>1</v>
      </c>
      <c r="O350" s="9">
        <v>-125</v>
      </c>
      <c r="P350" s="9">
        <f t="shared" si="19"/>
        <v>-87.222222222222214</v>
      </c>
      <c r="X350" s="9">
        <f t="shared" si="20"/>
        <v>185.92777777777775</v>
      </c>
    </row>
    <row r="351" spans="1:24" x14ac:dyDescent="0.25">
      <c r="A351" s="9" t="s">
        <v>613</v>
      </c>
      <c r="B351" s="9" t="s">
        <v>254</v>
      </c>
      <c r="C351" s="9">
        <f>VLOOKUP(B351,{"iPhone",1;"Motorola",2;"Nokia",3;"Samsung",4;"Sony Erickson",5;"Sprint",6},2,0)</f>
        <v>5</v>
      </c>
      <c r="H351" s="9" t="s">
        <v>613</v>
      </c>
      <c r="I351" s="9" t="s">
        <v>242</v>
      </c>
      <c r="J351" s="9">
        <f>VLOOKUP(I351,{"Excellent",4;"Poor",1;"Good",3;"OK",2},2,0)</f>
        <v>1</v>
      </c>
      <c r="O351" s="9">
        <v>-126</v>
      </c>
      <c r="P351" s="9">
        <f t="shared" si="19"/>
        <v>-87.777777777777771</v>
      </c>
      <c r="X351" s="9">
        <f t="shared" si="20"/>
        <v>185.37222222222221</v>
      </c>
    </row>
    <row r="352" spans="1:24" x14ac:dyDescent="0.25">
      <c r="A352" s="9" t="s">
        <v>614</v>
      </c>
      <c r="B352" s="9" t="s">
        <v>235</v>
      </c>
      <c r="C352" s="9">
        <f>VLOOKUP(B352,{"iPhone",1;"Motorola",2;"Nokia",3;"Samsung",4;"Sony Erickson",5;"Sprint",6},2,0)</f>
        <v>2</v>
      </c>
      <c r="H352" s="9" t="s">
        <v>614</v>
      </c>
      <c r="I352" s="9" t="s">
        <v>237</v>
      </c>
      <c r="J352" s="9">
        <f>VLOOKUP(I352,{"Excellent",4;"Poor",1;"Good",3;"OK",2},2,0)</f>
        <v>2</v>
      </c>
      <c r="O352" s="9">
        <v>-127</v>
      </c>
      <c r="P352" s="9">
        <f t="shared" si="19"/>
        <v>-88.333333333333329</v>
      </c>
      <c r="X352" s="9">
        <f t="shared" si="20"/>
        <v>184.81666666666666</v>
      </c>
    </row>
    <row r="353" spans="1:24" x14ac:dyDescent="0.25">
      <c r="A353" s="9" t="s">
        <v>615</v>
      </c>
      <c r="B353" s="9" t="s">
        <v>236</v>
      </c>
      <c r="C353" s="9">
        <f>VLOOKUP(B353,{"iPhone",1;"Motorola",2;"Nokia",3;"Samsung",4;"Sony Erickson",5;"Sprint",6},2,0)</f>
        <v>1</v>
      </c>
      <c r="H353" s="9" t="s">
        <v>615</v>
      </c>
      <c r="I353" s="9" t="s">
        <v>237</v>
      </c>
      <c r="J353" s="9">
        <f>VLOOKUP(I353,{"Excellent",4;"Poor",1;"Good",3;"OK",2},2,0)</f>
        <v>2</v>
      </c>
      <c r="O353" s="9">
        <v>-128</v>
      </c>
      <c r="P353" s="9">
        <f t="shared" si="19"/>
        <v>-88.888888888888886</v>
      </c>
      <c r="X353" s="9">
        <f t="shared" si="20"/>
        <v>184.26111111111109</v>
      </c>
    </row>
    <row r="354" spans="1:24" x14ac:dyDescent="0.25">
      <c r="A354" s="9" t="s">
        <v>616</v>
      </c>
      <c r="B354" s="9" t="s">
        <v>258</v>
      </c>
      <c r="C354" s="9">
        <f>VLOOKUP(B354,{"iPhone",1;"Motorola",2;"Nokia",3;"Samsung",4;"Sony Erickson",5;"Sprint",6},2,0)</f>
        <v>6</v>
      </c>
      <c r="H354" s="9" t="s">
        <v>616</v>
      </c>
      <c r="I354" s="9" t="s">
        <v>242</v>
      </c>
      <c r="J354" s="9">
        <f>VLOOKUP(I354,{"Excellent",4;"Poor",1;"Good",3;"OK",2},2,0)</f>
        <v>1</v>
      </c>
      <c r="O354" s="9">
        <v>-129</v>
      </c>
      <c r="P354" s="9">
        <f t="shared" si="19"/>
        <v>-89.444444444444443</v>
      </c>
      <c r="X354" s="9">
        <f t="shared" si="20"/>
        <v>183.70555555555552</v>
      </c>
    </row>
    <row r="355" spans="1:24" x14ac:dyDescent="0.25">
      <c r="A355" s="9" t="s">
        <v>617</v>
      </c>
      <c r="B355" s="9" t="s">
        <v>254</v>
      </c>
      <c r="C355" s="9">
        <f>VLOOKUP(B355,{"iPhone",1;"Motorola",2;"Nokia",3;"Samsung",4;"Sony Erickson",5;"Sprint",6},2,0)</f>
        <v>5</v>
      </c>
      <c r="H355" s="9" t="s">
        <v>617</v>
      </c>
      <c r="I355" s="9" t="s">
        <v>237</v>
      </c>
      <c r="J355" s="9">
        <f>VLOOKUP(I355,{"Excellent",4;"Poor",1;"Good",3;"OK",2},2,0)</f>
        <v>2</v>
      </c>
      <c r="O355" s="9">
        <v>-130</v>
      </c>
      <c r="P355" s="9">
        <f t="shared" si="19"/>
        <v>-90</v>
      </c>
      <c r="X355" s="9">
        <f t="shared" si="20"/>
        <v>183.14999999999998</v>
      </c>
    </row>
    <row r="356" spans="1:24" x14ac:dyDescent="0.25">
      <c r="A356" s="9" t="s">
        <v>618</v>
      </c>
      <c r="B356" s="9" t="s">
        <v>236</v>
      </c>
      <c r="C356" s="9">
        <f>VLOOKUP(B356,{"iPhone",1;"Motorola",2;"Nokia",3;"Samsung",4;"Sony Erickson",5;"Sprint",6},2,0)</f>
        <v>1</v>
      </c>
      <c r="H356" s="9" t="s">
        <v>618</v>
      </c>
      <c r="I356" s="9" t="s">
        <v>242</v>
      </c>
      <c r="J356" s="9">
        <f>VLOOKUP(I356,{"Excellent",4;"Poor",1;"Good",3;"OK",2},2,0)</f>
        <v>1</v>
      </c>
      <c r="O356" s="9">
        <v>-131</v>
      </c>
      <c r="P356" s="9">
        <f t="shared" si="19"/>
        <v>-90.555555555555557</v>
      </c>
      <c r="X356" s="9">
        <f t="shared" si="20"/>
        <v>182.59444444444443</v>
      </c>
    </row>
    <row r="357" spans="1:24" x14ac:dyDescent="0.25">
      <c r="A357" s="9" t="s">
        <v>619</v>
      </c>
      <c r="B357" s="9" t="s">
        <v>236</v>
      </c>
      <c r="C357" s="9">
        <f>VLOOKUP(B357,{"iPhone",1;"Motorola",2;"Nokia",3;"Samsung",4;"Sony Erickson",5;"Sprint",6},2,0)</f>
        <v>1</v>
      </c>
      <c r="H357" s="9" t="s">
        <v>619</v>
      </c>
      <c r="I357" s="9" t="s">
        <v>237</v>
      </c>
      <c r="J357" s="9">
        <f>VLOOKUP(I357,{"Excellent",4;"Poor",1;"Good",3;"OK",2},2,0)</f>
        <v>2</v>
      </c>
      <c r="O357" s="9">
        <v>-132</v>
      </c>
      <c r="P357" s="9">
        <f t="shared" si="19"/>
        <v>-91.111111111111114</v>
      </c>
      <c r="X357" s="9">
        <f t="shared" si="20"/>
        <v>182.03888888888886</v>
      </c>
    </row>
    <row r="358" spans="1:24" x14ac:dyDescent="0.25">
      <c r="A358" s="9" t="s">
        <v>620</v>
      </c>
      <c r="B358" s="9" t="s">
        <v>235</v>
      </c>
      <c r="C358" s="9">
        <f>VLOOKUP(B358,{"iPhone",1;"Motorola",2;"Nokia",3;"Samsung",4;"Sony Erickson",5;"Sprint",6},2,0)</f>
        <v>2</v>
      </c>
      <c r="H358" s="9" t="s">
        <v>620</v>
      </c>
      <c r="I358" s="9" t="s">
        <v>237</v>
      </c>
      <c r="J358" s="9">
        <f>VLOOKUP(I358,{"Excellent",4;"Poor",1;"Good",3;"OK",2},2,0)</f>
        <v>2</v>
      </c>
      <c r="O358" s="9">
        <v>-133</v>
      </c>
      <c r="P358" s="9">
        <f t="shared" si="19"/>
        <v>-91.666666666666671</v>
      </c>
      <c r="X358" s="9">
        <f t="shared" si="20"/>
        <v>181.48333333333329</v>
      </c>
    </row>
    <row r="359" spans="1:24" x14ac:dyDescent="0.25">
      <c r="A359" s="9" t="s">
        <v>621</v>
      </c>
      <c r="B359" s="9" t="s">
        <v>235</v>
      </c>
      <c r="C359" s="9">
        <f>VLOOKUP(B359,{"iPhone",1;"Motorola",2;"Nokia",3;"Samsung",4;"Sony Erickson",5;"Sprint",6},2,0)</f>
        <v>2</v>
      </c>
      <c r="H359" s="9" t="s">
        <v>621</v>
      </c>
      <c r="I359" s="9" t="s">
        <v>237</v>
      </c>
      <c r="J359" s="9">
        <f>VLOOKUP(I359,{"Excellent",4;"Poor",1;"Good",3;"OK",2},2,0)</f>
        <v>2</v>
      </c>
      <c r="O359" s="9">
        <v>-134</v>
      </c>
      <c r="P359" s="9">
        <f t="shared" si="19"/>
        <v>-92.222222222222214</v>
      </c>
      <c r="X359" s="9">
        <f t="shared" si="20"/>
        <v>180.92777777777775</v>
      </c>
    </row>
    <row r="360" spans="1:24" x14ac:dyDescent="0.25">
      <c r="A360" s="9" t="s">
        <v>622</v>
      </c>
      <c r="B360" s="9" t="s">
        <v>247</v>
      </c>
      <c r="C360" s="9">
        <f>VLOOKUP(B360,{"iPhone",1;"Motorola",2;"Nokia",3;"Samsung",4;"Sony Erickson",5;"Sprint",6},2,0)</f>
        <v>4</v>
      </c>
      <c r="H360" s="9" t="s">
        <v>622</v>
      </c>
      <c r="I360" s="9" t="s">
        <v>238</v>
      </c>
      <c r="J360" s="9">
        <f>VLOOKUP(I360,{"Excellent",4;"Poor",1;"Good",3;"OK",2},2,0)</f>
        <v>4</v>
      </c>
      <c r="O360" s="9">
        <v>-135</v>
      </c>
      <c r="P360" s="9">
        <f t="shared" si="19"/>
        <v>-92.777777777777771</v>
      </c>
      <c r="X360" s="9">
        <f t="shared" si="20"/>
        <v>180.37222222222221</v>
      </c>
    </row>
    <row r="361" spans="1:24" x14ac:dyDescent="0.25">
      <c r="A361" s="9" t="s">
        <v>623</v>
      </c>
      <c r="B361" s="9" t="s">
        <v>248</v>
      </c>
      <c r="C361" s="9">
        <f>VLOOKUP(B361,{"iPhone",1;"Motorola",2;"Nokia",3;"Samsung",4;"Sony Erickson",5;"Sprint",6},2,0)</f>
        <v>3</v>
      </c>
      <c r="H361" s="9" t="s">
        <v>623</v>
      </c>
      <c r="I361" s="9" t="s">
        <v>237</v>
      </c>
      <c r="J361" s="9">
        <f>VLOOKUP(I361,{"Excellent",4;"Poor",1;"Good",3;"OK",2},2,0)</f>
        <v>2</v>
      </c>
      <c r="O361" s="9">
        <v>-136</v>
      </c>
      <c r="P361" s="9">
        <f t="shared" si="19"/>
        <v>-93.333333333333329</v>
      </c>
      <c r="X361" s="9">
        <f t="shared" si="20"/>
        <v>179.81666666666666</v>
      </c>
    </row>
    <row r="362" spans="1:24" x14ac:dyDescent="0.25">
      <c r="A362" s="9" t="s">
        <v>624</v>
      </c>
      <c r="B362" s="9" t="s">
        <v>236</v>
      </c>
      <c r="C362" s="9">
        <f>VLOOKUP(B362,{"iPhone",1;"Motorola",2;"Nokia",3;"Samsung",4;"Sony Erickson",5;"Sprint",6},2,0)</f>
        <v>1</v>
      </c>
      <c r="H362" s="9" t="s">
        <v>624</v>
      </c>
      <c r="I362" s="9" t="s">
        <v>242</v>
      </c>
      <c r="J362" s="9">
        <f>VLOOKUP(I362,{"Excellent",4;"Poor",1;"Good",3;"OK",2},2,0)</f>
        <v>1</v>
      </c>
      <c r="O362" s="9">
        <v>-137</v>
      </c>
      <c r="P362" s="9">
        <f t="shared" si="19"/>
        <v>-93.888888888888886</v>
      </c>
      <c r="X362" s="9">
        <f t="shared" si="20"/>
        <v>179.26111111111109</v>
      </c>
    </row>
    <row r="363" spans="1:24" x14ac:dyDescent="0.25">
      <c r="A363" s="9" t="s">
        <v>625</v>
      </c>
      <c r="B363" s="9" t="s">
        <v>258</v>
      </c>
      <c r="C363" s="9">
        <f>VLOOKUP(B363,{"iPhone",1;"Motorola",2;"Nokia",3;"Samsung",4;"Sony Erickson",5;"Sprint",6},2,0)</f>
        <v>6</v>
      </c>
      <c r="H363" s="9" t="s">
        <v>625</v>
      </c>
      <c r="I363" s="9" t="s">
        <v>242</v>
      </c>
      <c r="J363" s="9">
        <f>VLOOKUP(I363,{"Excellent",4;"Poor",1;"Good",3;"OK",2},2,0)</f>
        <v>1</v>
      </c>
      <c r="O363" s="9">
        <v>-138</v>
      </c>
      <c r="P363" s="9">
        <f t="shared" si="19"/>
        <v>-94.444444444444443</v>
      </c>
      <c r="X363" s="9">
        <f t="shared" si="20"/>
        <v>178.70555555555552</v>
      </c>
    </row>
    <row r="364" spans="1:24" x14ac:dyDescent="0.25">
      <c r="A364" s="9" t="s">
        <v>626</v>
      </c>
      <c r="B364" s="9" t="s">
        <v>258</v>
      </c>
      <c r="C364" s="9">
        <f>VLOOKUP(B364,{"iPhone",1;"Motorola",2;"Nokia",3;"Samsung",4;"Sony Erickson",5;"Sprint",6},2,0)</f>
        <v>6</v>
      </c>
      <c r="H364" s="9" t="s">
        <v>626</v>
      </c>
      <c r="I364" s="9" t="s">
        <v>238</v>
      </c>
      <c r="J364" s="9">
        <f>VLOOKUP(I364,{"Excellent",4;"Poor",1;"Good",3;"OK",2},2,0)</f>
        <v>4</v>
      </c>
      <c r="O364" s="9">
        <v>-139</v>
      </c>
      <c r="P364" s="9">
        <f t="shared" si="19"/>
        <v>-95</v>
      </c>
      <c r="X364" s="9">
        <f t="shared" si="20"/>
        <v>178.14999999999998</v>
      </c>
    </row>
    <row r="365" spans="1:24" x14ac:dyDescent="0.25">
      <c r="A365" s="9" t="s">
        <v>627</v>
      </c>
      <c r="B365" s="9" t="s">
        <v>236</v>
      </c>
      <c r="C365" s="9">
        <f>VLOOKUP(B365,{"iPhone",1;"Motorola",2;"Nokia",3;"Samsung",4;"Sony Erickson",5;"Sprint",6},2,0)</f>
        <v>1</v>
      </c>
      <c r="H365" s="9" t="s">
        <v>627</v>
      </c>
      <c r="I365" s="9" t="s">
        <v>242</v>
      </c>
      <c r="J365" s="9">
        <f>VLOOKUP(I365,{"Excellent",4;"Poor",1;"Good",3;"OK",2},2,0)</f>
        <v>1</v>
      </c>
      <c r="O365" s="9">
        <v>-140</v>
      </c>
      <c r="P365" s="9">
        <f t="shared" si="19"/>
        <v>-95.555555555555557</v>
      </c>
      <c r="X365" s="9">
        <f t="shared" si="20"/>
        <v>177.59444444444443</v>
      </c>
    </row>
    <row r="366" spans="1:24" x14ac:dyDescent="0.25">
      <c r="A366" s="9" t="s">
        <v>628</v>
      </c>
      <c r="B366" s="9" t="s">
        <v>254</v>
      </c>
      <c r="C366" s="9">
        <f>VLOOKUP(B366,{"iPhone",1;"Motorola",2;"Nokia",3;"Samsung",4;"Sony Erickson",5;"Sprint",6},2,0)</f>
        <v>5</v>
      </c>
      <c r="H366" s="9" t="s">
        <v>628</v>
      </c>
      <c r="I366" s="9" t="s">
        <v>237</v>
      </c>
      <c r="J366" s="9">
        <f>VLOOKUP(I366,{"Excellent",4;"Poor",1;"Good",3;"OK",2},2,0)</f>
        <v>2</v>
      </c>
      <c r="O366" s="9">
        <v>-141</v>
      </c>
      <c r="P366" s="9">
        <f t="shared" si="19"/>
        <v>-96.111111111111114</v>
      </c>
      <c r="X366" s="9">
        <f t="shared" si="20"/>
        <v>177.03888888888886</v>
      </c>
    </row>
    <row r="367" spans="1:24" x14ac:dyDescent="0.25">
      <c r="A367" s="9" t="s">
        <v>629</v>
      </c>
      <c r="B367" s="9" t="s">
        <v>248</v>
      </c>
      <c r="C367" s="9">
        <f>VLOOKUP(B367,{"iPhone",1;"Motorola",2;"Nokia",3;"Samsung",4;"Sony Erickson",5;"Sprint",6},2,0)</f>
        <v>3</v>
      </c>
      <c r="H367" s="9" t="s">
        <v>629</v>
      </c>
      <c r="I367" s="9" t="s">
        <v>242</v>
      </c>
      <c r="J367" s="9">
        <f>VLOOKUP(I367,{"Excellent",4;"Poor",1;"Good",3;"OK",2},2,0)</f>
        <v>1</v>
      </c>
      <c r="O367" s="9">
        <v>-142</v>
      </c>
      <c r="P367" s="9">
        <f t="shared" si="19"/>
        <v>-96.666666666666657</v>
      </c>
      <c r="X367" s="9">
        <f t="shared" si="20"/>
        <v>176.48333333333332</v>
      </c>
    </row>
    <row r="368" spans="1:24" x14ac:dyDescent="0.25">
      <c r="A368" s="9" t="s">
        <v>630</v>
      </c>
      <c r="B368" s="9" t="s">
        <v>248</v>
      </c>
      <c r="C368" s="9">
        <f>VLOOKUP(B368,{"iPhone",1;"Motorola",2;"Nokia",3;"Samsung",4;"Sony Erickson",5;"Sprint",6},2,0)</f>
        <v>3</v>
      </c>
      <c r="H368" s="9" t="s">
        <v>630</v>
      </c>
      <c r="I368" s="9" t="s">
        <v>237</v>
      </c>
      <c r="J368" s="9">
        <f>VLOOKUP(I368,{"Excellent",4;"Poor",1;"Good",3;"OK",2},2,0)</f>
        <v>2</v>
      </c>
      <c r="O368" s="9">
        <v>-143</v>
      </c>
      <c r="P368" s="9">
        <f t="shared" si="19"/>
        <v>-97.222222222222214</v>
      </c>
      <c r="X368" s="9">
        <f t="shared" si="20"/>
        <v>175.92777777777775</v>
      </c>
    </row>
    <row r="369" spans="1:24" x14ac:dyDescent="0.25">
      <c r="A369" s="9" t="s">
        <v>631</v>
      </c>
      <c r="B369" s="9" t="s">
        <v>235</v>
      </c>
      <c r="C369" s="9">
        <f>VLOOKUP(B369,{"iPhone",1;"Motorola",2;"Nokia",3;"Samsung",4;"Sony Erickson",5;"Sprint",6},2,0)</f>
        <v>2</v>
      </c>
      <c r="H369" s="9" t="s">
        <v>631</v>
      </c>
      <c r="I369" s="9" t="s">
        <v>238</v>
      </c>
      <c r="J369" s="9">
        <f>VLOOKUP(I369,{"Excellent",4;"Poor",1;"Good",3;"OK",2},2,0)</f>
        <v>4</v>
      </c>
      <c r="O369" s="9">
        <v>-144</v>
      </c>
      <c r="P369" s="9">
        <f t="shared" si="19"/>
        <v>-97.777777777777771</v>
      </c>
      <c r="X369" s="9">
        <f t="shared" si="20"/>
        <v>175.37222222222221</v>
      </c>
    </row>
    <row r="370" spans="1:24" x14ac:dyDescent="0.25">
      <c r="A370" s="9" t="s">
        <v>632</v>
      </c>
      <c r="B370" s="9" t="s">
        <v>254</v>
      </c>
      <c r="C370" s="9">
        <f>VLOOKUP(B370,{"iPhone",1;"Motorola",2;"Nokia",3;"Samsung",4;"Sony Erickson",5;"Sprint",6},2,0)</f>
        <v>5</v>
      </c>
      <c r="H370" s="9" t="s">
        <v>632</v>
      </c>
      <c r="I370" s="9" t="s">
        <v>237</v>
      </c>
      <c r="J370" s="9">
        <f>VLOOKUP(I370,{"Excellent",4;"Poor",1;"Good",3;"OK",2},2,0)</f>
        <v>2</v>
      </c>
      <c r="O370" s="9">
        <v>-145</v>
      </c>
      <c r="P370" s="9">
        <f t="shared" si="19"/>
        <v>-98.333333333333329</v>
      </c>
      <c r="X370" s="9">
        <f t="shared" si="20"/>
        <v>174.81666666666666</v>
      </c>
    </row>
    <row r="371" spans="1:24" x14ac:dyDescent="0.25">
      <c r="A371" s="9" t="s">
        <v>633</v>
      </c>
      <c r="B371" s="9" t="s">
        <v>248</v>
      </c>
      <c r="C371" s="9">
        <f>VLOOKUP(B371,{"iPhone",1;"Motorola",2;"Nokia",3;"Samsung",4;"Sony Erickson",5;"Sprint",6},2,0)</f>
        <v>3</v>
      </c>
      <c r="H371" s="9" t="s">
        <v>633</v>
      </c>
      <c r="I371" s="9" t="s">
        <v>238</v>
      </c>
      <c r="J371" s="9">
        <f>VLOOKUP(I371,{"Excellent",4;"Poor",1;"Good",3;"OK",2},2,0)</f>
        <v>4</v>
      </c>
      <c r="O371" s="9">
        <v>-146</v>
      </c>
      <c r="P371" s="9">
        <f t="shared" si="19"/>
        <v>-98.888888888888886</v>
      </c>
      <c r="X371" s="9">
        <f t="shared" si="20"/>
        <v>174.26111111111109</v>
      </c>
    </row>
    <row r="372" spans="1:24" x14ac:dyDescent="0.25">
      <c r="A372" s="9" t="s">
        <v>634</v>
      </c>
      <c r="B372" s="9" t="s">
        <v>236</v>
      </c>
      <c r="C372" s="9">
        <f>VLOOKUP(B372,{"iPhone",1;"Motorola",2;"Nokia",3;"Samsung",4;"Sony Erickson",5;"Sprint",6},2,0)</f>
        <v>1</v>
      </c>
      <c r="H372" s="9" t="s">
        <v>634</v>
      </c>
      <c r="I372" s="9" t="s">
        <v>242</v>
      </c>
      <c r="J372" s="9">
        <f>VLOOKUP(I372,{"Excellent",4;"Poor",1;"Good",3;"OK",2},2,0)</f>
        <v>1</v>
      </c>
      <c r="O372" s="9">
        <v>-147</v>
      </c>
      <c r="P372" s="9">
        <f t="shared" si="19"/>
        <v>-99.444444444444443</v>
      </c>
      <c r="X372" s="9">
        <f t="shared" si="20"/>
        <v>173.70555555555552</v>
      </c>
    </row>
    <row r="373" spans="1:24" x14ac:dyDescent="0.25">
      <c r="A373" s="9" t="s">
        <v>635</v>
      </c>
      <c r="B373" s="9" t="s">
        <v>254</v>
      </c>
      <c r="C373" s="9">
        <f>VLOOKUP(B373,{"iPhone",1;"Motorola",2;"Nokia",3;"Samsung",4;"Sony Erickson",5;"Sprint",6},2,0)</f>
        <v>5</v>
      </c>
      <c r="H373" s="9" t="s">
        <v>635</v>
      </c>
      <c r="I373" s="9" t="s">
        <v>237</v>
      </c>
      <c r="J373" s="9">
        <f>VLOOKUP(I373,{"Excellent",4;"Poor",1;"Good",3;"OK",2},2,0)</f>
        <v>2</v>
      </c>
      <c r="O373" s="9">
        <v>-148</v>
      </c>
      <c r="P373" s="9">
        <f t="shared" si="19"/>
        <v>-100</v>
      </c>
      <c r="X373" s="9">
        <f t="shared" si="20"/>
        <v>173.14999999999998</v>
      </c>
    </row>
    <row r="374" spans="1:24" x14ac:dyDescent="0.25">
      <c r="A374" s="9" t="s">
        <v>636</v>
      </c>
      <c r="B374" s="9" t="s">
        <v>248</v>
      </c>
      <c r="C374" s="9">
        <f>VLOOKUP(B374,{"iPhone",1;"Motorola",2;"Nokia",3;"Samsung",4;"Sony Erickson",5;"Sprint",6},2,0)</f>
        <v>3</v>
      </c>
      <c r="H374" s="9" t="s">
        <v>636</v>
      </c>
      <c r="I374" s="9" t="s">
        <v>242</v>
      </c>
      <c r="J374" s="9">
        <f>VLOOKUP(I374,{"Excellent",4;"Poor",1;"Good",3;"OK",2},2,0)</f>
        <v>1</v>
      </c>
      <c r="O374" s="9">
        <v>-149</v>
      </c>
      <c r="P374" s="9">
        <f t="shared" si="19"/>
        <v>-100.55555555555556</v>
      </c>
      <c r="X374" s="9">
        <f t="shared" si="20"/>
        <v>172.59444444444443</v>
      </c>
    </row>
    <row r="375" spans="1:24" x14ac:dyDescent="0.25">
      <c r="A375" s="9" t="s">
        <v>637</v>
      </c>
      <c r="B375" s="9" t="s">
        <v>247</v>
      </c>
      <c r="C375" s="9">
        <f>VLOOKUP(B375,{"iPhone",1;"Motorola",2;"Nokia",3;"Samsung",4;"Sony Erickson",5;"Sprint",6},2,0)</f>
        <v>4</v>
      </c>
      <c r="H375" s="9" t="s">
        <v>637</v>
      </c>
      <c r="I375" s="9" t="s">
        <v>242</v>
      </c>
      <c r="J375" s="9">
        <f>VLOOKUP(I375,{"Excellent",4;"Poor",1;"Good",3;"OK",2},2,0)</f>
        <v>1</v>
      </c>
      <c r="O375" s="9">
        <v>-150</v>
      </c>
      <c r="P375" s="9">
        <f t="shared" si="19"/>
        <v>-101.11111111111111</v>
      </c>
      <c r="X375" s="9">
        <f t="shared" si="20"/>
        <v>172.03888888888886</v>
      </c>
    </row>
    <row r="376" spans="1:24" x14ac:dyDescent="0.25">
      <c r="A376" s="9" t="s">
        <v>638</v>
      </c>
      <c r="B376" s="9" t="s">
        <v>236</v>
      </c>
      <c r="C376" s="9">
        <f>VLOOKUP(B376,{"iPhone",1;"Motorola",2;"Nokia",3;"Samsung",4;"Sony Erickson",5;"Sprint",6},2,0)</f>
        <v>1</v>
      </c>
      <c r="H376" s="9" t="s">
        <v>638</v>
      </c>
      <c r="I376" s="9" t="s">
        <v>243</v>
      </c>
      <c r="J376" s="9">
        <f>VLOOKUP(I376,{"Excellent",4;"Poor",1;"Good",3;"OK",2},2,0)</f>
        <v>3</v>
      </c>
      <c r="O376" s="9">
        <v>-151</v>
      </c>
      <c r="P376" s="9">
        <f t="shared" si="19"/>
        <v>-101.66666666666666</v>
      </c>
      <c r="X376" s="9">
        <f t="shared" si="20"/>
        <v>171.48333333333332</v>
      </c>
    </row>
    <row r="377" spans="1:24" x14ac:dyDescent="0.25">
      <c r="A377" s="9" t="s">
        <v>639</v>
      </c>
      <c r="B377" s="9" t="s">
        <v>235</v>
      </c>
      <c r="C377" s="9">
        <f>VLOOKUP(B377,{"iPhone",1;"Motorola",2;"Nokia",3;"Samsung",4;"Sony Erickson",5;"Sprint",6},2,0)</f>
        <v>2</v>
      </c>
      <c r="H377" s="9" t="s">
        <v>639</v>
      </c>
      <c r="I377" s="9" t="s">
        <v>242</v>
      </c>
      <c r="J377" s="9">
        <f>VLOOKUP(I377,{"Excellent",4;"Poor",1;"Good",3;"OK",2},2,0)</f>
        <v>1</v>
      </c>
      <c r="O377" s="9">
        <v>-152</v>
      </c>
      <c r="P377" s="9">
        <f t="shared" si="19"/>
        <v>-102.22222222222221</v>
      </c>
      <c r="X377" s="9">
        <f t="shared" si="20"/>
        <v>170.92777777777775</v>
      </c>
    </row>
    <row r="378" spans="1:24" x14ac:dyDescent="0.25">
      <c r="A378" s="9" t="s">
        <v>640</v>
      </c>
      <c r="B378" s="9" t="s">
        <v>236</v>
      </c>
      <c r="C378" s="9">
        <f>VLOOKUP(B378,{"iPhone",1;"Motorola",2;"Nokia",3;"Samsung",4;"Sony Erickson",5;"Sprint",6},2,0)</f>
        <v>1</v>
      </c>
      <c r="H378" s="9" t="s">
        <v>640</v>
      </c>
      <c r="I378" s="9" t="s">
        <v>242</v>
      </c>
      <c r="J378" s="9">
        <f>VLOOKUP(I378,{"Excellent",4;"Poor",1;"Good",3;"OK",2},2,0)</f>
        <v>1</v>
      </c>
      <c r="O378" s="9">
        <v>-153</v>
      </c>
      <c r="P378" s="9">
        <f t="shared" si="19"/>
        <v>-102.77777777777777</v>
      </c>
      <c r="X378" s="9">
        <f t="shared" si="20"/>
        <v>170.37222222222221</v>
      </c>
    </row>
    <row r="379" spans="1:24" x14ac:dyDescent="0.25">
      <c r="A379" s="9" t="s">
        <v>641</v>
      </c>
      <c r="B379" s="9" t="s">
        <v>258</v>
      </c>
      <c r="C379" s="9">
        <f>VLOOKUP(B379,{"iPhone",1;"Motorola",2;"Nokia",3;"Samsung",4;"Sony Erickson",5;"Sprint",6},2,0)</f>
        <v>6</v>
      </c>
      <c r="H379" s="9" t="s">
        <v>641</v>
      </c>
      <c r="I379" s="9" t="s">
        <v>243</v>
      </c>
      <c r="J379" s="9">
        <f>VLOOKUP(I379,{"Excellent",4;"Poor",1;"Good",3;"OK",2},2,0)</f>
        <v>3</v>
      </c>
      <c r="O379" s="9">
        <v>-154</v>
      </c>
      <c r="P379" s="9">
        <f t="shared" si="19"/>
        <v>-103.33333333333333</v>
      </c>
      <c r="X379" s="9">
        <f t="shared" si="20"/>
        <v>169.81666666666666</v>
      </c>
    </row>
    <row r="380" spans="1:24" x14ac:dyDescent="0.25">
      <c r="A380" s="9" t="s">
        <v>642</v>
      </c>
      <c r="B380" s="9" t="s">
        <v>248</v>
      </c>
      <c r="C380" s="9">
        <f>VLOOKUP(B380,{"iPhone",1;"Motorola",2;"Nokia",3;"Samsung",4;"Sony Erickson",5;"Sprint",6},2,0)</f>
        <v>3</v>
      </c>
      <c r="H380" s="9" t="s">
        <v>642</v>
      </c>
      <c r="I380" s="9" t="s">
        <v>237</v>
      </c>
      <c r="J380" s="9">
        <f>VLOOKUP(I380,{"Excellent",4;"Poor",1;"Good",3;"OK",2},2,0)</f>
        <v>2</v>
      </c>
      <c r="O380" s="9">
        <v>-155</v>
      </c>
      <c r="P380" s="9">
        <f t="shared" si="19"/>
        <v>-103.88888888888889</v>
      </c>
      <c r="X380" s="9">
        <f t="shared" si="20"/>
        <v>169.26111111111109</v>
      </c>
    </row>
    <row r="381" spans="1:24" x14ac:dyDescent="0.25">
      <c r="A381" s="9" t="s">
        <v>643</v>
      </c>
      <c r="B381" s="9" t="s">
        <v>254</v>
      </c>
      <c r="C381" s="9">
        <f>VLOOKUP(B381,{"iPhone",1;"Motorola",2;"Nokia",3;"Samsung",4;"Sony Erickson",5;"Sprint",6},2,0)</f>
        <v>5</v>
      </c>
      <c r="H381" s="9" t="s">
        <v>643</v>
      </c>
      <c r="I381" s="9" t="s">
        <v>242</v>
      </c>
      <c r="J381" s="9">
        <f>VLOOKUP(I381,{"Excellent",4;"Poor",1;"Good",3;"OK",2},2,0)</f>
        <v>1</v>
      </c>
      <c r="O381" s="9">
        <v>-156</v>
      </c>
      <c r="P381" s="9">
        <f t="shared" si="19"/>
        <v>-104.44444444444444</v>
      </c>
      <c r="X381" s="9">
        <f t="shared" si="20"/>
        <v>168.70555555555552</v>
      </c>
    </row>
    <row r="382" spans="1:24" x14ac:dyDescent="0.25">
      <c r="A382" s="9" t="s">
        <v>644</v>
      </c>
      <c r="B382" s="9" t="s">
        <v>258</v>
      </c>
      <c r="C382" s="9">
        <f>VLOOKUP(B382,{"iPhone",1;"Motorola",2;"Nokia",3;"Samsung",4;"Sony Erickson",5;"Sprint",6},2,0)</f>
        <v>6</v>
      </c>
      <c r="H382" s="9" t="s">
        <v>644</v>
      </c>
      <c r="I382" s="9" t="s">
        <v>242</v>
      </c>
      <c r="J382" s="9">
        <f>VLOOKUP(I382,{"Excellent",4;"Poor",1;"Good",3;"OK",2},2,0)</f>
        <v>1</v>
      </c>
      <c r="O382" s="9">
        <v>-157</v>
      </c>
      <c r="P382" s="9">
        <f t="shared" si="19"/>
        <v>-105</v>
      </c>
      <c r="X382" s="9">
        <f t="shared" si="20"/>
        <v>168.14999999999998</v>
      </c>
    </row>
    <row r="383" spans="1:24" x14ac:dyDescent="0.25">
      <c r="A383" s="9" t="s">
        <v>645</v>
      </c>
      <c r="B383" s="9" t="s">
        <v>247</v>
      </c>
      <c r="C383" s="9">
        <f>VLOOKUP(B383,{"iPhone",1;"Motorola",2;"Nokia",3;"Samsung",4;"Sony Erickson",5;"Sprint",6},2,0)</f>
        <v>4</v>
      </c>
      <c r="H383" s="9" t="s">
        <v>645</v>
      </c>
      <c r="I383" s="9" t="s">
        <v>237</v>
      </c>
      <c r="J383" s="9">
        <f>VLOOKUP(I383,{"Excellent",4;"Poor",1;"Good",3;"OK",2},2,0)</f>
        <v>2</v>
      </c>
      <c r="O383" s="9">
        <v>-158</v>
      </c>
      <c r="P383" s="9">
        <f t="shared" si="19"/>
        <v>-105.55555555555556</v>
      </c>
      <c r="X383" s="9">
        <f t="shared" si="20"/>
        <v>167.59444444444443</v>
      </c>
    </row>
    <row r="384" spans="1:24" x14ac:dyDescent="0.25">
      <c r="A384" s="9" t="s">
        <v>646</v>
      </c>
      <c r="B384" s="9" t="s">
        <v>247</v>
      </c>
      <c r="C384" s="9">
        <f>VLOOKUP(B384,{"iPhone",1;"Motorola",2;"Nokia",3;"Samsung",4;"Sony Erickson",5;"Sprint",6},2,0)</f>
        <v>4</v>
      </c>
      <c r="H384" s="9" t="s">
        <v>646</v>
      </c>
      <c r="I384" s="9" t="s">
        <v>242</v>
      </c>
      <c r="J384" s="9">
        <f>VLOOKUP(I384,{"Excellent",4;"Poor",1;"Good",3;"OK",2},2,0)</f>
        <v>1</v>
      </c>
      <c r="O384" s="9">
        <v>-159</v>
      </c>
      <c r="P384" s="9">
        <f t="shared" si="19"/>
        <v>-106.11111111111111</v>
      </c>
      <c r="X384" s="9">
        <f t="shared" si="20"/>
        <v>167.03888888888886</v>
      </c>
    </row>
    <row r="385" spans="1:24" x14ac:dyDescent="0.25">
      <c r="A385" s="9" t="s">
        <v>647</v>
      </c>
      <c r="B385" s="9" t="s">
        <v>258</v>
      </c>
      <c r="C385" s="9">
        <f>VLOOKUP(B385,{"iPhone",1;"Motorola",2;"Nokia",3;"Samsung",4;"Sony Erickson",5;"Sprint",6},2,0)</f>
        <v>6</v>
      </c>
      <c r="H385" s="9" t="s">
        <v>647</v>
      </c>
      <c r="I385" s="9" t="s">
        <v>243</v>
      </c>
      <c r="J385" s="9">
        <f>VLOOKUP(I385,{"Excellent",4;"Poor",1;"Good",3;"OK",2},2,0)</f>
        <v>3</v>
      </c>
      <c r="O385" s="9">
        <v>-160</v>
      </c>
      <c r="P385" s="9">
        <f t="shared" si="19"/>
        <v>-106.66666666666666</v>
      </c>
      <c r="X385" s="9">
        <f t="shared" si="20"/>
        <v>166.48333333333332</v>
      </c>
    </row>
    <row r="386" spans="1:24" x14ac:dyDescent="0.25">
      <c r="A386" s="9" t="s">
        <v>648</v>
      </c>
      <c r="B386" s="9" t="s">
        <v>236</v>
      </c>
      <c r="C386" s="9">
        <f>VLOOKUP(B386,{"iPhone",1;"Motorola",2;"Nokia",3;"Samsung",4;"Sony Erickson",5;"Sprint",6},2,0)</f>
        <v>1</v>
      </c>
      <c r="H386" s="9" t="s">
        <v>648</v>
      </c>
      <c r="I386" s="9" t="s">
        <v>242</v>
      </c>
      <c r="J386" s="9">
        <f>VLOOKUP(I386,{"Excellent",4;"Poor",1;"Good",3;"OK",2},2,0)</f>
        <v>1</v>
      </c>
      <c r="O386" s="9">
        <v>-161</v>
      </c>
      <c r="P386" s="9">
        <f t="shared" si="19"/>
        <v>-107.22222222222221</v>
      </c>
      <c r="X386" s="9">
        <f t="shared" si="20"/>
        <v>165.92777777777775</v>
      </c>
    </row>
    <row r="387" spans="1:24" x14ac:dyDescent="0.25">
      <c r="A387" s="9" t="s">
        <v>649</v>
      </c>
      <c r="B387" s="9" t="s">
        <v>236</v>
      </c>
      <c r="C387" s="9">
        <f>VLOOKUP(B387,{"iPhone",1;"Motorola",2;"Nokia",3;"Samsung",4;"Sony Erickson",5;"Sprint",6},2,0)</f>
        <v>1</v>
      </c>
      <c r="H387" s="9" t="s">
        <v>649</v>
      </c>
      <c r="I387" s="9" t="s">
        <v>242</v>
      </c>
      <c r="J387" s="9">
        <f>VLOOKUP(I387,{"Excellent",4;"Poor",1;"Good",3;"OK",2},2,0)</f>
        <v>1</v>
      </c>
      <c r="O387" s="9">
        <v>-162</v>
      </c>
      <c r="P387" s="9">
        <f t="shared" si="19"/>
        <v>-107.77777777777777</v>
      </c>
      <c r="X387" s="9">
        <f t="shared" si="20"/>
        <v>165.37222222222221</v>
      </c>
    </row>
    <row r="388" spans="1:24" x14ac:dyDescent="0.25">
      <c r="A388" s="9" t="s">
        <v>650</v>
      </c>
      <c r="B388" s="9" t="s">
        <v>236</v>
      </c>
      <c r="C388" s="9">
        <f>VLOOKUP(B388,{"iPhone",1;"Motorola",2;"Nokia",3;"Samsung",4;"Sony Erickson",5;"Sprint",6},2,0)</f>
        <v>1</v>
      </c>
      <c r="H388" s="9" t="s">
        <v>650</v>
      </c>
      <c r="I388" s="9" t="s">
        <v>237</v>
      </c>
      <c r="J388" s="9">
        <f>VLOOKUP(I388,{"Excellent",4;"Poor",1;"Good",3;"OK",2},2,0)</f>
        <v>2</v>
      </c>
      <c r="O388" s="9">
        <v>-163</v>
      </c>
      <c r="P388" s="9">
        <f t="shared" si="19"/>
        <v>-108.33333333333333</v>
      </c>
      <c r="X388" s="9">
        <f t="shared" si="20"/>
        <v>164.81666666666666</v>
      </c>
    </row>
    <row r="389" spans="1:24" x14ac:dyDescent="0.25">
      <c r="A389" s="9" t="s">
        <v>651</v>
      </c>
      <c r="B389" s="9" t="s">
        <v>236</v>
      </c>
      <c r="C389" s="9">
        <f>VLOOKUP(B389,{"iPhone",1;"Motorola",2;"Nokia",3;"Samsung",4;"Sony Erickson",5;"Sprint",6},2,0)</f>
        <v>1</v>
      </c>
      <c r="H389" s="9" t="s">
        <v>651</v>
      </c>
      <c r="I389" s="9" t="s">
        <v>238</v>
      </c>
      <c r="J389" s="9">
        <f>VLOOKUP(I389,{"Excellent",4;"Poor",1;"Good",3;"OK",2},2,0)</f>
        <v>4</v>
      </c>
      <c r="O389" s="9">
        <v>-164</v>
      </c>
      <c r="P389" s="9">
        <f t="shared" ref="P389:P452" si="21">CONVERT(O389,"F","C")</f>
        <v>-108.88888888888889</v>
      </c>
      <c r="X389" s="9">
        <f t="shared" si="20"/>
        <v>164.26111111111109</v>
      </c>
    </row>
    <row r="390" spans="1:24" x14ac:dyDescent="0.25">
      <c r="O390" s="9">
        <v>-165</v>
      </c>
      <c r="P390" s="9">
        <f t="shared" si="21"/>
        <v>-109.44444444444444</v>
      </c>
      <c r="X390" s="9">
        <f t="shared" ref="X390:X453" si="22">CONVERT(O390,"F","K")</f>
        <v>163.70555555555552</v>
      </c>
    </row>
    <row r="391" spans="1:24" x14ac:dyDescent="0.25">
      <c r="O391" s="9">
        <v>-166</v>
      </c>
      <c r="P391" s="9">
        <f t="shared" si="21"/>
        <v>-110</v>
      </c>
      <c r="X391" s="9">
        <f t="shared" si="22"/>
        <v>163.14999999999998</v>
      </c>
    </row>
    <row r="392" spans="1:24" x14ac:dyDescent="0.25">
      <c r="O392" s="9">
        <v>-167</v>
      </c>
      <c r="P392" s="9">
        <f t="shared" si="21"/>
        <v>-110.55555555555556</v>
      </c>
      <c r="X392" s="9">
        <f t="shared" si="22"/>
        <v>162.59444444444443</v>
      </c>
    </row>
    <row r="393" spans="1:24" x14ac:dyDescent="0.25">
      <c r="O393" s="9">
        <v>-168</v>
      </c>
      <c r="P393" s="9">
        <f t="shared" si="21"/>
        <v>-111.11111111111111</v>
      </c>
      <c r="X393" s="9">
        <f t="shared" si="22"/>
        <v>162.03888888888886</v>
      </c>
    </row>
    <row r="394" spans="1:24" x14ac:dyDescent="0.25">
      <c r="O394" s="9">
        <v>-169</v>
      </c>
      <c r="P394" s="9">
        <f t="shared" si="21"/>
        <v>-111.66666666666666</v>
      </c>
      <c r="X394" s="9">
        <f t="shared" si="22"/>
        <v>161.48333333333332</v>
      </c>
    </row>
    <row r="395" spans="1:24" x14ac:dyDescent="0.25">
      <c r="O395" s="9">
        <v>-170</v>
      </c>
      <c r="P395" s="9">
        <f t="shared" si="21"/>
        <v>-112.22222222222221</v>
      </c>
      <c r="X395" s="9">
        <f t="shared" si="22"/>
        <v>160.92777777777775</v>
      </c>
    </row>
    <row r="396" spans="1:24" x14ac:dyDescent="0.25">
      <c r="O396" s="9">
        <v>-171</v>
      </c>
      <c r="P396" s="9">
        <f t="shared" si="21"/>
        <v>-112.77777777777777</v>
      </c>
      <c r="X396" s="9">
        <f t="shared" si="22"/>
        <v>160.37222222222221</v>
      </c>
    </row>
    <row r="397" spans="1:24" x14ac:dyDescent="0.25">
      <c r="O397" s="9">
        <v>-172</v>
      </c>
      <c r="P397" s="9">
        <f t="shared" si="21"/>
        <v>-113.33333333333333</v>
      </c>
      <c r="X397" s="9">
        <f t="shared" si="22"/>
        <v>159.81666666666666</v>
      </c>
    </row>
    <row r="398" spans="1:24" x14ac:dyDescent="0.25">
      <c r="O398" s="9">
        <v>-173</v>
      </c>
      <c r="P398" s="9">
        <f t="shared" si="21"/>
        <v>-113.88888888888889</v>
      </c>
      <c r="X398" s="9">
        <f t="shared" si="22"/>
        <v>159.26111111111109</v>
      </c>
    </row>
    <row r="399" spans="1:24" x14ac:dyDescent="0.25">
      <c r="O399" s="9">
        <v>-174</v>
      </c>
      <c r="P399" s="9">
        <f t="shared" si="21"/>
        <v>-114.44444444444444</v>
      </c>
      <c r="X399" s="9">
        <f t="shared" si="22"/>
        <v>158.70555555555552</v>
      </c>
    </row>
    <row r="400" spans="1:24" x14ac:dyDescent="0.25">
      <c r="O400" s="9">
        <v>-175</v>
      </c>
      <c r="P400" s="9">
        <f t="shared" si="21"/>
        <v>-115</v>
      </c>
      <c r="X400" s="9">
        <f t="shared" si="22"/>
        <v>158.14999999999998</v>
      </c>
    </row>
    <row r="401" spans="15:24" x14ac:dyDescent="0.25">
      <c r="O401" s="9">
        <v>-176</v>
      </c>
      <c r="P401" s="9">
        <f t="shared" si="21"/>
        <v>-115.55555555555556</v>
      </c>
      <c r="X401" s="9">
        <f t="shared" si="22"/>
        <v>157.59444444444443</v>
      </c>
    </row>
    <row r="402" spans="15:24" x14ac:dyDescent="0.25">
      <c r="O402" s="9">
        <v>-177</v>
      </c>
      <c r="P402" s="9">
        <f t="shared" si="21"/>
        <v>-116.11111111111111</v>
      </c>
      <c r="X402" s="9">
        <f t="shared" si="22"/>
        <v>157.03888888888886</v>
      </c>
    </row>
    <row r="403" spans="15:24" x14ac:dyDescent="0.25">
      <c r="O403" s="9">
        <v>-178</v>
      </c>
      <c r="P403" s="9">
        <f t="shared" si="21"/>
        <v>-116.66666666666666</v>
      </c>
      <c r="X403" s="9">
        <f t="shared" si="22"/>
        <v>156.48333333333332</v>
      </c>
    </row>
    <row r="404" spans="15:24" x14ac:dyDescent="0.25">
      <c r="O404" s="9">
        <v>-179</v>
      </c>
      <c r="P404" s="9">
        <f t="shared" si="21"/>
        <v>-117.22222222222221</v>
      </c>
      <c r="X404" s="9">
        <f t="shared" si="22"/>
        <v>155.92777777777775</v>
      </c>
    </row>
    <row r="405" spans="15:24" x14ac:dyDescent="0.25">
      <c r="O405" s="9">
        <v>-180</v>
      </c>
      <c r="P405" s="9">
        <f t="shared" si="21"/>
        <v>-117.77777777777777</v>
      </c>
      <c r="X405" s="9">
        <f t="shared" si="22"/>
        <v>155.37222222222221</v>
      </c>
    </row>
    <row r="406" spans="15:24" x14ac:dyDescent="0.25">
      <c r="O406" s="9">
        <v>-181</v>
      </c>
      <c r="P406" s="9">
        <f t="shared" si="21"/>
        <v>-118.33333333333333</v>
      </c>
      <c r="X406" s="9">
        <f t="shared" si="22"/>
        <v>154.81666666666666</v>
      </c>
    </row>
    <row r="407" spans="15:24" x14ac:dyDescent="0.25">
      <c r="O407" s="9">
        <v>-182</v>
      </c>
      <c r="P407" s="9">
        <f t="shared" si="21"/>
        <v>-118.88888888888889</v>
      </c>
      <c r="X407" s="9">
        <f t="shared" si="22"/>
        <v>154.26111111111109</v>
      </c>
    </row>
    <row r="408" spans="15:24" x14ac:dyDescent="0.25">
      <c r="O408" s="9">
        <v>-183</v>
      </c>
      <c r="P408" s="9">
        <f t="shared" si="21"/>
        <v>-119.44444444444444</v>
      </c>
      <c r="X408" s="9">
        <f t="shared" si="22"/>
        <v>153.70555555555552</v>
      </c>
    </row>
    <row r="409" spans="15:24" x14ac:dyDescent="0.25">
      <c r="O409" s="9">
        <v>-184</v>
      </c>
      <c r="P409" s="9">
        <f t="shared" si="21"/>
        <v>-120</v>
      </c>
      <c r="X409" s="9">
        <f t="shared" si="22"/>
        <v>153.14999999999998</v>
      </c>
    </row>
    <row r="410" spans="15:24" x14ac:dyDescent="0.25">
      <c r="O410" s="9">
        <v>-185</v>
      </c>
      <c r="P410" s="9">
        <f t="shared" si="21"/>
        <v>-120.55555555555556</v>
      </c>
      <c r="X410" s="9">
        <f t="shared" si="22"/>
        <v>152.59444444444443</v>
      </c>
    </row>
    <row r="411" spans="15:24" x14ac:dyDescent="0.25">
      <c r="O411" s="9">
        <v>-186</v>
      </c>
      <c r="P411" s="9">
        <f t="shared" si="21"/>
        <v>-121.11111111111111</v>
      </c>
      <c r="X411" s="9">
        <f t="shared" si="22"/>
        <v>152.03888888888886</v>
      </c>
    </row>
    <row r="412" spans="15:24" x14ac:dyDescent="0.25">
      <c r="O412" s="9">
        <v>-187</v>
      </c>
      <c r="P412" s="9">
        <f t="shared" si="21"/>
        <v>-121.66666666666666</v>
      </c>
      <c r="X412" s="9">
        <f t="shared" si="22"/>
        <v>151.48333333333332</v>
      </c>
    </row>
    <row r="413" spans="15:24" x14ac:dyDescent="0.25">
      <c r="O413" s="9">
        <v>-188</v>
      </c>
      <c r="P413" s="9">
        <f t="shared" si="21"/>
        <v>-122.22222222222221</v>
      </c>
      <c r="X413" s="9">
        <f t="shared" si="22"/>
        <v>150.92777777777775</v>
      </c>
    </row>
    <row r="414" spans="15:24" x14ac:dyDescent="0.25">
      <c r="O414" s="9">
        <v>-189</v>
      </c>
      <c r="P414" s="9">
        <f t="shared" si="21"/>
        <v>-122.77777777777777</v>
      </c>
      <c r="X414" s="9">
        <f t="shared" si="22"/>
        <v>150.37222222222221</v>
      </c>
    </row>
    <row r="415" spans="15:24" x14ac:dyDescent="0.25">
      <c r="O415" s="9">
        <v>-190</v>
      </c>
      <c r="P415" s="9">
        <f t="shared" si="21"/>
        <v>-123.33333333333333</v>
      </c>
      <c r="X415" s="9">
        <f t="shared" si="22"/>
        <v>149.81666666666666</v>
      </c>
    </row>
    <row r="416" spans="15:24" x14ac:dyDescent="0.25">
      <c r="O416" s="9">
        <v>-191</v>
      </c>
      <c r="P416" s="9">
        <f t="shared" si="21"/>
        <v>-123.88888888888889</v>
      </c>
      <c r="X416" s="9">
        <f t="shared" si="22"/>
        <v>149.26111111111109</v>
      </c>
    </row>
    <row r="417" spans="15:24" x14ac:dyDescent="0.25">
      <c r="O417" s="9">
        <v>-192</v>
      </c>
      <c r="P417" s="9">
        <f t="shared" si="21"/>
        <v>-124.44444444444444</v>
      </c>
      <c r="X417" s="9">
        <f t="shared" si="22"/>
        <v>148.70555555555552</v>
      </c>
    </row>
    <row r="418" spans="15:24" x14ac:dyDescent="0.25">
      <c r="O418" s="9">
        <v>-193</v>
      </c>
      <c r="P418" s="9">
        <f t="shared" si="21"/>
        <v>-125</v>
      </c>
      <c r="X418" s="9">
        <f t="shared" si="22"/>
        <v>148.14999999999998</v>
      </c>
    </row>
    <row r="419" spans="15:24" x14ac:dyDescent="0.25">
      <c r="O419" s="9">
        <v>-194</v>
      </c>
      <c r="P419" s="9">
        <f t="shared" si="21"/>
        <v>-125.55555555555556</v>
      </c>
      <c r="X419" s="9">
        <f t="shared" si="22"/>
        <v>147.59444444444443</v>
      </c>
    </row>
    <row r="420" spans="15:24" x14ac:dyDescent="0.25">
      <c r="O420" s="9">
        <v>-195</v>
      </c>
      <c r="P420" s="9">
        <f t="shared" si="21"/>
        <v>-126.11111111111111</v>
      </c>
      <c r="X420" s="9">
        <f t="shared" si="22"/>
        <v>147.03888888888886</v>
      </c>
    </row>
    <row r="421" spans="15:24" x14ac:dyDescent="0.25">
      <c r="O421" s="9">
        <v>-196</v>
      </c>
      <c r="P421" s="9">
        <f t="shared" si="21"/>
        <v>-126.66666666666666</v>
      </c>
      <c r="X421" s="9">
        <f t="shared" si="22"/>
        <v>146.48333333333332</v>
      </c>
    </row>
    <row r="422" spans="15:24" x14ac:dyDescent="0.25">
      <c r="O422" s="9">
        <v>-197</v>
      </c>
      <c r="P422" s="9">
        <f t="shared" si="21"/>
        <v>-127.22222222222221</v>
      </c>
      <c r="X422" s="9">
        <f t="shared" si="22"/>
        <v>145.92777777777775</v>
      </c>
    </row>
    <row r="423" spans="15:24" x14ac:dyDescent="0.25">
      <c r="O423" s="9">
        <v>-198</v>
      </c>
      <c r="P423" s="9">
        <f t="shared" si="21"/>
        <v>-127.77777777777777</v>
      </c>
      <c r="X423" s="9">
        <f t="shared" si="22"/>
        <v>145.37222222222221</v>
      </c>
    </row>
    <row r="424" spans="15:24" x14ac:dyDescent="0.25">
      <c r="O424" s="9">
        <v>-199</v>
      </c>
      <c r="P424" s="9">
        <f t="shared" si="21"/>
        <v>-128.33333333333334</v>
      </c>
      <c r="X424" s="9">
        <f t="shared" si="22"/>
        <v>144.81666666666663</v>
      </c>
    </row>
    <row r="425" spans="15:24" x14ac:dyDescent="0.25">
      <c r="O425" s="9">
        <v>-200</v>
      </c>
      <c r="P425" s="9">
        <f t="shared" si="21"/>
        <v>-128.88888888888889</v>
      </c>
      <c r="X425" s="9">
        <f t="shared" si="22"/>
        <v>144.26111111111109</v>
      </c>
    </row>
    <row r="426" spans="15:24" x14ac:dyDescent="0.25">
      <c r="O426" s="9">
        <v>-201</v>
      </c>
      <c r="P426" s="9">
        <f t="shared" si="21"/>
        <v>-129.44444444444443</v>
      </c>
      <c r="X426" s="9">
        <f t="shared" si="22"/>
        <v>143.70555555555555</v>
      </c>
    </row>
    <row r="427" spans="15:24" x14ac:dyDescent="0.25">
      <c r="O427" s="9">
        <v>-202</v>
      </c>
      <c r="P427" s="9">
        <f t="shared" si="21"/>
        <v>-130</v>
      </c>
      <c r="X427" s="9">
        <f t="shared" si="22"/>
        <v>143.14999999999998</v>
      </c>
    </row>
    <row r="428" spans="15:24" x14ac:dyDescent="0.25">
      <c r="O428" s="9">
        <v>-203</v>
      </c>
      <c r="P428" s="9">
        <f t="shared" si="21"/>
        <v>-130.55555555555554</v>
      </c>
      <c r="X428" s="9">
        <f t="shared" si="22"/>
        <v>142.59444444444443</v>
      </c>
    </row>
    <row r="429" spans="15:24" x14ac:dyDescent="0.25">
      <c r="O429" s="9">
        <v>-204</v>
      </c>
      <c r="P429" s="9">
        <f t="shared" si="21"/>
        <v>-131.11111111111111</v>
      </c>
      <c r="X429" s="9">
        <f t="shared" si="22"/>
        <v>142.03888888888886</v>
      </c>
    </row>
    <row r="430" spans="15:24" x14ac:dyDescent="0.25">
      <c r="O430" s="9">
        <v>-205</v>
      </c>
      <c r="P430" s="9">
        <f t="shared" si="21"/>
        <v>-131.66666666666666</v>
      </c>
      <c r="X430" s="9">
        <f t="shared" si="22"/>
        <v>141.48333333333332</v>
      </c>
    </row>
    <row r="431" spans="15:24" x14ac:dyDescent="0.25">
      <c r="O431" s="9">
        <v>-206</v>
      </c>
      <c r="P431" s="9">
        <f t="shared" si="21"/>
        <v>-132.22222222222223</v>
      </c>
      <c r="X431" s="9">
        <f t="shared" si="22"/>
        <v>140.92777777777775</v>
      </c>
    </row>
    <row r="432" spans="15:24" x14ac:dyDescent="0.25">
      <c r="O432" s="9">
        <v>-207</v>
      </c>
      <c r="P432" s="9">
        <f t="shared" si="21"/>
        <v>-132.77777777777777</v>
      </c>
      <c r="X432" s="9">
        <f t="shared" si="22"/>
        <v>140.37222222222221</v>
      </c>
    </row>
    <row r="433" spans="15:24" x14ac:dyDescent="0.25">
      <c r="O433" s="9">
        <v>-208</v>
      </c>
      <c r="P433" s="9">
        <f t="shared" si="21"/>
        <v>-133.33333333333334</v>
      </c>
      <c r="X433" s="9">
        <f t="shared" si="22"/>
        <v>139.81666666666663</v>
      </c>
    </row>
    <row r="434" spans="15:24" x14ac:dyDescent="0.25">
      <c r="O434" s="9">
        <v>-209</v>
      </c>
      <c r="P434" s="9">
        <f t="shared" si="21"/>
        <v>-133.88888888888889</v>
      </c>
      <c r="X434" s="9">
        <f t="shared" si="22"/>
        <v>139.26111111111109</v>
      </c>
    </row>
    <row r="435" spans="15:24" x14ac:dyDescent="0.25">
      <c r="O435" s="9">
        <v>-210</v>
      </c>
      <c r="P435" s="9">
        <f t="shared" si="21"/>
        <v>-134.44444444444443</v>
      </c>
      <c r="X435" s="9">
        <f t="shared" si="22"/>
        <v>138.70555555555555</v>
      </c>
    </row>
    <row r="436" spans="15:24" x14ac:dyDescent="0.25">
      <c r="O436" s="9">
        <v>-211</v>
      </c>
      <c r="P436" s="9">
        <f t="shared" si="21"/>
        <v>-135</v>
      </c>
      <c r="X436" s="9">
        <f t="shared" si="22"/>
        <v>138.14999999999998</v>
      </c>
    </row>
    <row r="437" spans="15:24" x14ac:dyDescent="0.25">
      <c r="O437" s="9">
        <v>-212</v>
      </c>
      <c r="P437" s="9">
        <f t="shared" si="21"/>
        <v>-135.55555555555554</v>
      </c>
      <c r="X437" s="9">
        <f t="shared" si="22"/>
        <v>137.59444444444443</v>
      </c>
    </row>
    <row r="438" spans="15:24" x14ac:dyDescent="0.25">
      <c r="O438" s="9">
        <v>-213</v>
      </c>
      <c r="P438" s="9">
        <f t="shared" si="21"/>
        <v>-136.11111111111111</v>
      </c>
      <c r="X438" s="9">
        <f t="shared" si="22"/>
        <v>137.03888888888886</v>
      </c>
    </row>
    <row r="439" spans="15:24" x14ac:dyDescent="0.25">
      <c r="O439" s="9">
        <v>-214</v>
      </c>
      <c r="P439" s="9">
        <f t="shared" si="21"/>
        <v>-136.66666666666666</v>
      </c>
      <c r="X439" s="9">
        <f t="shared" si="22"/>
        <v>136.48333333333332</v>
      </c>
    </row>
    <row r="440" spans="15:24" x14ac:dyDescent="0.25">
      <c r="O440" s="9">
        <v>-215</v>
      </c>
      <c r="P440" s="9">
        <f t="shared" si="21"/>
        <v>-137.22222222222223</v>
      </c>
      <c r="X440" s="9">
        <f t="shared" si="22"/>
        <v>135.92777777777775</v>
      </c>
    </row>
    <row r="441" spans="15:24" x14ac:dyDescent="0.25">
      <c r="O441" s="9">
        <v>-216</v>
      </c>
      <c r="P441" s="9">
        <f t="shared" si="21"/>
        <v>-137.77777777777777</v>
      </c>
      <c r="X441" s="9">
        <f t="shared" si="22"/>
        <v>135.37222222222221</v>
      </c>
    </row>
    <row r="442" spans="15:24" x14ac:dyDescent="0.25">
      <c r="O442" s="9">
        <v>-217</v>
      </c>
      <c r="P442" s="9">
        <f t="shared" si="21"/>
        <v>-138.33333333333334</v>
      </c>
      <c r="X442" s="9">
        <f t="shared" si="22"/>
        <v>134.81666666666663</v>
      </c>
    </row>
    <row r="443" spans="15:24" x14ac:dyDescent="0.25">
      <c r="O443" s="9">
        <v>-218</v>
      </c>
      <c r="P443" s="9">
        <f t="shared" si="21"/>
        <v>-138.88888888888889</v>
      </c>
      <c r="X443" s="9">
        <f t="shared" si="22"/>
        <v>134.26111111111109</v>
      </c>
    </row>
    <row r="444" spans="15:24" x14ac:dyDescent="0.25">
      <c r="O444" s="9">
        <v>-219</v>
      </c>
      <c r="P444" s="9">
        <f t="shared" si="21"/>
        <v>-139.44444444444443</v>
      </c>
      <c r="X444" s="9">
        <f t="shared" si="22"/>
        <v>133.70555555555555</v>
      </c>
    </row>
    <row r="445" spans="15:24" x14ac:dyDescent="0.25">
      <c r="O445" s="9">
        <v>-220</v>
      </c>
      <c r="P445" s="9">
        <f t="shared" si="21"/>
        <v>-140</v>
      </c>
      <c r="X445" s="9">
        <f t="shared" si="22"/>
        <v>133.14999999999998</v>
      </c>
    </row>
    <row r="446" spans="15:24" x14ac:dyDescent="0.25">
      <c r="O446" s="9">
        <v>-221</v>
      </c>
      <c r="P446" s="9">
        <f t="shared" si="21"/>
        <v>-140.55555555555554</v>
      </c>
      <c r="X446" s="9">
        <f t="shared" si="22"/>
        <v>132.59444444444443</v>
      </c>
    </row>
    <row r="447" spans="15:24" x14ac:dyDescent="0.25">
      <c r="O447" s="9">
        <v>-222</v>
      </c>
      <c r="P447" s="9">
        <f t="shared" si="21"/>
        <v>-141.11111111111111</v>
      </c>
      <c r="X447" s="9">
        <f t="shared" si="22"/>
        <v>132.03888888888886</v>
      </c>
    </row>
    <row r="448" spans="15:24" x14ac:dyDescent="0.25">
      <c r="O448" s="9">
        <v>-223</v>
      </c>
      <c r="P448" s="9">
        <f t="shared" si="21"/>
        <v>-141.66666666666666</v>
      </c>
      <c r="X448" s="9">
        <f t="shared" si="22"/>
        <v>131.48333333333332</v>
      </c>
    </row>
    <row r="449" spans="15:24" x14ac:dyDescent="0.25">
      <c r="O449" s="9">
        <v>-224</v>
      </c>
      <c r="P449" s="9">
        <f t="shared" si="21"/>
        <v>-142.22222222222223</v>
      </c>
      <c r="X449" s="9">
        <f t="shared" si="22"/>
        <v>130.92777777777775</v>
      </c>
    </row>
    <row r="450" spans="15:24" x14ac:dyDescent="0.25">
      <c r="O450" s="9">
        <v>-225</v>
      </c>
      <c r="P450" s="9">
        <f t="shared" si="21"/>
        <v>-142.77777777777777</v>
      </c>
      <c r="X450" s="9">
        <f t="shared" si="22"/>
        <v>130.37222222222221</v>
      </c>
    </row>
    <row r="451" spans="15:24" x14ac:dyDescent="0.25">
      <c r="O451" s="9">
        <v>-226</v>
      </c>
      <c r="P451" s="9">
        <f t="shared" si="21"/>
        <v>-143.33333333333334</v>
      </c>
      <c r="X451" s="9">
        <f t="shared" si="22"/>
        <v>129.81666666666663</v>
      </c>
    </row>
    <row r="452" spans="15:24" x14ac:dyDescent="0.25">
      <c r="O452" s="9">
        <v>-227</v>
      </c>
      <c r="P452" s="9">
        <f t="shared" si="21"/>
        <v>-143.88888888888889</v>
      </c>
      <c r="X452" s="9">
        <f t="shared" si="22"/>
        <v>129.26111111111109</v>
      </c>
    </row>
    <row r="453" spans="15:24" x14ac:dyDescent="0.25">
      <c r="O453" s="9">
        <v>-228</v>
      </c>
      <c r="P453" s="9">
        <f t="shared" ref="P453:P516" si="23">CONVERT(O453,"F","C")</f>
        <v>-144.44444444444443</v>
      </c>
      <c r="X453" s="9">
        <f t="shared" si="22"/>
        <v>128.70555555555555</v>
      </c>
    </row>
    <row r="454" spans="15:24" x14ac:dyDescent="0.25">
      <c r="O454" s="9">
        <v>-229</v>
      </c>
      <c r="P454" s="9">
        <f t="shared" si="23"/>
        <v>-145</v>
      </c>
      <c r="X454" s="9">
        <f t="shared" ref="X454:X517" si="24">CONVERT(O454,"F","K")</f>
        <v>128.14999999999998</v>
      </c>
    </row>
    <row r="455" spans="15:24" x14ac:dyDescent="0.25">
      <c r="O455" s="9">
        <v>-230</v>
      </c>
      <c r="P455" s="9">
        <f t="shared" si="23"/>
        <v>-145.55555555555554</v>
      </c>
      <c r="X455" s="9">
        <f t="shared" si="24"/>
        <v>127.59444444444443</v>
      </c>
    </row>
    <row r="456" spans="15:24" x14ac:dyDescent="0.25">
      <c r="O456" s="9">
        <v>-231</v>
      </c>
      <c r="P456" s="9">
        <f t="shared" si="23"/>
        <v>-146.11111111111111</v>
      </c>
      <c r="X456" s="9">
        <f t="shared" si="24"/>
        <v>127.03888888888886</v>
      </c>
    </row>
    <row r="457" spans="15:24" x14ac:dyDescent="0.25">
      <c r="O457" s="9">
        <v>-232</v>
      </c>
      <c r="P457" s="9">
        <f t="shared" si="23"/>
        <v>-146.66666666666666</v>
      </c>
      <c r="X457" s="9">
        <f t="shared" si="24"/>
        <v>126.48333333333332</v>
      </c>
    </row>
    <row r="458" spans="15:24" x14ac:dyDescent="0.25">
      <c r="O458" s="9">
        <v>-233</v>
      </c>
      <c r="P458" s="9">
        <f t="shared" si="23"/>
        <v>-147.22222222222223</v>
      </c>
      <c r="X458" s="9">
        <f t="shared" si="24"/>
        <v>125.92777777777775</v>
      </c>
    </row>
    <row r="459" spans="15:24" x14ac:dyDescent="0.25">
      <c r="O459" s="9">
        <v>-234</v>
      </c>
      <c r="P459" s="9">
        <f t="shared" si="23"/>
        <v>-147.77777777777777</v>
      </c>
      <c r="X459" s="9">
        <f t="shared" si="24"/>
        <v>125.37222222222221</v>
      </c>
    </row>
    <row r="460" spans="15:24" x14ac:dyDescent="0.25">
      <c r="O460" s="9">
        <v>-235</v>
      </c>
      <c r="P460" s="9">
        <f t="shared" si="23"/>
        <v>-148.33333333333334</v>
      </c>
      <c r="X460" s="9">
        <f t="shared" si="24"/>
        <v>124.81666666666663</v>
      </c>
    </row>
    <row r="461" spans="15:24" x14ac:dyDescent="0.25">
      <c r="O461" s="9">
        <v>-236</v>
      </c>
      <c r="P461" s="9">
        <f t="shared" si="23"/>
        <v>-148.88888888888889</v>
      </c>
      <c r="X461" s="9">
        <f t="shared" si="24"/>
        <v>124.26111111111109</v>
      </c>
    </row>
    <row r="462" spans="15:24" x14ac:dyDescent="0.25">
      <c r="O462" s="9">
        <v>-237</v>
      </c>
      <c r="P462" s="9">
        <f t="shared" si="23"/>
        <v>-149.44444444444443</v>
      </c>
      <c r="X462" s="9">
        <f t="shared" si="24"/>
        <v>123.70555555555555</v>
      </c>
    </row>
    <row r="463" spans="15:24" x14ac:dyDescent="0.25">
      <c r="O463" s="9">
        <v>-238</v>
      </c>
      <c r="P463" s="9">
        <f t="shared" si="23"/>
        <v>-150</v>
      </c>
      <c r="X463" s="9">
        <f t="shared" si="24"/>
        <v>123.14999999999998</v>
      </c>
    </row>
    <row r="464" spans="15:24" x14ac:dyDescent="0.25">
      <c r="O464" s="9">
        <v>-239</v>
      </c>
      <c r="P464" s="9">
        <f t="shared" si="23"/>
        <v>-150.55555555555554</v>
      </c>
      <c r="X464" s="9">
        <f t="shared" si="24"/>
        <v>122.59444444444443</v>
      </c>
    </row>
    <row r="465" spans="15:24" x14ac:dyDescent="0.25">
      <c r="O465" s="9">
        <v>-240</v>
      </c>
      <c r="P465" s="9">
        <f t="shared" si="23"/>
        <v>-151.11111111111111</v>
      </c>
      <c r="X465" s="9">
        <f t="shared" si="24"/>
        <v>122.03888888888886</v>
      </c>
    </row>
    <row r="466" spans="15:24" x14ac:dyDescent="0.25">
      <c r="O466" s="9">
        <v>-241</v>
      </c>
      <c r="P466" s="9">
        <f t="shared" si="23"/>
        <v>-151.66666666666666</v>
      </c>
      <c r="X466" s="9">
        <f t="shared" si="24"/>
        <v>121.48333333333332</v>
      </c>
    </row>
    <row r="467" spans="15:24" x14ac:dyDescent="0.25">
      <c r="O467" s="9">
        <v>-242</v>
      </c>
      <c r="P467" s="9">
        <f t="shared" si="23"/>
        <v>-152.22222222222223</v>
      </c>
      <c r="X467" s="9">
        <f t="shared" si="24"/>
        <v>120.92777777777775</v>
      </c>
    </row>
    <row r="468" spans="15:24" x14ac:dyDescent="0.25">
      <c r="O468" s="9">
        <v>-243</v>
      </c>
      <c r="P468" s="9">
        <f t="shared" si="23"/>
        <v>-152.77777777777777</v>
      </c>
      <c r="X468" s="9">
        <f t="shared" si="24"/>
        <v>120.37222222222221</v>
      </c>
    </row>
    <row r="469" spans="15:24" x14ac:dyDescent="0.25">
      <c r="O469" s="9">
        <v>-244</v>
      </c>
      <c r="P469" s="9">
        <f t="shared" si="23"/>
        <v>-153.33333333333334</v>
      </c>
      <c r="X469" s="9">
        <f t="shared" si="24"/>
        <v>119.81666666666663</v>
      </c>
    </row>
    <row r="470" spans="15:24" x14ac:dyDescent="0.25">
      <c r="O470" s="9">
        <v>-245</v>
      </c>
      <c r="P470" s="9">
        <f t="shared" si="23"/>
        <v>-153.88888888888889</v>
      </c>
      <c r="X470" s="9">
        <f t="shared" si="24"/>
        <v>119.26111111111109</v>
      </c>
    </row>
    <row r="471" spans="15:24" x14ac:dyDescent="0.25">
      <c r="O471" s="9">
        <v>-246</v>
      </c>
      <c r="P471" s="9">
        <f t="shared" si="23"/>
        <v>-154.44444444444443</v>
      </c>
      <c r="X471" s="9">
        <f t="shared" si="24"/>
        <v>118.70555555555555</v>
      </c>
    </row>
    <row r="472" spans="15:24" x14ac:dyDescent="0.25">
      <c r="O472" s="9">
        <v>-247</v>
      </c>
      <c r="P472" s="9">
        <f t="shared" si="23"/>
        <v>-155</v>
      </c>
      <c r="X472" s="9">
        <f t="shared" si="24"/>
        <v>118.14999999999998</v>
      </c>
    </row>
    <row r="473" spans="15:24" x14ac:dyDescent="0.25">
      <c r="O473" s="9">
        <v>-248</v>
      </c>
      <c r="P473" s="9">
        <f t="shared" si="23"/>
        <v>-155.55555555555554</v>
      </c>
      <c r="X473" s="9">
        <f t="shared" si="24"/>
        <v>117.59444444444443</v>
      </c>
    </row>
    <row r="474" spans="15:24" x14ac:dyDescent="0.25">
      <c r="O474" s="9">
        <v>-249</v>
      </c>
      <c r="P474" s="9">
        <f t="shared" si="23"/>
        <v>-156.11111111111111</v>
      </c>
      <c r="X474" s="9">
        <f t="shared" si="24"/>
        <v>117.03888888888886</v>
      </c>
    </row>
    <row r="475" spans="15:24" x14ac:dyDescent="0.25">
      <c r="O475" s="9">
        <v>-250</v>
      </c>
      <c r="P475" s="9">
        <f t="shared" si="23"/>
        <v>-156.66666666666666</v>
      </c>
      <c r="X475" s="9">
        <f t="shared" si="24"/>
        <v>116.48333333333332</v>
      </c>
    </row>
    <row r="476" spans="15:24" x14ac:dyDescent="0.25">
      <c r="O476" s="9">
        <v>-251</v>
      </c>
      <c r="P476" s="9">
        <f t="shared" si="23"/>
        <v>-157.22222222222223</v>
      </c>
      <c r="X476" s="9">
        <f t="shared" si="24"/>
        <v>115.92777777777775</v>
      </c>
    </row>
    <row r="477" spans="15:24" x14ac:dyDescent="0.25">
      <c r="O477" s="9">
        <v>-252</v>
      </c>
      <c r="P477" s="9">
        <f t="shared" si="23"/>
        <v>-157.77777777777777</v>
      </c>
      <c r="X477" s="9">
        <f t="shared" si="24"/>
        <v>115.37222222222221</v>
      </c>
    </row>
    <row r="478" spans="15:24" x14ac:dyDescent="0.25">
      <c r="O478" s="9">
        <v>-253</v>
      </c>
      <c r="P478" s="9">
        <f t="shared" si="23"/>
        <v>-158.33333333333334</v>
      </c>
      <c r="X478" s="9">
        <f t="shared" si="24"/>
        <v>114.81666666666663</v>
      </c>
    </row>
    <row r="479" spans="15:24" x14ac:dyDescent="0.25">
      <c r="O479" s="9">
        <v>-254</v>
      </c>
      <c r="P479" s="9">
        <f t="shared" si="23"/>
        <v>-158.88888888888889</v>
      </c>
      <c r="X479" s="9">
        <f t="shared" si="24"/>
        <v>114.26111111111109</v>
      </c>
    </row>
    <row r="480" spans="15:24" x14ac:dyDescent="0.25">
      <c r="O480" s="9">
        <v>-255</v>
      </c>
      <c r="P480" s="9">
        <f t="shared" si="23"/>
        <v>-159.44444444444443</v>
      </c>
      <c r="X480" s="9">
        <f t="shared" si="24"/>
        <v>113.70555555555555</v>
      </c>
    </row>
    <row r="481" spans="15:24" x14ac:dyDescent="0.25">
      <c r="O481" s="9">
        <v>-256</v>
      </c>
      <c r="P481" s="9">
        <f t="shared" si="23"/>
        <v>-160</v>
      </c>
      <c r="X481" s="9">
        <f t="shared" si="24"/>
        <v>113.14999999999998</v>
      </c>
    </row>
    <row r="482" spans="15:24" x14ac:dyDescent="0.25">
      <c r="O482" s="9">
        <v>-257</v>
      </c>
      <c r="P482" s="9">
        <f t="shared" si="23"/>
        <v>-160.55555555555554</v>
      </c>
      <c r="X482" s="9">
        <f t="shared" si="24"/>
        <v>112.59444444444443</v>
      </c>
    </row>
    <row r="483" spans="15:24" x14ac:dyDescent="0.25">
      <c r="O483" s="9">
        <v>-258</v>
      </c>
      <c r="P483" s="9">
        <f t="shared" si="23"/>
        <v>-161.11111111111111</v>
      </c>
      <c r="X483" s="9">
        <f t="shared" si="24"/>
        <v>112.03888888888886</v>
      </c>
    </row>
    <row r="484" spans="15:24" x14ac:dyDescent="0.25">
      <c r="O484" s="9">
        <v>-259</v>
      </c>
      <c r="P484" s="9">
        <f t="shared" si="23"/>
        <v>-161.66666666666666</v>
      </c>
      <c r="X484" s="9">
        <f t="shared" si="24"/>
        <v>111.48333333333332</v>
      </c>
    </row>
    <row r="485" spans="15:24" x14ac:dyDescent="0.25">
      <c r="O485" s="9">
        <v>-260</v>
      </c>
      <c r="P485" s="9">
        <f t="shared" si="23"/>
        <v>-162.22222222222223</v>
      </c>
      <c r="X485" s="9">
        <f t="shared" si="24"/>
        <v>110.92777777777775</v>
      </c>
    </row>
    <row r="486" spans="15:24" x14ac:dyDescent="0.25">
      <c r="O486" s="9">
        <v>-261</v>
      </c>
      <c r="P486" s="9">
        <f t="shared" si="23"/>
        <v>-162.77777777777777</v>
      </c>
      <c r="X486" s="9">
        <f t="shared" si="24"/>
        <v>110.37222222222221</v>
      </c>
    </row>
    <row r="487" spans="15:24" x14ac:dyDescent="0.25">
      <c r="O487" s="9">
        <v>-262</v>
      </c>
      <c r="P487" s="9">
        <f t="shared" si="23"/>
        <v>-163.33333333333334</v>
      </c>
      <c r="X487" s="9">
        <f t="shared" si="24"/>
        <v>109.81666666666663</v>
      </c>
    </row>
    <row r="488" spans="15:24" x14ac:dyDescent="0.25">
      <c r="O488" s="9">
        <v>-263</v>
      </c>
      <c r="P488" s="9">
        <f t="shared" si="23"/>
        <v>-163.88888888888889</v>
      </c>
      <c r="X488" s="9">
        <f t="shared" si="24"/>
        <v>109.26111111111109</v>
      </c>
    </row>
    <row r="489" spans="15:24" x14ac:dyDescent="0.25">
      <c r="O489" s="9">
        <v>-264</v>
      </c>
      <c r="P489" s="9">
        <f t="shared" si="23"/>
        <v>-164.44444444444443</v>
      </c>
      <c r="X489" s="9">
        <f t="shared" si="24"/>
        <v>108.70555555555555</v>
      </c>
    </row>
    <row r="490" spans="15:24" x14ac:dyDescent="0.25">
      <c r="O490" s="9">
        <v>-265</v>
      </c>
      <c r="P490" s="9">
        <f t="shared" si="23"/>
        <v>-165</v>
      </c>
      <c r="X490" s="9">
        <f t="shared" si="24"/>
        <v>108.14999999999998</v>
      </c>
    </row>
    <row r="491" spans="15:24" x14ac:dyDescent="0.25">
      <c r="O491" s="9">
        <v>-266</v>
      </c>
      <c r="P491" s="9">
        <f t="shared" si="23"/>
        <v>-165.55555555555554</v>
      </c>
      <c r="X491" s="9">
        <f t="shared" si="24"/>
        <v>107.59444444444443</v>
      </c>
    </row>
    <row r="492" spans="15:24" x14ac:dyDescent="0.25">
      <c r="O492" s="9">
        <v>-267</v>
      </c>
      <c r="P492" s="9">
        <f t="shared" si="23"/>
        <v>-166.11111111111111</v>
      </c>
      <c r="X492" s="9">
        <f t="shared" si="24"/>
        <v>107.03888888888886</v>
      </c>
    </row>
    <row r="493" spans="15:24" x14ac:dyDescent="0.25">
      <c r="O493" s="9">
        <v>-268</v>
      </c>
      <c r="P493" s="9">
        <f t="shared" si="23"/>
        <v>-166.66666666666666</v>
      </c>
      <c r="X493" s="9">
        <f t="shared" si="24"/>
        <v>106.48333333333332</v>
      </c>
    </row>
    <row r="494" spans="15:24" x14ac:dyDescent="0.25">
      <c r="O494" s="9">
        <v>-269</v>
      </c>
      <c r="P494" s="9">
        <f t="shared" si="23"/>
        <v>-167.22222222222223</v>
      </c>
      <c r="X494" s="9">
        <f t="shared" si="24"/>
        <v>105.92777777777775</v>
      </c>
    </row>
    <row r="495" spans="15:24" x14ac:dyDescent="0.25">
      <c r="O495" s="9">
        <v>-270</v>
      </c>
      <c r="P495" s="9">
        <f t="shared" si="23"/>
        <v>-167.77777777777777</v>
      </c>
      <c r="X495" s="9">
        <f t="shared" si="24"/>
        <v>105.37222222222221</v>
      </c>
    </row>
    <row r="496" spans="15:24" x14ac:dyDescent="0.25">
      <c r="O496" s="9">
        <v>-271</v>
      </c>
      <c r="P496" s="9">
        <f t="shared" si="23"/>
        <v>-168.33333333333334</v>
      </c>
      <c r="X496" s="9">
        <f t="shared" si="24"/>
        <v>104.81666666666663</v>
      </c>
    </row>
    <row r="497" spans="15:24" x14ac:dyDescent="0.25">
      <c r="O497" s="9">
        <v>-272</v>
      </c>
      <c r="P497" s="9">
        <f t="shared" si="23"/>
        <v>-168.88888888888889</v>
      </c>
      <c r="X497" s="9">
        <f t="shared" si="24"/>
        <v>104.26111111111109</v>
      </c>
    </row>
    <row r="498" spans="15:24" x14ac:dyDescent="0.25">
      <c r="O498" s="9">
        <v>-273</v>
      </c>
      <c r="P498" s="9">
        <f t="shared" si="23"/>
        <v>-169.44444444444443</v>
      </c>
      <c r="X498" s="9">
        <f t="shared" si="24"/>
        <v>103.70555555555555</v>
      </c>
    </row>
    <row r="499" spans="15:24" x14ac:dyDescent="0.25">
      <c r="O499" s="9">
        <v>-274</v>
      </c>
      <c r="P499" s="9">
        <f t="shared" si="23"/>
        <v>-170</v>
      </c>
      <c r="X499" s="9">
        <f t="shared" si="24"/>
        <v>103.14999999999998</v>
      </c>
    </row>
    <row r="500" spans="15:24" x14ac:dyDescent="0.25">
      <c r="O500" s="9">
        <v>-275</v>
      </c>
      <c r="P500" s="9">
        <f t="shared" si="23"/>
        <v>-170.55555555555554</v>
      </c>
      <c r="X500" s="9">
        <f t="shared" si="24"/>
        <v>102.59444444444443</v>
      </c>
    </row>
    <row r="501" spans="15:24" x14ac:dyDescent="0.25">
      <c r="O501" s="9">
        <v>-276</v>
      </c>
      <c r="P501" s="9">
        <f t="shared" si="23"/>
        <v>-171.11111111111111</v>
      </c>
      <c r="X501" s="9">
        <f t="shared" si="24"/>
        <v>102.03888888888886</v>
      </c>
    </row>
    <row r="502" spans="15:24" x14ac:dyDescent="0.25">
      <c r="O502" s="9">
        <v>-277</v>
      </c>
      <c r="P502" s="9">
        <f t="shared" si="23"/>
        <v>-171.66666666666666</v>
      </c>
      <c r="X502" s="9">
        <f t="shared" si="24"/>
        <v>101.48333333333332</v>
      </c>
    </row>
    <row r="503" spans="15:24" x14ac:dyDescent="0.25">
      <c r="O503" s="9">
        <v>-278</v>
      </c>
      <c r="P503" s="9">
        <f t="shared" si="23"/>
        <v>-172.22222222222223</v>
      </c>
      <c r="X503" s="9">
        <f t="shared" si="24"/>
        <v>100.92777777777775</v>
      </c>
    </row>
    <row r="504" spans="15:24" x14ac:dyDescent="0.25">
      <c r="O504" s="9">
        <v>-279</v>
      </c>
      <c r="P504" s="9">
        <f t="shared" si="23"/>
        <v>-172.77777777777777</v>
      </c>
      <c r="X504" s="9">
        <f t="shared" si="24"/>
        <v>100.37222222222221</v>
      </c>
    </row>
    <row r="505" spans="15:24" x14ac:dyDescent="0.25">
      <c r="O505" s="9">
        <v>-280</v>
      </c>
      <c r="P505" s="9">
        <f t="shared" si="23"/>
        <v>-173.33333333333334</v>
      </c>
      <c r="X505" s="9">
        <f t="shared" si="24"/>
        <v>99.816666666666634</v>
      </c>
    </row>
    <row r="506" spans="15:24" x14ac:dyDescent="0.25">
      <c r="O506" s="9">
        <v>-281</v>
      </c>
      <c r="P506" s="9">
        <f t="shared" si="23"/>
        <v>-173.88888888888889</v>
      </c>
      <c r="X506" s="9">
        <f t="shared" si="24"/>
        <v>99.261111111111092</v>
      </c>
    </row>
    <row r="507" spans="15:24" x14ac:dyDescent="0.25">
      <c r="O507" s="9">
        <v>-282</v>
      </c>
      <c r="P507" s="9">
        <f t="shared" si="23"/>
        <v>-174.44444444444443</v>
      </c>
      <c r="X507" s="9">
        <f t="shared" si="24"/>
        <v>98.705555555555549</v>
      </c>
    </row>
    <row r="508" spans="15:24" x14ac:dyDescent="0.25">
      <c r="O508" s="9">
        <v>-283</v>
      </c>
      <c r="P508" s="9">
        <f t="shared" si="23"/>
        <v>-175</v>
      </c>
      <c r="X508" s="9">
        <f t="shared" si="24"/>
        <v>98.149999999999977</v>
      </c>
    </row>
    <row r="509" spans="15:24" x14ac:dyDescent="0.25">
      <c r="O509" s="9">
        <v>-284</v>
      </c>
      <c r="P509" s="9">
        <f t="shared" si="23"/>
        <v>-175.55555555555554</v>
      </c>
      <c r="X509" s="9">
        <f t="shared" si="24"/>
        <v>97.594444444444434</v>
      </c>
    </row>
    <row r="510" spans="15:24" x14ac:dyDescent="0.25">
      <c r="O510" s="9">
        <v>-285</v>
      </c>
      <c r="P510" s="9">
        <f t="shared" si="23"/>
        <v>-176.11111111111111</v>
      </c>
      <c r="X510" s="9">
        <f t="shared" si="24"/>
        <v>97.038888888888863</v>
      </c>
    </row>
    <row r="511" spans="15:24" x14ac:dyDescent="0.25">
      <c r="O511" s="9">
        <v>-286</v>
      </c>
      <c r="P511" s="9">
        <f t="shared" si="23"/>
        <v>-176.66666666666666</v>
      </c>
      <c r="X511" s="9">
        <f t="shared" si="24"/>
        <v>96.48333333333332</v>
      </c>
    </row>
    <row r="512" spans="15:24" x14ac:dyDescent="0.25">
      <c r="O512" s="9">
        <v>-287</v>
      </c>
      <c r="P512" s="9">
        <f t="shared" si="23"/>
        <v>-177.22222222222223</v>
      </c>
      <c r="X512" s="9">
        <f t="shared" si="24"/>
        <v>95.927777777777749</v>
      </c>
    </row>
    <row r="513" spans="15:24" x14ac:dyDescent="0.25">
      <c r="O513" s="9">
        <v>-288</v>
      </c>
      <c r="P513" s="9">
        <f t="shared" si="23"/>
        <v>-177.77777777777777</v>
      </c>
      <c r="X513" s="9">
        <f t="shared" si="24"/>
        <v>95.372222222222206</v>
      </c>
    </row>
    <row r="514" spans="15:24" x14ac:dyDescent="0.25">
      <c r="O514" s="9">
        <v>-289</v>
      </c>
      <c r="P514" s="9">
        <f t="shared" si="23"/>
        <v>-178.33333333333334</v>
      </c>
      <c r="X514" s="9">
        <f t="shared" si="24"/>
        <v>94.816666666666634</v>
      </c>
    </row>
    <row r="515" spans="15:24" x14ac:dyDescent="0.25">
      <c r="O515" s="9">
        <v>-290</v>
      </c>
      <c r="P515" s="9">
        <f t="shared" si="23"/>
        <v>-178.88888888888889</v>
      </c>
      <c r="X515" s="9">
        <f t="shared" si="24"/>
        <v>94.261111111111092</v>
      </c>
    </row>
    <row r="516" spans="15:24" x14ac:dyDescent="0.25">
      <c r="O516" s="9">
        <v>-291</v>
      </c>
      <c r="P516" s="9">
        <f t="shared" si="23"/>
        <v>-179.44444444444443</v>
      </c>
      <c r="X516" s="9">
        <f t="shared" si="24"/>
        <v>93.705555555555549</v>
      </c>
    </row>
    <row r="517" spans="15:24" x14ac:dyDescent="0.25">
      <c r="O517" s="9">
        <v>-292</v>
      </c>
      <c r="P517" s="9">
        <f t="shared" ref="P517:P580" si="25">CONVERT(O517,"F","C")</f>
        <v>-180</v>
      </c>
      <c r="X517" s="9">
        <f t="shared" si="24"/>
        <v>93.149999999999977</v>
      </c>
    </row>
    <row r="518" spans="15:24" x14ac:dyDescent="0.25">
      <c r="O518" s="9">
        <v>-293</v>
      </c>
      <c r="P518" s="9">
        <f t="shared" si="25"/>
        <v>-180.55555555555554</v>
      </c>
      <c r="X518" s="9">
        <f t="shared" ref="X518:X581" si="26">CONVERT(O518,"F","K")</f>
        <v>92.594444444444434</v>
      </c>
    </row>
    <row r="519" spans="15:24" x14ac:dyDescent="0.25">
      <c r="O519" s="9">
        <v>-294</v>
      </c>
      <c r="P519" s="9">
        <f t="shared" si="25"/>
        <v>-181.11111111111111</v>
      </c>
      <c r="X519" s="9">
        <f t="shared" si="26"/>
        <v>92.038888888888863</v>
      </c>
    </row>
    <row r="520" spans="15:24" x14ac:dyDescent="0.25">
      <c r="O520" s="9">
        <v>-295</v>
      </c>
      <c r="P520" s="9">
        <f t="shared" si="25"/>
        <v>-181.66666666666666</v>
      </c>
      <c r="X520" s="9">
        <f t="shared" si="26"/>
        <v>91.48333333333332</v>
      </c>
    </row>
    <row r="521" spans="15:24" x14ac:dyDescent="0.25">
      <c r="O521" s="9">
        <v>-296</v>
      </c>
      <c r="P521" s="9">
        <f t="shared" si="25"/>
        <v>-182.22222222222223</v>
      </c>
      <c r="X521" s="9">
        <f t="shared" si="26"/>
        <v>90.927777777777749</v>
      </c>
    </row>
    <row r="522" spans="15:24" x14ac:dyDescent="0.25">
      <c r="O522" s="9">
        <v>-297</v>
      </c>
      <c r="P522" s="9">
        <f t="shared" si="25"/>
        <v>-182.77777777777777</v>
      </c>
      <c r="X522" s="9">
        <f t="shared" si="26"/>
        <v>90.372222222222206</v>
      </c>
    </row>
    <row r="523" spans="15:24" x14ac:dyDescent="0.25">
      <c r="O523" s="9">
        <v>-298</v>
      </c>
      <c r="P523" s="9">
        <f t="shared" si="25"/>
        <v>-183.33333333333334</v>
      </c>
      <c r="X523" s="9">
        <f t="shared" si="26"/>
        <v>89.816666666666634</v>
      </c>
    </row>
    <row r="524" spans="15:24" x14ac:dyDescent="0.25">
      <c r="O524" s="9">
        <v>-299</v>
      </c>
      <c r="P524" s="9">
        <f t="shared" si="25"/>
        <v>-183.88888888888889</v>
      </c>
      <c r="X524" s="9">
        <f t="shared" si="26"/>
        <v>89.261111111111092</v>
      </c>
    </row>
    <row r="525" spans="15:24" x14ac:dyDescent="0.25">
      <c r="O525" s="9">
        <v>-300</v>
      </c>
      <c r="P525" s="9">
        <f t="shared" si="25"/>
        <v>-184.44444444444443</v>
      </c>
      <c r="X525" s="9">
        <f t="shared" si="26"/>
        <v>88.705555555555549</v>
      </c>
    </row>
    <row r="526" spans="15:24" x14ac:dyDescent="0.25">
      <c r="O526" s="9">
        <v>-301</v>
      </c>
      <c r="P526" s="9">
        <f t="shared" si="25"/>
        <v>-185</v>
      </c>
      <c r="X526" s="9">
        <f t="shared" si="26"/>
        <v>88.149999999999977</v>
      </c>
    </row>
    <row r="527" spans="15:24" x14ac:dyDescent="0.25">
      <c r="O527" s="9">
        <v>-302</v>
      </c>
      <c r="P527" s="9">
        <f t="shared" si="25"/>
        <v>-185.55555555555554</v>
      </c>
      <c r="X527" s="9">
        <f t="shared" si="26"/>
        <v>87.594444444444434</v>
      </c>
    </row>
    <row r="528" spans="15:24" x14ac:dyDescent="0.25">
      <c r="O528" s="9">
        <v>-303</v>
      </c>
      <c r="P528" s="9">
        <f t="shared" si="25"/>
        <v>-186.11111111111111</v>
      </c>
      <c r="X528" s="9">
        <f t="shared" si="26"/>
        <v>87.038888888888863</v>
      </c>
    </row>
    <row r="529" spans="15:24" x14ac:dyDescent="0.25">
      <c r="O529" s="9">
        <v>-304</v>
      </c>
      <c r="P529" s="9">
        <f t="shared" si="25"/>
        <v>-186.66666666666666</v>
      </c>
      <c r="X529" s="9">
        <f t="shared" si="26"/>
        <v>86.48333333333332</v>
      </c>
    </row>
    <row r="530" spans="15:24" x14ac:dyDescent="0.25">
      <c r="O530" s="9">
        <v>-305</v>
      </c>
      <c r="P530" s="9">
        <f t="shared" si="25"/>
        <v>-187.22222222222223</v>
      </c>
      <c r="X530" s="9">
        <f t="shared" si="26"/>
        <v>85.927777777777749</v>
      </c>
    </row>
    <row r="531" spans="15:24" x14ac:dyDescent="0.25">
      <c r="O531" s="9">
        <v>-306</v>
      </c>
      <c r="P531" s="9">
        <f t="shared" si="25"/>
        <v>-187.77777777777777</v>
      </c>
      <c r="X531" s="9">
        <f t="shared" si="26"/>
        <v>85.372222222222206</v>
      </c>
    </row>
    <row r="532" spans="15:24" x14ac:dyDescent="0.25">
      <c r="O532" s="9">
        <v>-307</v>
      </c>
      <c r="P532" s="9">
        <f t="shared" si="25"/>
        <v>-188.33333333333334</v>
      </c>
      <c r="X532" s="9">
        <f t="shared" si="26"/>
        <v>84.816666666666634</v>
      </c>
    </row>
    <row r="533" spans="15:24" x14ac:dyDescent="0.25">
      <c r="O533" s="9">
        <v>-308</v>
      </c>
      <c r="P533" s="9">
        <f t="shared" si="25"/>
        <v>-188.88888888888889</v>
      </c>
      <c r="X533" s="9">
        <f t="shared" si="26"/>
        <v>84.261111111111092</v>
      </c>
    </row>
    <row r="534" spans="15:24" x14ac:dyDescent="0.25">
      <c r="O534" s="9">
        <v>-309</v>
      </c>
      <c r="P534" s="9">
        <f t="shared" si="25"/>
        <v>-189.44444444444443</v>
      </c>
      <c r="X534" s="9">
        <f t="shared" si="26"/>
        <v>83.705555555555549</v>
      </c>
    </row>
    <row r="535" spans="15:24" x14ac:dyDescent="0.25">
      <c r="O535" s="9">
        <v>-310</v>
      </c>
      <c r="P535" s="9">
        <f t="shared" si="25"/>
        <v>-190</v>
      </c>
      <c r="X535" s="9">
        <f t="shared" si="26"/>
        <v>83.149999999999977</v>
      </c>
    </row>
    <row r="536" spans="15:24" x14ac:dyDescent="0.25">
      <c r="O536" s="9">
        <v>-311</v>
      </c>
      <c r="P536" s="9">
        <f t="shared" si="25"/>
        <v>-190.55555555555554</v>
      </c>
      <c r="X536" s="9">
        <f t="shared" si="26"/>
        <v>82.594444444444434</v>
      </c>
    </row>
    <row r="537" spans="15:24" x14ac:dyDescent="0.25">
      <c r="O537" s="9">
        <v>-312</v>
      </c>
      <c r="P537" s="9">
        <f t="shared" si="25"/>
        <v>-191.11111111111111</v>
      </c>
      <c r="X537" s="9">
        <f t="shared" si="26"/>
        <v>82.038888888888863</v>
      </c>
    </row>
    <row r="538" spans="15:24" x14ac:dyDescent="0.25">
      <c r="O538" s="9">
        <v>-313</v>
      </c>
      <c r="P538" s="9">
        <f t="shared" si="25"/>
        <v>-191.66666666666666</v>
      </c>
      <c r="X538" s="9">
        <f t="shared" si="26"/>
        <v>81.48333333333332</v>
      </c>
    </row>
    <row r="539" spans="15:24" x14ac:dyDescent="0.25">
      <c r="O539" s="9">
        <v>-314</v>
      </c>
      <c r="P539" s="9">
        <f t="shared" si="25"/>
        <v>-192.22222222222223</v>
      </c>
      <c r="X539" s="9">
        <f t="shared" si="26"/>
        <v>80.927777777777749</v>
      </c>
    </row>
    <row r="540" spans="15:24" x14ac:dyDescent="0.25">
      <c r="O540" s="9">
        <v>-315</v>
      </c>
      <c r="P540" s="9">
        <f t="shared" si="25"/>
        <v>-192.77777777777777</v>
      </c>
      <c r="X540" s="9">
        <f t="shared" si="26"/>
        <v>80.372222222222206</v>
      </c>
    </row>
    <row r="541" spans="15:24" x14ac:dyDescent="0.25">
      <c r="O541" s="9">
        <v>-316</v>
      </c>
      <c r="P541" s="9">
        <f t="shared" si="25"/>
        <v>-193.33333333333331</v>
      </c>
      <c r="X541" s="9">
        <f t="shared" si="26"/>
        <v>79.816666666666663</v>
      </c>
    </row>
    <row r="542" spans="15:24" x14ac:dyDescent="0.25">
      <c r="O542" s="9">
        <v>-317</v>
      </c>
      <c r="P542" s="9">
        <f t="shared" si="25"/>
        <v>-193.88888888888889</v>
      </c>
      <c r="X542" s="9">
        <f t="shared" si="26"/>
        <v>79.261111111111092</v>
      </c>
    </row>
    <row r="543" spans="15:24" x14ac:dyDescent="0.25">
      <c r="O543" s="9">
        <v>-318</v>
      </c>
      <c r="P543" s="9">
        <f t="shared" si="25"/>
        <v>-194.44444444444443</v>
      </c>
      <c r="X543" s="9">
        <f t="shared" si="26"/>
        <v>78.705555555555549</v>
      </c>
    </row>
    <row r="544" spans="15:24" x14ac:dyDescent="0.25">
      <c r="O544" s="9">
        <v>-319</v>
      </c>
      <c r="P544" s="9">
        <f t="shared" si="25"/>
        <v>-195</v>
      </c>
      <c r="X544" s="9">
        <f t="shared" si="26"/>
        <v>78.149999999999977</v>
      </c>
    </row>
    <row r="545" spans="15:24" x14ac:dyDescent="0.25">
      <c r="O545" s="9">
        <v>-320</v>
      </c>
      <c r="P545" s="9">
        <f t="shared" si="25"/>
        <v>-195.55555555555554</v>
      </c>
      <c r="X545" s="9">
        <f t="shared" si="26"/>
        <v>77.594444444444434</v>
      </c>
    </row>
    <row r="546" spans="15:24" x14ac:dyDescent="0.25">
      <c r="O546" s="9">
        <v>-321</v>
      </c>
      <c r="P546" s="9">
        <f t="shared" si="25"/>
        <v>-196.11111111111111</v>
      </c>
      <c r="X546" s="9">
        <f t="shared" si="26"/>
        <v>77.038888888888863</v>
      </c>
    </row>
    <row r="547" spans="15:24" x14ac:dyDescent="0.25">
      <c r="O547" s="9">
        <v>-322</v>
      </c>
      <c r="P547" s="9">
        <f t="shared" si="25"/>
        <v>-196.66666666666666</v>
      </c>
      <c r="X547" s="9">
        <f t="shared" si="26"/>
        <v>76.48333333333332</v>
      </c>
    </row>
    <row r="548" spans="15:24" x14ac:dyDescent="0.25">
      <c r="O548" s="9">
        <v>-323</v>
      </c>
      <c r="P548" s="9">
        <f t="shared" si="25"/>
        <v>-197.22222222222223</v>
      </c>
      <c r="X548" s="9">
        <f t="shared" si="26"/>
        <v>75.927777777777749</v>
      </c>
    </row>
    <row r="549" spans="15:24" x14ac:dyDescent="0.25">
      <c r="O549" s="9">
        <v>-324</v>
      </c>
      <c r="P549" s="9">
        <f t="shared" si="25"/>
        <v>-197.77777777777777</v>
      </c>
      <c r="X549" s="9">
        <f t="shared" si="26"/>
        <v>75.372222222222206</v>
      </c>
    </row>
    <row r="550" spans="15:24" x14ac:dyDescent="0.25">
      <c r="O550" s="9">
        <v>-325</v>
      </c>
      <c r="P550" s="9">
        <f t="shared" si="25"/>
        <v>-198.33333333333331</v>
      </c>
      <c r="X550" s="9">
        <f t="shared" si="26"/>
        <v>74.816666666666663</v>
      </c>
    </row>
    <row r="551" spans="15:24" x14ac:dyDescent="0.25">
      <c r="O551" s="9">
        <v>-326</v>
      </c>
      <c r="P551" s="9">
        <f t="shared" si="25"/>
        <v>-198.88888888888889</v>
      </c>
      <c r="X551" s="9">
        <f t="shared" si="26"/>
        <v>74.261111111111092</v>
      </c>
    </row>
    <row r="552" spans="15:24" x14ac:dyDescent="0.25">
      <c r="O552" s="9">
        <v>-327</v>
      </c>
      <c r="P552" s="9">
        <f t="shared" si="25"/>
        <v>-199.44444444444443</v>
      </c>
      <c r="X552" s="9">
        <f t="shared" si="26"/>
        <v>73.705555555555549</v>
      </c>
    </row>
    <row r="553" spans="15:24" x14ac:dyDescent="0.25">
      <c r="O553" s="9">
        <v>-328</v>
      </c>
      <c r="P553" s="9">
        <f t="shared" si="25"/>
        <v>-200</v>
      </c>
      <c r="X553" s="9">
        <f t="shared" si="26"/>
        <v>73.149999999999977</v>
      </c>
    </row>
    <row r="554" spans="15:24" x14ac:dyDescent="0.25">
      <c r="O554" s="9">
        <v>-329</v>
      </c>
      <c r="P554" s="9">
        <f t="shared" si="25"/>
        <v>-200.55555555555554</v>
      </c>
      <c r="X554" s="9">
        <f t="shared" si="26"/>
        <v>72.594444444444434</v>
      </c>
    </row>
    <row r="555" spans="15:24" x14ac:dyDescent="0.25">
      <c r="O555" s="9">
        <v>-330</v>
      </c>
      <c r="P555" s="9">
        <f t="shared" si="25"/>
        <v>-201.11111111111111</v>
      </c>
      <c r="X555" s="9">
        <f t="shared" si="26"/>
        <v>72.038888888888863</v>
      </c>
    </row>
    <row r="556" spans="15:24" x14ac:dyDescent="0.25">
      <c r="O556" s="9">
        <v>-331</v>
      </c>
      <c r="P556" s="9">
        <f t="shared" si="25"/>
        <v>-201.66666666666666</v>
      </c>
      <c r="X556" s="9">
        <f t="shared" si="26"/>
        <v>71.48333333333332</v>
      </c>
    </row>
    <row r="557" spans="15:24" x14ac:dyDescent="0.25">
      <c r="O557" s="9">
        <v>-332</v>
      </c>
      <c r="P557" s="9">
        <f t="shared" si="25"/>
        <v>-202.22222222222223</v>
      </c>
      <c r="X557" s="9">
        <f t="shared" si="26"/>
        <v>70.927777777777749</v>
      </c>
    </row>
    <row r="558" spans="15:24" x14ac:dyDescent="0.25">
      <c r="O558" s="9">
        <v>-333</v>
      </c>
      <c r="P558" s="9">
        <f t="shared" si="25"/>
        <v>-202.77777777777777</v>
      </c>
      <c r="X558" s="9">
        <f t="shared" si="26"/>
        <v>70.372222222222206</v>
      </c>
    </row>
    <row r="559" spans="15:24" x14ac:dyDescent="0.25">
      <c r="O559" s="9">
        <v>-334</v>
      </c>
      <c r="P559" s="9">
        <f t="shared" si="25"/>
        <v>-203.33333333333331</v>
      </c>
      <c r="X559" s="9">
        <f t="shared" si="26"/>
        <v>69.816666666666663</v>
      </c>
    </row>
    <row r="560" spans="15:24" x14ac:dyDescent="0.25">
      <c r="O560" s="9">
        <v>-335</v>
      </c>
      <c r="P560" s="9">
        <f t="shared" si="25"/>
        <v>-203.88888888888889</v>
      </c>
      <c r="X560" s="9">
        <f t="shared" si="26"/>
        <v>69.261111111111092</v>
      </c>
    </row>
    <row r="561" spans="15:24" x14ac:dyDescent="0.25">
      <c r="O561" s="9">
        <v>-336</v>
      </c>
      <c r="P561" s="9">
        <f t="shared" si="25"/>
        <v>-204.44444444444443</v>
      </c>
      <c r="X561" s="9">
        <f t="shared" si="26"/>
        <v>68.705555555555549</v>
      </c>
    </row>
    <row r="562" spans="15:24" x14ac:dyDescent="0.25">
      <c r="O562" s="9">
        <v>-337</v>
      </c>
      <c r="P562" s="9">
        <f t="shared" si="25"/>
        <v>-205</v>
      </c>
      <c r="X562" s="9">
        <f t="shared" si="26"/>
        <v>68.149999999999977</v>
      </c>
    </row>
    <row r="563" spans="15:24" x14ac:dyDescent="0.25">
      <c r="O563" s="9">
        <v>-338</v>
      </c>
      <c r="P563" s="9">
        <f t="shared" si="25"/>
        <v>-205.55555555555554</v>
      </c>
      <c r="X563" s="9">
        <f t="shared" si="26"/>
        <v>67.594444444444434</v>
      </c>
    </row>
    <row r="564" spans="15:24" x14ac:dyDescent="0.25">
      <c r="O564" s="9">
        <v>-339</v>
      </c>
      <c r="P564" s="9">
        <f t="shared" si="25"/>
        <v>-206.11111111111111</v>
      </c>
      <c r="X564" s="9">
        <f t="shared" si="26"/>
        <v>67.038888888888863</v>
      </c>
    </row>
    <row r="565" spans="15:24" x14ac:dyDescent="0.25">
      <c r="O565" s="9">
        <v>-340</v>
      </c>
      <c r="P565" s="9">
        <f t="shared" si="25"/>
        <v>-206.66666666666666</v>
      </c>
      <c r="X565" s="9">
        <f t="shared" si="26"/>
        <v>66.48333333333332</v>
      </c>
    </row>
    <row r="566" spans="15:24" x14ac:dyDescent="0.25">
      <c r="O566" s="9">
        <v>-341</v>
      </c>
      <c r="P566" s="9">
        <f t="shared" si="25"/>
        <v>-207.22222222222223</v>
      </c>
      <c r="X566" s="9">
        <f t="shared" si="26"/>
        <v>65.927777777777749</v>
      </c>
    </row>
    <row r="567" spans="15:24" x14ac:dyDescent="0.25">
      <c r="O567" s="9">
        <v>-342</v>
      </c>
      <c r="P567" s="9">
        <f t="shared" si="25"/>
        <v>-207.77777777777777</v>
      </c>
      <c r="X567" s="9">
        <f t="shared" si="26"/>
        <v>65.372222222222206</v>
      </c>
    </row>
    <row r="568" spans="15:24" x14ac:dyDescent="0.25">
      <c r="O568" s="9">
        <v>-343</v>
      </c>
      <c r="P568" s="9">
        <f t="shared" si="25"/>
        <v>-208.33333333333331</v>
      </c>
      <c r="X568" s="9">
        <f t="shared" si="26"/>
        <v>64.816666666666663</v>
      </c>
    </row>
    <row r="569" spans="15:24" x14ac:dyDescent="0.25">
      <c r="O569" s="9">
        <v>-344</v>
      </c>
      <c r="P569" s="9">
        <f t="shared" si="25"/>
        <v>-208.88888888888889</v>
      </c>
      <c r="X569" s="9">
        <f t="shared" si="26"/>
        <v>64.261111111111092</v>
      </c>
    </row>
    <row r="570" spans="15:24" x14ac:dyDescent="0.25">
      <c r="O570" s="9">
        <v>-345</v>
      </c>
      <c r="P570" s="9">
        <f t="shared" si="25"/>
        <v>-209.44444444444443</v>
      </c>
      <c r="X570" s="9">
        <f t="shared" si="26"/>
        <v>63.705555555555549</v>
      </c>
    </row>
    <row r="571" spans="15:24" x14ac:dyDescent="0.25">
      <c r="O571" s="9">
        <v>-346</v>
      </c>
      <c r="P571" s="9">
        <f t="shared" si="25"/>
        <v>-210</v>
      </c>
      <c r="X571" s="9">
        <f t="shared" si="26"/>
        <v>63.149999999999977</v>
      </c>
    </row>
    <row r="572" spans="15:24" x14ac:dyDescent="0.25">
      <c r="O572" s="9">
        <v>-347</v>
      </c>
      <c r="P572" s="9">
        <f t="shared" si="25"/>
        <v>-210.55555555555554</v>
      </c>
      <c r="X572" s="9">
        <f t="shared" si="26"/>
        <v>62.594444444444434</v>
      </c>
    </row>
    <row r="573" spans="15:24" x14ac:dyDescent="0.25">
      <c r="O573" s="9">
        <v>-348</v>
      </c>
      <c r="P573" s="9">
        <f t="shared" si="25"/>
        <v>-211.11111111111111</v>
      </c>
      <c r="X573" s="9">
        <f t="shared" si="26"/>
        <v>62.038888888888863</v>
      </c>
    </row>
    <row r="574" spans="15:24" x14ac:dyDescent="0.25">
      <c r="O574" s="9">
        <v>-349</v>
      </c>
      <c r="P574" s="9">
        <f t="shared" si="25"/>
        <v>-211.66666666666666</v>
      </c>
      <c r="X574" s="9">
        <f t="shared" si="26"/>
        <v>61.48333333333332</v>
      </c>
    </row>
    <row r="575" spans="15:24" x14ac:dyDescent="0.25">
      <c r="O575" s="9">
        <v>-350</v>
      </c>
      <c r="P575" s="9">
        <f t="shared" si="25"/>
        <v>-212.22222222222223</v>
      </c>
      <c r="X575" s="9">
        <f t="shared" si="26"/>
        <v>60.927777777777749</v>
      </c>
    </row>
    <row r="576" spans="15:24" x14ac:dyDescent="0.25">
      <c r="O576" s="9">
        <v>-351</v>
      </c>
      <c r="P576" s="9">
        <f t="shared" si="25"/>
        <v>-212.77777777777777</v>
      </c>
      <c r="X576" s="9">
        <f t="shared" si="26"/>
        <v>60.372222222222206</v>
      </c>
    </row>
    <row r="577" spans="15:24" x14ac:dyDescent="0.25">
      <c r="O577" s="9">
        <v>-352</v>
      </c>
      <c r="P577" s="9">
        <f t="shared" si="25"/>
        <v>-213.33333333333331</v>
      </c>
      <c r="X577" s="9">
        <f t="shared" si="26"/>
        <v>59.816666666666663</v>
      </c>
    </row>
    <row r="578" spans="15:24" x14ac:dyDescent="0.25">
      <c r="O578" s="9">
        <v>-353</v>
      </c>
      <c r="P578" s="9">
        <f t="shared" si="25"/>
        <v>-213.88888888888889</v>
      </c>
      <c r="X578" s="9">
        <f t="shared" si="26"/>
        <v>59.261111111111092</v>
      </c>
    </row>
    <row r="579" spans="15:24" x14ac:dyDescent="0.25">
      <c r="O579" s="9">
        <v>-354</v>
      </c>
      <c r="P579" s="9">
        <f t="shared" si="25"/>
        <v>-214.44444444444443</v>
      </c>
      <c r="X579" s="9">
        <f t="shared" si="26"/>
        <v>58.705555555555549</v>
      </c>
    </row>
    <row r="580" spans="15:24" x14ac:dyDescent="0.25">
      <c r="O580" s="9">
        <v>-355</v>
      </c>
      <c r="P580" s="9">
        <f t="shared" si="25"/>
        <v>-215</v>
      </c>
      <c r="X580" s="9">
        <f t="shared" si="26"/>
        <v>58.149999999999977</v>
      </c>
    </row>
    <row r="581" spans="15:24" x14ac:dyDescent="0.25">
      <c r="O581" s="9">
        <v>-356</v>
      </c>
      <c r="P581" s="9">
        <f t="shared" ref="P581:P644" si="27">CONVERT(O581,"F","C")</f>
        <v>-215.55555555555554</v>
      </c>
      <c r="X581" s="9">
        <f t="shared" si="26"/>
        <v>57.594444444444434</v>
      </c>
    </row>
    <row r="582" spans="15:24" x14ac:dyDescent="0.25">
      <c r="O582" s="9">
        <v>-357</v>
      </c>
      <c r="P582" s="9">
        <f t="shared" si="27"/>
        <v>-216.11111111111111</v>
      </c>
      <c r="X582" s="9">
        <f t="shared" ref="X582:X645" si="28">CONVERT(O582,"F","K")</f>
        <v>57.038888888888863</v>
      </c>
    </row>
    <row r="583" spans="15:24" x14ac:dyDescent="0.25">
      <c r="O583" s="9">
        <v>-358</v>
      </c>
      <c r="P583" s="9">
        <f t="shared" si="27"/>
        <v>-216.66666666666666</v>
      </c>
      <c r="X583" s="9">
        <f t="shared" si="28"/>
        <v>56.48333333333332</v>
      </c>
    </row>
    <row r="584" spans="15:24" x14ac:dyDescent="0.25">
      <c r="O584" s="9">
        <v>-359</v>
      </c>
      <c r="P584" s="9">
        <f t="shared" si="27"/>
        <v>-217.22222222222223</v>
      </c>
      <c r="X584" s="9">
        <f t="shared" si="28"/>
        <v>55.927777777777749</v>
      </c>
    </row>
    <row r="585" spans="15:24" x14ac:dyDescent="0.25">
      <c r="O585" s="9">
        <v>-360</v>
      </c>
      <c r="P585" s="9">
        <f t="shared" si="27"/>
        <v>-217.77777777777777</v>
      </c>
      <c r="X585" s="9">
        <f t="shared" si="28"/>
        <v>55.372222222222206</v>
      </c>
    </row>
    <row r="586" spans="15:24" x14ac:dyDescent="0.25">
      <c r="O586" s="9">
        <v>-361</v>
      </c>
      <c r="P586" s="9">
        <f t="shared" si="27"/>
        <v>-218.33333333333331</v>
      </c>
      <c r="X586" s="9">
        <f t="shared" si="28"/>
        <v>54.816666666666663</v>
      </c>
    </row>
    <row r="587" spans="15:24" x14ac:dyDescent="0.25">
      <c r="O587" s="9">
        <v>-362</v>
      </c>
      <c r="P587" s="9">
        <f t="shared" si="27"/>
        <v>-218.88888888888889</v>
      </c>
      <c r="X587" s="9">
        <f t="shared" si="28"/>
        <v>54.261111111111092</v>
      </c>
    </row>
    <row r="588" spans="15:24" x14ac:dyDescent="0.25">
      <c r="O588" s="9">
        <v>-363</v>
      </c>
      <c r="P588" s="9">
        <f t="shared" si="27"/>
        <v>-219.44444444444443</v>
      </c>
      <c r="X588" s="9">
        <f t="shared" si="28"/>
        <v>53.705555555555549</v>
      </c>
    </row>
    <row r="589" spans="15:24" x14ac:dyDescent="0.25">
      <c r="O589" s="9">
        <v>-364</v>
      </c>
      <c r="P589" s="9">
        <f t="shared" si="27"/>
        <v>-220</v>
      </c>
      <c r="X589" s="9">
        <f t="shared" si="28"/>
        <v>53.149999999999977</v>
      </c>
    </row>
    <row r="590" spans="15:24" x14ac:dyDescent="0.25">
      <c r="O590" s="9">
        <v>-365</v>
      </c>
      <c r="P590" s="9">
        <f t="shared" si="27"/>
        <v>-220.55555555555554</v>
      </c>
      <c r="X590" s="9">
        <f t="shared" si="28"/>
        <v>52.594444444444434</v>
      </c>
    </row>
    <row r="591" spans="15:24" x14ac:dyDescent="0.25">
      <c r="O591" s="9">
        <v>-366</v>
      </c>
      <c r="P591" s="9">
        <f t="shared" si="27"/>
        <v>-221.11111111111111</v>
      </c>
      <c r="X591" s="9">
        <f t="shared" si="28"/>
        <v>52.038888888888863</v>
      </c>
    </row>
    <row r="592" spans="15:24" x14ac:dyDescent="0.25">
      <c r="O592" s="9">
        <v>-367</v>
      </c>
      <c r="P592" s="9">
        <f t="shared" si="27"/>
        <v>-221.66666666666666</v>
      </c>
      <c r="X592" s="9">
        <f t="shared" si="28"/>
        <v>51.48333333333332</v>
      </c>
    </row>
    <row r="593" spans="15:24" x14ac:dyDescent="0.25">
      <c r="O593" s="9">
        <v>-368</v>
      </c>
      <c r="P593" s="9">
        <f t="shared" si="27"/>
        <v>-222.22222222222223</v>
      </c>
      <c r="X593" s="9">
        <f t="shared" si="28"/>
        <v>50.927777777777749</v>
      </c>
    </row>
    <row r="594" spans="15:24" x14ac:dyDescent="0.25">
      <c r="O594" s="9">
        <v>-369</v>
      </c>
      <c r="P594" s="9">
        <f t="shared" si="27"/>
        <v>-222.77777777777777</v>
      </c>
      <c r="X594" s="9">
        <f t="shared" si="28"/>
        <v>50.372222222222206</v>
      </c>
    </row>
    <row r="595" spans="15:24" x14ac:dyDescent="0.25">
      <c r="O595" s="9">
        <v>-370</v>
      </c>
      <c r="P595" s="9">
        <f t="shared" si="27"/>
        <v>-223.33333333333331</v>
      </c>
      <c r="X595" s="9">
        <f t="shared" si="28"/>
        <v>49.816666666666663</v>
      </c>
    </row>
    <row r="596" spans="15:24" x14ac:dyDescent="0.25">
      <c r="O596" s="9">
        <v>-371</v>
      </c>
      <c r="P596" s="9">
        <f t="shared" si="27"/>
        <v>-223.88888888888889</v>
      </c>
      <c r="X596" s="9">
        <f t="shared" si="28"/>
        <v>49.261111111111092</v>
      </c>
    </row>
    <row r="597" spans="15:24" x14ac:dyDescent="0.25">
      <c r="O597" s="9">
        <v>-372</v>
      </c>
      <c r="P597" s="9">
        <f t="shared" si="27"/>
        <v>-224.44444444444443</v>
      </c>
      <c r="X597" s="9">
        <f t="shared" si="28"/>
        <v>48.705555555555549</v>
      </c>
    </row>
    <row r="598" spans="15:24" x14ac:dyDescent="0.25">
      <c r="O598" s="9">
        <v>-373</v>
      </c>
      <c r="P598" s="9">
        <f t="shared" si="27"/>
        <v>-225</v>
      </c>
      <c r="X598" s="9">
        <f t="shared" si="28"/>
        <v>48.149999999999977</v>
      </c>
    </row>
    <row r="599" spans="15:24" x14ac:dyDescent="0.25">
      <c r="O599" s="9">
        <v>-374</v>
      </c>
      <c r="P599" s="9">
        <f t="shared" si="27"/>
        <v>-225.55555555555554</v>
      </c>
      <c r="X599" s="9">
        <f t="shared" si="28"/>
        <v>47.594444444444434</v>
      </c>
    </row>
    <row r="600" spans="15:24" x14ac:dyDescent="0.25">
      <c r="O600" s="9">
        <v>-375</v>
      </c>
      <c r="P600" s="9">
        <f t="shared" si="27"/>
        <v>-226.11111111111111</v>
      </c>
      <c r="X600" s="9">
        <f t="shared" si="28"/>
        <v>47.038888888888863</v>
      </c>
    </row>
    <row r="601" spans="15:24" x14ac:dyDescent="0.25">
      <c r="O601" s="9">
        <v>-376</v>
      </c>
      <c r="P601" s="9">
        <f t="shared" si="27"/>
        <v>-226.66666666666666</v>
      </c>
      <c r="X601" s="9">
        <f t="shared" si="28"/>
        <v>46.48333333333332</v>
      </c>
    </row>
    <row r="602" spans="15:24" x14ac:dyDescent="0.25">
      <c r="O602" s="9">
        <v>-377</v>
      </c>
      <c r="P602" s="9">
        <f t="shared" si="27"/>
        <v>-227.22222222222223</v>
      </c>
      <c r="X602" s="9">
        <f t="shared" si="28"/>
        <v>45.927777777777749</v>
      </c>
    </row>
    <row r="603" spans="15:24" x14ac:dyDescent="0.25">
      <c r="O603" s="9">
        <v>-378</v>
      </c>
      <c r="P603" s="9">
        <f t="shared" si="27"/>
        <v>-227.77777777777777</v>
      </c>
      <c r="X603" s="9">
        <f t="shared" si="28"/>
        <v>45.372222222222206</v>
      </c>
    </row>
    <row r="604" spans="15:24" x14ac:dyDescent="0.25">
      <c r="O604" s="9">
        <v>-379</v>
      </c>
      <c r="P604" s="9">
        <f t="shared" si="27"/>
        <v>-228.33333333333331</v>
      </c>
      <c r="X604" s="9">
        <f t="shared" si="28"/>
        <v>44.816666666666663</v>
      </c>
    </row>
    <row r="605" spans="15:24" x14ac:dyDescent="0.25">
      <c r="O605" s="9">
        <v>-380</v>
      </c>
      <c r="P605" s="9">
        <f t="shared" si="27"/>
        <v>-228.88888888888889</v>
      </c>
      <c r="X605" s="9">
        <f t="shared" si="28"/>
        <v>44.261111111111092</v>
      </c>
    </row>
    <row r="606" spans="15:24" x14ac:dyDescent="0.25">
      <c r="O606" s="9">
        <v>-381</v>
      </c>
      <c r="P606" s="9">
        <f t="shared" si="27"/>
        <v>-229.44444444444443</v>
      </c>
      <c r="X606" s="9">
        <f t="shared" si="28"/>
        <v>43.705555555555549</v>
      </c>
    </row>
    <row r="607" spans="15:24" x14ac:dyDescent="0.25">
      <c r="O607" s="9">
        <v>-382</v>
      </c>
      <c r="P607" s="9">
        <f t="shared" si="27"/>
        <v>-230</v>
      </c>
      <c r="X607" s="9">
        <f t="shared" si="28"/>
        <v>43.149999999999977</v>
      </c>
    </row>
    <row r="608" spans="15:24" x14ac:dyDescent="0.25">
      <c r="O608" s="9">
        <v>-383</v>
      </c>
      <c r="P608" s="9">
        <f t="shared" si="27"/>
        <v>-230.55555555555554</v>
      </c>
      <c r="X608" s="9">
        <f t="shared" si="28"/>
        <v>42.594444444444434</v>
      </c>
    </row>
    <row r="609" spans="15:24" x14ac:dyDescent="0.25">
      <c r="O609" s="9">
        <v>-384</v>
      </c>
      <c r="P609" s="9">
        <f t="shared" si="27"/>
        <v>-231.11111111111111</v>
      </c>
      <c r="X609" s="9">
        <f t="shared" si="28"/>
        <v>42.038888888888863</v>
      </c>
    </row>
    <row r="610" spans="15:24" x14ac:dyDescent="0.25">
      <c r="O610" s="9">
        <v>-385</v>
      </c>
      <c r="P610" s="9">
        <f t="shared" si="27"/>
        <v>-231.66666666666666</v>
      </c>
      <c r="X610" s="9">
        <f t="shared" si="28"/>
        <v>41.48333333333332</v>
      </c>
    </row>
    <row r="611" spans="15:24" x14ac:dyDescent="0.25">
      <c r="O611" s="9">
        <v>-386</v>
      </c>
      <c r="P611" s="9">
        <f t="shared" si="27"/>
        <v>-232.22222222222223</v>
      </c>
      <c r="X611" s="9">
        <f t="shared" si="28"/>
        <v>40.927777777777749</v>
      </c>
    </row>
    <row r="612" spans="15:24" x14ac:dyDescent="0.25">
      <c r="O612" s="9">
        <v>-387</v>
      </c>
      <c r="P612" s="9">
        <f t="shared" si="27"/>
        <v>-232.77777777777777</v>
      </c>
      <c r="X612" s="9">
        <f t="shared" si="28"/>
        <v>40.372222222222206</v>
      </c>
    </row>
    <row r="613" spans="15:24" x14ac:dyDescent="0.25">
      <c r="O613" s="9">
        <v>-388</v>
      </c>
      <c r="P613" s="9">
        <f t="shared" si="27"/>
        <v>-233.33333333333331</v>
      </c>
      <c r="X613" s="9">
        <f t="shared" si="28"/>
        <v>39.816666666666663</v>
      </c>
    </row>
    <row r="614" spans="15:24" x14ac:dyDescent="0.25">
      <c r="O614" s="9">
        <v>-389</v>
      </c>
      <c r="P614" s="9">
        <f t="shared" si="27"/>
        <v>-233.88888888888889</v>
      </c>
      <c r="X614" s="9">
        <f t="shared" si="28"/>
        <v>39.261111111111092</v>
      </c>
    </row>
    <row r="615" spans="15:24" x14ac:dyDescent="0.25">
      <c r="O615" s="9">
        <v>-390</v>
      </c>
      <c r="P615" s="9">
        <f t="shared" si="27"/>
        <v>-234.44444444444443</v>
      </c>
      <c r="X615" s="9">
        <f t="shared" si="28"/>
        <v>38.705555555555549</v>
      </c>
    </row>
    <row r="616" spans="15:24" x14ac:dyDescent="0.25">
      <c r="O616" s="9">
        <v>-391</v>
      </c>
      <c r="P616" s="9">
        <f t="shared" si="27"/>
        <v>-235</v>
      </c>
      <c r="X616" s="9">
        <f t="shared" si="28"/>
        <v>38.149999999999977</v>
      </c>
    </row>
    <row r="617" spans="15:24" x14ac:dyDescent="0.25">
      <c r="O617" s="9">
        <v>-392</v>
      </c>
      <c r="P617" s="9">
        <f t="shared" si="27"/>
        <v>-235.55555555555554</v>
      </c>
      <c r="X617" s="9">
        <f t="shared" si="28"/>
        <v>37.594444444444434</v>
      </c>
    </row>
    <row r="618" spans="15:24" x14ac:dyDescent="0.25">
      <c r="O618" s="9">
        <v>-393</v>
      </c>
      <c r="P618" s="9">
        <f t="shared" si="27"/>
        <v>-236.11111111111111</v>
      </c>
      <c r="X618" s="9">
        <f t="shared" si="28"/>
        <v>37.038888888888863</v>
      </c>
    </row>
    <row r="619" spans="15:24" x14ac:dyDescent="0.25">
      <c r="O619" s="9">
        <v>-394</v>
      </c>
      <c r="P619" s="9">
        <f t="shared" si="27"/>
        <v>-236.66666666666666</v>
      </c>
      <c r="X619" s="9">
        <f t="shared" si="28"/>
        <v>36.48333333333332</v>
      </c>
    </row>
    <row r="620" spans="15:24" x14ac:dyDescent="0.25">
      <c r="O620" s="9">
        <v>-395</v>
      </c>
      <c r="P620" s="9">
        <f t="shared" si="27"/>
        <v>-237.22222222222223</v>
      </c>
      <c r="X620" s="9">
        <f t="shared" si="28"/>
        <v>35.927777777777749</v>
      </c>
    </row>
    <row r="621" spans="15:24" x14ac:dyDescent="0.25">
      <c r="O621" s="9">
        <v>-396</v>
      </c>
      <c r="P621" s="9">
        <f t="shared" si="27"/>
        <v>-237.77777777777777</v>
      </c>
      <c r="X621" s="9">
        <f t="shared" si="28"/>
        <v>35.372222222222206</v>
      </c>
    </row>
    <row r="622" spans="15:24" x14ac:dyDescent="0.25">
      <c r="O622" s="9">
        <v>-397</v>
      </c>
      <c r="P622" s="9">
        <f t="shared" si="27"/>
        <v>-238.33333333333331</v>
      </c>
      <c r="X622" s="9">
        <f t="shared" si="28"/>
        <v>34.816666666666663</v>
      </c>
    </row>
    <row r="623" spans="15:24" x14ac:dyDescent="0.25">
      <c r="O623" s="9">
        <v>-398</v>
      </c>
      <c r="P623" s="9">
        <f t="shared" si="27"/>
        <v>-238.88888888888889</v>
      </c>
      <c r="X623" s="9">
        <f t="shared" si="28"/>
        <v>34.261111111111092</v>
      </c>
    </row>
    <row r="624" spans="15:24" x14ac:dyDescent="0.25">
      <c r="O624" s="9">
        <v>-399</v>
      </c>
      <c r="P624" s="9">
        <f t="shared" si="27"/>
        <v>-239.44444444444443</v>
      </c>
      <c r="X624" s="9">
        <f t="shared" si="28"/>
        <v>33.705555555555549</v>
      </c>
    </row>
    <row r="625" spans="15:24" x14ac:dyDescent="0.25">
      <c r="O625" s="9">
        <v>-400</v>
      </c>
      <c r="P625" s="9">
        <f t="shared" si="27"/>
        <v>-240</v>
      </c>
      <c r="X625" s="9">
        <f t="shared" si="28"/>
        <v>33.149999999999977</v>
      </c>
    </row>
    <row r="626" spans="15:24" x14ac:dyDescent="0.25">
      <c r="O626" s="9">
        <v>-401</v>
      </c>
      <c r="P626" s="9">
        <f t="shared" si="27"/>
        <v>-240.55555555555554</v>
      </c>
      <c r="X626" s="9">
        <f t="shared" si="28"/>
        <v>32.594444444444434</v>
      </c>
    </row>
    <row r="627" spans="15:24" x14ac:dyDescent="0.25">
      <c r="O627" s="9">
        <v>-402</v>
      </c>
      <c r="P627" s="9">
        <f t="shared" si="27"/>
        <v>-241.11111111111111</v>
      </c>
      <c r="X627" s="9">
        <f t="shared" si="28"/>
        <v>32.038888888888863</v>
      </c>
    </row>
    <row r="628" spans="15:24" x14ac:dyDescent="0.25">
      <c r="O628" s="9">
        <v>-403</v>
      </c>
      <c r="P628" s="9">
        <f t="shared" si="27"/>
        <v>-241.66666666666666</v>
      </c>
      <c r="X628" s="9">
        <f t="shared" si="28"/>
        <v>31.48333333333332</v>
      </c>
    </row>
    <row r="629" spans="15:24" x14ac:dyDescent="0.25">
      <c r="O629" s="9">
        <v>-404</v>
      </c>
      <c r="P629" s="9">
        <f t="shared" si="27"/>
        <v>-242.22222222222223</v>
      </c>
      <c r="X629" s="9">
        <f t="shared" si="28"/>
        <v>30.927777777777749</v>
      </c>
    </row>
    <row r="630" spans="15:24" x14ac:dyDescent="0.25">
      <c r="O630" s="9">
        <v>-405</v>
      </c>
      <c r="P630" s="9">
        <f t="shared" si="27"/>
        <v>-242.77777777777777</v>
      </c>
      <c r="X630" s="9">
        <f t="shared" si="28"/>
        <v>30.372222222222206</v>
      </c>
    </row>
    <row r="631" spans="15:24" x14ac:dyDescent="0.25">
      <c r="O631" s="9">
        <v>-406</v>
      </c>
      <c r="P631" s="9">
        <f t="shared" si="27"/>
        <v>-243.33333333333331</v>
      </c>
      <c r="X631" s="9">
        <f t="shared" si="28"/>
        <v>29.816666666666663</v>
      </c>
    </row>
    <row r="632" spans="15:24" x14ac:dyDescent="0.25">
      <c r="O632" s="9">
        <v>-407</v>
      </c>
      <c r="P632" s="9">
        <f t="shared" si="27"/>
        <v>-243.88888888888889</v>
      </c>
      <c r="X632" s="9">
        <f t="shared" si="28"/>
        <v>29.261111111111092</v>
      </c>
    </row>
    <row r="633" spans="15:24" x14ac:dyDescent="0.25">
      <c r="O633" s="9">
        <v>-408</v>
      </c>
      <c r="P633" s="9">
        <f t="shared" si="27"/>
        <v>-244.44444444444443</v>
      </c>
      <c r="X633" s="9">
        <f t="shared" si="28"/>
        <v>28.705555555555549</v>
      </c>
    </row>
    <row r="634" spans="15:24" x14ac:dyDescent="0.25">
      <c r="O634" s="9">
        <v>-409</v>
      </c>
      <c r="P634" s="9">
        <f t="shared" si="27"/>
        <v>-245</v>
      </c>
      <c r="X634" s="9">
        <f t="shared" si="28"/>
        <v>28.149999999999977</v>
      </c>
    </row>
    <row r="635" spans="15:24" x14ac:dyDescent="0.25">
      <c r="O635" s="9">
        <v>-410</v>
      </c>
      <c r="P635" s="9">
        <f t="shared" si="27"/>
        <v>-245.55555555555554</v>
      </c>
      <c r="X635" s="9">
        <f t="shared" si="28"/>
        <v>27.594444444444434</v>
      </c>
    </row>
    <row r="636" spans="15:24" x14ac:dyDescent="0.25">
      <c r="O636" s="9">
        <v>-411</v>
      </c>
      <c r="P636" s="9">
        <f t="shared" si="27"/>
        <v>-246.11111111111111</v>
      </c>
      <c r="X636" s="9">
        <f t="shared" si="28"/>
        <v>27.038888888888863</v>
      </c>
    </row>
    <row r="637" spans="15:24" x14ac:dyDescent="0.25">
      <c r="O637" s="9">
        <v>-412</v>
      </c>
      <c r="P637" s="9">
        <f t="shared" si="27"/>
        <v>-246.66666666666666</v>
      </c>
      <c r="X637" s="9">
        <f t="shared" si="28"/>
        <v>26.48333333333332</v>
      </c>
    </row>
    <row r="638" spans="15:24" x14ac:dyDescent="0.25">
      <c r="O638" s="9">
        <v>-413</v>
      </c>
      <c r="P638" s="9">
        <f t="shared" si="27"/>
        <v>-247.22222222222223</v>
      </c>
      <c r="X638" s="9">
        <f t="shared" si="28"/>
        <v>25.927777777777749</v>
      </c>
    </row>
    <row r="639" spans="15:24" x14ac:dyDescent="0.25">
      <c r="O639" s="9">
        <v>-414</v>
      </c>
      <c r="P639" s="9">
        <f t="shared" si="27"/>
        <v>-247.77777777777777</v>
      </c>
      <c r="X639" s="9">
        <f t="shared" si="28"/>
        <v>25.372222222222206</v>
      </c>
    </row>
    <row r="640" spans="15:24" x14ac:dyDescent="0.25">
      <c r="O640" s="9">
        <v>-415</v>
      </c>
      <c r="P640" s="9">
        <f t="shared" si="27"/>
        <v>-248.33333333333331</v>
      </c>
      <c r="X640" s="9">
        <f t="shared" si="28"/>
        <v>24.816666666666663</v>
      </c>
    </row>
    <row r="641" spans="15:24" x14ac:dyDescent="0.25">
      <c r="O641" s="9">
        <v>-416</v>
      </c>
      <c r="P641" s="9">
        <f t="shared" si="27"/>
        <v>-248.88888888888889</v>
      </c>
      <c r="X641" s="9">
        <f t="shared" si="28"/>
        <v>24.261111111111092</v>
      </c>
    </row>
    <row r="642" spans="15:24" x14ac:dyDescent="0.25">
      <c r="O642" s="9">
        <v>-417</v>
      </c>
      <c r="P642" s="9">
        <f t="shared" si="27"/>
        <v>-249.44444444444443</v>
      </c>
      <c r="X642" s="9">
        <f t="shared" si="28"/>
        <v>23.705555555555549</v>
      </c>
    </row>
    <row r="643" spans="15:24" x14ac:dyDescent="0.25">
      <c r="O643" s="9">
        <v>-418</v>
      </c>
      <c r="P643" s="9">
        <f t="shared" si="27"/>
        <v>-250</v>
      </c>
      <c r="X643" s="9">
        <f t="shared" si="28"/>
        <v>23.149999999999977</v>
      </c>
    </row>
    <row r="644" spans="15:24" x14ac:dyDescent="0.25">
      <c r="O644" s="9">
        <v>-419</v>
      </c>
      <c r="P644" s="9">
        <f t="shared" si="27"/>
        <v>-250.55555555555554</v>
      </c>
      <c r="X644" s="9">
        <f t="shared" si="28"/>
        <v>22.594444444444434</v>
      </c>
    </row>
    <row r="645" spans="15:24" x14ac:dyDescent="0.25">
      <c r="O645" s="9">
        <v>-420</v>
      </c>
      <c r="P645" s="9">
        <f t="shared" ref="P645:P685" si="29">CONVERT(O645,"F","C")</f>
        <v>-251.11111111111111</v>
      </c>
      <c r="X645" s="9">
        <f t="shared" si="28"/>
        <v>22.038888888888863</v>
      </c>
    </row>
    <row r="646" spans="15:24" x14ac:dyDescent="0.25">
      <c r="O646" s="9">
        <v>-421</v>
      </c>
      <c r="P646" s="9">
        <f t="shared" si="29"/>
        <v>-251.66666666666666</v>
      </c>
      <c r="X646" s="9">
        <f t="shared" ref="X646:X685" si="30">CONVERT(O646,"F","K")</f>
        <v>21.48333333333332</v>
      </c>
    </row>
    <row r="647" spans="15:24" x14ac:dyDescent="0.25">
      <c r="O647" s="9">
        <v>-422</v>
      </c>
      <c r="P647" s="9">
        <f t="shared" si="29"/>
        <v>-252.22222222222223</v>
      </c>
      <c r="X647" s="9">
        <f t="shared" si="30"/>
        <v>20.927777777777749</v>
      </c>
    </row>
    <row r="648" spans="15:24" x14ac:dyDescent="0.25">
      <c r="O648" s="9">
        <v>-423</v>
      </c>
      <c r="P648" s="9">
        <f t="shared" si="29"/>
        <v>-252.77777777777777</v>
      </c>
      <c r="X648" s="9">
        <f t="shared" si="30"/>
        <v>20.372222222222206</v>
      </c>
    </row>
    <row r="649" spans="15:24" x14ac:dyDescent="0.25">
      <c r="O649" s="9">
        <v>-424</v>
      </c>
      <c r="P649" s="9">
        <f t="shared" si="29"/>
        <v>-253.33333333333331</v>
      </c>
      <c r="X649" s="9">
        <f t="shared" si="30"/>
        <v>19.816666666666663</v>
      </c>
    </row>
    <row r="650" spans="15:24" x14ac:dyDescent="0.25">
      <c r="O650" s="9">
        <v>-425</v>
      </c>
      <c r="P650" s="9">
        <f t="shared" si="29"/>
        <v>-253.88888888888889</v>
      </c>
      <c r="X650" s="9">
        <f t="shared" si="30"/>
        <v>19.261111111111092</v>
      </c>
    </row>
    <row r="651" spans="15:24" x14ac:dyDescent="0.25">
      <c r="O651" s="9">
        <v>-426</v>
      </c>
      <c r="P651" s="9">
        <f t="shared" si="29"/>
        <v>-254.44444444444443</v>
      </c>
      <c r="X651" s="9">
        <f t="shared" si="30"/>
        <v>18.705555555555549</v>
      </c>
    </row>
    <row r="652" spans="15:24" x14ac:dyDescent="0.25">
      <c r="O652" s="9">
        <v>-427</v>
      </c>
      <c r="P652" s="9">
        <f t="shared" si="29"/>
        <v>-255</v>
      </c>
      <c r="X652" s="9">
        <f t="shared" si="30"/>
        <v>18.149999999999977</v>
      </c>
    </row>
    <row r="653" spans="15:24" x14ac:dyDescent="0.25">
      <c r="O653" s="9">
        <v>-428</v>
      </c>
      <c r="P653" s="9">
        <f t="shared" si="29"/>
        <v>-255.55555555555554</v>
      </c>
      <c r="X653" s="9">
        <f t="shared" si="30"/>
        <v>17.594444444444434</v>
      </c>
    </row>
    <row r="654" spans="15:24" x14ac:dyDescent="0.25">
      <c r="O654" s="9">
        <v>-429</v>
      </c>
      <c r="P654" s="9">
        <f t="shared" si="29"/>
        <v>-256.11111111111109</v>
      </c>
      <c r="X654" s="9">
        <f t="shared" si="30"/>
        <v>17.038888888888891</v>
      </c>
    </row>
    <row r="655" spans="15:24" x14ac:dyDescent="0.25">
      <c r="O655" s="9">
        <v>-430</v>
      </c>
      <c r="P655" s="9">
        <f t="shared" si="29"/>
        <v>-256.66666666666669</v>
      </c>
      <c r="X655" s="9">
        <f t="shared" si="30"/>
        <v>16.483333333333292</v>
      </c>
    </row>
    <row r="656" spans="15:24" x14ac:dyDescent="0.25">
      <c r="O656" s="9">
        <v>-431</v>
      </c>
      <c r="P656" s="9">
        <f t="shared" si="29"/>
        <v>-257.22222222222223</v>
      </c>
      <c r="X656" s="9">
        <f t="shared" si="30"/>
        <v>15.927777777777749</v>
      </c>
    </row>
    <row r="657" spans="15:24" x14ac:dyDescent="0.25">
      <c r="O657" s="9">
        <v>-432</v>
      </c>
      <c r="P657" s="9">
        <f t="shared" si="29"/>
        <v>-257.77777777777777</v>
      </c>
      <c r="X657" s="9">
        <f t="shared" si="30"/>
        <v>15.372222222222206</v>
      </c>
    </row>
    <row r="658" spans="15:24" x14ac:dyDescent="0.25">
      <c r="O658" s="9">
        <v>-433</v>
      </c>
      <c r="P658" s="9">
        <f t="shared" si="29"/>
        <v>-258.33333333333331</v>
      </c>
      <c r="X658" s="9">
        <f t="shared" si="30"/>
        <v>14.816666666666663</v>
      </c>
    </row>
    <row r="659" spans="15:24" x14ac:dyDescent="0.25">
      <c r="O659" s="9">
        <v>-434</v>
      </c>
      <c r="P659" s="9">
        <f t="shared" si="29"/>
        <v>-258.88888888888886</v>
      </c>
      <c r="X659" s="9">
        <f t="shared" si="30"/>
        <v>14.26111111111112</v>
      </c>
    </row>
    <row r="660" spans="15:24" x14ac:dyDescent="0.25">
      <c r="O660" s="9">
        <v>-435</v>
      </c>
      <c r="P660" s="9">
        <f t="shared" si="29"/>
        <v>-259.44444444444446</v>
      </c>
      <c r="X660" s="9">
        <f t="shared" si="30"/>
        <v>13.70555555555552</v>
      </c>
    </row>
    <row r="661" spans="15:24" x14ac:dyDescent="0.25">
      <c r="O661" s="9">
        <v>-436</v>
      </c>
      <c r="P661" s="9">
        <f t="shared" si="29"/>
        <v>-260</v>
      </c>
      <c r="X661" s="9">
        <f t="shared" si="30"/>
        <v>13.149999999999977</v>
      </c>
    </row>
    <row r="662" spans="15:24" x14ac:dyDescent="0.25">
      <c r="O662" s="9">
        <v>-437</v>
      </c>
      <c r="P662" s="9">
        <f t="shared" si="29"/>
        <v>-260.55555555555554</v>
      </c>
      <c r="X662" s="9">
        <f t="shared" si="30"/>
        <v>12.594444444444434</v>
      </c>
    </row>
    <row r="663" spans="15:24" x14ac:dyDescent="0.25">
      <c r="O663" s="9">
        <v>-438</v>
      </c>
      <c r="P663" s="9">
        <f t="shared" si="29"/>
        <v>-261.11111111111109</v>
      </c>
      <c r="X663" s="9">
        <f t="shared" si="30"/>
        <v>12.038888888888891</v>
      </c>
    </row>
    <row r="664" spans="15:24" x14ac:dyDescent="0.25">
      <c r="O664" s="9">
        <v>-439</v>
      </c>
      <c r="P664" s="9">
        <f t="shared" si="29"/>
        <v>-261.66666666666669</v>
      </c>
      <c r="X664" s="9">
        <f t="shared" si="30"/>
        <v>11.483333333333292</v>
      </c>
    </row>
    <row r="665" spans="15:24" x14ac:dyDescent="0.25">
      <c r="O665" s="9">
        <v>-440</v>
      </c>
      <c r="P665" s="9">
        <f t="shared" si="29"/>
        <v>-262.22222222222223</v>
      </c>
      <c r="X665" s="9">
        <f t="shared" si="30"/>
        <v>10.927777777777749</v>
      </c>
    </row>
    <row r="666" spans="15:24" x14ac:dyDescent="0.25">
      <c r="O666" s="9">
        <v>-441</v>
      </c>
      <c r="P666" s="9">
        <f t="shared" si="29"/>
        <v>-262.77777777777777</v>
      </c>
      <c r="X666" s="9">
        <f t="shared" si="30"/>
        <v>10.372222222222206</v>
      </c>
    </row>
    <row r="667" spans="15:24" x14ac:dyDescent="0.25">
      <c r="O667" s="9">
        <v>-442</v>
      </c>
      <c r="P667" s="9">
        <f t="shared" si="29"/>
        <v>-263.33333333333331</v>
      </c>
      <c r="X667" s="9">
        <f t="shared" si="30"/>
        <v>9.8166666666666629</v>
      </c>
    </row>
    <row r="668" spans="15:24" x14ac:dyDescent="0.25">
      <c r="O668" s="9">
        <v>-443</v>
      </c>
      <c r="P668" s="9">
        <f t="shared" si="29"/>
        <v>-263.88888888888886</v>
      </c>
      <c r="X668" s="9">
        <f t="shared" si="30"/>
        <v>9.26111111111112</v>
      </c>
    </row>
    <row r="669" spans="15:24" x14ac:dyDescent="0.25">
      <c r="O669" s="9">
        <v>-444</v>
      </c>
      <c r="P669" s="9">
        <f t="shared" si="29"/>
        <v>-264.44444444444446</v>
      </c>
      <c r="X669" s="9">
        <f t="shared" si="30"/>
        <v>8.7055555555555202</v>
      </c>
    </row>
    <row r="670" spans="15:24" x14ac:dyDescent="0.25">
      <c r="O670" s="9">
        <v>-445</v>
      </c>
      <c r="P670" s="9">
        <f t="shared" si="29"/>
        <v>-265</v>
      </c>
      <c r="X670" s="9">
        <f t="shared" si="30"/>
        <v>8.1499999999999773</v>
      </c>
    </row>
    <row r="671" spans="15:24" x14ac:dyDescent="0.25">
      <c r="O671" s="9">
        <v>-446</v>
      </c>
      <c r="P671" s="9">
        <f t="shared" si="29"/>
        <v>-265.55555555555554</v>
      </c>
      <c r="X671" s="9">
        <f t="shared" si="30"/>
        <v>7.5944444444444343</v>
      </c>
    </row>
    <row r="672" spans="15:24" x14ac:dyDescent="0.25">
      <c r="O672" s="9">
        <v>-447</v>
      </c>
      <c r="P672" s="9">
        <f t="shared" si="29"/>
        <v>-266.11111111111109</v>
      </c>
      <c r="X672" s="9">
        <f t="shared" si="30"/>
        <v>7.0388888888888914</v>
      </c>
    </row>
    <row r="673" spans="15:24" x14ac:dyDescent="0.25">
      <c r="O673" s="9">
        <v>-448</v>
      </c>
      <c r="P673" s="9">
        <f t="shared" si="29"/>
        <v>-266.66666666666669</v>
      </c>
      <c r="X673" s="9">
        <f t="shared" si="30"/>
        <v>6.4833333333332916</v>
      </c>
    </row>
    <row r="674" spans="15:24" x14ac:dyDescent="0.25">
      <c r="O674" s="9">
        <v>-449</v>
      </c>
      <c r="P674" s="9">
        <f t="shared" si="29"/>
        <v>-267.22222222222223</v>
      </c>
      <c r="X674" s="9">
        <f t="shared" si="30"/>
        <v>5.9277777777777487</v>
      </c>
    </row>
    <row r="675" spans="15:24" x14ac:dyDescent="0.25">
      <c r="O675" s="9">
        <v>-450</v>
      </c>
      <c r="P675" s="9">
        <f t="shared" si="29"/>
        <v>-267.77777777777777</v>
      </c>
      <c r="X675" s="9">
        <f t="shared" si="30"/>
        <v>5.3722222222222058</v>
      </c>
    </row>
    <row r="676" spans="15:24" x14ac:dyDescent="0.25">
      <c r="O676" s="9">
        <v>-451</v>
      </c>
      <c r="P676" s="9">
        <f t="shared" si="29"/>
        <v>-268.33333333333331</v>
      </c>
      <c r="X676" s="9">
        <f t="shared" si="30"/>
        <v>4.8166666666666629</v>
      </c>
    </row>
    <row r="677" spans="15:24" x14ac:dyDescent="0.25">
      <c r="O677" s="9">
        <v>-452</v>
      </c>
      <c r="P677" s="9">
        <f t="shared" si="29"/>
        <v>-268.88888888888886</v>
      </c>
      <c r="X677" s="9">
        <f t="shared" si="30"/>
        <v>4.26111111111112</v>
      </c>
    </row>
    <row r="678" spans="15:24" x14ac:dyDescent="0.25">
      <c r="O678" s="9">
        <v>-453</v>
      </c>
      <c r="P678" s="9">
        <f t="shared" si="29"/>
        <v>-269.44444444444446</v>
      </c>
      <c r="X678" s="9">
        <f t="shared" si="30"/>
        <v>3.7055555555555202</v>
      </c>
    </row>
    <row r="679" spans="15:24" x14ac:dyDescent="0.25">
      <c r="O679" s="9">
        <v>-454</v>
      </c>
      <c r="P679" s="9">
        <f t="shared" si="29"/>
        <v>-270</v>
      </c>
      <c r="X679" s="9">
        <f t="shared" si="30"/>
        <v>3.1499999999999773</v>
      </c>
    </row>
    <row r="680" spans="15:24" x14ac:dyDescent="0.25">
      <c r="O680" s="9">
        <v>-455</v>
      </c>
      <c r="P680" s="9">
        <f t="shared" si="29"/>
        <v>-270.55555555555554</v>
      </c>
      <c r="X680" s="9">
        <f t="shared" si="30"/>
        <v>2.5944444444444343</v>
      </c>
    </row>
    <row r="681" spans="15:24" x14ac:dyDescent="0.25">
      <c r="O681" s="9">
        <v>-456</v>
      </c>
      <c r="P681" s="9">
        <f t="shared" si="29"/>
        <v>-271.11111111111109</v>
      </c>
      <c r="X681" s="9">
        <f t="shared" si="30"/>
        <v>2.0388888888888914</v>
      </c>
    </row>
    <row r="682" spans="15:24" x14ac:dyDescent="0.25">
      <c r="O682" s="9">
        <v>-457</v>
      </c>
      <c r="P682" s="9">
        <f t="shared" si="29"/>
        <v>-271.66666666666669</v>
      </c>
      <c r="X682" s="9">
        <f t="shared" si="30"/>
        <v>1.4833333333332916</v>
      </c>
    </row>
    <row r="683" spans="15:24" x14ac:dyDescent="0.25">
      <c r="O683" s="9">
        <v>-458</v>
      </c>
      <c r="P683" s="9">
        <f t="shared" si="29"/>
        <v>-272.22222222222223</v>
      </c>
      <c r="X683" s="9">
        <f t="shared" si="30"/>
        <v>0.92777777777774872</v>
      </c>
    </row>
    <row r="684" spans="15:24" x14ac:dyDescent="0.25">
      <c r="O684" s="9">
        <v>-459</v>
      </c>
      <c r="P684" s="9">
        <f t="shared" si="29"/>
        <v>-272.77777777777777</v>
      </c>
      <c r="X684" s="9">
        <f t="shared" si="30"/>
        <v>0.3722222222222058</v>
      </c>
    </row>
    <row r="685" spans="15:24" x14ac:dyDescent="0.25">
      <c r="O685" s="9">
        <f>CONVERT(0,"K","F")</f>
        <v>-459.66999999999996</v>
      </c>
      <c r="P685" s="9">
        <f t="shared" si="29"/>
        <v>-273.14999999999998</v>
      </c>
      <c r="X685" s="9">
        <f t="shared" si="30"/>
        <v>0</v>
      </c>
    </row>
  </sheetData>
  <mergeCells count="10">
    <mergeCell ref="U18:V20"/>
    <mergeCell ref="AC18:AD20"/>
    <mergeCell ref="U21:V23"/>
    <mergeCell ref="AC21:AD23"/>
    <mergeCell ref="B1:F1"/>
    <mergeCell ref="I1:M1"/>
    <mergeCell ref="P1:V1"/>
    <mergeCell ref="Y1:AB1"/>
    <mergeCell ref="A2:M2"/>
    <mergeCell ref="O2:AB2"/>
  </mergeCells>
  <conditionalFormatting sqref="O5:P685">
    <cfRule type="expression" dxfId="3" priority="2">
      <formula>O5=0</formula>
    </cfRule>
  </conditionalFormatting>
  <conditionalFormatting sqref="X5:X685">
    <cfRule type="expression" dxfId="2" priority="1">
      <formula>X5=0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AM685"/>
  <sheetViews>
    <sheetView zoomScale="85" zoomScaleNormal="85" workbookViewId="0">
      <selection activeCell="B1" sqref="B1:F1"/>
    </sheetView>
  </sheetViews>
  <sheetFormatPr defaultRowHeight="15" x14ac:dyDescent="0.25"/>
  <cols>
    <col min="1" max="1" width="10.7109375" style="17" bestFit="1" customWidth="1"/>
    <col min="2" max="2" width="12.140625" style="17" bestFit="1" customWidth="1"/>
    <col min="3" max="3" width="14.140625" style="17" customWidth="1"/>
    <col min="4" max="4" width="9.140625" style="17"/>
    <col min="5" max="5" width="17.42578125" style="17" customWidth="1"/>
    <col min="6" max="6" width="23.42578125" style="17" customWidth="1"/>
    <col min="7" max="7" width="9.140625" style="17"/>
    <col min="8" max="8" width="13.5703125" style="17" customWidth="1"/>
    <col min="9" max="9" width="14.28515625" style="17" customWidth="1"/>
    <col min="10" max="10" width="14.85546875" style="17" customWidth="1"/>
    <col min="11" max="11" width="9.140625" style="17"/>
    <col min="12" max="12" width="13.5703125" style="17" bestFit="1" customWidth="1"/>
    <col min="13" max="13" width="9.5703125" style="17" customWidth="1"/>
    <col min="14" max="14" width="9.140625" style="17"/>
    <col min="15" max="15" width="9.7109375" style="17" bestFit="1" customWidth="1"/>
    <col min="16" max="17" width="9.140625" style="17"/>
    <col min="18" max="18" width="9.7109375" style="17" customWidth="1"/>
    <col min="19" max="19" width="10.7109375" style="17" customWidth="1"/>
    <col min="20" max="20" width="9.140625" style="17"/>
    <col min="21" max="21" width="15.42578125" style="17" customWidth="1"/>
    <col min="22" max="22" width="11.28515625" style="17" customWidth="1"/>
    <col min="23" max="25" width="9.140625" style="17"/>
    <col min="26" max="27" width="11.5703125" style="17" customWidth="1"/>
    <col min="28" max="28" width="9.140625" style="17"/>
    <col min="29" max="29" width="14.140625" style="17" bestFit="1" customWidth="1"/>
    <col min="30" max="30" width="12" style="17" customWidth="1"/>
    <col min="31" max="16384" width="9.140625" style="17"/>
  </cols>
  <sheetData>
    <row r="1" spans="1:39" ht="93.75" customHeight="1" x14ac:dyDescent="0.25">
      <c r="A1" s="59" t="s">
        <v>139</v>
      </c>
      <c r="B1" s="122" t="s">
        <v>214</v>
      </c>
      <c r="C1" s="123"/>
      <c r="D1" s="123"/>
      <c r="E1" s="123"/>
      <c r="F1" s="124"/>
      <c r="H1" s="59" t="s">
        <v>147</v>
      </c>
      <c r="I1" s="122" t="s">
        <v>215</v>
      </c>
      <c r="J1" s="123"/>
      <c r="K1" s="123"/>
      <c r="L1" s="123"/>
      <c r="M1" s="124"/>
      <c r="O1" s="59" t="s">
        <v>160</v>
      </c>
      <c r="P1" s="122" t="s">
        <v>216</v>
      </c>
      <c r="Q1" s="123"/>
      <c r="R1" s="123"/>
      <c r="S1" s="123"/>
      <c r="T1" s="123"/>
      <c r="U1" s="123"/>
      <c r="V1" s="124"/>
      <c r="X1" s="59" t="s">
        <v>176</v>
      </c>
      <c r="Y1" s="122" t="s">
        <v>217</v>
      </c>
      <c r="Z1" s="123"/>
      <c r="AA1" s="123"/>
      <c r="AB1" s="124"/>
      <c r="AJ1" s="17" t="s">
        <v>218</v>
      </c>
      <c r="AM1" s="17" t="s">
        <v>218</v>
      </c>
    </row>
    <row r="2" spans="1:39" ht="46.5" x14ac:dyDescent="0.35">
      <c r="A2" s="60" t="s">
        <v>219</v>
      </c>
      <c r="B2" s="61"/>
      <c r="C2" s="61"/>
      <c r="D2" s="61"/>
      <c r="E2" s="61"/>
      <c r="F2" s="61"/>
      <c r="G2" s="61"/>
      <c r="H2" s="61"/>
      <c r="I2" s="61"/>
      <c r="J2" s="61"/>
      <c r="K2" s="61"/>
      <c r="L2" s="61"/>
      <c r="M2" s="61"/>
      <c r="O2" s="60" t="s">
        <v>220</v>
      </c>
      <c r="P2" s="61"/>
      <c r="Q2" s="61"/>
      <c r="R2" s="61"/>
      <c r="S2" s="61"/>
      <c r="T2" s="61"/>
      <c r="U2" s="61"/>
      <c r="V2" s="61"/>
      <c r="W2" s="61"/>
      <c r="X2" s="61"/>
      <c r="Y2" s="60"/>
      <c r="Z2" s="61"/>
      <c r="AA2" s="61"/>
      <c r="AB2" s="61"/>
      <c r="AJ2" s="17">
        <v>300</v>
      </c>
      <c r="AM2" s="17">
        <v>1000</v>
      </c>
    </row>
    <row r="4" spans="1:39" ht="30" x14ac:dyDescent="0.25">
      <c r="A4" s="62" t="s">
        <v>221</v>
      </c>
      <c r="B4" s="62" t="s">
        <v>222</v>
      </c>
      <c r="C4" s="62" t="s">
        <v>822</v>
      </c>
      <c r="E4" s="17" t="s">
        <v>222</v>
      </c>
      <c r="F4" s="17" t="s">
        <v>223</v>
      </c>
      <c r="H4" s="62" t="s">
        <v>221</v>
      </c>
      <c r="I4" s="62" t="s">
        <v>224</v>
      </c>
      <c r="J4" s="62" t="s">
        <v>224</v>
      </c>
      <c r="L4" s="62" t="s">
        <v>224</v>
      </c>
      <c r="M4" s="63" t="s">
        <v>225</v>
      </c>
      <c r="O4" s="1" t="s">
        <v>226</v>
      </c>
      <c r="P4" s="1" t="s">
        <v>227</v>
      </c>
      <c r="R4" s="1" t="s">
        <v>221</v>
      </c>
      <c r="S4" s="1" t="s">
        <v>228</v>
      </c>
      <c r="U4" s="5" t="s">
        <v>25</v>
      </c>
      <c r="V4" s="5" t="s">
        <v>225</v>
      </c>
      <c r="X4" s="64" t="s">
        <v>229</v>
      </c>
      <c r="Z4" s="5" t="s">
        <v>230</v>
      </c>
      <c r="AA4" s="5" t="s">
        <v>231</v>
      </c>
      <c r="AC4" s="5" t="s">
        <v>25</v>
      </c>
      <c r="AD4" s="5" t="s">
        <v>225</v>
      </c>
      <c r="AI4" s="17" t="s">
        <v>232</v>
      </c>
      <c r="AJ4" s="17" t="s">
        <v>233</v>
      </c>
      <c r="AL4" s="17" t="s">
        <v>232</v>
      </c>
      <c r="AM4" s="17" t="s">
        <v>233</v>
      </c>
    </row>
    <row r="5" spans="1:39" x14ac:dyDescent="0.25">
      <c r="A5" s="9" t="s">
        <v>234</v>
      </c>
      <c r="B5" s="9" t="s">
        <v>235</v>
      </c>
      <c r="C5" s="9">
        <f>VLOOKUP(B5,{"iPhone",1;"Motorola",2;"Nokia",3;"Samsung",4;"Sony Erickson",5;"Sprint",6},2,0)</f>
        <v>2</v>
      </c>
      <c r="E5" s="17" t="s">
        <v>236</v>
      </c>
      <c r="F5" s="65">
        <v>104</v>
      </c>
      <c r="H5" s="9" t="s">
        <v>234</v>
      </c>
      <c r="I5" s="9" t="s">
        <v>237</v>
      </c>
      <c r="J5" s="9">
        <f>VLOOKUP(I5,{"Excellent",4;"Poor",1;"Good",3;"OK",2},2,0)</f>
        <v>2</v>
      </c>
      <c r="L5" s="9" t="s">
        <v>238</v>
      </c>
      <c r="M5" s="66">
        <f>COUNTIFS($I$5:$I$389,L5)</f>
        <v>56</v>
      </c>
      <c r="O5" s="9">
        <v>220</v>
      </c>
      <c r="P5" s="9">
        <f t="shared" ref="P5:P68" si="0">CONVERT(O5,"F","C")</f>
        <v>104.44444444444444</v>
      </c>
      <c r="R5" s="9" t="s">
        <v>239</v>
      </c>
      <c r="S5" s="9">
        <v>1501</v>
      </c>
      <c r="U5" s="9" t="str">
        <f t="shared" ref="U5:U10" si="1">AI5&amp;" up tp "&amp;AJ5</f>
        <v>600 up tp 900</v>
      </c>
      <c r="V5" s="66">
        <f t="shared" ref="V5:V10" si="2">COUNTIFS($S$5:$S$17,"&gt;="&amp;AI5,$S$5:$S$17,"&lt;"&amp;AJ5)</f>
        <v>0</v>
      </c>
      <c r="X5" s="9">
        <f>CONVERT(O5,"F","K")</f>
        <v>377.59444444444443</v>
      </c>
      <c r="Z5" s="9" t="s">
        <v>240</v>
      </c>
      <c r="AA5" s="67">
        <v>0</v>
      </c>
      <c r="AC5" s="9" t="str">
        <f>AL5&amp;" up tp "&amp;AM5</f>
        <v>0 up tp 1000</v>
      </c>
      <c r="AD5" s="66">
        <f>COUNTIFS($AA$5:$AA$14,"&gt;="&amp;AL5,$AA$5:$AA$14,"&lt;"&amp;AM5)</f>
        <v>5</v>
      </c>
      <c r="AI5" s="17">
        <v>600</v>
      </c>
      <c r="AJ5" s="17">
        <f t="shared" ref="AJ5:AJ10" si="3">AI5+$AJ$2</f>
        <v>900</v>
      </c>
      <c r="AL5" s="17">
        <v>0</v>
      </c>
      <c r="AM5" s="17">
        <f>AL5+$AM$2</f>
        <v>1000</v>
      </c>
    </row>
    <row r="6" spans="1:39" x14ac:dyDescent="0.25">
      <c r="A6" s="9" t="s">
        <v>241</v>
      </c>
      <c r="B6" s="9" t="s">
        <v>235</v>
      </c>
      <c r="C6" s="9">
        <f>VLOOKUP(B6,{"iPhone",1;"Motorola",2;"Nokia",3;"Samsung",4;"Sony Erickson",5;"Sprint",6},2,0)</f>
        <v>2</v>
      </c>
      <c r="E6" s="17" t="s">
        <v>235</v>
      </c>
      <c r="F6" s="65">
        <v>52</v>
      </c>
      <c r="H6" s="9" t="s">
        <v>241</v>
      </c>
      <c r="I6" s="9" t="s">
        <v>242</v>
      </c>
      <c r="J6" s="9">
        <f>VLOOKUP(I6,{"Excellent",4;"Poor",1;"Good",3;"OK",2},2,0)</f>
        <v>1</v>
      </c>
      <c r="L6" s="9" t="s">
        <v>243</v>
      </c>
      <c r="M6" s="66">
        <f t="shared" ref="M6:M8" si="4">COUNTIFS($I$5:$I$389,L6)</f>
        <v>47</v>
      </c>
      <c r="O6" s="9">
        <v>219</v>
      </c>
      <c r="P6" s="9">
        <f t="shared" si="0"/>
        <v>103.88888888888889</v>
      </c>
      <c r="R6" s="9" t="s">
        <v>244</v>
      </c>
      <c r="S6" s="9">
        <v>1499</v>
      </c>
      <c r="U6" s="9" t="str">
        <f t="shared" si="1"/>
        <v>900 up tp 1200</v>
      </c>
      <c r="V6" s="66">
        <f t="shared" si="2"/>
        <v>6</v>
      </c>
      <c r="X6" s="9">
        <f t="shared" ref="X6:X69" si="5">CONVERT(O6,"F","K")</f>
        <v>377.03888888888889</v>
      </c>
      <c r="Z6" s="9" t="s">
        <v>245</v>
      </c>
      <c r="AA6" s="67">
        <v>500</v>
      </c>
      <c r="AC6" s="9" t="str">
        <f t="shared" ref="AC6:AC10" si="6">AL6&amp;" up tp "&amp;AM6</f>
        <v>1000 up tp 2000</v>
      </c>
      <c r="AD6" s="66">
        <f t="shared" ref="AD6:AD10" si="7">COUNTIFS($AA$5:$AA$14,"&gt;="&amp;AL6,$AA$5:$AA$14,"&lt;"&amp;AM6)</f>
        <v>1</v>
      </c>
      <c r="AI6" s="17">
        <f>AJ5</f>
        <v>900</v>
      </c>
      <c r="AJ6" s="17">
        <f t="shared" si="3"/>
        <v>1200</v>
      </c>
      <c r="AL6" s="17">
        <f>AM5</f>
        <v>1000</v>
      </c>
      <c r="AM6" s="17">
        <f>AL6+$AM$2</f>
        <v>2000</v>
      </c>
    </row>
    <row r="7" spans="1:39" x14ac:dyDescent="0.25">
      <c r="A7" s="9" t="s">
        <v>246</v>
      </c>
      <c r="B7" s="9" t="s">
        <v>247</v>
      </c>
      <c r="C7" s="9">
        <f>VLOOKUP(B7,{"iPhone",1;"Motorola",2;"Nokia",3;"Samsung",4;"Sony Erickson",5;"Sprint",6},2,0)</f>
        <v>4</v>
      </c>
      <c r="E7" s="17" t="s">
        <v>248</v>
      </c>
      <c r="F7" s="65">
        <v>89</v>
      </c>
      <c r="H7" s="9" t="s">
        <v>246</v>
      </c>
      <c r="I7" s="9" t="s">
        <v>243</v>
      </c>
      <c r="J7" s="9">
        <f>VLOOKUP(I7,{"Excellent",4;"Poor",1;"Good",3;"OK",2},2,0)</f>
        <v>3</v>
      </c>
      <c r="L7" s="9" t="s">
        <v>237</v>
      </c>
      <c r="M7" s="66">
        <f t="shared" si="4"/>
        <v>105</v>
      </c>
      <c r="O7" s="9">
        <v>218</v>
      </c>
      <c r="P7" s="9">
        <f t="shared" si="0"/>
        <v>103.33333333333333</v>
      </c>
      <c r="R7" s="9" t="s">
        <v>249</v>
      </c>
      <c r="S7" s="9">
        <v>1018</v>
      </c>
      <c r="U7" s="9" t="str">
        <f t="shared" si="1"/>
        <v>1200 up tp 1500</v>
      </c>
      <c r="V7" s="66">
        <f t="shared" si="2"/>
        <v>1</v>
      </c>
      <c r="X7" s="9">
        <f t="shared" si="5"/>
        <v>376.48333333333329</v>
      </c>
      <c r="Z7" s="9" t="s">
        <v>250</v>
      </c>
      <c r="AA7" s="67">
        <v>4589.7</v>
      </c>
      <c r="AC7" s="9" t="str">
        <f t="shared" si="6"/>
        <v>2000 up tp 3000</v>
      </c>
      <c r="AD7" s="66">
        <f t="shared" si="7"/>
        <v>1</v>
      </c>
      <c r="AI7" s="17">
        <f t="shared" ref="AI7:AI10" si="8">AJ6</f>
        <v>1200</v>
      </c>
      <c r="AJ7" s="17">
        <f t="shared" si="3"/>
        <v>1500</v>
      </c>
      <c r="AL7" s="17">
        <f t="shared" ref="AL7:AL10" si="9">AM6</f>
        <v>2000</v>
      </c>
      <c r="AM7" s="17">
        <f t="shared" ref="AM7:AM10" si="10">AL7+$AM$2</f>
        <v>3000</v>
      </c>
    </row>
    <row r="8" spans="1:39" x14ac:dyDescent="0.25">
      <c r="A8" s="9" t="s">
        <v>251</v>
      </c>
      <c r="B8" s="9" t="s">
        <v>248</v>
      </c>
      <c r="C8" s="9">
        <f>VLOOKUP(B8,{"iPhone",1;"Motorola",2;"Nokia",3;"Samsung",4;"Sony Erickson",5;"Sprint",6},2,0)</f>
        <v>3</v>
      </c>
      <c r="E8" s="17" t="s">
        <v>247</v>
      </c>
      <c r="F8" s="65">
        <v>50</v>
      </c>
      <c r="H8" s="9" t="s">
        <v>251</v>
      </c>
      <c r="I8" s="9" t="s">
        <v>243</v>
      </c>
      <c r="J8" s="9">
        <f>VLOOKUP(I8,{"Excellent",4;"Poor",1;"Good",3;"OK",2},2,0)</f>
        <v>3</v>
      </c>
      <c r="L8" s="9" t="s">
        <v>242</v>
      </c>
      <c r="M8" s="66">
        <f t="shared" si="4"/>
        <v>177</v>
      </c>
      <c r="O8" s="9">
        <v>217</v>
      </c>
      <c r="P8" s="9">
        <f t="shared" si="0"/>
        <v>102.77777777777777</v>
      </c>
      <c r="R8" s="9" t="s">
        <v>252</v>
      </c>
      <c r="S8" s="9">
        <v>1718</v>
      </c>
      <c r="U8" s="9" t="str">
        <f t="shared" si="1"/>
        <v>1500 up tp 1800</v>
      </c>
      <c r="V8" s="66">
        <f t="shared" si="2"/>
        <v>3</v>
      </c>
      <c r="X8" s="9">
        <f t="shared" si="5"/>
        <v>375.92777777777775</v>
      </c>
      <c r="Z8" s="9" t="s">
        <v>240</v>
      </c>
      <c r="AA8" s="67">
        <v>25.25</v>
      </c>
      <c r="AC8" s="9" t="str">
        <f t="shared" si="6"/>
        <v>3000 up tp 4000</v>
      </c>
      <c r="AD8" s="66">
        <f t="shared" si="7"/>
        <v>0</v>
      </c>
      <c r="AI8" s="17">
        <f t="shared" si="8"/>
        <v>1500</v>
      </c>
      <c r="AJ8" s="17">
        <f t="shared" si="3"/>
        <v>1800</v>
      </c>
      <c r="AL8" s="17">
        <f t="shared" si="9"/>
        <v>3000</v>
      </c>
      <c r="AM8" s="17">
        <f t="shared" si="10"/>
        <v>4000</v>
      </c>
    </row>
    <row r="9" spans="1:39" x14ac:dyDescent="0.25">
      <c r="A9" s="9" t="s">
        <v>253</v>
      </c>
      <c r="B9" s="9" t="s">
        <v>235</v>
      </c>
      <c r="C9" s="9">
        <f>VLOOKUP(B9,{"iPhone",1;"Motorola",2;"Nokia",3;"Samsung",4;"Sony Erickson",5;"Sprint",6},2,0)</f>
        <v>2</v>
      </c>
      <c r="E9" s="17" t="s">
        <v>254</v>
      </c>
      <c r="F9" s="65">
        <v>42</v>
      </c>
      <c r="H9" s="9" t="s">
        <v>253</v>
      </c>
      <c r="I9" s="9" t="s">
        <v>237</v>
      </c>
      <c r="J9" s="9">
        <f>VLOOKUP(I9,{"Excellent",4;"Poor",1;"Good",3;"OK",2},2,0)</f>
        <v>2</v>
      </c>
      <c r="O9" s="9">
        <v>216</v>
      </c>
      <c r="P9" s="9">
        <f t="shared" si="0"/>
        <v>102.22222222222221</v>
      </c>
      <c r="R9" s="9" t="s">
        <v>255</v>
      </c>
      <c r="S9" s="9">
        <v>1953</v>
      </c>
      <c r="U9" s="9" t="str">
        <f t="shared" si="1"/>
        <v>1800 up tp 2100</v>
      </c>
      <c r="V9" s="66">
        <f t="shared" si="2"/>
        <v>2</v>
      </c>
      <c r="X9" s="9">
        <f t="shared" si="5"/>
        <v>375.37222222222221</v>
      </c>
      <c r="Z9" s="9" t="s">
        <v>256</v>
      </c>
      <c r="AA9" s="67">
        <v>158</v>
      </c>
      <c r="AC9" s="9" t="str">
        <f t="shared" si="6"/>
        <v>4000 up tp 5000</v>
      </c>
      <c r="AD9" s="66">
        <f t="shared" si="7"/>
        <v>2</v>
      </c>
      <c r="AI9" s="17">
        <f t="shared" si="8"/>
        <v>1800</v>
      </c>
      <c r="AJ9" s="17">
        <f t="shared" si="3"/>
        <v>2100</v>
      </c>
      <c r="AL9" s="17">
        <f t="shared" si="9"/>
        <v>4000</v>
      </c>
      <c r="AM9" s="17">
        <f t="shared" si="10"/>
        <v>5000</v>
      </c>
    </row>
    <row r="10" spans="1:39" ht="30" x14ac:dyDescent="0.25">
      <c r="A10" s="9" t="s">
        <v>257</v>
      </c>
      <c r="B10" s="9" t="s">
        <v>248</v>
      </c>
      <c r="C10" s="9">
        <f>VLOOKUP(B10,{"iPhone",1;"Motorola",2;"Nokia",3;"Samsung",4;"Sony Erickson",5;"Sprint",6},2,0)</f>
        <v>3</v>
      </c>
      <c r="E10" s="17" t="s">
        <v>258</v>
      </c>
      <c r="F10" s="65">
        <v>48</v>
      </c>
      <c r="H10" s="9" t="s">
        <v>257</v>
      </c>
      <c r="I10" s="9" t="s">
        <v>242</v>
      </c>
      <c r="J10" s="9">
        <f>VLOOKUP(I10,{"Excellent",4;"Poor",1;"Good",3;"OK",2},2,0)</f>
        <v>1</v>
      </c>
      <c r="L10" s="62" t="s">
        <v>224</v>
      </c>
      <c r="M10" s="63" t="s">
        <v>225</v>
      </c>
      <c r="O10" s="9">
        <v>215</v>
      </c>
      <c r="P10" s="9">
        <f t="shared" si="0"/>
        <v>101.66666666666666</v>
      </c>
      <c r="R10" s="9" t="s">
        <v>259</v>
      </c>
      <c r="S10" s="9">
        <v>904</v>
      </c>
      <c r="U10" s="9" t="str">
        <f t="shared" si="1"/>
        <v>2100 up tp 2400</v>
      </c>
      <c r="V10" s="66">
        <f t="shared" si="2"/>
        <v>1</v>
      </c>
      <c r="X10" s="9">
        <f t="shared" si="5"/>
        <v>374.81666666666661</v>
      </c>
      <c r="Z10" s="9" t="s">
        <v>260</v>
      </c>
      <c r="AA10" s="67">
        <v>4525.5</v>
      </c>
      <c r="AC10" s="9" t="str">
        <f t="shared" si="6"/>
        <v>5000 up tp 6000</v>
      </c>
      <c r="AD10" s="66">
        <f t="shared" si="7"/>
        <v>1</v>
      </c>
      <c r="AI10" s="17">
        <f t="shared" si="8"/>
        <v>2100</v>
      </c>
      <c r="AJ10" s="17">
        <f t="shared" si="3"/>
        <v>2400</v>
      </c>
      <c r="AL10" s="17">
        <f t="shared" si="9"/>
        <v>5000</v>
      </c>
      <c r="AM10" s="17">
        <f t="shared" si="10"/>
        <v>6000</v>
      </c>
    </row>
    <row r="11" spans="1:39" x14ac:dyDescent="0.25">
      <c r="A11" s="9" t="s">
        <v>261</v>
      </c>
      <c r="B11" s="9" t="s">
        <v>258</v>
      </c>
      <c r="C11" s="9">
        <f>VLOOKUP(B11,{"iPhone",1;"Motorola",2;"Nokia",3;"Samsung",4;"Sony Erickson",5;"Sprint",6},2,0)</f>
        <v>6</v>
      </c>
      <c r="E11" s="17" t="s">
        <v>262</v>
      </c>
      <c r="F11" s="65">
        <v>385</v>
      </c>
      <c r="H11" s="9" t="s">
        <v>261</v>
      </c>
      <c r="I11" s="9" t="s">
        <v>242</v>
      </c>
      <c r="J11" s="9">
        <f>VLOOKUP(I11,{"Excellent",4;"Poor",1;"Good",3;"OK",2},2,0)</f>
        <v>1</v>
      </c>
      <c r="L11" s="9">
        <v>4</v>
      </c>
      <c r="M11" s="66">
        <f>COUNTIFS($J$5:$J$389,L11)</f>
        <v>56</v>
      </c>
      <c r="O11" s="9">
        <v>214</v>
      </c>
      <c r="P11" s="9">
        <f t="shared" si="0"/>
        <v>101.11111111111111</v>
      </c>
      <c r="R11" s="9" t="s">
        <v>263</v>
      </c>
      <c r="S11" s="9">
        <v>1697</v>
      </c>
      <c r="X11" s="9">
        <f t="shared" si="5"/>
        <v>374.26111111111106</v>
      </c>
      <c r="Z11" s="9" t="s">
        <v>264</v>
      </c>
      <c r="AA11" s="67">
        <v>526.5</v>
      </c>
    </row>
    <row r="12" spans="1:39" x14ac:dyDescent="0.25">
      <c r="A12" s="9" t="s">
        <v>265</v>
      </c>
      <c r="B12" s="9" t="s">
        <v>236</v>
      </c>
      <c r="C12" s="9">
        <f>VLOOKUP(B12,{"iPhone",1;"Motorola",2;"Nokia",3;"Samsung",4;"Sony Erickson",5;"Sprint",6},2,0)</f>
        <v>1</v>
      </c>
      <c r="H12" s="9" t="s">
        <v>265</v>
      </c>
      <c r="I12" s="9" t="s">
        <v>237</v>
      </c>
      <c r="J12" s="9">
        <f>VLOOKUP(I12,{"Excellent",4;"Poor",1;"Good",3;"OK",2},2,0)</f>
        <v>2</v>
      </c>
      <c r="L12" s="9">
        <v>3</v>
      </c>
      <c r="M12" s="66">
        <f t="shared" ref="M12:M14" si="11">COUNTIFS($J$5:$J$389,L12)</f>
        <v>47</v>
      </c>
      <c r="O12" s="9">
        <v>213</v>
      </c>
      <c r="P12" s="9">
        <f t="shared" si="0"/>
        <v>100.55555555555556</v>
      </c>
      <c r="R12" s="9" t="s">
        <v>266</v>
      </c>
      <c r="S12" s="9">
        <v>959</v>
      </c>
      <c r="U12" s="9" t="s">
        <v>267</v>
      </c>
      <c r="V12" s="66">
        <f>AVERAGE(S5:S17)</f>
        <v>1415.4615384615386</v>
      </c>
      <c r="X12" s="9">
        <f t="shared" si="5"/>
        <v>373.70555555555552</v>
      </c>
      <c r="Z12" s="68" t="s">
        <v>268</v>
      </c>
      <c r="AA12" s="69">
        <v>2258.1999999999998</v>
      </c>
      <c r="AC12" s="9" t="s">
        <v>267</v>
      </c>
      <c r="AD12" s="70">
        <f>AVERAGE(AA5:AA14)</f>
        <v>1931.05</v>
      </c>
    </row>
    <row r="13" spans="1:39" x14ac:dyDescent="0.25">
      <c r="A13" s="9" t="s">
        <v>269</v>
      </c>
      <c r="B13" s="9" t="s">
        <v>235</v>
      </c>
      <c r="C13" s="9">
        <f>VLOOKUP(B13,{"iPhone",1;"Motorola",2;"Nokia",3;"Samsung",4;"Sony Erickson",5;"Sprint",6},2,0)</f>
        <v>2</v>
      </c>
      <c r="E13" s="17" t="s">
        <v>822</v>
      </c>
      <c r="F13" s="17" t="s">
        <v>824</v>
      </c>
      <c r="H13" s="9" t="s">
        <v>269</v>
      </c>
      <c r="I13" s="9" t="s">
        <v>242</v>
      </c>
      <c r="J13" s="9">
        <f>VLOOKUP(I13,{"Excellent",4;"Poor",1;"Good",3;"OK",2},2,0)</f>
        <v>1</v>
      </c>
      <c r="L13" s="9">
        <v>2</v>
      </c>
      <c r="M13" s="66">
        <f t="shared" si="11"/>
        <v>105</v>
      </c>
      <c r="O13" s="9">
        <v>212</v>
      </c>
      <c r="P13" s="9">
        <f t="shared" si="0"/>
        <v>100</v>
      </c>
      <c r="R13" s="9" t="s">
        <v>270</v>
      </c>
      <c r="S13" s="9">
        <v>960</v>
      </c>
      <c r="X13" s="9">
        <f t="shared" si="5"/>
        <v>373.15</v>
      </c>
      <c r="Z13" s="68" t="s">
        <v>271</v>
      </c>
      <c r="AA13" s="69">
        <f>AA12/2</f>
        <v>1129.0999999999999</v>
      </c>
    </row>
    <row r="14" spans="1:39" x14ac:dyDescent="0.25">
      <c r="A14" s="9" t="s">
        <v>272</v>
      </c>
      <c r="B14" s="9" t="s">
        <v>236</v>
      </c>
      <c r="C14" s="9">
        <f>VLOOKUP(B14,{"iPhone",1;"Motorola",2;"Nokia",3;"Samsung",4;"Sony Erickson",5;"Sprint",6},2,0)</f>
        <v>1</v>
      </c>
      <c r="E14" s="17">
        <v>1</v>
      </c>
      <c r="F14" s="65">
        <v>104</v>
      </c>
      <c r="H14" s="9" t="s">
        <v>272</v>
      </c>
      <c r="I14" s="9" t="s">
        <v>242</v>
      </c>
      <c r="J14" s="9">
        <f>VLOOKUP(I14,{"Excellent",4;"Poor",1;"Good",3;"OK",2},2,0)</f>
        <v>1</v>
      </c>
      <c r="L14" s="9">
        <v>1</v>
      </c>
      <c r="M14" s="66">
        <f t="shared" si="11"/>
        <v>177</v>
      </c>
      <c r="O14" s="9">
        <v>211</v>
      </c>
      <c r="P14" s="9">
        <f t="shared" si="0"/>
        <v>99.444444444444443</v>
      </c>
      <c r="R14" s="9" t="s">
        <v>272</v>
      </c>
      <c r="S14" s="9">
        <v>1808</v>
      </c>
      <c r="U14" s="9" t="s">
        <v>259</v>
      </c>
      <c r="V14" s="9">
        <f t="shared" ref="V14:V15" si="12">VLOOKUP(U14,$R$5:$S$17,2,0)</f>
        <v>904</v>
      </c>
      <c r="X14" s="9">
        <f t="shared" si="5"/>
        <v>372.59444444444443</v>
      </c>
      <c r="Z14" s="68" t="s">
        <v>273</v>
      </c>
      <c r="AA14" s="69">
        <v>5598.25</v>
      </c>
      <c r="AC14" s="9" t="str">
        <f>Z13</f>
        <v>Phil</v>
      </c>
      <c r="AD14" s="9">
        <f>VLOOKUP(AC14,$Z$5:$AA$14,2,0)</f>
        <v>1129.0999999999999</v>
      </c>
    </row>
    <row r="15" spans="1:39" x14ac:dyDescent="0.25">
      <c r="A15" s="9" t="s">
        <v>274</v>
      </c>
      <c r="B15" s="9" t="s">
        <v>247</v>
      </c>
      <c r="C15" s="9">
        <f>VLOOKUP(B15,{"iPhone",1;"Motorola",2;"Nokia",3;"Samsung",4;"Sony Erickson",5;"Sprint",6},2,0)</f>
        <v>4</v>
      </c>
      <c r="E15" s="17">
        <v>2</v>
      </c>
      <c r="F15" s="65">
        <v>52</v>
      </c>
      <c r="H15" s="9" t="s">
        <v>274</v>
      </c>
      <c r="I15" s="9" t="s">
        <v>242</v>
      </c>
      <c r="J15" s="9">
        <f>VLOOKUP(I15,{"Excellent",4;"Poor",1;"Good",3;"OK",2},2,0)</f>
        <v>1</v>
      </c>
      <c r="O15" s="9">
        <v>210</v>
      </c>
      <c r="P15" s="9">
        <f t="shared" si="0"/>
        <v>98.888888888888886</v>
      </c>
      <c r="R15" s="9" t="s">
        <v>274</v>
      </c>
      <c r="S15" s="9">
        <v>2183</v>
      </c>
      <c r="U15" s="9" t="s">
        <v>272</v>
      </c>
      <c r="V15" s="9">
        <f t="shared" si="12"/>
        <v>1808</v>
      </c>
      <c r="X15" s="9">
        <f t="shared" si="5"/>
        <v>372.03888888888889</v>
      </c>
      <c r="AC15" s="9" t="str">
        <f>Z12</f>
        <v>Pham</v>
      </c>
      <c r="AD15" s="9">
        <f>VLOOKUP(AC15,$Z$5:$AA$14,2,0)</f>
        <v>2258.1999999999998</v>
      </c>
    </row>
    <row r="16" spans="1:39" x14ac:dyDescent="0.25">
      <c r="A16" s="9" t="s">
        <v>275</v>
      </c>
      <c r="B16" s="9" t="s">
        <v>235</v>
      </c>
      <c r="C16" s="9">
        <f>VLOOKUP(B16,{"iPhone",1;"Motorola",2;"Nokia",3;"Samsung",4;"Sony Erickson",5;"Sprint",6},2,0)</f>
        <v>2</v>
      </c>
      <c r="E16" s="17">
        <v>3</v>
      </c>
      <c r="F16" s="65">
        <v>89</v>
      </c>
      <c r="H16" s="9" t="s">
        <v>275</v>
      </c>
      <c r="I16" s="9" t="s">
        <v>237</v>
      </c>
      <c r="J16" s="9">
        <f>VLOOKUP(I16,{"Excellent",4;"Poor",1;"Good",3;"OK",2},2,0)</f>
        <v>2</v>
      </c>
      <c r="L16" s="9" t="s">
        <v>267</v>
      </c>
      <c r="M16" s="66">
        <f>AVERAGE(J5:J389)</f>
        <v>1.9532467532467532</v>
      </c>
      <c r="O16" s="9">
        <v>209</v>
      </c>
      <c r="P16" s="9">
        <f t="shared" si="0"/>
        <v>98.333333333333329</v>
      </c>
      <c r="R16" s="9" t="s">
        <v>275</v>
      </c>
      <c r="S16" s="9">
        <v>1124</v>
      </c>
      <c r="U16" s="68" t="s">
        <v>176</v>
      </c>
      <c r="V16" s="66">
        <f>V15/V14</f>
        <v>2</v>
      </c>
      <c r="X16" s="9">
        <f t="shared" si="5"/>
        <v>371.48333333333329</v>
      </c>
      <c r="AC16" s="68" t="s">
        <v>176</v>
      </c>
      <c r="AD16" s="66">
        <f>AD15/AD14</f>
        <v>2</v>
      </c>
    </row>
    <row r="17" spans="1:30" x14ac:dyDescent="0.25">
      <c r="A17" s="9" t="s">
        <v>276</v>
      </c>
      <c r="B17" s="9" t="s">
        <v>247</v>
      </c>
      <c r="C17" s="9">
        <f>VLOOKUP(B17,{"iPhone",1;"Motorola",2;"Nokia",3;"Samsung",4;"Sony Erickson",5;"Sprint",6},2,0)</f>
        <v>4</v>
      </c>
      <c r="E17" s="17">
        <v>4</v>
      </c>
      <c r="F17" s="65">
        <v>50</v>
      </c>
      <c r="H17" s="9" t="s">
        <v>276</v>
      </c>
      <c r="I17" s="9" t="s">
        <v>238</v>
      </c>
      <c r="J17" s="9">
        <f>VLOOKUP(I17,{"Excellent",4;"Poor",1;"Good",3;"OK",2},2,0)</f>
        <v>4</v>
      </c>
      <c r="O17" s="9">
        <v>208</v>
      </c>
      <c r="P17" s="9">
        <f t="shared" si="0"/>
        <v>97.777777777777771</v>
      </c>
      <c r="R17" s="9" t="s">
        <v>276</v>
      </c>
      <c r="S17" s="9">
        <v>1077</v>
      </c>
      <c r="U17" s="9" t="s">
        <v>277</v>
      </c>
      <c r="V17" s="71">
        <f>V15/V14-1</f>
        <v>1</v>
      </c>
      <c r="X17" s="9">
        <f t="shared" si="5"/>
        <v>370.92777777777775</v>
      </c>
      <c r="AC17" s="9" t="s">
        <v>277</v>
      </c>
      <c r="AD17" s="71">
        <f>AD15/AD14-1</f>
        <v>1</v>
      </c>
    </row>
    <row r="18" spans="1:30" x14ac:dyDescent="0.25">
      <c r="A18" s="9" t="s">
        <v>278</v>
      </c>
      <c r="B18" s="9" t="s">
        <v>236</v>
      </c>
      <c r="C18" s="9">
        <f>VLOOKUP(B18,{"iPhone",1;"Motorola",2;"Nokia",3;"Samsung",4;"Sony Erickson",5;"Sprint",6},2,0)</f>
        <v>1</v>
      </c>
      <c r="E18" s="17">
        <v>5</v>
      </c>
      <c r="F18" s="65">
        <v>42</v>
      </c>
      <c r="H18" s="9" t="s">
        <v>278</v>
      </c>
      <c r="I18" s="9" t="s">
        <v>238</v>
      </c>
      <c r="J18" s="9">
        <f>VLOOKUP(I18,{"Excellent",4;"Poor",1;"Good",3;"OK",2},2,0)</f>
        <v>4</v>
      </c>
      <c r="O18" s="9">
        <v>207</v>
      </c>
      <c r="P18" s="9">
        <f t="shared" si="0"/>
        <v>97.222222222222214</v>
      </c>
      <c r="U18" s="116" t="str">
        <f>V15&amp;"/"&amp;V14&amp;" does not tell us that "&amp;U15&amp;" did twice as good as "&amp;U14&amp;"."</f>
        <v>1808/904 does not tell us that Student 10 did twice as good as Student 6.</v>
      </c>
      <c r="V18" s="117"/>
      <c r="X18" s="9">
        <f t="shared" si="5"/>
        <v>370.37222222222221</v>
      </c>
      <c r="AC18" s="116" t="str">
        <f>AD15&amp;"/"&amp;AD14&amp;" tells us that "&amp;AC15&amp;" has twice as much as "&amp;AC14&amp;"."</f>
        <v>2258.2/1129.1 tells us that Pham has twice as much as Phil.</v>
      </c>
      <c r="AD18" s="117"/>
    </row>
    <row r="19" spans="1:30" x14ac:dyDescent="0.25">
      <c r="A19" s="9" t="s">
        <v>279</v>
      </c>
      <c r="B19" s="9" t="s">
        <v>248</v>
      </c>
      <c r="C19" s="9">
        <f>VLOOKUP(B19,{"iPhone",1;"Motorola",2;"Nokia",3;"Samsung",4;"Sony Erickson",5;"Sprint",6},2,0)</f>
        <v>3</v>
      </c>
      <c r="E19" s="17">
        <v>6</v>
      </c>
      <c r="F19" s="65">
        <v>48</v>
      </c>
      <c r="H19" s="9" t="s">
        <v>279</v>
      </c>
      <c r="I19" s="9" t="s">
        <v>242</v>
      </c>
      <c r="J19" s="9">
        <f>VLOOKUP(I19,{"Excellent",4;"Poor",1;"Good",3;"OK",2},2,0)</f>
        <v>1</v>
      </c>
      <c r="O19" s="9">
        <v>206</v>
      </c>
      <c r="P19" s="9">
        <f t="shared" si="0"/>
        <v>96.666666666666657</v>
      </c>
      <c r="U19" s="118"/>
      <c r="V19" s="119"/>
      <c r="X19" s="9">
        <f t="shared" si="5"/>
        <v>369.81666666666661</v>
      </c>
      <c r="AC19" s="118"/>
      <c r="AD19" s="119"/>
    </row>
    <row r="20" spans="1:30" x14ac:dyDescent="0.25">
      <c r="A20" s="9" t="s">
        <v>280</v>
      </c>
      <c r="B20" s="9" t="s">
        <v>248</v>
      </c>
      <c r="C20" s="9">
        <f>VLOOKUP(B20,{"iPhone",1;"Motorola",2;"Nokia",3;"Samsung",4;"Sony Erickson",5;"Sprint",6},2,0)</f>
        <v>3</v>
      </c>
      <c r="E20" s="17" t="s">
        <v>262</v>
      </c>
      <c r="F20" s="65">
        <v>385</v>
      </c>
      <c r="H20" s="9" t="s">
        <v>280</v>
      </c>
      <c r="I20" s="9" t="s">
        <v>242</v>
      </c>
      <c r="J20" s="9">
        <f>VLOOKUP(I20,{"Excellent",4;"Poor",1;"Good",3;"OK",2},2,0)</f>
        <v>1</v>
      </c>
      <c r="O20" s="9">
        <v>205</v>
      </c>
      <c r="P20" s="9">
        <f t="shared" si="0"/>
        <v>96.111111111111114</v>
      </c>
      <c r="U20" s="120"/>
      <c r="V20" s="121"/>
      <c r="X20" s="9">
        <f t="shared" si="5"/>
        <v>369.26111111111106</v>
      </c>
      <c r="AC20" s="120"/>
      <c r="AD20" s="121"/>
    </row>
    <row r="21" spans="1:30" x14ac:dyDescent="0.25">
      <c r="A21" s="9" t="s">
        <v>281</v>
      </c>
      <c r="B21" s="9" t="s">
        <v>258</v>
      </c>
      <c r="C21" s="9">
        <f>VLOOKUP(B21,{"iPhone",1;"Motorola",2;"Nokia",3;"Samsung",4;"Sony Erickson",5;"Sprint",6},2,0)</f>
        <v>6</v>
      </c>
      <c r="H21" s="9" t="s">
        <v>281</v>
      </c>
      <c r="I21" s="9" t="s">
        <v>243</v>
      </c>
      <c r="J21" s="9">
        <f>VLOOKUP(I21,{"Excellent",4;"Poor",1;"Good",3;"OK",2},2,0)</f>
        <v>3</v>
      </c>
      <c r="O21" s="9">
        <v>204</v>
      </c>
      <c r="P21" s="9">
        <f t="shared" si="0"/>
        <v>95.555555555555557</v>
      </c>
      <c r="U21" s="116" t="s">
        <v>282</v>
      </c>
      <c r="V21" s="117"/>
      <c r="X21" s="9">
        <f t="shared" si="5"/>
        <v>368.70555555555552</v>
      </c>
      <c r="AC21" s="116" t="s">
        <v>283</v>
      </c>
      <c r="AD21" s="117"/>
    </row>
    <row r="22" spans="1:30" x14ac:dyDescent="0.25">
      <c r="A22" s="9" t="s">
        <v>284</v>
      </c>
      <c r="B22" s="9" t="s">
        <v>254</v>
      </c>
      <c r="C22" s="9">
        <f>VLOOKUP(B22,{"iPhone",1;"Motorola",2;"Nokia",3;"Samsung",4;"Sony Erickson",5;"Sprint",6},2,0)</f>
        <v>5</v>
      </c>
      <c r="H22" s="9" t="s">
        <v>284</v>
      </c>
      <c r="I22" s="9" t="s">
        <v>242</v>
      </c>
      <c r="J22" s="9">
        <f>VLOOKUP(I22,{"Excellent",4;"Poor",1;"Good",3;"OK",2},2,0)</f>
        <v>1</v>
      </c>
      <c r="O22" s="9">
        <v>203</v>
      </c>
      <c r="P22" s="9">
        <f t="shared" si="0"/>
        <v>95</v>
      </c>
      <c r="U22" s="118"/>
      <c r="V22" s="119"/>
      <c r="X22" s="9">
        <f t="shared" si="5"/>
        <v>368.15</v>
      </c>
      <c r="AC22" s="118"/>
      <c r="AD22" s="119"/>
    </row>
    <row r="23" spans="1:30" x14ac:dyDescent="0.25">
      <c r="A23" s="9" t="s">
        <v>285</v>
      </c>
      <c r="B23" s="9" t="s">
        <v>248</v>
      </c>
      <c r="C23" s="9">
        <f>VLOOKUP(B23,{"iPhone",1;"Motorola",2;"Nokia",3;"Samsung",4;"Sony Erickson",5;"Sprint",6},2,0)</f>
        <v>3</v>
      </c>
      <c r="H23" s="9" t="s">
        <v>285</v>
      </c>
      <c r="I23" s="9" t="s">
        <v>238</v>
      </c>
      <c r="J23" s="9">
        <f>VLOOKUP(I23,{"Excellent",4;"Poor",1;"Good",3;"OK",2},2,0)</f>
        <v>4</v>
      </c>
      <c r="O23" s="9">
        <v>202</v>
      </c>
      <c r="P23" s="9">
        <f t="shared" si="0"/>
        <v>94.444444444444443</v>
      </c>
      <c r="U23" s="120"/>
      <c r="V23" s="121"/>
      <c r="X23" s="9">
        <f t="shared" si="5"/>
        <v>367.59444444444443</v>
      </c>
      <c r="AC23" s="120"/>
      <c r="AD23" s="121"/>
    </row>
    <row r="24" spans="1:30" x14ac:dyDescent="0.25">
      <c r="A24" s="9" t="s">
        <v>286</v>
      </c>
      <c r="B24" s="9" t="s">
        <v>248</v>
      </c>
      <c r="C24" s="9">
        <f>VLOOKUP(B24,{"iPhone",1;"Motorola",2;"Nokia",3;"Samsung",4;"Sony Erickson",5;"Sprint",6},2,0)</f>
        <v>3</v>
      </c>
      <c r="H24" s="9" t="s">
        <v>286</v>
      </c>
      <c r="I24" s="9" t="s">
        <v>242</v>
      </c>
      <c r="J24" s="9">
        <f>VLOOKUP(I24,{"Excellent",4;"Poor",1;"Good",3;"OK",2},2,0)</f>
        <v>1</v>
      </c>
      <c r="O24" s="9">
        <v>201</v>
      </c>
      <c r="P24" s="9">
        <f t="shared" si="0"/>
        <v>93.888888888888886</v>
      </c>
      <c r="X24" s="9">
        <f t="shared" si="5"/>
        <v>367.03888888888889</v>
      </c>
    </row>
    <row r="25" spans="1:30" x14ac:dyDescent="0.25">
      <c r="A25" s="9" t="s">
        <v>287</v>
      </c>
      <c r="B25" s="9" t="s">
        <v>236</v>
      </c>
      <c r="C25" s="9">
        <f>VLOOKUP(B25,{"iPhone",1;"Motorola",2;"Nokia",3;"Samsung",4;"Sony Erickson",5;"Sprint",6},2,0)</f>
        <v>1</v>
      </c>
      <c r="H25" s="9" t="s">
        <v>287</v>
      </c>
      <c r="I25" s="9" t="s">
        <v>237</v>
      </c>
      <c r="J25" s="9">
        <f>VLOOKUP(I25,{"Excellent",4;"Poor",1;"Good",3;"OK",2},2,0)</f>
        <v>2</v>
      </c>
      <c r="O25" s="9">
        <v>200</v>
      </c>
      <c r="P25" s="9">
        <f t="shared" si="0"/>
        <v>93.333333333333329</v>
      </c>
      <c r="X25" s="9">
        <f t="shared" si="5"/>
        <v>366.48333333333329</v>
      </c>
    </row>
    <row r="26" spans="1:30" x14ac:dyDescent="0.25">
      <c r="A26" s="9" t="s">
        <v>288</v>
      </c>
      <c r="B26" s="9" t="s">
        <v>236</v>
      </c>
      <c r="C26" s="9">
        <f>VLOOKUP(B26,{"iPhone",1;"Motorola",2;"Nokia",3;"Samsung",4;"Sony Erickson",5;"Sprint",6},2,0)</f>
        <v>1</v>
      </c>
      <c r="H26" s="9" t="s">
        <v>288</v>
      </c>
      <c r="I26" s="9" t="s">
        <v>237</v>
      </c>
      <c r="J26" s="9">
        <f>VLOOKUP(I26,{"Excellent",4;"Poor",1;"Good",3;"OK",2},2,0)</f>
        <v>2</v>
      </c>
      <c r="O26" s="9">
        <v>199</v>
      </c>
      <c r="P26" s="9">
        <f t="shared" si="0"/>
        <v>92.777777777777771</v>
      </c>
      <c r="X26" s="9">
        <f t="shared" si="5"/>
        <v>365.92777777777775</v>
      </c>
    </row>
    <row r="27" spans="1:30" x14ac:dyDescent="0.25">
      <c r="A27" s="9" t="s">
        <v>289</v>
      </c>
      <c r="B27" s="9" t="s">
        <v>248</v>
      </c>
      <c r="C27" s="9">
        <f>VLOOKUP(B27,{"iPhone",1;"Motorola",2;"Nokia",3;"Samsung",4;"Sony Erickson",5;"Sprint",6},2,0)</f>
        <v>3</v>
      </c>
      <c r="H27" s="9" t="s">
        <v>289</v>
      </c>
      <c r="I27" s="9" t="s">
        <v>237</v>
      </c>
      <c r="J27" s="9">
        <f>VLOOKUP(I27,{"Excellent",4;"Poor",1;"Good",3;"OK",2},2,0)</f>
        <v>2</v>
      </c>
      <c r="O27" s="9">
        <v>198</v>
      </c>
      <c r="P27" s="9">
        <f t="shared" si="0"/>
        <v>92.222222222222214</v>
      </c>
      <c r="X27" s="9">
        <f t="shared" si="5"/>
        <v>365.37222222222221</v>
      </c>
    </row>
    <row r="28" spans="1:30" x14ac:dyDescent="0.25">
      <c r="A28" s="9" t="s">
        <v>290</v>
      </c>
      <c r="B28" s="9" t="s">
        <v>247</v>
      </c>
      <c r="C28" s="9">
        <f>VLOOKUP(B28,{"iPhone",1;"Motorola",2;"Nokia",3;"Samsung",4;"Sony Erickson",5;"Sprint",6},2,0)</f>
        <v>4</v>
      </c>
      <c r="H28" s="9" t="s">
        <v>290</v>
      </c>
      <c r="I28" s="9" t="s">
        <v>238</v>
      </c>
      <c r="J28" s="9">
        <f>VLOOKUP(I28,{"Excellent",4;"Poor",1;"Good",3;"OK",2},2,0)</f>
        <v>4</v>
      </c>
      <c r="O28" s="9">
        <v>197</v>
      </c>
      <c r="P28" s="9">
        <f t="shared" si="0"/>
        <v>91.666666666666671</v>
      </c>
      <c r="X28" s="9">
        <f t="shared" si="5"/>
        <v>364.81666666666666</v>
      </c>
    </row>
    <row r="29" spans="1:30" x14ac:dyDescent="0.25">
      <c r="A29" s="9" t="s">
        <v>291</v>
      </c>
      <c r="B29" s="9" t="s">
        <v>236</v>
      </c>
      <c r="C29" s="9">
        <f>VLOOKUP(B29,{"iPhone",1;"Motorola",2;"Nokia",3;"Samsung",4;"Sony Erickson",5;"Sprint",6},2,0)</f>
        <v>1</v>
      </c>
      <c r="H29" s="9" t="s">
        <v>291</v>
      </c>
      <c r="I29" s="9" t="s">
        <v>237</v>
      </c>
      <c r="J29" s="9">
        <f>VLOOKUP(I29,{"Excellent",4;"Poor",1;"Good",3;"OK",2},2,0)</f>
        <v>2</v>
      </c>
      <c r="O29" s="9">
        <v>196</v>
      </c>
      <c r="P29" s="9">
        <f t="shared" si="0"/>
        <v>91.111111111111114</v>
      </c>
      <c r="X29" s="9">
        <f t="shared" si="5"/>
        <v>364.26111111111106</v>
      </c>
    </row>
    <row r="30" spans="1:30" x14ac:dyDescent="0.25">
      <c r="A30" s="9" t="s">
        <v>292</v>
      </c>
      <c r="B30" s="9" t="s">
        <v>236</v>
      </c>
      <c r="C30" s="9">
        <f>VLOOKUP(B30,{"iPhone",1;"Motorola",2;"Nokia",3;"Samsung",4;"Sony Erickson",5;"Sprint",6},2,0)</f>
        <v>1</v>
      </c>
      <c r="H30" s="9" t="s">
        <v>292</v>
      </c>
      <c r="I30" s="9" t="s">
        <v>237</v>
      </c>
      <c r="J30" s="9">
        <f>VLOOKUP(I30,{"Excellent",4;"Poor",1;"Good",3;"OK",2},2,0)</f>
        <v>2</v>
      </c>
      <c r="O30" s="9">
        <v>195</v>
      </c>
      <c r="P30" s="9">
        <f t="shared" si="0"/>
        <v>90.555555555555557</v>
      </c>
      <c r="X30" s="9">
        <f t="shared" si="5"/>
        <v>363.70555555555552</v>
      </c>
    </row>
    <row r="31" spans="1:30" x14ac:dyDescent="0.25">
      <c r="A31" s="9" t="s">
        <v>293</v>
      </c>
      <c r="B31" s="9" t="s">
        <v>236</v>
      </c>
      <c r="C31" s="9">
        <f>VLOOKUP(B31,{"iPhone",1;"Motorola",2;"Nokia",3;"Samsung",4;"Sony Erickson",5;"Sprint",6},2,0)</f>
        <v>1</v>
      </c>
      <c r="H31" s="9" t="s">
        <v>293</v>
      </c>
      <c r="I31" s="9" t="s">
        <v>242</v>
      </c>
      <c r="J31" s="9">
        <f>VLOOKUP(I31,{"Excellent",4;"Poor",1;"Good",3;"OK",2},2,0)</f>
        <v>1</v>
      </c>
      <c r="O31" s="9">
        <v>194</v>
      </c>
      <c r="P31" s="9">
        <f t="shared" si="0"/>
        <v>90</v>
      </c>
      <c r="X31" s="9">
        <f t="shared" si="5"/>
        <v>363.15</v>
      </c>
    </row>
    <row r="32" spans="1:30" x14ac:dyDescent="0.25">
      <c r="A32" s="9" t="s">
        <v>294</v>
      </c>
      <c r="B32" s="9" t="s">
        <v>258</v>
      </c>
      <c r="C32" s="9">
        <f>VLOOKUP(B32,{"iPhone",1;"Motorola",2;"Nokia",3;"Samsung",4;"Sony Erickson",5;"Sprint",6},2,0)</f>
        <v>6</v>
      </c>
      <c r="H32" s="9" t="s">
        <v>294</v>
      </c>
      <c r="I32" s="9" t="s">
        <v>237</v>
      </c>
      <c r="J32" s="9">
        <f>VLOOKUP(I32,{"Excellent",4;"Poor",1;"Good",3;"OK",2},2,0)</f>
        <v>2</v>
      </c>
      <c r="O32" s="9">
        <v>193</v>
      </c>
      <c r="P32" s="9">
        <f t="shared" si="0"/>
        <v>89.444444444444443</v>
      </c>
      <c r="X32" s="9">
        <f t="shared" si="5"/>
        <v>362.59444444444443</v>
      </c>
    </row>
    <row r="33" spans="1:24" x14ac:dyDescent="0.25">
      <c r="A33" s="9" t="s">
        <v>295</v>
      </c>
      <c r="B33" s="9" t="s">
        <v>236</v>
      </c>
      <c r="C33" s="9">
        <f>VLOOKUP(B33,{"iPhone",1;"Motorola",2;"Nokia",3;"Samsung",4;"Sony Erickson",5;"Sprint",6},2,0)</f>
        <v>1</v>
      </c>
      <c r="H33" s="9" t="s">
        <v>295</v>
      </c>
      <c r="I33" s="9" t="s">
        <v>243</v>
      </c>
      <c r="J33" s="9">
        <f>VLOOKUP(I33,{"Excellent",4;"Poor",1;"Good",3;"OK",2},2,0)</f>
        <v>3</v>
      </c>
      <c r="O33" s="9">
        <v>192</v>
      </c>
      <c r="P33" s="9">
        <f t="shared" si="0"/>
        <v>88.888888888888886</v>
      </c>
      <c r="X33" s="9">
        <f t="shared" si="5"/>
        <v>362.03888888888889</v>
      </c>
    </row>
    <row r="34" spans="1:24" x14ac:dyDescent="0.25">
      <c r="A34" s="9" t="s">
        <v>296</v>
      </c>
      <c r="B34" s="9" t="s">
        <v>254</v>
      </c>
      <c r="C34" s="9">
        <f>VLOOKUP(B34,{"iPhone",1;"Motorola",2;"Nokia",3;"Samsung",4;"Sony Erickson",5;"Sprint",6},2,0)</f>
        <v>5</v>
      </c>
      <c r="H34" s="9" t="s">
        <v>296</v>
      </c>
      <c r="I34" s="9" t="s">
        <v>238</v>
      </c>
      <c r="J34" s="9">
        <f>VLOOKUP(I34,{"Excellent",4;"Poor",1;"Good",3;"OK",2},2,0)</f>
        <v>4</v>
      </c>
      <c r="O34" s="9">
        <v>191</v>
      </c>
      <c r="P34" s="9">
        <f t="shared" si="0"/>
        <v>88.333333333333329</v>
      </c>
      <c r="X34" s="9">
        <f t="shared" si="5"/>
        <v>361.48333333333329</v>
      </c>
    </row>
    <row r="35" spans="1:24" x14ac:dyDescent="0.25">
      <c r="A35" s="9" t="s">
        <v>297</v>
      </c>
      <c r="B35" s="9" t="s">
        <v>247</v>
      </c>
      <c r="C35" s="9">
        <f>VLOOKUP(B35,{"iPhone",1;"Motorola",2;"Nokia",3;"Samsung",4;"Sony Erickson",5;"Sprint",6},2,0)</f>
        <v>4</v>
      </c>
      <c r="H35" s="9" t="s">
        <v>297</v>
      </c>
      <c r="I35" s="9" t="s">
        <v>238</v>
      </c>
      <c r="J35" s="9">
        <f>VLOOKUP(I35,{"Excellent",4;"Poor",1;"Good",3;"OK",2},2,0)</f>
        <v>4</v>
      </c>
      <c r="O35" s="9">
        <v>190</v>
      </c>
      <c r="P35" s="9">
        <f t="shared" si="0"/>
        <v>87.777777777777771</v>
      </c>
      <c r="X35" s="9">
        <f t="shared" si="5"/>
        <v>360.92777777777775</v>
      </c>
    </row>
    <row r="36" spans="1:24" x14ac:dyDescent="0.25">
      <c r="A36" s="9" t="s">
        <v>298</v>
      </c>
      <c r="B36" s="9" t="s">
        <v>248</v>
      </c>
      <c r="C36" s="9">
        <f>VLOOKUP(B36,{"iPhone",1;"Motorola",2;"Nokia",3;"Samsung",4;"Sony Erickson",5;"Sprint",6},2,0)</f>
        <v>3</v>
      </c>
      <c r="H36" s="9" t="s">
        <v>298</v>
      </c>
      <c r="I36" s="9" t="s">
        <v>237</v>
      </c>
      <c r="J36" s="9">
        <f>VLOOKUP(I36,{"Excellent",4;"Poor",1;"Good",3;"OK",2},2,0)</f>
        <v>2</v>
      </c>
      <c r="O36" s="9">
        <v>189</v>
      </c>
      <c r="P36" s="9">
        <f t="shared" si="0"/>
        <v>87.222222222222214</v>
      </c>
      <c r="X36" s="9">
        <f t="shared" si="5"/>
        <v>360.37222222222221</v>
      </c>
    </row>
    <row r="37" spans="1:24" x14ac:dyDescent="0.25">
      <c r="A37" s="9" t="s">
        <v>299</v>
      </c>
      <c r="B37" s="9" t="s">
        <v>236</v>
      </c>
      <c r="C37" s="9">
        <f>VLOOKUP(B37,{"iPhone",1;"Motorola",2;"Nokia",3;"Samsung",4;"Sony Erickson",5;"Sprint",6},2,0)</f>
        <v>1</v>
      </c>
      <c r="H37" s="9" t="s">
        <v>299</v>
      </c>
      <c r="I37" s="9" t="s">
        <v>243</v>
      </c>
      <c r="J37" s="9">
        <f>VLOOKUP(I37,{"Excellent",4;"Poor",1;"Good",3;"OK",2},2,0)</f>
        <v>3</v>
      </c>
      <c r="O37" s="9">
        <v>188</v>
      </c>
      <c r="P37" s="9">
        <f t="shared" si="0"/>
        <v>86.666666666666671</v>
      </c>
      <c r="X37" s="9">
        <f t="shared" si="5"/>
        <v>359.81666666666666</v>
      </c>
    </row>
    <row r="38" spans="1:24" x14ac:dyDescent="0.25">
      <c r="A38" s="9" t="s">
        <v>300</v>
      </c>
      <c r="B38" s="9" t="s">
        <v>248</v>
      </c>
      <c r="C38" s="9">
        <f>VLOOKUP(B38,{"iPhone",1;"Motorola",2;"Nokia",3;"Samsung",4;"Sony Erickson",5;"Sprint",6},2,0)</f>
        <v>3</v>
      </c>
      <c r="H38" s="9" t="s">
        <v>300</v>
      </c>
      <c r="I38" s="9" t="s">
        <v>242</v>
      </c>
      <c r="J38" s="9">
        <f>VLOOKUP(I38,{"Excellent",4;"Poor",1;"Good",3;"OK",2},2,0)</f>
        <v>1</v>
      </c>
      <c r="O38" s="9">
        <v>187</v>
      </c>
      <c r="P38" s="9">
        <f t="shared" si="0"/>
        <v>86.111111111111114</v>
      </c>
      <c r="X38" s="9">
        <f t="shared" si="5"/>
        <v>359.26111111111106</v>
      </c>
    </row>
    <row r="39" spans="1:24" x14ac:dyDescent="0.25">
      <c r="A39" s="9" t="s">
        <v>301</v>
      </c>
      <c r="B39" s="9" t="s">
        <v>236</v>
      </c>
      <c r="C39" s="9">
        <f>VLOOKUP(B39,{"iPhone",1;"Motorola",2;"Nokia",3;"Samsung",4;"Sony Erickson",5;"Sprint",6},2,0)</f>
        <v>1</v>
      </c>
      <c r="H39" s="9" t="s">
        <v>301</v>
      </c>
      <c r="I39" s="9" t="s">
        <v>242</v>
      </c>
      <c r="J39" s="9">
        <f>VLOOKUP(I39,{"Excellent",4;"Poor",1;"Good",3;"OK",2},2,0)</f>
        <v>1</v>
      </c>
      <c r="O39" s="9">
        <v>186</v>
      </c>
      <c r="P39" s="9">
        <f t="shared" si="0"/>
        <v>85.555555555555557</v>
      </c>
      <c r="X39" s="9">
        <f t="shared" si="5"/>
        <v>358.70555555555552</v>
      </c>
    </row>
    <row r="40" spans="1:24" x14ac:dyDescent="0.25">
      <c r="A40" s="9" t="s">
        <v>302</v>
      </c>
      <c r="B40" s="9" t="s">
        <v>247</v>
      </c>
      <c r="C40" s="9">
        <f>VLOOKUP(B40,{"iPhone",1;"Motorola",2;"Nokia",3;"Samsung",4;"Sony Erickson",5;"Sprint",6},2,0)</f>
        <v>4</v>
      </c>
      <c r="H40" s="9" t="s">
        <v>302</v>
      </c>
      <c r="I40" s="9" t="s">
        <v>242</v>
      </c>
      <c r="J40" s="9">
        <f>VLOOKUP(I40,{"Excellent",4;"Poor",1;"Good",3;"OK",2},2,0)</f>
        <v>1</v>
      </c>
      <c r="O40" s="9">
        <v>185</v>
      </c>
      <c r="P40" s="9">
        <f t="shared" si="0"/>
        <v>85</v>
      </c>
      <c r="X40" s="9">
        <f t="shared" si="5"/>
        <v>358.15</v>
      </c>
    </row>
    <row r="41" spans="1:24" x14ac:dyDescent="0.25">
      <c r="A41" s="9" t="s">
        <v>303</v>
      </c>
      <c r="B41" s="9" t="s">
        <v>254</v>
      </c>
      <c r="C41" s="9">
        <f>VLOOKUP(B41,{"iPhone",1;"Motorola",2;"Nokia",3;"Samsung",4;"Sony Erickson",5;"Sprint",6},2,0)</f>
        <v>5</v>
      </c>
      <c r="H41" s="9" t="s">
        <v>303</v>
      </c>
      <c r="I41" s="9" t="s">
        <v>238</v>
      </c>
      <c r="J41" s="9">
        <f>VLOOKUP(I41,{"Excellent",4;"Poor",1;"Good",3;"OK",2},2,0)</f>
        <v>4</v>
      </c>
      <c r="O41" s="9">
        <v>184</v>
      </c>
      <c r="P41" s="9">
        <f t="shared" si="0"/>
        <v>84.444444444444443</v>
      </c>
      <c r="X41" s="9">
        <f t="shared" si="5"/>
        <v>357.59444444444443</v>
      </c>
    </row>
    <row r="42" spans="1:24" x14ac:dyDescent="0.25">
      <c r="A42" s="9" t="s">
        <v>304</v>
      </c>
      <c r="B42" s="9" t="s">
        <v>236</v>
      </c>
      <c r="C42" s="9">
        <f>VLOOKUP(B42,{"iPhone",1;"Motorola",2;"Nokia",3;"Samsung",4;"Sony Erickson",5;"Sprint",6},2,0)</f>
        <v>1</v>
      </c>
      <c r="H42" s="9" t="s">
        <v>304</v>
      </c>
      <c r="I42" s="9" t="s">
        <v>242</v>
      </c>
      <c r="J42" s="9">
        <f>VLOOKUP(I42,{"Excellent",4;"Poor",1;"Good",3;"OK",2},2,0)</f>
        <v>1</v>
      </c>
      <c r="O42" s="9">
        <v>183</v>
      </c>
      <c r="P42" s="9">
        <f t="shared" si="0"/>
        <v>83.888888888888886</v>
      </c>
      <c r="X42" s="9">
        <f t="shared" si="5"/>
        <v>357.03888888888889</v>
      </c>
    </row>
    <row r="43" spans="1:24" x14ac:dyDescent="0.25">
      <c r="A43" s="9" t="s">
        <v>305</v>
      </c>
      <c r="B43" s="9" t="s">
        <v>254</v>
      </c>
      <c r="C43" s="9">
        <f>VLOOKUP(B43,{"iPhone",1;"Motorola",2;"Nokia",3;"Samsung",4;"Sony Erickson",5;"Sprint",6},2,0)</f>
        <v>5</v>
      </c>
      <c r="H43" s="9" t="s">
        <v>305</v>
      </c>
      <c r="I43" s="9" t="s">
        <v>237</v>
      </c>
      <c r="J43" s="9">
        <f>VLOOKUP(I43,{"Excellent",4;"Poor",1;"Good",3;"OK",2},2,0)</f>
        <v>2</v>
      </c>
      <c r="O43" s="9">
        <v>182</v>
      </c>
      <c r="P43" s="9">
        <f t="shared" si="0"/>
        <v>83.333333333333329</v>
      </c>
      <c r="X43" s="9">
        <f t="shared" si="5"/>
        <v>356.48333333333329</v>
      </c>
    </row>
    <row r="44" spans="1:24" x14ac:dyDescent="0.25">
      <c r="A44" s="9" t="s">
        <v>306</v>
      </c>
      <c r="B44" s="9" t="s">
        <v>248</v>
      </c>
      <c r="C44" s="9">
        <f>VLOOKUP(B44,{"iPhone",1;"Motorola",2;"Nokia",3;"Samsung",4;"Sony Erickson",5;"Sprint",6},2,0)</f>
        <v>3</v>
      </c>
      <c r="H44" s="9" t="s">
        <v>306</v>
      </c>
      <c r="I44" s="9" t="s">
        <v>242</v>
      </c>
      <c r="J44" s="9">
        <f>VLOOKUP(I44,{"Excellent",4;"Poor",1;"Good",3;"OK",2},2,0)</f>
        <v>1</v>
      </c>
      <c r="O44" s="9">
        <v>181</v>
      </c>
      <c r="P44" s="9">
        <f t="shared" si="0"/>
        <v>82.777777777777771</v>
      </c>
      <c r="X44" s="9">
        <f t="shared" si="5"/>
        <v>355.92777777777775</v>
      </c>
    </row>
    <row r="45" spans="1:24" x14ac:dyDescent="0.25">
      <c r="A45" s="9" t="s">
        <v>307</v>
      </c>
      <c r="B45" s="9" t="s">
        <v>248</v>
      </c>
      <c r="C45" s="9">
        <f>VLOOKUP(B45,{"iPhone",1;"Motorola",2;"Nokia",3;"Samsung",4;"Sony Erickson",5;"Sprint",6},2,0)</f>
        <v>3</v>
      </c>
      <c r="H45" s="9" t="s">
        <v>307</v>
      </c>
      <c r="I45" s="9" t="s">
        <v>238</v>
      </c>
      <c r="J45" s="9">
        <f>VLOOKUP(I45,{"Excellent",4;"Poor",1;"Good",3;"OK",2},2,0)</f>
        <v>4</v>
      </c>
      <c r="O45" s="9">
        <v>180</v>
      </c>
      <c r="P45" s="9">
        <f t="shared" si="0"/>
        <v>82.222222222222214</v>
      </c>
      <c r="X45" s="9">
        <f t="shared" si="5"/>
        <v>355.37222222222221</v>
      </c>
    </row>
    <row r="46" spans="1:24" x14ac:dyDescent="0.25">
      <c r="A46" s="9" t="s">
        <v>308</v>
      </c>
      <c r="B46" s="9" t="s">
        <v>254</v>
      </c>
      <c r="C46" s="9">
        <f>VLOOKUP(B46,{"iPhone",1;"Motorola",2;"Nokia",3;"Samsung",4;"Sony Erickson",5;"Sprint",6},2,0)</f>
        <v>5</v>
      </c>
      <c r="H46" s="9" t="s">
        <v>308</v>
      </c>
      <c r="I46" s="9" t="s">
        <v>237</v>
      </c>
      <c r="J46" s="9">
        <f>VLOOKUP(I46,{"Excellent",4;"Poor",1;"Good",3;"OK",2},2,0)</f>
        <v>2</v>
      </c>
      <c r="O46" s="9">
        <v>179</v>
      </c>
      <c r="P46" s="9">
        <f t="shared" si="0"/>
        <v>81.666666666666671</v>
      </c>
      <c r="X46" s="9">
        <f t="shared" si="5"/>
        <v>354.81666666666666</v>
      </c>
    </row>
    <row r="47" spans="1:24" x14ac:dyDescent="0.25">
      <c r="A47" s="9" t="s">
        <v>309</v>
      </c>
      <c r="B47" s="9" t="s">
        <v>258</v>
      </c>
      <c r="C47" s="9">
        <f>VLOOKUP(B47,{"iPhone",1;"Motorola",2;"Nokia",3;"Samsung",4;"Sony Erickson",5;"Sprint",6},2,0)</f>
        <v>6</v>
      </c>
      <c r="H47" s="9" t="s">
        <v>309</v>
      </c>
      <c r="I47" s="9" t="s">
        <v>237</v>
      </c>
      <c r="J47" s="9">
        <f>VLOOKUP(I47,{"Excellent",4;"Poor",1;"Good",3;"OK",2},2,0)</f>
        <v>2</v>
      </c>
      <c r="O47" s="9">
        <v>178</v>
      </c>
      <c r="P47" s="9">
        <f t="shared" si="0"/>
        <v>81.111111111111114</v>
      </c>
      <c r="X47" s="9">
        <f t="shared" si="5"/>
        <v>354.26111111111106</v>
      </c>
    </row>
    <row r="48" spans="1:24" x14ac:dyDescent="0.25">
      <c r="A48" s="9" t="s">
        <v>310</v>
      </c>
      <c r="B48" s="9" t="s">
        <v>248</v>
      </c>
      <c r="C48" s="9">
        <f>VLOOKUP(B48,{"iPhone",1;"Motorola",2;"Nokia",3;"Samsung",4;"Sony Erickson",5;"Sprint",6},2,0)</f>
        <v>3</v>
      </c>
      <c r="H48" s="9" t="s">
        <v>310</v>
      </c>
      <c r="I48" s="9" t="s">
        <v>242</v>
      </c>
      <c r="J48" s="9">
        <f>VLOOKUP(I48,{"Excellent",4;"Poor",1;"Good",3;"OK",2},2,0)</f>
        <v>1</v>
      </c>
      <c r="O48" s="9">
        <v>177</v>
      </c>
      <c r="P48" s="9">
        <f t="shared" si="0"/>
        <v>80.555555555555557</v>
      </c>
      <c r="X48" s="9">
        <f t="shared" si="5"/>
        <v>353.70555555555552</v>
      </c>
    </row>
    <row r="49" spans="1:24" x14ac:dyDescent="0.25">
      <c r="A49" s="9" t="s">
        <v>311</v>
      </c>
      <c r="B49" s="9" t="s">
        <v>248</v>
      </c>
      <c r="C49" s="9">
        <f>VLOOKUP(B49,{"iPhone",1;"Motorola",2;"Nokia",3;"Samsung",4;"Sony Erickson",5;"Sprint",6},2,0)</f>
        <v>3</v>
      </c>
      <c r="H49" s="9" t="s">
        <v>311</v>
      </c>
      <c r="I49" s="9" t="s">
        <v>242</v>
      </c>
      <c r="J49" s="9">
        <f>VLOOKUP(I49,{"Excellent",4;"Poor",1;"Good",3;"OK",2},2,0)</f>
        <v>1</v>
      </c>
      <c r="O49" s="9">
        <v>176</v>
      </c>
      <c r="P49" s="9">
        <f t="shared" si="0"/>
        <v>80</v>
      </c>
      <c r="X49" s="9">
        <f t="shared" si="5"/>
        <v>353.15</v>
      </c>
    </row>
    <row r="50" spans="1:24" x14ac:dyDescent="0.25">
      <c r="A50" s="9" t="s">
        <v>312</v>
      </c>
      <c r="B50" s="9" t="s">
        <v>235</v>
      </c>
      <c r="C50" s="9">
        <f>VLOOKUP(B50,{"iPhone",1;"Motorola",2;"Nokia",3;"Samsung",4;"Sony Erickson",5;"Sprint",6},2,0)</f>
        <v>2</v>
      </c>
      <c r="H50" s="9" t="s">
        <v>312</v>
      </c>
      <c r="I50" s="9" t="s">
        <v>242</v>
      </c>
      <c r="J50" s="9">
        <f>VLOOKUP(I50,{"Excellent",4;"Poor",1;"Good",3;"OK",2},2,0)</f>
        <v>1</v>
      </c>
      <c r="O50" s="9">
        <v>175</v>
      </c>
      <c r="P50" s="9">
        <f t="shared" si="0"/>
        <v>79.444444444444443</v>
      </c>
      <c r="X50" s="9">
        <f t="shared" si="5"/>
        <v>352.59444444444443</v>
      </c>
    </row>
    <row r="51" spans="1:24" x14ac:dyDescent="0.25">
      <c r="A51" s="9" t="s">
        <v>313</v>
      </c>
      <c r="B51" s="9" t="s">
        <v>247</v>
      </c>
      <c r="C51" s="9">
        <f>VLOOKUP(B51,{"iPhone",1;"Motorola",2;"Nokia",3;"Samsung",4;"Sony Erickson",5;"Sprint",6},2,0)</f>
        <v>4</v>
      </c>
      <c r="H51" s="9" t="s">
        <v>313</v>
      </c>
      <c r="I51" s="9" t="s">
        <v>237</v>
      </c>
      <c r="J51" s="9">
        <f>VLOOKUP(I51,{"Excellent",4;"Poor",1;"Good",3;"OK",2},2,0)</f>
        <v>2</v>
      </c>
      <c r="O51" s="9">
        <v>174</v>
      </c>
      <c r="P51" s="9">
        <f t="shared" si="0"/>
        <v>78.888888888888886</v>
      </c>
      <c r="X51" s="9">
        <f t="shared" si="5"/>
        <v>352.03888888888889</v>
      </c>
    </row>
    <row r="52" spans="1:24" x14ac:dyDescent="0.25">
      <c r="A52" s="9" t="s">
        <v>314</v>
      </c>
      <c r="B52" s="9" t="s">
        <v>236</v>
      </c>
      <c r="C52" s="9">
        <f>VLOOKUP(B52,{"iPhone",1;"Motorola",2;"Nokia",3;"Samsung",4;"Sony Erickson",5;"Sprint",6},2,0)</f>
        <v>1</v>
      </c>
      <c r="H52" s="9" t="s">
        <v>314</v>
      </c>
      <c r="I52" s="9" t="s">
        <v>243</v>
      </c>
      <c r="J52" s="9">
        <f>VLOOKUP(I52,{"Excellent",4;"Poor",1;"Good",3;"OK",2},2,0)</f>
        <v>3</v>
      </c>
      <c r="O52" s="9">
        <v>173</v>
      </c>
      <c r="P52" s="9">
        <f t="shared" si="0"/>
        <v>78.333333333333329</v>
      </c>
      <c r="X52" s="9">
        <f t="shared" si="5"/>
        <v>351.48333333333329</v>
      </c>
    </row>
    <row r="53" spans="1:24" x14ac:dyDescent="0.25">
      <c r="A53" s="9" t="s">
        <v>315</v>
      </c>
      <c r="B53" s="9" t="s">
        <v>248</v>
      </c>
      <c r="C53" s="9">
        <f>VLOOKUP(B53,{"iPhone",1;"Motorola",2;"Nokia",3;"Samsung",4;"Sony Erickson",5;"Sprint",6},2,0)</f>
        <v>3</v>
      </c>
      <c r="H53" s="9" t="s">
        <v>315</v>
      </c>
      <c r="I53" s="9" t="s">
        <v>243</v>
      </c>
      <c r="J53" s="9">
        <f>VLOOKUP(I53,{"Excellent",4;"Poor",1;"Good",3;"OK",2},2,0)</f>
        <v>3</v>
      </c>
      <c r="O53" s="9">
        <v>172</v>
      </c>
      <c r="P53" s="9">
        <f t="shared" si="0"/>
        <v>77.777777777777771</v>
      </c>
      <c r="X53" s="9">
        <f t="shared" si="5"/>
        <v>350.92777777777775</v>
      </c>
    </row>
    <row r="54" spans="1:24" x14ac:dyDescent="0.25">
      <c r="A54" s="9" t="s">
        <v>316</v>
      </c>
      <c r="B54" s="9" t="s">
        <v>248</v>
      </c>
      <c r="C54" s="9">
        <f>VLOOKUP(B54,{"iPhone",1;"Motorola",2;"Nokia",3;"Samsung",4;"Sony Erickson",5;"Sprint",6},2,0)</f>
        <v>3</v>
      </c>
      <c r="H54" s="9" t="s">
        <v>316</v>
      </c>
      <c r="I54" s="9" t="s">
        <v>237</v>
      </c>
      <c r="J54" s="9">
        <f>VLOOKUP(I54,{"Excellent",4;"Poor",1;"Good",3;"OK",2},2,0)</f>
        <v>2</v>
      </c>
      <c r="O54" s="9">
        <v>171</v>
      </c>
      <c r="P54" s="9">
        <f t="shared" si="0"/>
        <v>77.222222222222214</v>
      </c>
      <c r="X54" s="9">
        <f t="shared" si="5"/>
        <v>350.37222222222221</v>
      </c>
    </row>
    <row r="55" spans="1:24" x14ac:dyDescent="0.25">
      <c r="A55" s="9" t="s">
        <v>317</v>
      </c>
      <c r="B55" s="9" t="s">
        <v>258</v>
      </c>
      <c r="C55" s="9">
        <f>VLOOKUP(B55,{"iPhone",1;"Motorola",2;"Nokia",3;"Samsung",4;"Sony Erickson",5;"Sprint",6},2,0)</f>
        <v>6</v>
      </c>
      <c r="H55" s="9" t="s">
        <v>317</v>
      </c>
      <c r="I55" s="9" t="s">
        <v>238</v>
      </c>
      <c r="J55" s="9">
        <f>VLOOKUP(I55,{"Excellent",4;"Poor",1;"Good",3;"OK",2},2,0)</f>
        <v>4</v>
      </c>
      <c r="O55" s="9">
        <v>170</v>
      </c>
      <c r="P55" s="9">
        <f t="shared" si="0"/>
        <v>76.666666666666671</v>
      </c>
      <c r="X55" s="9">
        <f t="shared" si="5"/>
        <v>349.81666666666666</v>
      </c>
    </row>
    <row r="56" spans="1:24" x14ac:dyDescent="0.25">
      <c r="A56" s="9" t="s">
        <v>318</v>
      </c>
      <c r="B56" s="9" t="s">
        <v>248</v>
      </c>
      <c r="C56" s="9">
        <f>VLOOKUP(B56,{"iPhone",1;"Motorola",2;"Nokia",3;"Samsung",4;"Sony Erickson",5;"Sprint",6},2,0)</f>
        <v>3</v>
      </c>
      <c r="H56" s="9" t="s">
        <v>318</v>
      </c>
      <c r="I56" s="9" t="s">
        <v>242</v>
      </c>
      <c r="J56" s="9">
        <f>VLOOKUP(I56,{"Excellent",4;"Poor",1;"Good",3;"OK",2},2,0)</f>
        <v>1</v>
      </c>
      <c r="O56" s="9">
        <v>169</v>
      </c>
      <c r="P56" s="9">
        <f t="shared" si="0"/>
        <v>76.111111111111114</v>
      </c>
      <c r="X56" s="9">
        <f t="shared" si="5"/>
        <v>349.26111111111106</v>
      </c>
    </row>
    <row r="57" spans="1:24" x14ac:dyDescent="0.25">
      <c r="A57" s="9" t="s">
        <v>319</v>
      </c>
      <c r="B57" s="9" t="s">
        <v>248</v>
      </c>
      <c r="C57" s="9">
        <f>VLOOKUP(B57,{"iPhone",1;"Motorola",2;"Nokia",3;"Samsung",4;"Sony Erickson",5;"Sprint",6},2,0)</f>
        <v>3</v>
      </c>
      <c r="H57" s="9" t="s">
        <v>319</v>
      </c>
      <c r="I57" s="9" t="s">
        <v>238</v>
      </c>
      <c r="J57" s="9">
        <f>VLOOKUP(I57,{"Excellent",4;"Poor",1;"Good",3;"OK",2},2,0)</f>
        <v>4</v>
      </c>
      <c r="O57" s="9">
        <v>168</v>
      </c>
      <c r="P57" s="9">
        <f t="shared" si="0"/>
        <v>75.555555555555557</v>
      </c>
      <c r="X57" s="9">
        <f t="shared" si="5"/>
        <v>348.70555555555552</v>
      </c>
    </row>
    <row r="58" spans="1:24" x14ac:dyDescent="0.25">
      <c r="A58" s="9" t="s">
        <v>320</v>
      </c>
      <c r="B58" s="9" t="s">
        <v>258</v>
      </c>
      <c r="C58" s="9">
        <f>VLOOKUP(B58,{"iPhone",1;"Motorola",2;"Nokia",3;"Samsung",4;"Sony Erickson",5;"Sprint",6},2,0)</f>
        <v>6</v>
      </c>
      <c r="H58" s="9" t="s">
        <v>320</v>
      </c>
      <c r="I58" s="9" t="s">
        <v>243</v>
      </c>
      <c r="J58" s="9">
        <f>VLOOKUP(I58,{"Excellent",4;"Poor",1;"Good",3;"OK",2},2,0)</f>
        <v>3</v>
      </c>
      <c r="O58" s="9">
        <v>167</v>
      </c>
      <c r="P58" s="9">
        <f t="shared" si="0"/>
        <v>75</v>
      </c>
      <c r="X58" s="9">
        <f t="shared" si="5"/>
        <v>348.15</v>
      </c>
    </row>
    <row r="59" spans="1:24" x14ac:dyDescent="0.25">
      <c r="A59" s="9" t="s">
        <v>321</v>
      </c>
      <c r="B59" s="9" t="s">
        <v>254</v>
      </c>
      <c r="C59" s="9">
        <f>VLOOKUP(B59,{"iPhone",1;"Motorola",2;"Nokia",3;"Samsung",4;"Sony Erickson",5;"Sprint",6},2,0)</f>
        <v>5</v>
      </c>
      <c r="H59" s="9" t="s">
        <v>321</v>
      </c>
      <c r="I59" s="9" t="s">
        <v>242</v>
      </c>
      <c r="J59" s="9">
        <f>VLOOKUP(I59,{"Excellent",4;"Poor",1;"Good",3;"OK",2},2,0)</f>
        <v>1</v>
      </c>
      <c r="O59" s="9">
        <v>166</v>
      </c>
      <c r="P59" s="9">
        <f t="shared" si="0"/>
        <v>74.444444444444443</v>
      </c>
      <c r="X59" s="9">
        <f t="shared" si="5"/>
        <v>347.59444444444443</v>
      </c>
    </row>
    <row r="60" spans="1:24" x14ac:dyDescent="0.25">
      <c r="A60" s="9" t="s">
        <v>322</v>
      </c>
      <c r="B60" s="9" t="s">
        <v>248</v>
      </c>
      <c r="C60" s="9">
        <f>VLOOKUP(B60,{"iPhone",1;"Motorola",2;"Nokia",3;"Samsung",4;"Sony Erickson",5;"Sprint",6},2,0)</f>
        <v>3</v>
      </c>
      <c r="H60" s="9" t="s">
        <v>322</v>
      </c>
      <c r="I60" s="9" t="s">
        <v>242</v>
      </c>
      <c r="J60" s="9">
        <f>VLOOKUP(I60,{"Excellent",4;"Poor",1;"Good",3;"OK",2},2,0)</f>
        <v>1</v>
      </c>
      <c r="O60" s="9">
        <v>165</v>
      </c>
      <c r="P60" s="9">
        <f t="shared" si="0"/>
        <v>73.888888888888886</v>
      </c>
      <c r="X60" s="9">
        <f t="shared" si="5"/>
        <v>347.03888888888889</v>
      </c>
    </row>
    <row r="61" spans="1:24" x14ac:dyDescent="0.25">
      <c r="A61" s="9" t="s">
        <v>323</v>
      </c>
      <c r="B61" s="9" t="s">
        <v>236</v>
      </c>
      <c r="C61" s="9">
        <f>VLOOKUP(B61,{"iPhone",1;"Motorola",2;"Nokia",3;"Samsung",4;"Sony Erickson",5;"Sprint",6},2,0)</f>
        <v>1</v>
      </c>
      <c r="H61" s="9" t="s">
        <v>323</v>
      </c>
      <c r="I61" s="9" t="s">
        <v>243</v>
      </c>
      <c r="J61" s="9">
        <f>VLOOKUP(I61,{"Excellent",4;"Poor",1;"Good",3;"OK",2},2,0)</f>
        <v>3</v>
      </c>
      <c r="O61" s="9">
        <v>164</v>
      </c>
      <c r="P61" s="9">
        <f t="shared" si="0"/>
        <v>73.333333333333329</v>
      </c>
      <c r="X61" s="9">
        <f t="shared" si="5"/>
        <v>346.48333333333329</v>
      </c>
    </row>
    <row r="62" spans="1:24" x14ac:dyDescent="0.25">
      <c r="A62" s="9" t="s">
        <v>324</v>
      </c>
      <c r="B62" s="9" t="s">
        <v>247</v>
      </c>
      <c r="C62" s="9">
        <f>VLOOKUP(B62,{"iPhone",1;"Motorola",2;"Nokia",3;"Samsung",4;"Sony Erickson",5;"Sprint",6},2,0)</f>
        <v>4</v>
      </c>
      <c r="H62" s="9" t="s">
        <v>324</v>
      </c>
      <c r="I62" s="9" t="s">
        <v>242</v>
      </c>
      <c r="J62" s="9">
        <f>VLOOKUP(I62,{"Excellent",4;"Poor",1;"Good",3;"OK",2},2,0)</f>
        <v>1</v>
      </c>
      <c r="O62" s="9">
        <v>163</v>
      </c>
      <c r="P62" s="9">
        <f t="shared" si="0"/>
        <v>72.777777777777771</v>
      </c>
      <c r="X62" s="9">
        <f t="shared" si="5"/>
        <v>345.92777777777775</v>
      </c>
    </row>
    <row r="63" spans="1:24" x14ac:dyDescent="0.25">
      <c r="A63" s="9" t="s">
        <v>325</v>
      </c>
      <c r="B63" s="9" t="s">
        <v>235</v>
      </c>
      <c r="C63" s="9">
        <f>VLOOKUP(B63,{"iPhone",1;"Motorola",2;"Nokia",3;"Samsung",4;"Sony Erickson",5;"Sprint",6},2,0)</f>
        <v>2</v>
      </c>
      <c r="H63" s="9" t="s">
        <v>325</v>
      </c>
      <c r="I63" s="9" t="s">
        <v>237</v>
      </c>
      <c r="J63" s="9">
        <f>VLOOKUP(I63,{"Excellent",4;"Poor",1;"Good",3;"OK",2},2,0)</f>
        <v>2</v>
      </c>
      <c r="O63" s="9">
        <v>162</v>
      </c>
      <c r="P63" s="9">
        <f t="shared" si="0"/>
        <v>72.222222222222214</v>
      </c>
      <c r="X63" s="9">
        <f t="shared" si="5"/>
        <v>345.37222222222221</v>
      </c>
    </row>
    <row r="64" spans="1:24" x14ac:dyDescent="0.25">
      <c r="A64" s="9" t="s">
        <v>326</v>
      </c>
      <c r="B64" s="9" t="s">
        <v>236</v>
      </c>
      <c r="C64" s="9">
        <f>VLOOKUP(B64,{"iPhone",1;"Motorola",2;"Nokia",3;"Samsung",4;"Sony Erickson",5;"Sprint",6},2,0)</f>
        <v>1</v>
      </c>
      <c r="H64" s="9" t="s">
        <v>326</v>
      </c>
      <c r="I64" s="9" t="s">
        <v>242</v>
      </c>
      <c r="J64" s="9">
        <f>VLOOKUP(I64,{"Excellent",4;"Poor",1;"Good",3;"OK",2},2,0)</f>
        <v>1</v>
      </c>
      <c r="O64" s="9">
        <v>161</v>
      </c>
      <c r="P64" s="9">
        <f t="shared" si="0"/>
        <v>71.666666666666671</v>
      </c>
      <c r="X64" s="9">
        <f t="shared" si="5"/>
        <v>344.81666666666666</v>
      </c>
    </row>
    <row r="65" spans="1:24" x14ac:dyDescent="0.25">
      <c r="A65" s="9" t="s">
        <v>327</v>
      </c>
      <c r="B65" s="9" t="s">
        <v>254</v>
      </c>
      <c r="C65" s="9">
        <f>VLOOKUP(B65,{"iPhone",1;"Motorola",2;"Nokia",3;"Samsung",4;"Sony Erickson",5;"Sprint",6},2,0)</f>
        <v>5</v>
      </c>
      <c r="H65" s="9" t="s">
        <v>327</v>
      </c>
      <c r="I65" s="9" t="s">
        <v>242</v>
      </c>
      <c r="J65" s="9">
        <f>VLOOKUP(I65,{"Excellent",4;"Poor",1;"Good",3;"OK",2},2,0)</f>
        <v>1</v>
      </c>
      <c r="O65" s="9">
        <v>160</v>
      </c>
      <c r="P65" s="9">
        <f t="shared" si="0"/>
        <v>71.111111111111114</v>
      </c>
      <c r="X65" s="9">
        <f t="shared" si="5"/>
        <v>344.26111111111106</v>
      </c>
    </row>
    <row r="66" spans="1:24" x14ac:dyDescent="0.25">
      <c r="A66" s="9" t="s">
        <v>328</v>
      </c>
      <c r="B66" s="9" t="s">
        <v>248</v>
      </c>
      <c r="C66" s="9">
        <f>VLOOKUP(B66,{"iPhone",1;"Motorola",2;"Nokia",3;"Samsung",4;"Sony Erickson",5;"Sprint",6},2,0)</f>
        <v>3</v>
      </c>
      <c r="H66" s="9" t="s">
        <v>328</v>
      </c>
      <c r="I66" s="9" t="s">
        <v>237</v>
      </c>
      <c r="J66" s="9">
        <f>VLOOKUP(I66,{"Excellent",4;"Poor",1;"Good",3;"OK",2},2,0)</f>
        <v>2</v>
      </c>
      <c r="O66" s="9">
        <v>159</v>
      </c>
      <c r="P66" s="9">
        <f t="shared" si="0"/>
        <v>70.555555555555557</v>
      </c>
      <c r="X66" s="9">
        <f t="shared" si="5"/>
        <v>343.70555555555552</v>
      </c>
    </row>
    <row r="67" spans="1:24" x14ac:dyDescent="0.25">
      <c r="A67" s="9" t="s">
        <v>329</v>
      </c>
      <c r="B67" s="9" t="s">
        <v>248</v>
      </c>
      <c r="C67" s="9">
        <f>VLOOKUP(B67,{"iPhone",1;"Motorola",2;"Nokia",3;"Samsung",4;"Sony Erickson",5;"Sprint",6},2,0)</f>
        <v>3</v>
      </c>
      <c r="H67" s="9" t="s">
        <v>329</v>
      </c>
      <c r="I67" s="9" t="s">
        <v>242</v>
      </c>
      <c r="J67" s="9">
        <f>VLOOKUP(I67,{"Excellent",4;"Poor",1;"Good",3;"OK",2},2,0)</f>
        <v>1</v>
      </c>
      <c r="O67" s="9">
        <v>158</v>
      </c>
      <c r="P67" s="9">
        <f t="shared" si="0"/>
        <v>70</v>
      </c>
      <c r="X67" s="9">
        <f t="shared" si="5"/>
        <v>343.15</v>
      </c>
    </row>
    <row r="68" spans="1:24" x14ac:dyDescent="0.25">
      <c r="A68" s="9" t="s">
        <v>330</v>
      </c>
      <c r="B68" s="9" t="s">
        <v>236</v>
      </c>
      <c r="C68" s="9">
        <f>VLOOKUP(B68,{"iPhone",1;"Motorola",2;"Nokia",3;"Samsung",4;"Sony Erickson",5;"Sprint",6},2,0)</f>
        <v>1</v>
      </c>
      <c r="H68" s="9" t="s">
        <v>330</v>
      </c>
      <c r="I68" s="9" t="s">
        <v>242</v>
      </c>
      <c r="J68" s="9">
        <f>VLOOKUP(I68,{"Excellent",4;"Poor",1;"Good",3;"OK",2},2,0)</f>
        <v>1</v>
      </c>
      <c r="O68" s="9">
        <v>157</v>
      </c>
      <c r="P68" s="9">
        <f t="shared" si="0"/>
        <v>69.444444444444443</v>
      </c>
      <c r="X68" s="9">
        <f t="shared" si="5"/>
        <v>342.59444444444443</v>
      </c>
    </row>
    <row r="69" spans="1:24" x14ac:dyDescent="0.25">
      <c r="A69" s="9" t="s">
        <v>331</v>
      </c>
      <c r="B69" s="9" t="s">
        <v>236</v>
      </c>
      <c r="C69" s="9">
        <f>VLOOKUP(B69,{"iPhone",1;"Motorola",2;"Nokia",3;"Samsung",4;"Sony Erickson",5;"Sprint",6},2,0)</f>
        <v>1</v>
      </c>
      <c r="H69" s="9" t="s">
        <v>331</v>
      </c>
      <c r="I69" s="9" t="s">
        <v>242</v>
      </c>
      <c r="J69" s="9">
        <f>VLOOKUP(I69,{"Excellent",4;"Poor",1;"Good",3;"OK",2},2,0)</f>
        <v>1</v>
      </c>
      <c r="O69" s="9">
        <v>156</v>
      </c>
      <c r="P69" s="9">
        <f t="shared" ref="P69:P132" si="13">CONVERT(O69,"F","C")</f>
        <v>68.888888888888886</v>
      </c>
      <c r="X69" s="9">
        <f t="shared" si="5"/>
        <v>342.03888888888889</v>
      </c>
    </row>
    <row r="70" spans="1:24" x14ac:dyDescent="0.25">
      <c r="A70" s="9" t="s">
        <v>332</v>
      </c>
      <c r="B70" s="9" t="s">
        <v>236</v>
      </c>
      <c r="C70" s="9">
        <f>VLOOKUP(B70,{"iPhone",1;"Motorola",2;"Nokia",3;"Samsung",4;"Sony Erickson",5;"Sprint",6},2,0)</f>
        <v>1</v>
      </c>
      <c r="H70" s="9" t="s">
        <v>332</v>
      </c>
      <c r="I70" s="9" t="s">
        <v>242</v>
      </c>
      <c r="J70" s="9">
        <f>VLOOKUP(I70,{"Excellent",4;"Poor",1;"Good",3;"OK",2},2,0)</f>
        <v>1</v>
      </c>
      <c r="O70" s="9">
        <v>155</v>
      </c>
      <c r="P70" s="9">
        <f t="shared" si="13"/>
        <v>68.333333333333329</v>
      </c>
      <c r="X70" s="9">
        <f t="shared" ref="X70:X133" si="14">CONVERT(O70,"F","K")</f>
        <v>341.48333333333329</v>
      </c>
    </row>
    <row r="71" spans="1:24" x14ac:dyDescent="0.25">
      <c r="A71" s="9" t="s">
        <v>333</v>
      </c>
      <c r="B71" s="9" t="s">
        <v>236</v>
      </c>
      <c r="C71" s="9">
        <f>VLOOKUP(B71,{"iPhone",1;"Motorola",2;"Nokia",3;"Samsung",4;"Sony Erickson",5;"Sprint",6},2,0)</f>
        <v>1</v>
      </c>
      <c r="H71" s="9" t="s">
        <v>333</v>
      </c>
      <c r="I71" s="9" t="s">
        <v>237</v>
      </c>
      <c r="J71" s="9">
        <f>VLOOKUP(I71,{"Excellent",4;"Poor",1;"Good",3;"OK",2},2,0)</f>
        <v>2</v>
      </c>
      <c r="O71" s="9">
        <v>154</v>
      </c>
      <c r="P71" s="9">
        <f t="shared" si="13"/>
        <v>67.777777777777771</v>
      </c>
      <c r="X71" s="9">
        <f t="shared" si="14"/>
        <v>340.92777777777775</v>
      </c>
    </row>
    <row r="72" spans="1:24" x14ac:dyDescent="0.25">
      <c r="A72" s="9" t="s">
        <v>334</v>
      </c>
      <c r="B72" s="9" t="s">
        <v>258</v>
      </c>
      <c r="C72" s="9">
        <f>VLOOKUP(B72,{"iPhone",1;"Motorola",2;"Nokia",3;"Samsung",4;"Sony Erickson",5;"Sprint",6},2,0)</f>
        <v>6</v>
      </c>
      <c r="H72" s="9" t="s">
        <v>334</v>
      </c>
      <c r="I72" s="9" t="s">
        <v>242</v>
      </c>
      <c r="J72" s="9">
        <f>VLOOKUP(I72,{"Excellent",4;"Poor",1;"Good",3;"OK",2},2,0)</f>
        <v>1</v>
      </c>
      <c r="O72" s="9">
        <v>153</v>
      </c>
      <c r="P72" s="9">
        <f t="shared" si="13"/>
        <v>67.222222222222214</v>
      </c>
      <c r="X72" s="9">
        <f t="shared" si="14"/>
        <v>340.37222222222221</v>
      </c>
    </row>
    <row r="73" spans="1:24" x14ac:dyDescent="0.25">
      <c r="A73" s="9" t="s">
        <v>335</v>
      </c>
      <c r="B73" s="9" t="s">
        <v>236</v>
      </c>
      <c r="C73" s="9">
        <f>VLOOKUP(B73,{"iPhone",1;"Motorola",2;"Nokia",3;"Samsung",4;"Sony Erickson",5;"Sprint",6},2,0)</f>
        <v>1</v>
      </c>
      <c r="H73" s="9" t="s">
        <v>335</v>
      </c>
      <c r="I73" s="9" t="s">
        <v>242</v>
      </c>
      <c r="J73" s="9">
        <f>VLOOKUP(I73,{"Excellent",4;"Poor",1;"Good",3;"OK",2},2,0)</f>
        <v>1</v>
      </c>
      <c r="O73" s="9">
        <v>152</v>
      </c>
      <c r="P73" s="9">
        <f t="shared" si="13"/>
        <v>66.666666666666671</v>
      </c>
      <c r="X73" s="9">
        <f t="shared" si="14"/>
        <v>339.81666666666666</v>
      </c>
    </row>
    <row r="74" spans="1:24" x14ac:dyDescent="0.25">
      <c r="A74" s="9" t="s">
        <v>336</v>
      </c>
      <c r="B74" s="9" t="s">
        <v>248</v>
      </c>
      <c r="C74" s="9">
        <f>VLOOKUP(B74,{"iPhone",1;"Motorola",2;"Nokia",3;"Samsung",4;"Sony Erickson",5;"Sprint",6},2,0)</f>
        <v>3</v>
      </c>
      <c r="H74" s="9" t="s">
        <v>336</v>
      </c>
      <c r="I74" s="9" t="s">
        <v>242</v>
      </c>
      <c r="J74" s="9">
        <f>VLOOKUP(I74,{"Excellent",4;"Poor",1;"Good",3;"OK",2},2,0)</f>
        <v>1</v>
      </c>
      <c r="O74" s="9">
        <v>151</v>
      </c>
      <c r="P74" s="9">
        <f t="shared" si="13"/>
        <v>66.111111111111114</v>
      </c>
      <c r="X74" s="9">
        <f t="shared" si="14"/>
        <v>339.26111111111106</v>
      </c>
    </row>
    <row r="75" spans="1:24" x14ac:dyDescent="0.25">
      <c r="A75" s="9" t="s">
        <v>337</v>
      </c>
      <c r="B75" s="9" t="s">
        <v>235</v>
      </c>
      <c r="C75" s="9">
        <f>VLOOKUP(B75,{"iPhone",1;"Motorola",2;"Nokia",3;"Samsung",4;"Sony Erickson",5;"Sprint",6},2,0)</f>
        <v>2</v>
      </c>
      <c r="H75" s="9" t="s">
        <v>337</v>
      </c>
      <c r="I75" s="9" t="s">
        <v>242</v>
      </c>
      <c r="J75" s="9">
        <f>VLOOKUP(I75,{"Excellent",4;"Poor",1;"Good",3;"OK",2},2,0)</f>
        <v>1</v>
      </c>
      <c r="O75" s="9">
        <v>150</v>
      </c>
      <c r="P75" s="9">
        <f t="shared" si="13"/>
        <v>65.555555555555557</v>
      </c>
      <c r="X75" s="9">
        <f t="shared" si="14"/>
        <v>338.70555555555552</v>
      </c>
    </row>
    <row r="76" spans="1:24" x14ac:dyDescent="0.25">
      <c r="A76" s="9" t="s">
        <v>338</v>
      </c>
      <c r="B76" s="9" t="s">
        <v>258</v>
      </c>
      <c r="C76" s="9">
        <f>VLOOKUP(B76,{"iPhone",1;"Motorola",2;"Nokia",3;"Samsung",4;"Sony Erickson",5;"Sprint",6},2,0)</f>
        <v>6</v>
      </c>
      <c r="H76" s="9" t="s">
        <v>338</v>
      </c>
      <c r="I76" s="9" t="s">
        <v>243</v>
      </c>
      <c r="J76" s="9">
        <f>VLOOKUP(I76,{"Excellent",4;"Poor",1;"Good",3;"OK",2},2,0)</f>
        <v>3</v>
      </c>
      <c r="O76" s="9">
        <v>149</v>
      </c>
      <c r="P76" s="9">
        <f t="shared" si="13"/>
        <v>65</v>
      </c>
      <c r="X76" s="9">
        <f t="shared" si="14"/>
        <v>338.15</v>
      </c>
    </row>
    <row r="77" spans="1:24" x14ac:dyDescent="0.25">
      <c r="A77" s="9" t="s">
        <v>339</v>
      </c>
      <c r="B77" s="9" t="s">
        <v>236</v>
      </c>
      <c r="C77" s="9">
        <f>VLOOKUP(B77,{"iPhone",1;"Motorola",2;"Nokia",3;"Samsung",4;"Sony Erickson",5;"Sprint",6},2,0)</f>
        <v>1</v>
      </c>
      <c r="H77" s="9" t="s">
        <v>339</v>
      </c>
      <c r="I77" s="9" t="s">
        <v>237</v>
      </c>
      <c r="J77" s="9">
        <f>VLOOKUP(I77,{"Excellent",4;"Poor",1;"Good",3;"OK",2},2,0)</f>
        <v>2</v>
      </c>
      <c r="O77" s="9">
        <v>148</v>
      </c>
      <c r="P77" s="9">
        <f t="shared" si="13"/>
        <v>64.444444444444443</v>
      </c>
      <c r="X77" s="9">
        <f t="shared" si="14"/>
        <v>337.59444444444443</v>
      </c>
    </row>
    <row r="78" spans="1:24" x14ac:dyDescent="0.25">
      <c r="A78" s="9" t="s">
        <v>340</v>
      </c>
      <c r="B78" s="9" t="s">
        <v>254</v>
      </c>
      <c r="C78" s="9">
        <f>VLOOKUP(B78,{"iPhone",1;"Motorola",2;"Nokia",3;"Samsung",4;"Sony Erickson",5;"Sprint",6},2,0)</f>
        <v>5</v>
      </c>
      <c r="H78" s="9" t="s">
        <v>340</v>
      </c>
      <c r="I78" s="9" t="s">
        <v>238</v>
      </c>
      <c r="J78" s="9">
        <f>VLOOKUP(I78,{"Excellent",4;"Poor",1;"Good",3;"OK",2},2,0)</f>
        <v>4</v>
      </c>
      <c r="O78" s="9">
        <v>147</v>
      </c>
      <c r="P78" s="9">
        <f t="shared" si="13"/>
        <v>63.888888888888886</v>
      </c>
      <c r="X78" s="9">
        <f t="shared" si="14"/>
        <v>337.03888888888889</v>
      </c>
    </row>
    <row r="79" spans="1:24" x14ac:dyDescent="0.25">
      <c r="A79" s="9" t="s">
        <v>341</v>
      </c>
      <c r="B79" s="9" t="s">
        <v>248</v>
      </c>
      <c r="C79" s="9">
        <f>VLOOKUP(B79,{"iPhone",1;"Motorola",2;"Nokia",3;"Samsung",4;"Sony Erickson",5;"Sprint",6},2,0)</f>
        <v>3</v>
      </c>
      <c r="H79" s="9" t="s">
        <v>341</v>
      </c>
      <c r="I79" s="9" t="s">
        <v>242</v>
      </c>
      <c r="J79" s="9">
        <f>VLOOKUP(I79,{"Excellent",4;"Poor",1;"Good",3;"OK",2},2,0)</f>
        <v>1</v>
      </c>
      <c r="O79" s="9">
        <v>146</v>
      </c>
      <c r="P79" s="9">
        <f t="shared" si="13"/>
        <v>63.333333333333329</v>
      </c>
      <c r="X79" s="9">
        <f t="shared" si="14"/>
        <v>336.48333333333329</v>
      </c>
    </row>
    <row r="80" spans="1:24" x14ac:dyDescent="0.25">
      <c r="A80" s="9" t="s">
        <v>342</v>
      </c>
      <c r="B80" s="9" t="s">
        <v>235</v>
      </c>
      <c r="C80" s="9">
        <f>VLOOKUP(B80,{"iPhone",1;"Motorola",2;"Nokia",3;"Samsung",4;"Sony Erickson",5;"Sprint",6},2,0)</f>
        <v>2</v>
      </c>
      <c r="H80" s="9" t="s">
        <v>342</v>
      </c>
      <c r="I80" s="9" t="s">
        <v>243</v>
      </c>
      <c r="J80" s="9">
        <f>VLOOKUP(I80,{"Excellent",4;"Poor",1;"Good",3;"OK",2},2,0)</f>
        <v>3</v>
      </c>
      <c r="O80" s="9">
        <v>145</v>
      </c>
      <c r="P80" s="9">
        <f t="shared" si="13"/>
        <v>62.777777777777779</v>
      </c>
      <c r="X80" s="9">
        <f t="shared" si="14"/>
        <v>335.92777777777775</v>
      </c>
    </row>
    <row r="81" spans="1:24" x14ac:dyDescent="0.25">
      <c r="A81" s="9" t="s">
        <v>343</v>
      </c>
      <c r="B81" s="9" t="s">
        <v>236</v>
      </c>
      <c r="C81" s="9">
        <f>VLOOKUP(B81,{"iPhone",1;"Motorola",2;"Nokia",3;"Samsung",4;"Sony Erickson",5;"Sprint",6},2,0)</f>
        <v>1</v>
      </c>
      <c r="H81" s="9" t="s">
        <v>343</v>
      </c>
      <c r="I81" s="9" t="s">
        <v>242</v>
      </c>
      <c r="J81" s="9">
        <f>VLOOKUP(I81,{"Excellent",4;"Poor",1;"Good",3;"OK",2},2,0)</f>
        <v>1</v>
      </c>
      <c r="O81" s="9">
        <v>144</v>
      </c>
      <c r="P81" s="9">
        <f t="shared" si="13"/>
        <v>62.222222222222221</v>
      </c>
      <c r="X81" s="9">
        <f t="shared" si="14"/>
        <v>335.37222222222221</v>
      </c>
    </row>
    <row r="82" spans="1:24" x14ac:dyDescent="0.25">
      <c r="A82" s="9" t="s">
        <v>344</v>
      </c>
      <c r="B82" s="9" t="s">
        <v>235</v>
      </c>
      <c r="C82" s="9">
        <f>VLOOKUP(B82,{"iPhone",1;"Motorola",2;"Nokia",3;"Samsung",4;"Sony Erickson",5;"Sprint",6},2,0)</f>
        <v>2</v>
      </c>
      <c r="H82" s="9" t="s">
        <v>344</v>
      </c>
      <c r="I82" s="9" t="s">
        <v>237</v>
      </c>
      <c r="J82" s="9">
        <f>VLOOKUP(I82,{"Excellent",4;"Poor",1;"Good",3;"OK",2},2,0)</f>
        <v>2</v>
      </c>
      <c r="O82" s="9">
        <v>143</v>
      </c>
      <c r="P82" s="9">
        <f t="shared" si="13"/>
        <v>61.666666666666664</v>
      </c>
      <c r="X82" s="9">
        <f t="shared" si="14"/>
        <v>334.81666666666666</v>
      </c>
    </row>
    <row r="83" spans="1:24" x14ac:dyDescent="0.25">
      <c r="A83" s="9" t="s">
        <v>345</v>
      </c>
      <c r="B83" s="9" t="s">
        <v>248</v>
      </c>
      <c r="C83" s="9">
        <f>VLOOKUP(B83,{"iPhone",1;"Motorola",2;"Nokia",3;"Samsung",4;"Sony Erickson",5;"Sprint",6},2,0)</f>
        <v>3</v>
      </c>
      <c r="H83" s="9" t="s">
        <v>345</v>
      </c>
      <c r="I83" s="9" t="s">
        <v>243</v>
      </c>
      <c r="J83" s="9">
        <f>VLOOKUP(I83,{"Excellent",4;"Poor",1;"Good",3;"OK",2},2,0)</f>
        <v>3</v>
      </c>
      <c r="O83" s="9">
        <v>142</v>
      </c>
      <c r="P83" s="9">
        <f t="shared" si="13"/>
        <v>61.111111111111107</v>
      </c>
      <c r="X83" s="9">
        <f t="shared" si="14"/>
        <v>334.26111111111106</v>
      </c>
    </row>
    <row r="84" spans="1:24" x14ac:dyDescent="0.25">
      <c r="A84" s="9" t="s">
        <v>346</v>
      </c>
      <c r="B84" s="9" t="s">
        <v>235</v>
      </c>
      <c r="C84" s="9">
        <f>VLOOKUP(B84,{"iPhone",1;"Motorola",2;"Nokia",3;"Samsung",4;"Sony Erickson",5;"Sprint",6},2,0)</f>
        <v>2</v>
      </c>
      <c r="H84" s="9" t="s">
        <v>346</v>
      </c>
      <c r="I84" s="9" t="s">
        <v>242</v>
      </c>
      <c r="J84" s="9">
        <f>VLOOKUP(I84,{"Excellent",4;"Poor",1;"Good",3;"OK",2},2,0)</f>
        <v>1</v>
      </c>
      <c r="O84" s="9">
        <v>141</v>
      </c>
      <c r="P84" s="9">
        <f t="shared" si="13"/>
        <v>60.555555555555557</v>
      </c>
      <c r="X84" s="9">
        <f t="shared" si="14"/>
        <v>333.70555555555552</v>
      </c>
    </row>
    <row r="85" spans="1:24" x14ac:dyDescent="0.25">
      <c r="A85" s="9" t="s">
        <v>347</v>
      </c>
      <c r="B85" s="9" t="s">
        <v>248</v>
      </c>
      <c r="C85" s="9">
        <f>VLOOKUP(B85,{"iPhone",1;"Motorola",2;"Nokia",3;"Samsung",4;"Sony Erickson",5;"Sprint",6},2,0)</f>
        <v>3</v>
      </c>
      <c r="H85" s="9" t="s">
        <v>347</v>
      </c>
      <c r="I85" s="9" t="s">
        <v>242</v>
      </c>
      <c r="J85" s="9">
        <f>VLOOKUP(I85,{"Excellent",4;"Poor",1;"Good",3;"OK",2},2,0)</f>
        <v>1</v>
      </c>
      <c r="O85" s="9">
        <v>140</v>
      </c>
      <c r="P85" s="9">
        <f t="shared" si="13"/>
        <v>60</v>
      </c>
      <c r="X85" s="9">
        <f t="shared" si="14"/>
        <v>333.15</v>
      </c>
    </row>
    <row r="86" spans="1:24" x14ac:dyDescent="0.25">
      <c r="A86" s="9" t="s">
        <v>348</v>
      </c>
      <c r="B86" s="9" t="s">
        <v>258</v>
      </c>
      <c r="C86" s="9">
        <f>VLOOKUP(B86,{"iPhone",1;"Motorola",2;"Nokia",3;"Samsung",4;"Sony Erickson",5;"Sprint",6},2,0)</f>
        <v>6</v>
      </c>
      <c r="H86" s="9" t="s">
        <v>348</v>
      </c>
      <c r="I86" s="9" t="s">
        <v>242</v>
      </c>
      <c r="J86" s="9">
        <f>VLOOKUP(I86,{"Excellent",4;"Poor",1;"Good",3;"OK",2},2,0)</f>
        <v>1</v>
      </c>
      <c r="O86" s="9">
        <v>139</v>
      </c>
      <c r="P86" s="9">
        <f t="shared" si="13"/>
        <v>59.444444444444443</v>
      </c>
      <c r="X86" s="9">
        <f t="shared" si="14"/>
        <v>332.59444444444443</v>
      </c>
    </row>
    <row r="87" spans="1:24" x14ac:dyDescent="0.25">
      <c r="A87" s="9" t="s">
        <v>349</v>
      </c>
      <c r="B87" s="9" t="s">
        <v>258</v>
      </c>
      <c r="C87" s="9">
        <f>VLOOKUP(B87,{"iPhone",1;"Motorola",2;"Nokia",3;"Samsung",4;"Sony Erickson",5;"Sprint",6},2,0)</f>
        <v>6</v>
      </c>
      <c r="H87" s="9" t="s">
        <v>349</v>
      </c>
      <c r="I87" s="9" t="s">
        <v>242</v>
      </c>
      <c r="J87" s="9">
        <f>VLOOKUP(I87,{"Excellent",4;"Poor",1;"Good",3;"OK",2},2,0)</f>
        <v>1</v>
      </c>
      <c r="O87" s="9">
        <v>138</v>
      </c>
      <c r="P87" s="9">
        <f t="shared" si="13"/>
        <v>58.888888888888886</v>
      </c>
      <c r="X87" s="9">
        <f t="shared" si="14"/>
        <v>332.03888888888889</v>
      </c>
    </row>
    <row r="88" spans="1:24" x14ac:dyDescent="0.25">
      <c r="A88" s="9" t="s">
        <v>350</v>
      </c>
      <c r="B88" s="9" t="s">
        <v>236</v>
      </c>
      <c r="C88" s="9">
        <f>VLOOKUP(B88,{"iPhone",1;"Motorola",2;"Nokia",3;"Samsung",4;"Sony Erickson",5;"Sprint",6},2,0)</f>
        <v>1</v>
      </c>
      <c r="H88" s="9" t="s">
        <v>350</v>
      </c>
      <c r="I88" s="9" t="s">
        <v>242</v>
      </c>
      <c r="J88" s="9">
        <f>VLOOKUP(I88,{"Excellent",4;"Poor",1;"Good",3;"OK",2},2,0)</f>
        <v>1</v>
      </c>
      <c r="O88" s="9">
        <v>137</v>
      </c>
      <c r="P88" s="9">
        <f t="shared" si="13"/>
        <v>58.333333333333329</v>
      </c>
      <c r="X88" s="9">
        <f t="shared" si="14"/>
        <v>331.48333333333329</v>
      </c>
    </row>
    <row r="89" spans="1:24" x14ac:dyDescent="0.25">
      <c r="A89" s="9" t="s">
        <v>351</v>
      </c>
      <c r="B89" s="9" t="s">
        <v>236</v>
      </c>
      <c r="C89" s="9">
        <f>VLOOKUP(B89,{"iPhone",1;"Motorola",2;"Nokia",3;"Samsung",4;"Sony Erickson",5;"Sprint",6},2,0)</f>
        <v>1</v>
      </c>
      <c r="H89" s="9" t="s">
        <v>351</v>
      </c>
      <c r="I89" s="9" t="s">
        <v>243</v>
      </c>
      <c r="J89" s="9">
        <f>VLOOKUP(I89,{"Excellent",4;"Poor",1;"Good",3;"OK",2},2,0)</f>
        <v>3</v>
      </c>
      <c r="O89" s="9">
        <v>136</v>
      </c>
      <c r="P89" s="9">
        <f t="shared" si="13"/>
        <v>57.777777777777779</v>
      </c>
      <c r="X89" s="9">
        <f t="shared" si="14"/>
        <v>330.92777777777775</v>
      </c>
    </row>
    <row r="90" spans="1:24" x14ac:dyDescent="0.25">
      <c r="A90" s="9" t="s">
        <v>352</v>
      </c>
      <c r="B90" s="9" t="s">
        <v>236</v>
      </c>
      <c r="C90" s="9">
        <f>VLOOKUP(B90,{"iPhone",1;"Motorola",2;"Nokia",3;"Samsung",4;"Sony Erickson",5;"Sprint",6},2,0)</f>
        <v>1</v>
      </c>
      <c r="H90" s="9" t="s">
        <v>352</v>
      </c>
      <c r="I90" s="9" t="s">
        <v>237</v>
      </c>
      <c r="J90" s="9">
        <f>VLOOKUP(I90,{"Excellent",4;"Poor",1;"Good",3;"OK",2},2,0)</f>
        <v>2</v>
      </c>
      <c r="O90" s="9">
        <v>135</v>
      </c>
      <c r="P90" s="9">
        <f t="shared" si="13"/>
        <v>57.222222222222221</v>
      </c>
      <c r="X90" s="9">
        <f t="shared" si="14"/>
        <v>330.37222222222221</v>
      </c>
    </row>
    <row r="91" spans="1:24" x14ac:dyDescent="0.25">
      <c r="A91" s="9" t="s">
        <v>353</v>
      </c>
      <c r="B91" s="9" t="s">
        <v>236</v>
      </c>
      <c r="C91" s="9">
        <f>VLOOKUP(B91,{"iPhone",1;"Motorola",2;"Nokia",3;"Samsung",4;"Sony Erickson",5;"Sprint",6},2,0)</f>
        <v>1</v>
      </c>
      <c r="H91" s="9" t="s">
        <v>353</v>
      </c>
      <c r="I91" s="9" t="s">
        <v>237</v>
      </c>
      <c r="J91" s="9">
        <f>VLOOKUP(I91,{"Excellent",4;"Poor",1;"Good",3;"OK",2},2,0)</f>
        <v>2</v>
      </c>
      <c r="O91" s="9">
        <v>134</v>
      </c>
      <c r="P91" s="9">
        <f t="shared" si="13"/>
        <v>56.666666666666664</v>
      </c>
      <c r="X91" s="9">
        <f t="shared" si="14"/>
        <v>329.81666666666666</v>
      </c>
    </row>
    <row r="92" spans="1:24" x14ac:dyDescent="0.25">
      <c r="A92" s="9" t="s">
        <v>354</v>
      </c>
      <c r="B92" s="9" t="s">
        <v>258</v>
      </c>
      <c r="C92" s="9">
        <f>VLOOKUP(B92,{"iPhone",1;"Motorola",2;"Nokia",3;"Samsung",4;"Sony Erickson",5;"Sprint",6},2,0)</f>
        <v>6</v>
      </c>
      <c r="H92" s="9" t="s">
        <v>354</v>
      </c>
      <c r="I92" s="9" t="s">
        <v>243</v>
      </c>
      <c r="J92" s="9">
        <f>VLOOKUP(I92,{"Excellent",4;"Poor",1;"Good",3;"OK",2},2,0)</f>
        <v>3</v>
      </c>
      <c r="O92" s="9">
        <v>133</v>
      </c>
      <c r="P92" s="9">
        <f t="shared" si="13"/>
        <v>56.111111111111107</v>
      </c>
      <c r="X92" s="9">
        <f t="shared" si="14"/>
        <v>329.26111111111106</v>
      </c>
    </row>
    <row r="93" spans="1:24" x14ac:dyDescent="0.25">
      <c r="A93" s="9" t="s">
        <v>355</v>
      </c>
      <c r="B93" s="9" t="s">
        <v>235</v>
      </c>
      <c r="C93" s="9">
        <f>VLOOKUP(B93,{"iPhone",1;"Motorola",2;"Nokia",3;"Samsung",4;"Sony Erickson",5;"Sprint",6},2,0)</f>
        <v>2</v>
      </c>
      <c r="H93" s="9" t="s">
        <v>355</v>
      </c>
      <c r="I93" s="9" t="s">
        <v>242</v>
      </c>
      <c r="J93" s="9">
        <f>VLOOKUP(I93,{"Excellent",4;"Poor",1;"Good",3;"OK",2},2,0)</f>
        <v>1</v>
      </c>
      <c r="O93" s="9">
        <v>132</v>
      </c>
      <c r="P93" s="9">
        <f t="shared" si="13"/>
        <v>55.555555555555557</v>
      </c>
      <c r="X93" s="9">
        <f t="shared" si="14"/>
        <v>328.70555555555552</v>
      </c>
    </row>
    <row r="94" spans="1:24" x14ac:dyDescent="0.25">
      <c r="A94" s="9" t="s">
        <v>356</v>
      </c>
      <c r="B94" s="9" t="s">
        <v>254</v>
      </c>
      <c r="C94" s="9">
        <f>VLOOKUP(B94,{"iPhone",1;"Motorola",2;"Nokia",3;"Samsung",4;"Sony Erickson",5;"Sprint",6},2,0)</f>
        <v>5</v>
      </c>
      <c r="H94" s="9" t="s">
        <v>356</v>
      </c>
      <c r="I94" s="9" t="s">
        <v>237</v>
      </c>
      <c r="J94" s="9">
        <f>VLOOKUP(I94,{"Excellent",4;"Poor",1;"Good",3;"OK",2},2,0)</f>
        <v>2</v>
      </c>
      <c r="O94" s="9">
        <v>131</v>
      </c>
      <c r="P94" s="9">
        <f t="shared" si="13"/>
        <v>55</v>
      </c>
      <c r="X94" s="9">
        <f t="shared" si="14"/>
        <v>328.15</v>
      </c>
    </row>
    <row r="95" spans="1:24" x14ac:dyDescent="0.25">
      <c r="A95" s="9" t="s">
        <v>357</v>
      </c>
      <c r="B95" s="9" t="s">
        <v>235</v>
      </c>
      <c r="C95" s="9">
        <f>VLOOKUP(B95,{"iPhone",1;"Motorola",2;"Nokia",3;"Samsung",4;"Sony Erickson",5;"Sprint",6},2,0)</f>
        <v>2</v>
      </c>
      <c r="H95" s="9" t="s">
        <v>357</v>
      </c>
      <c r="I95" s="9" t="s">
        <v>242</v>
      </c>
      <c r="J95" s="9">
        <f>VLOOKUP(I95,{"Excellent",4;"Poor",1;"Good",3;"OK",2},2,0)</f>
        <v>1</v>
      </c>
      <c r="O95" s="9">
        <v>130</v>
      </c>
      <c r="P95" s="9">
        <f t="shared" si="13"/>
        <v>54.444444444444443</v>
      </c>
      <c r="X95" s="9">
        <f t="shared" si="14"/>
        <v>327.59444444444443</v>
      </c>
    </row>
    <row r="96" spans="1:24" x14ac:dyDescent="0.25">
      <c r="A96" s="9" t="s">
        <v>358</v>
      </c>
      <c r="B96" s="9" t="s">
        <v>247</v>
      </c>
      <c r="C96" s="9">
        <f>VLOOKUP(B96,{"iPhone",1;"Motorola",2;"Nokia",3;"Samsung",4;"Sony Erickson",5;"Sprint",6},2,0)</f>
        <v>4</v>
      </c>
      <c r="H96" s="9" t="s">
        <v>358</v>
      </c>
      <c r="I96" s="9" t="s">
        <v>243</v>
      </c>
      <c r="J96" s="9">
        <f>VLOOKUP(I96,{"Excellent",4;"Poor",1;"Good",3;"OK",2},2,0)</f>
        <v>3</v>
      </c>
      <c r="O96" s="9">
        <v>129</v>
      </c>
      <c r="P96" s="9">
        <f t="shared" si="13"/>
        <v>53.888888888888886</v>
      </c>
      <c r="X96" s="9">
        <f t="shared" si="14"/>
        <v>327.03888888888889</v>
      </c>
    </row>
    <row r="97" spans="1:24" x14ac:dyDescent="0.25">
      <c r="A97" s="9" t="s">
        <v>359</v>
      </c>
      <c r="B97" s="9" t="s">
        <v>248</v>
      </c>
      <c r="C97" s="9">
        <f>VLOOKUP(B97,{"iPhone",1;"Motorola",2;"Nokia",3;"Samsung",4;"Sony Erickson",5;"Sprint",6},2,0)</f>
        <v>3</v>
      </c>
      <c r="H97" s="9" t="s">
        <v>359</v>
      </c>
      <c r="I97" s="9" t="s">
        <v>243</v>
      </c>
      <c r="J97" s="9">
        <f>VLOOKUP(I97,{"Excellent",4;"Poor",1;"Good",3;"OK",2},2,0)</f>
        <v>3</v>
      </c>
      <c r="O97" s="9">
        <v>128</v>
      </c>
      <c r="P97" s="9">
        <f t="shared" si="13"/>
        <v>53.333333333333329</v>
      </c>
      <c r="X97" s="9">
        <f t="shared" si="14"/>
        <v>326.48333333333329</v>
      </c>
    </row>
    <row r="98" spans="1:24" x14ac:dyDescent="0.25">
      <c r="A98" s="9" t="s">
        <v>360</v>
      </c>
      <c r="B98" s="9" t="s">
        <v>254</v>
      </c>
      <c r="C98" s="9">
        <f>VLOOKUP(B98,{"iPhone",1;"Motorola",2;"Nokia",3;"Samsung",4;"Sony Erickson",5;"Sprint",6},2,0)</f>
        <v>5</v>
      </c>
      <c r="H98" s="9" t="s">
        <v>360</v>
      </c>
      <c r="I98" s="9" t="s">
        <v>242</v>
      </c>
      <c r="J98" s="9">
        <f>VLOOKUP(I98,{"Excellent",4;"Poor",1;"Good",3;"OK",2},2,0)</f>
        <v>1</v>
      </c>
      <c r="O98" s="9">
        <v>127</v>
      </c>
      <c r="P98" s="9">
        <f t="shared" si="13"/>
        <v>52.777777777777779</v>
      </c>
      <c r="X98" s="9">
        <f t="shared" si="14"/>
        <v>325.92777777777775</v>
      </c>
    </row>
    <row r="99" spans="1:24" x14ac:dyDescent="0.25">
      <c r="A99" s="9" t="s">
        <v>361</v>
      </c>
      <c r="B99" s="9" t="s">
        <v>236</v>
      </c>
      <c r="C99" s="9">
        <f>VLOOKUP(B99,{"iPhone",1;"Motorola",2;"Nokia",3;"Samsung",4;"Sony Erickson",5;"Sprint",6},2,0)</f>
        <v>1</v>
      </c>
      <c r="H99" s="9" t="s">
        <v>361</v>
      </c>
      <c r="I99" s="9" t="s">
        <v>237</v>
      </c>
      <c r="J99" s="9">
        <f>VLOOKUP(I99,{"Excellent",4;"Poor",1;"Good",3;"OK",2},2,0)</f>
        <v>2</v>
      </c>
      <c r="O99" s="9">
        <v>126</v>
      </c>
      <c r="P99" s="9">
        <f t="shared" si="13"/>
        <v>52.222222222222221</v>
      </c>
      <c r="X99" s="9">
        <f t="shared" si="14"/>
        <v>325.37222222222221</v>
      </c>
    </row>
    <row r="100" spans="1:24" x14ac:dyDescent="0.25">
      <c r="A100" s="9" t="s">
        <v>362</v>
      </c>
      <c r="B100" s="9" t="s">
        <v>248</v>
      </c>
      <c r="C100" s="9">
        <f>VLOOKUP(B100,{"iPhone",1;"Motorola",2;"Nokia",3;"Samsung",4;"Sony Erickson",5;"Sprint",6},2,0)</f>
        <v>3</v>
      </c>
      <c r="H100" s="9" t="s">
        <v>362</v>
      </c>
      <c r="I100" s="9" t="s">
        <v>242</v>
      </c>
      <c r="J100" s="9">
        <f>VLOOKUP(I100,{"Excellent",4;"Poor",1;"Good",3;"OK",2},2,0)</f>
        <v>1</v>
      </c>
      <c r="O100" s="9">
        <v>125</v>
      </c>
      <c r="P100" s="9">
        <f t="shared" si="13"/>
        <v>51.666666666666664</v>
      </c>
      <c r="X100" s="9">
        <f t="shared" si="14"/>
        <v>324.81666666666666</v>
      </c>
    </row>
    <row r="101" spans="1:24" x14ac:dyDescent="0.25">
      <c r="A101" s="9" t="s">
        <v>363</v>
      </c>
      <c r="B101" s="9" t="s">
        <v>236</v>
      </c>
      <c r="C101" s="9">
        <f>VLOOKUP(B101,{"iPhone",1;"Motorola",2;"Nokia",3;"Samsung",4;"Sony Erickson",5;"Sprint",6},2,0)</f>
        <v>1</v>
      </c>
      <c r="H101" s="9" t="s">
        <v>363</v>
      </c>
      <c r="I101" s="9" t="s">
        <v>242</v>
      </c>
      <c r="J101" s="9">
        <f>VLOOKUP(I101,{"Excellent",4;"Poor",1;"Good",3;"OK",2},2,0)</f>
        <v>1</v>
      </c>
      <c r="O101" s="9">
        <v>124</v>
      </c>
      <c r="P101" s="9">
        <f t="shared" si="13"/>
        <v>51.111111111111107</v>
      </c>
      <c r="X101" s="9">
        <f t="shared" si="14"/>
        <v>324.26111111111106</v>
      </c>
    </row>
    <row r="102" spans="1:24" x14ac:dyDescent="0.25">
      <c r="A102" s="9" t="s">
        <v>364</v>
      </c>
      <c r="B102" s="9" t="s">
        <v>248</v>
      </c>
      <c r="C102" s="9">
        <f>VLOOKUP(B102,{"iPhone",1;"Motorola",2;"Nokia",3;"Samsung",4;"Sony Erickson",5;"Sprint",6},2,0)</f>
        <v>3</v>
      </c>
      <c r="H102" s="9" t="s">
        <v>364</v>
      </c>
      <c r="I102" s="9" t="s">
        <v>242</v>
      </c>
      <c r="J102" s="9">
        <f>VLOOKUP(I102,{"Excellent",4;"Poor",1;"Good",3;"OK",2},2,0)</f>
        <v>1</v>
      </c>
      <c r="O102" s="9">
        <v>123</v>
      </c>
      <c r="P102" s="9">
        <f t="shared" si="13"/>
        <v>50.555555555555557</v>
      </c>
      <c r="X102" s="9">
        <f t="shared" si="14"/>
        <v>323.70555555555552</v>
      </c>
    </row>
    <row r="103" spans="1:24" x14ac:dyDescent="0.25">
      <c r="A103" s="9" t="s">
        <v>365</v>
      </c>
      <c r="B103" s="9" t="s">
        <v>254</v>
      </c>
      <c r="C103" s="9">
        <f>VLOOKUP(B103,{"iPhone",1;"Motorola",2;"Nokia",3;"Samsung",4;"Sony Erickson",5;"Sprint",6},2,0)</f>
        <v>5</v>
      </c>
      <c r="H103" s="9" t="s">
        <v>365</v>
      </c>
      <c r="I103" s="9" t="s">
        <v>242</v>
      </c>
      <c r="J103" s="9">
        <f>VLOOKUP(I103,{"Excellent",4;"Poor",1;"Good",3;"OK",2},2,0)</f>
        <v>1</v>
      </c>
      <c r="O103" s="9">
        <v>122</v>
      </c>
      <c r="P103" s="9">
        <f t="shared" si="13"/>
        <v>50</v>
      </c>
      <c r="X103" s="9">
        <f t="shared" si="14"/>
        <v>323.14999999999998</v>
      </c>
    </row>
    <row r="104" spans="1:24" x14ac:dyDescent="0.25">
      <c r="A104" s="9" t="s">
        <v>366</v>
      </c>
      <c r="B104" s="9" t="s">
        <v>258</v>
      </c>
      <c r="C104" s="9">
        <f>VLOOKUP(B104,{"iPhone",1;"Motorola",2;"Nokia",3;"Samsung",4;"Sony Erickson",5;"Sprint",6},2,0)</f>
        <v>6</v>
      </c>
      <c r="H104" s="9" t="s">
        <v>366</v>
      </c>
      <c r="I104" s="9" t="s">
        <v>242</v>
      </c>
      <c r="J104" s="9">
        <f>VLOOKUP(I104,{"Excellent",4;"Poor",1;"Good",3;"OK",2},2,0)</f>
        <v>1</v>
      </c>
      <c r="O104" s="9">
        <v>121</v>
      </c>
      <c r="P104" s="9">
        <f t="shared" si="13"/>
        <v>49.444444444444443</v>
      </c>
      <c r="X104" s="9">
        <f t="shared" si="14"/>
        <v>322.59444444444443</v>
      </c>
    </row>
    <row r="105" spans="1:24" x14ac:dyDescent="0.25">
      <c r="A105" s="9" t="s">
        <v>367</v>
      </c>
      <c r="B105" s="9" t="s">
        <v>248</v>
      </c>
      <c r="C105" s="9">
        <f>VLOOKUP(B105,{"iPhone",1;"Motorola",2;"Nokia",3;"Samsung",4;"Sony Erickson",5;"Sprint",6},2,0)</f>
        <v>3</v>
      </c>
      <c r="H105" s="9" t="s">
        <v>367</v>
      </c>
      <c r="I105" s="9" t="s">
        <v>242</v>
      </c>
      <c r="J105" s="9">
        <f>VLOOKUP(I105,{"Excellent",4;"Poor",1;"Good",3;"OK",2},2,0)</f>
        <v>1</v>
      </c>
      <c r="O105" s="9">
        <v>120</v>
      </c>
      <c r="P105" s="9">
        <f t="shared" si="13"/>
        <v>48.888888888888886</v>
      </c>
      <c r="X105" s="9">
        <f t="shared" si="14"/>
        <v>322.03888888888889</v>
      </c>
    </row>
    <row r="106" spans="1:24" x14ac:dyDescent="0.25">
      <c r="A106" s="9" t="s">
        <v>368</v>
      </c>
      <c r="B106" s="9" t="s">
        <v>236</v>
      </c>
      <c r="C106" s="9">
        <f>VLOOKUP(B106,{"iPhone",1;"Motorola",2;"Nokia",3;"Samsung",4;"Sony Erickson",5;"Sprint",6},2,0)</f>
        <v>1</v>
      </c>
      <c r="H106" s="9" t="s">
        <v>368</v>
      </c>
      <c r="I106" s="9" t="s">
        <v>242</v>
      </c>
      <c r="J106" s="9">
        <f>VLOOKUP(I106,{"Excellent",4;"Poor",1;"Good",3;"OK",2},2,0)</f>
        <v>1</v>
      </c>
      <c r="O106" s="9">
        <v>119</v>
      </c>
      <c r="P106" s="9">
        <f t="shared" si="13"/>
        <v>48.333333333333329</v>
      </c>
      <c r="X106" s="9">
        <f t="shared" si="14"/>
        <v>321.48333333333329</v>
      </c>
    </row>
    <row r="107" spans="1:24" x14ac:dyDescent="0.25">
      <c r="A107" s="9" t="s">
        <v>369</v>
      </c>
      <c r="B107" s="9" t="s">
        <v>258</v>
      </c>
      <c r="C107" s="9">
        <f>VLOOKUP(B107,{"iPhone",1;"Motorola",2;"Nokia",3;"Samsung",4;"Sony Erickson",5;"Sprint",6},2,0)</f>
        <v>6</v>
      </c>
      <c r="H107" s="9" t="s">
        <v>369</v>
      </c>
      <c r="I107" s="9" t="s">
        <v>242</v>
      </c>
      <c r="J107" s="9">
        <f>VLOOKUP(I107,{"Excellent",4;"Poor",1;"Good",3;"OK",2},2,0)</f>
        <v>1</v>
      </c>
      <c r="O107" s="9">
        <v>118</v>
      </c>
      <c r="P107" s="9">
        <f t="shared" si="13"/>
        <v>47.777777777777779</v>
      </c>
      <c r="X107" s="9">
        <f t="shared" si="14"/>
        <v>320.92777777777775</v>
      </c>
    </row>
    <row r="108" spans="1:24" x14ac:dyDescent="0.25">
      <c r="A108" s="9" t="s">
        <v>370</v>
      </c>
      <c r="B108" s="9" t="s">
        <v>254</v>
      </c>
      <c r="C108" s="9">
        <f>VLOOKUP(B108,{"iPhone",1;"Motorola",2;"Nokia",3;"Samsung",4;"Sony Erickson",5;"Sprint",6},2,0)</f>
        <v>5</v>
      </c>
      <c r="H108" s="9" t="s">
        <v>370</v>
      </c>
      <c r="I108" s="9" t="s">
        <v>242</v>
      </c>
      <c r="J108" s="9">
        <f>VLOOKUP(I108,{"Excellent",4;"Poor",1;"Good",3;"OK",2},2,0)</f>
        <v>1</v>
      </c>
      <c r="O108" s="9">
        <v>117</v>
      </c>
      <c r="P108" s="9">
        <f t="shared" si="13"/>
        <v>47.222222222222221</v>
      </c>
      <c r="X108" s="9">
        <f t="shared" si="14"/>
        <v>320.37222222222221</v>
      </c>
    </row>
    <row r="109" spans="1:24" x14ac:dyDescent="0.25">
      <c r="A109" s="9" t="s">
        <v>371</v>
      </c>
      <c r="B109" s="9" t="s">
        <v>235</v>
      </c>
      <c r="C109" s="9">
        <f>VLOOKUP(B109,{"iPhone",1;"Motorola",2;"Nokia",3;"Samsung",4;"Sony Erickson",5;"Sprint",6},2,0)</f>
        <v>2</v>
      </c>
      <c r="H109" s="9" t="s">
        <v>371</v>
      </c>
      <c r="I109" s="9" t="s">
        <v>242</v>
      </c>
      <c r="J109" s="9">
        <f>VLOOKUP(I109,{"Excellent",4;"Poor",1;"Good",3;"OK",2},2,0)</f>
        <v>1</v>
      </c>
      <c r="O109" s="9">
        <v>116</v>
      </c>
      <c r="P109" s="9">
        <f t="shared" si="13"/>
        <v>46.666666666666664</v>
      </c>
      <c r="X109" s="9">
        <f t="shared" si="14"/>
        <v>319.81666666666666</v>
      </c>
    </row>
    <row r="110" spans="1:24" x14ac:dyDescent="0.25">
      <c r="A110" s="9" t="s">
        <v>372</v>
      </c>
      <c r="B110" s="9" t="s">
        <v>248</v>
      </c>
      <c r="C110" s="9">
        <f>VLOOKUP(B110,{"iPhone",1;"Motorola",2;"Nokia",3;"Samsung",4;"Sony Erickson",5;"Sprint",6},2,0)</f>
        <v>3</v>
      </c>
      <c r="H110" s="9" t="s">
        <v>372</v>
      </c>
      <c r="I110" s="9" t="s">
        <v>242</v>
      </c>
      <c r="J110" s="9">
        <f>VLOOKUP(I110,{"Excellent",4;"Poor",1;"Good",3;"OK",2},2,0)</f>
        <v>1</v>
      </c>
      <c r="O110" s="9">
        <v>115</v>
      </c>
      <c r="P110" s="9">
        <f t="shared" si="13"/>
        <v>46.111111111111107</v>
      </c>
      <c r="X110" s="9">
        <f t="shared" si="14"/>
        <v>319.26111111111106</v>
      </c>
    </row>
    <row r="111" spans="1:24" x14ac:dyDescent="0.25">
      <c r="A111" s="9" t="s">
        <v>373</v>
      </c>
      <c r="B111" s="9" t="s">
        <v>236</v>
      </c>
      <c r="C111" s="9">
        <f>VLOOKUP(B111,{"iPhone",1;"Motorola",2;"Nokia",3;"Samsung",4;"Sony Erickson",5;"Sprint",6},2,0)</f>
        <v>1</v>
      </c>
      <c r="H111" s="9" t="s">
        <v>373</v>
      </c>
      <c r="I111" s="9" t="s">
        <v>237</v>
      </c>
      <c r="J111" s="9">
        <f>VLOOKUP(I111,{"Excellent",4;"Poor",1;"Good",3;"OK",2},2,0)</f>
        <v>2</v>
      </c>
      <c r="O111" s="9">
        <v>114</v>
      </c>
      <c r="P111" s="9">
        <f t="shared" si="13"/>
        <v>45.555555555555557</v>
      </c>
      <c r="X111" s="9">
        <f t="shared" si="14"/>
        <v>318.70555555555552</v>
      </c>
    </row>
    <row r="112" spans="1:24" x14ac:dyDescent="0.25">
      <c r="A112" s="9" t="s">
        <v>374</v>
      </c>
      <c r="B112" s="9" t="s">
        <v>248</v>
      </c>
      <c r="C112" s="9">
        <f>VLOOKUP(B112,{"iPhone",1;"Motorola",2;"Nokia",3;"Samsung",4;"Sony Erickson",5;"Sprint",6},2,0)</f>
        <v>3</v>
      </c>
      <c r="H112" s="9" t="s">
        <v>374</v>
      </c>
      <c r="I112" s="9" t="s">
        <v>238</v>
      </c>
      <c r="J112" s="9">
        <f>VLOOKUP(I112,{"Excellent",4;"Poor",1;"Good",3;"OK",2},2,0)</f>
        <v>4</v>
      </c>
      <c r="O112" s="9">
        <v>113</v>
      </c>
      <c r="P112" s="9">
        <f t="shared" si="13"/>
        <v>45</v>
      </c>
      <c r="X112" s="9">
        <f t="shared" si="14"/>
        <v>318.14999999999998</v>
      </c>
    </row>
    <row r="113" spans="1:24" x14ac:dyDescent="0.25">
      <c r="A113" s="9" t="s">
        <v>375</v>
      </c>
      <c r="B113" s="9" t="s">
        <v>248</v>
      </c>
      <c r="C113" s="9">
        <f>VLOOKUP(B113,{"iPhone",1;"Motorola",2;"Nokia",3;"Samsung",4;"Sony Erickson",5;"Sprint",6},2,0)</f>
        <v>3</v>
      </c>
      <c r="H113" s="9" t="s">
        <v>375</v>
      </c>
      <c r="I113" s="9" t="s">
        <v>242</v>
      </c>
      <c r="J113" s="9">
        <f>VLOOKUP(I113,{"Excellent",4;"Poor",1;"Good",3;"OK",2},2,0)</f>
        <v>1</v>
      </c>
      <c r="O113" s="9">
        <v>112</v>
      </c>
      <c r="P113" s="9">
        <f t="shared" si="13"/>
        <v>44.444444444444443</v>
      </c>
      <c r="X113" s="9">
        <f t="shared" si="14"/>
        <v>317.59444444444443</v>
      </c>
    </row>
    <row r="114" spans="1:24" x14ac:dyDescent="0.25">
      <c r="A114" s="9" t="s">
        <v>376</v>
      </c>
      <c r="B114" s="9" t="s">
        <v>235</v>
      </c>
      <c r="C114" s="9">
        <f>VLOOKUP(B114,{"iPhone",1;"Motorola",2;"Nokia",3;"Samsung",4;"Sony Erickson",5;"Sprint",6},2,0)</f>
        <v>2</v>
      </c>
      <c r="H114" s="9" t="s">
        <v>376</v>
      </c>
      <c r="I114" s="9" t="s">
        <v>238</v>
      </c>
      <c r="J114" s="9">
        <f>VLOOKUP(I114,{"Excellent",4;"Poor",1;"Good",3;"OK",2},2,0)</f>
        <v>4</v>
      </c>
      <c r="O114" s="9">
        <v>111</v>
      </c>
      <c r="P114" s="9">
        <f t="shared" si="13"/>
        <v>43.888888888888886</v>
      </c>
      <c r="X114" s="9">
        <f t="shared" si="14"/>
        <v>317.03888888888889</v>
      </c>
    </row>
    <row r="115" spans="1:24" x14ac:dyDescent="0.25">
      <c r="A115" s="9" t="s">
        <v>377</v>
      </c>
      <c r="B115" s="9" t="s">
        <v>236</v>
      </c>
      <c r="C115" s="9">
        <f>VLOOKUP(B115,{"iPhone",1;"Motorola",2;"Nokia",3;"Samsung",4;"Sony Erickson",5;"Sprint",6},2,0)</f>
        <v>1</v>
      </c>
      <c r="H115" s="9" t="s">
        <v>377</v>
      </c>
      <c r="I115" s="9" t="s">
        <v>237</v>
      </c>
      <c r="J115" s="9">
        <f>VLOOKUP(I115,{"Excellent",4;"Poor",1;"Good",3;"OK",2},2,0)</f>
        <v>2</v>
      </c>
      <c r="O115" s="9">
        <v>110</v>
      </c>
      <c r="P115" s="9">
        <f t="shared" si="13"/>
        <v>43.333333333333336</v>
      </c>
      <c r="X115" s="9">
        <f t="shared" si="14"/>
        <v>316.48333333333329</v>
      </c>
    </row>
    <row r="116" spans="1:24" x14ac:dyDescent="0.25">
      <c r="A116" s="9" t="s">
        <v>378</v>
      </c>
      <c r="B116" s="9" t="s">
        <v>248</v>
      </c>
      <c r="C116" s="9">
        <f>VLOOKUP(B116,{"iPhone",1;"Motorola",2;"Nokia",3;"Samsung",4;"Sony Erickson",5;"Sprint",6},2,0)</f>
        <v>3</v>
      </c>
      <c r="H116" s="9" t="s">
        <v>378</v>
      </c>
      <c r="I116" s="9" t="s">
        <v>243</v>
      </c>
      <c r="J116" s="9">
        <f>VLOOKUP(I116,{"Excellent",4;"Poor",1;"Good",3;"OK",2},2,0)</f>
        <v>3</v>
      </c>
      <c r="O116" s="9">
        <v>109</v>
      </c>
      <c r="P116" s="9">
        <f t="shared" si="13"/>
        <v>42.777777777777779</v>
      </c>
      <c r="X116" s="9">
        <f t="shared" si="14"/>
        <v>315.92777777777775</v>
      </c>
    </row>
    <row r="117" spans="1:24" x14ac:dyDescent="0.25">
      <c r="A117" s="9" t="s">
        <v>379</v>
      </c>
      <c r="B117" s="9" t="s">
        <v>248</v>
      </c>
      <c r="C117" s="9">
        <f>VLOOKUP(B117,{"iPhone",1;"Motorola",2;"Nokia",3;"Samsung",4;"Sony Erickson",5;"Sprint",6},2,0)</f>
        <v>3</v>
      </c>
      <c r="H117" s="9" t="s">
        <v>379</v>
      </c>
      <c r="I117" s="9" t="s">
        <v>242</v>
      </c>
      <c r="J117" s="9">
        <f>VLOOKUP(I117,{"Excellent",4;"Poor",1;"Good",3;"OK",2},2,0)</f>
        <v>1</v>
      </c>
      <c r="O117" s="9">
        <v>108</v>
      </c>
      <c r="P117" s="9">
        <f t="shared" si="13"/>
        <v>42.222222222222221</v>
      </c>
      <c r="X117" s="9">
        <f t="shared" si="14"/>
        <v>315.37222222222221</v>
      </c>
    </row>
    <row r="118" spans="1:24" x14ac:dyDescent="0.25">
      <c r="A118" s="9" t="s">
        <v>380</v>
      </c>
      <c r="B118" s="9" t="s">
        <v>248</v>
      </c>
      <c r="C118" s="9">
        <f>VLOOKUP(B118,{"iPhone",1;"Motorola",2;"Nokia",3;"Samsung",4;"Sony Erickson",5;"Sprint",6},2,0)</f>
        <v>3</v>
      </c>
      <c r="H118" s="9" t="s">
        <v>380</v>
      </c>
      <c r="I118" s="9" t="s">
        <v>243</v>
      </c>
      <c r="J118" s="9">
        <f>VLOOKUP(I118,{"Excellent",4;"Poor",1;"Good",3;"OK",2},2,0)</f>
        <v>3</v>
      </c>
      <c r="O118" s="9">
        <v>107</v>
      </c>
      <c r="P118" s="9">
        <f t="shared" si="13"/>
        <v>41.666666666666664</v>
      </c>
      <c r="X118" s="9">
        <f t="shared" si="14"/>
        <v>314.81666666666666</v>
      </c>
    </row>
    <row r="119" spans="1:24" x14ac:dyDescent="0.25">
      <c r="A119" s="9" t="s">
        <v>381</v>
      </c>
      <c r="B119" s="9" t="s">
        <v>235</v>
      </c>
      <c r="C119" s="9">
        <f>VLOOKUP(B119,{"iPhone",1;"Motorola",2;"Nokia",3;"Samsung",4;"Sony Erickson",5;"Sprint",6},2,0)</f>
        <v>2</v>
      </c>
      <c r="H119" s="9" t="s">
        <v>381</v>
      </c>
      <c r="I119" s="9" t="s">
        <v>237</v>
      </c>
      <c r="J119" s="9">
        <f>VLOOKUP(I119,{"Excellent",4;"Poor",1;"Good",3;"OK",2},2,0)</f>
        <v>2</v>
      </c>
      <c r="O119" s="9">
        <v>106</v>
      </c>
      <c r="P119" s="9">
        <f t="shared" si="13"/>
        <v>41.111111111111107</v>
      </c>
      <c r="X119" s="9">
        <f t="shared" si="14"/>
        <v>314.26111111111106</v>
      </c>
    </row>
    <row r="120" spans="1:24" x14ac:dyDescent="0.25">
      <c r="A120" s="9" t="s">
        <v>382</v>
      </c>
      <c r="B120" s="9" t="s">
        <v>258</v>
      </c>
      <c r="C120" s="9">
        <f>VLOOKUP(B120,{"iPhone",1;"Motorola",2;"Nokia",3;"Samsung",4;"Sony Erickson",5;"Sprint",6},2,0)</f>
        <v>6</v>
      </c>
      <c r="H120" s="9" t="s">
        <v>382</v>
      </c>
      <c r="I120" s="9" t="s">
        <v>237</v>
      </c>
      <c r="J120" s="9">
        <f>VLOOKUP(I120,{"Excellent",4;"Poor",1;"Good",3;"OK",2},2,0)</f>
        <v>2</v>
      </c>
      <c r="O120" s="9">
        <v>105</v>
      </c>
      <c r="P120" s="9">
        <f t="shared" si="13"/>
        <v>40.555555555555557</v>
      </c>
      <c r="X120" s="9">
        <f t="shared" si="14"/>
        <v>313.70555555555552</v>
      </c>
    </row>
    <row r="121" spans="1:24" x14ac:dyDescent="0.25">
      <c r="A121" s="9" t="s">
        <v>383</v>
      </c>
      <c r="B121" s="9" t="s">
        <v>258</v>
      </c>
      <c r="C121" s="9">
        <f>VLOOKUP(B121,{"iPhone",1;"Motorola",2;"Nokia",3;"Samsung",4;"Sony Erickson",5;"Sprint",6},2,0)</f>
        <v>6</v>
      </c>
      <c r="H121" s="9" t="s">
        <v>383</v>
      </c>
      <c r="I121" s="9" t="s">
        <v>242</v>
      </c>
      <c r="J121" s="9">
        <f>VLOOKUP(I121,{"Excellent",4;"Poor",1;"Good",3;"OK",2},2,0)</f>
        <v>1</v>
      </c>
      <c r="O121" s="9">
        <v>104</v>
      </c>
      <c r="P121" s="9">
        <f t="shared" si="13"/>
        <v>40</v>
      </c>
      <c r="X121" s="9">
        <f t="shared" si="14"/>
        <v>313.14999999999998</v>
      </c>
    </row>
    <row r="122" spans="1:24" x14ac:dyDescent="0.25">
      <c r="A122" s="9" t="s">
        <v>384</v>
      </c>
      <c r="B122" s="9" t="s">
        <v>258</v>
      </c>
      <c r="C122" s="9">
        <f>VLOOKUP(B122,{"iPhone",1;"Motorola",2;"Nokia",3;"Samsung",4;"Sony Erickson",5;"Sprint",6},2,0)</f>
        <v>6</v>
      </c>
      <c r="H122" s="9" t="s">
        <v>384</v>
      </c>
      <c r="I122" s="9" t="s">
        <v>238</v>
      </c>
      <c r="J122" s="9">
        <f>VLOOKUP(I122,{"Excellent",4;"Poor",1;"Good",3;"OK",2},2,0)</f>
        <v>4</v>
      </c>
      <c r="O122" s="9">
        <v>103</v>
      </c>
      <c r="P122" s="9">
        <f t="shared" si="13"/>
        <v>39.444444444444443</v>
      </c>
      <c r="X122" s="9">
        <f t="shared" si="14"/>
        <v>312.59444444444443</v>
      </c>
    </row>
    <row r="123" spans="1:24" x14ac:dyDescent="0.25">
      <c r="A123" s="9" t="s">
        <v>385</v>
      </c>
      <c r="B123" s="9" t="s">
        <v>248</v>
      </c>
      <c r="C123" s="9">
        <f>VLOOKUP(B123,{"iPhone",1;"Motorola",2;"Nokia",3;"Samsung",4;"Sony Erickson",5;"Sprint",6},2,0)</f>
        <v>3</v>
      </c>
      <c r="H123" s="9" t="s">
        <v>385</v>
      </c>
      <c r="I123" s="9" t="s">
        <v>238</v>
      </c>
      <c r="J123" s="9">
        <f>VLOOKUP(I123,{"Excellent",4;"Poor",1;"Good",3;"OK",2},2,0)</f>
        <v>4</v>
      </c>
      <c r="O123" s="9">
        <v>102</v>
      </c>
      <c r="P123" s="9">
        <f t="shared" si="13"/>
        <v>38.888888888888886</v>
      </c>
      <c r="X123" s="9">
        <f t="shared" si="14"/>
        <v>312.03888888888889</v>
      </c>
    </row>
    <row r="124" spans="1:24" x14ac:dyDescent="0.25">
      <c r="A124" s="9" t="s">
        <v>386</v>
      </c>
      <c r="B124" s="9" t="s">
        <v>248</v>
      </c>
      <c r="C124" s="9">
        <f>VLOOKUP(B124,{"iPhone",1;"Motorola",2;"Nokia",3;"Samsung",4;"Sony Erickson",5;"Sprint",6},2,0)</f>
        <v>3</v>
      </c>
      <c r="H124" s="9" t="s">
        <v>386</v>
      </c>
      <c r="I124" s="9" t="s">
        <v>238</v>
      </c>
      <c r="J124" s="9">
        <f>VLOOKUP(I124,{"Excellent",4;"Poor",1;"Good",3;"OK",2},2,0)</f>
        <v>4</v>
      </c>
      <c r="O124" s="9">
        <v>101</v>
      </c>
      <c r="P124" s="9">
        <f t="shared" si="13"/>
        <v>38.333333333333336</v>
      </c>
      <c r="X124" s="9">
        <f t="shared" si="14"/>
        <v>311.48333333333329</v>
      </c>
    </row>
    <row r="125" spans="1:24" x14ac:dyDescent="0.25">
      <c r="A125" s="9" t="s">
        <v>387</v>
      </c>
      <c r="B125" s="9" t="s">
        <v>258</v>
      </c>
      <c r="C125" s="9">
        <f>VLOOKUP(B125,{"iPhone",1;"Motorola",2;"Nokia",3;"Samsung",4;"Sony Erickson",5;"Sprint",6},2,0)</f>
        <v>6</v>
      </c>
      <c r="H125" s="9" t="s">
        <v>387</v>
      </c>
      <c r="I125" s="9" t="s">
        <v>238</v>
      </c>
      <c r="J125" s="9">
        <f>VLOOKUP(I125,{"Excellent",4;"Poor",1;"Good",3;"OK",2},2,0)</f>
        <v>4</v>
      </c>
      <c r="O125" s="9">
        <v>100</v>
      </c>
      <c r="P125" s="9">
        <f t="shared" si="13"/>
        <v>37.777777777777779</v>
      </c>
      <c r="X125" s="9">
        <f t="shared" si="14"/>
        <v>310.92777777777775</v>
      </c>
    </row>
    <row r="126" spans="1:24" x14ac:dyDescent="0.25">
      <c r="A126" s="9" t="s">
        <v>388</v>
      </c>
      <c r="B126" s="9" t="s">
        <v>248</v>
      </c>
      <c r="C126" s="9">
        <f>VLOOKUP(B126,{"iPhone",1;"Motorola",2;"Nokia",3;"Samsung",4;"Sony Erickson",5;"Sprint",6},2,0)</f>
        <v>3</v>
      </c>
      <c r="H126" s="9" t="s">
        <v>388</v>
      </c>
      <c r="I126" s="9" t="s">
        <v>237</v>
      </c>
      <c r="J126" s="9">
        <f>VLOOKUP(I126,{"Excellent",4;"Poor",1;"Good",3;"OK",2},2,0)</f>
        <v>2</v>
      </c>
      <c r="O126" s="9">
        <v>99</v>
      </c>
      <c r="P126" s="9">
        <f t="shared" si="13"/>
        <v>37.222222222222221</v>
      </c>
      <c r="X126" s="9">
        <f t="shared" si="14"/>
        <v>310.37222222222221</v>
      </c>
    </row>
    <row r="127" spans="1:24" x14ac:dyDescent="0.25">
      <c r="A127" s="9" t="s">
        <v>389</v>
      </c>
      <c r="B127" s="9" t="s">
        <v>247</v>
      </c>
      <c r="C127" s="9">
        <f>VLOOKUP(B127,{"iPhone",1;"Motorola",2;"Nokia",3;"Samsung",4;"Sony Erickson",5;"Sprint",6},2,0)</f>
        <v>4</v>
      </c>
      <c r="H127" s="9" t="s">
        <v>389</v>
      </c>
      <c r="I127" s="9" t="s">
        <v>243</v>
      </c>
      <c r="J127" s="9">
        <f>VLOOKUP(I127,{"Excellent",4;"Poor",1;"Good",3;"OK",2},2,0)</f>
        <v>3</v>
      </c>
      <c r="O127" s="9">
        <v>98</v>
      </c>
      <c r="P127" s="9">
        <f t="shared" si="13"/>
        <v>36.666666666666664</v>
      </c>
      <c r="X127" s="9">
        <f t="shared" si="14"/>
        <v>309.81666666666666</v>
      </c>
    </row>
    <row r="128" spans="1:24" x14ac:dyDescent="0.25">
      <c r="A128" s="9" t="s">
        <v>390</v>
      </c>
      <c r="B128" s="9" t="s">
        <v>247</v>
      </c>
      <c r="C128" s="9">
        <f>VLOOKUP(B128,{"iPhone",1;"Motorola",2;"Nokia",3;"Samsung",4;"Sony Erickson",5;"Sprint",6},2,0)</f>
        <v>4</v>
      </c>
      <c r="H128" s="9" t="s">
        <v>390</v>
      </c>
      <c r="I128" s="9" t="s">
        <v>242</v>
      </c>
      <c r="J128" s="9">
        <f>VLOOKUP(I128,{"Excellent",4;"Poor",1;"Good",3;"OK",2},2,0)</f>
        <v>1</v>
      </c>
      <c r="O128" s="9">
        <v>97</v>
      </c>
      <c r="P128" s="9">
        <f t="shared" si="13"/>
        <v>36.111111111111107</v>
      </c>
      <c r="X128" s="9">
        <f t="shared" si="14"/>
        <v>309.26111111111106</v>
      </c>
    </row>
    <row r="129" spans="1:24" x14ac:dyDescent="0.25">
      <c r="A129" s="9" t="s">
        <v>391</v>
      </c>
      <c r="B129" s="9" t="s">
        <v>247</v>
      </c>
      <c r="C129" s="9">
        <f>VLOOKUP(B129,{"iPhone",1;"Motorola",2;"Nokia",3;"Samsung",4;"Sony Erickson",5;"Sprint",6},2,0)</f>
        <v>4</v>
      </c>
      <c r="H129" s="9" t="s">
        <v>391</v>
      </c>
      <c r="I129" s="9" t="s">
        <v>242</v>
      </c>
      <c r="J129" s="9">
        <f>VLOOKUP(I129,{"Excellent",4;"Poor",1;"Good",3;"OK",2},2,0)</f>
        <v>1</v>
      </c>
      <c r="O129" s="9">
        <v>96</v>
      </c>
      <c r="P129" s="9">
        <f t="shared" si="13"/>
        <v>35.555555555555557</v>
      </c>
      <c r="X129" s="9">
        <f t="shared" si="14"/>
        <v>308.70555555555552</v>
      </c>
    </row>
    <row r="130" spans="1:24" x14ac:dyDescent="0.25">
      <c r="A130" s="9" t="s">
        <v>392</v>
      </c>
      <c r="B130" s="9" t="s">
        <v>247</v>
      </c>
      <c r="C130" s="9">
        <f>VLOOKUP(B130,{"iPhone",1;"Motorola",2;"Nokia",3;"Samsung",4;"Sony Erickson",5;"Sprint",6},2,0)</f>
        <v>4</v>
      </c>
      <c r="H130" s="9" t="s">
        <v>392</v>
      </c>
      <c r="I130" s="9" t="s">
        <v>238</v>
      </c>
      <c r="J130" s="9">
        <f>VLOOKUP(I130,{"Excellent",4;"Poor",1;"Good",3;"OK",2},2,0)</f>
        <v>4</v>
      </c>
      <c r="O130" s="9">
        <v>95</v>
      </c>
      <c r="P130" s="9">
        <f t="shared" si="13"/>
        <v>35</v>
      </c>
      <c r="X130" s="9">
        <f t="shared" si="14"/>
        <v>308.14999999999998</v>
      </c>
    </row>
    <row r="131" spans="1:24" x14ac:dyDescent="0.25">
      <c r="A131" s="9" t="s">
        <v>393</v>
      </c>
      <c r="B131" s="9" t="s">
        <v>235</v>
      </c>
      <c r="C131" s="9">
        <f>VLOOKUP(B131,{"iPhone",1;"Motorola",2;"Nokia",3;"Samsung",4;"Sony Erickson",5;"Sprint",6},2,0)</f>
        <v>2</v>
      </c>
      <c r="H131" s="9" t="s">
        <v>393</v>
      </c>
      <c r="I131" s="9" t="s">
        <v>242</v>
      </c>
      <c r="J131" s="9">
        <f>VLOOKUP(I131,{"Excellent",4;"Poor",1;"Good",3;"OK",2},2,0)</f>
        <v>1</v>
      </c>
      <c r="O131" s="9">
        <v>94</v>
      </c>
      <c r="P131" s="9">
        <f t="shared" si="13"/>
        <v>34.444444444444443</v>
      </c>
      <c r="X131" s="9">
        <f t="shared" si="14"/>
        <v>307.59444444444443</v>
      </c>
    </row>
    <row r="132" spans="1:24" x14ac:dyDescent="0.25">
      <c r="A132" s="9" t="s">
        <v>394</v>
      </c>
      <c r="B132" s="9" t="s">
        <v>254</v>
      </c>
      <c r="C132" s="9">
        <f>VLOOKUP(B132,{"iPhone",1;"Motorola",2;"Nokia",3;"Samsung",4;"Sony Erickson",5;"Sprint",6},2,0)</f>
        <v>5</v>
      </c>
      <c r="H132" s="9" t="s">
        <v>394</v>
      </c>
      <c r="I132" s="9" t="s">
        <v>242</v>
      </c>
      <c r="J132" s="9">
        <f>VLOOKUP(I132,{"Excellent",4;"Poor",1;"Good",3;"OK",2},2,0)</f>
        <v>1</v>
      </c>
      <c r="O132" s="9">
        <v>93</v>
      </c>
      <c r="P132" s="9">
        <f t="shared" si="13"/>
        <v>33.888888888888886</v>
      </c>
      <c r="X132" s="9">
        <f t="shared" si="14"/>
        <v>307.03888888888889</v>
      </c>
    </row>
    <row r="133" spans="1:24" x14ac:dyDescent="0.25">
      <c r="A133" s="9" t="s">
        <v>395</v>
      </c>
      <c r="B133" s="9" t="s">
        <v>235</v>
      </c>
      <c r="C133" s="9">
        <f>VLOOKUP(B133,{"iPhone",1;"Motorola",2;"Nokia",3;"Samsung",4;"Sony Erickson",5;"Sprint",6},2,0)</f>
        <v>2</v>
      </c>
      <c r="H133" s="9" t="s">
        <v>395</v>
      </c>
      <c r="I133" s="9" t="s">
        <v>237</v>
      </c>
      <c r="J133" s="9">
        <f>VLOOKUP(I133,{"Excellent",4;"Poor",1;"Good",3;"OK",2},2,0)</f>
        <v>2</v>
      </c>
      <c r="O133" s="9">
        <v>92</v>
      </c>
      <c r="P133" s="9">
        <f t="shared" ref="P133:P196" si="15">CONVERT(O133,"F","C")</f>
        <v>33.333333333333336</v>
      </c>
      <c r="X133" s="9">
        <f t="shared" si="14"/>
        <v>306.48333333333329</v>
      </c>
    </row>
    <row r="134" spans="1:24" x14ac:dyDescent="0.25">
      <c r="A134" s="9" t="s">
        <v>396</v>
      </c>
      <c r="B134" s="9" t="s">
        <v>236</v>
      </c>
      <c r="C134" s="9">
        <f>VLOOKUP(B134,{"iPhone",1;"Motorola",2;"Nokia",3;"Samsung",4;"Sony Erickson",5;"Sprint",6},2,0)</f>
        <v>1</v>
      </c>
      <c r="H134" s="9" t="s">
        <v>396</v>
      </c>
      <c r="I134" s="9" t="s">
        <v>242</v>
      </c>
      <c r="J134" s="9">
        <f>VLOOKUP(I134,{"Excellent",4;"Poor",1;"Good",3;"OK",2},2,0)</f>
        <v>1</v>
      </c>
      <c r="O134" s="9">
        <v>91</v>
      </c>
      <c r="P134" s="9">
        <f t="shared" si="15"/>
        <v>32.777777777777779</v>
      </c>
      <c r="X134" s="9">
        <f t="shared" ref="X134:X197" si="16">CONVERT(O134,"F","K")</f>
        <v>305.92777777777775</v>
      </c>
    </row>
    <row r="135" spans="1:24" x14ac:dyDescent="0.25">
      <c r="A135" s="9" t="s">
        <v>397</v>
      </c>
      <c r="B135" s="9" t="s">
        <v>236</v>
      </c>
      <c r="C135" s="9">
        <f>VLOOKUP(B135,{"iPhone",1;"Motorola",2;"Nokia",3;"Samsung",4;"Sony Erickson",5;"Sprint",6},2,0)</f>
        <v>1</v>
      </c>
      <c r="H135" s="9" t="s">
        <v>397</v>
      </c>
      <c r="I135" s="9" t="s">
        <v>242</v>
      </c>
      <c r="J135" s="9">
        <f>VLOOKUP(I135,{"Excellent",4;"Poor",1;"Good",3;"OK",2},2,0)</f>
        <v>1</v>
      </c>
      <c r="O135" s="9">
        <v>90</v>
      </c>
      <c r="P135" s="9">
        <f t="shared" si="15"/>
        <v>32.222222222222221</v>
      </c>
      <c r="X135" s="9">
        <f t="shared" si="16"/>
        <v>305.37222222222221</v>
      </c>
    </row>
    <row r="136" spans="1:24" x14ac:dyDescent="0.25">
      <c r="A136" s="9" t="s">
        <v>398</v>
      </c>
      <c r="B136" s="9" t="s">
        <v>258</v>
      </c>
      <c r="C136" s="9">
        <f>VLOOKUP(B136,{"iPhone",1;"Motorola",2;"Nokia",3;"Samsung",4;"Sony Erickson",5;"Sprint",6},2,0)</f>
        <v>6</v>
      </c>
      <c r="H136" s="9" t="s">
        <v>398</v>
      </c>
      <c r="I136" s="9" t="s">
        <v>242</v>
      </c>
      <c r="J136" s="9">
        <f>VLOOKUP(I136,{"Excellent",4;"Poor",1;"Good",3;"OK",2},2,0)</f>
        <v>1</v>
      </c>
      <c r="O136" s="9">
        <v>89</v>
      </c>
      <c r="P136" s="9">
        <f t="shared" si="15"/>
        <v>31.666666666666664</v>
      </c>
      <c r="X136" s="9">
        <f t="shared" si="16"/>
        <v>304.81666666666666</v>
      </c>
    </row>
    <row r="137" spans="1:24" x14ac:dyDescent="0.25">
      <c r="A137" s="9" t="s">
        <v>399</v>
      </c>
      <c r="B137" s="9" t="s">
        <v>247</v>
      </c>
      <c r="C137" s="9">
        <f>VLOOKUP(B137,{"iPhone",1;"Motorola",2;"Nokia",3;"Samsung",4;"Sony Erickson",5;"Sprint",6},2,0)</f>
        <v>4</v>
      </c>
      <c r="H137" s="9" t="s">
        <v>399</v>
      </c>
      <c r="I137" s="9" t="s">
        <v>237</v>
      </c>
      <c r="J137" s="9">
        <f>VLOOKUP(I137,{"Excellent",4;"Poor",1;"Good",3;"OK",2},2,0)</f>
        <v>2</v>
      </c>
      <c r="O137" s="9">
        <v>88</v>
      </c>
      <c r="P137" s="9">
        <f t="shared" si="15"/>
        <v>31.111111111111111</v>
      </c>
      <c r="X137" s="9">
        <f t="shared" si="16"/>
        <v>304.26111111111106</v>
      </c>
    </row>
    <row r="138" spans="1:24" x14ac:dyDescent="0.25">
      <c r="A138" s="9" t="s">
        <v>400</v>
      </c>
      <c r="B138" s="9" t="s">
        <v>248</v>
      </c>
      <c r="C138" s="9">
        <f>VLOOKUP(B138,{"iPhone",1;"Motorola",2;"Nokia",3;"Samsung",4;"Sony Erickson",5;"Sprint",6},2,0)</f>
        <v>3</v>
      </c>
      <c r="H138" s="9" t="s">
        <v>400</v>
      </c>
      <c r="I138" s="9" t="s">
        <v>242</v>
      </c>
      <c r="J138" s="9">
        <f>VLOOKUP(I138,{"Excellent",4;"Poor",1;"Good",3;"OK",2},2,0)</f>
        <v>1</v>
      </c>
      <c r="O138" s="9">
        <v>87</v>
      </c>
      <c r="P138" s="9">
        <f t="shared" si="15"/>
        <v>30.555555555555554</v>
      </c>
      <c r="X138" s="9">
        <f t="shared" si="16"/>
        <v>303.70555555555552</v>
      </c>
    </row>
    <row r="139" spans="1:24" x14ac:dyDescent="0.25">
      <c r="A139" s="9" t="s">
        <v>401</v>
      </c>
      <c r="B139" s="9" t="s">
        <v>235</v>
      </c>
      <c r="C139" s="9">
        <f>VLOOKUP(B139,{"iPhone",1;"Motorola",2;"Nokia",3;"Samsung",4;"Sony Erickson",5;"Sprint",6},2,0)</f>
        <v>2</v>
      </c>
      <c r="H139" s="9" t="s">
        <v>401</v>
      </c>
      <c r="I139" s="9" t="s">
        <v>237</v>
      </c>
      <c r="J139" s="9">
        <f>VLOOKUP(I139,{"Excellent",4;"Poor",1;"Good",3;"OK",2},2,0)</f>
        <v>2</v>
      </c>
      <c r="O139" s="9">
        <v>86</v>
      </c>
      <c r="P139" s="9">
        <f t="shared" si="15"/>
        <v>30</v>
      </c>
      <c r="X139" s="9">
        <f t="shared" si="16"/>
        <v>303.14999999999998</v>
      </c>
    </row>
    <row r="140" spans="1:24" x14ac:dyDescent="0.25">
      <c r="A140" s="9" t="s">
        <v>402</v>
      </c>
      <c r="B140" s="9" t="s">
        <v>248</v>
      </c>
      <c r="C140" s="9">
        <f>VLOOKUP(B140,{"iPhone",1;"Motorola",2;"Nokia",3;"Samsung",4;"Sony Erickson",5;"Sprint",6},2,0)</f>
        <v>3</v>
      </c>
      <c r="H140" s="9" t="s">
        <v>402</v>
      </c>
      <c r="I140" s="9" t="s">
        <v>242</v>
      </c>
      <c r="J140" s="9">
        <f>VLOOKUP(I140,{"Excellent",4;"Poor",1;"Good",3;"OK",2},2,0)</f>
        <v>1</v>
      </c>
      <c r="O140" s="9">
        <v>85</v>
      </c>
      <c r="P140" s="9">
        <f t="shared" si="15"/>
        <v>29.444444444444443</v>
      </c>
      <c r="X140" s="9">
        <f t="shared" si="16"/>
        <v>302.59444444444443</v>
      </c>
    </row>
    <row r="141" spans="1:24" x14ac:dyDescent="0.25">
      <c r="A141" s="9" t="s">
        <v>403</v>
      </c>
      <c r="B141" s="9" t="s">
        <v>235</v>
      </c>
      <c r="C141" s="9">
        <f>VLOOKUP(B141,{"iPhone",1;"Motorola",2;"Nokia",3;"Samsung",4;"Sony Erickson",5;"Sprint",6},2,0)</f>
        <v>2</v>
      </c>
      <c r="H141" s="9" t="s">
        <v>403</v>
      </c>
      <c r="I141" s="9" t="s">
        <v>242</v>
      </c>
      <c r="J141" s="9">
        <f>VLOOKUP(I141,{"Excellent",4;"Poor",1;"Good",3;"OK",2},2,0)</f>
        <v>1</v>
      </c>
      <c r="O141" s="9">
        <v>84</v>
      </c>
      <c r="P141" s="9">
        <f t="shared" si="15"/>
        <v>28.888888888888889</v>
      </c>
      <c r="X141" s="9">
        <f t="shared" si="16"/>
        <v>302.03888888888889</v>
      </c>
    </row>
    <row r="142" spans="1:24" x14ac:dyDescent="0.25">
      <c r="A142" s="9" t="s">
        <v>404</v>
      </c>
      <c r="B142" s="9" t="s">
        <v>254</v>
      </c>
      <c r="C142" s="9">
        <f>VLOOKUP(B142,{"iPhone",1;"Motorola",2;"Nokia",3;"Samsung",4;"Sony Erickson",5;"Sprint",6},2,0)</f>
        <v>5</v>
      </c>
      <c r="H142" s="9" t="s">
        <v>404</v>
      </c>
      <c r="I142" s="9" t="s">
        <v>237</v>
      </c>
      <c r="J142" s="9">
        <f>VLOOKUP(I142,{"Excellent",4;"Poor",1;"Good",3;"OK",2},2,0)</f>
        <v>2</v>
      </c>
      <c r="O142" s="9">
        <v>83</v>
      </c>
      <c r="P142" s="9">
        <f t="shared" si="15"/>
        <v>28.333333333333332</v>
      </c>
      <c r="X142" s="9">
        <f t="shared" si="16"/>
        <v>301.48333333333329</v>
      </c>
    </row>
    <row r="143" spans="1:24" x14ac:dyDescent="0.25">
      <c r="A143" s="9" t="s">
        <v>405</v>
      </c>
      <c r="B143" s="9" t="s">
        <v>247</v>
      </c>
      <c r="C143" s="9">
        <f>VLOOKUP(B143,{"iPhone",1;"Motorola",2;"Nokia",3;"Samsung",4;"Sony Erickson",5;"Sprint",6},2,0)</f>
        <v>4</v>
      </c>
      <c r="H143" s="9" t="s">
        <v>405</v>
      </c>
      <c r="I143" s="9" t="s">
        <v>238</v>
      </c>
      <c r="J143" s="9">
        <f>VLOOKUP(I143,{"Excellent",4;"Poor",1;"Good",3;"OK",2},2,0)</f>
        <v>4</v>
      </c>
      <c r="O143" s="9">
        <v>82</v>
      </c>
      <c r="P143" s="9">
        <f t="shared" si="15"/>
        <v>27.777777777777779</v>
      </c>
      <c r="X143" s="9">
        <f t="shared" si="16"/>
        <v>300.92777777777775</v>
      </c>
    </row>
    <row r="144" spans="1:24" x14ac:dyDescent="0.25">
      <c r="A144" s="9" t="s">
        <v>406</v>
      </c>
      <c r="B144" s="9" t="s">
        <v>248</v>
      </c>
      <c r="C144" s="9">
        <f>VLOOKUP(B144,{"iPhone",1;"Motorola",2;"Nokia",3;"Samsung",4;"Sony Erickson",5;"Sprint",6},2,0)</f>
        <v>3</v>
      </c>
      <c r="H144" s="9" t="s">
        <v>406</v>
      </c>
      <c r="I144" s="9" t="s">
        <v>237</v>
      </c>
      <c r="J144" s="9">
        <f>VLOOKUP(I144,{"Excellent",4;"Poor",1;"Good",3;"OK",2},2,0)</f>
        <v>2</v>
      </c>
      <c r="O144" s="9">
        <v>81</v>
      </c>
      <c r="P144" s="9">
        <f t="shared" si="15"/>
        <v>27.222222222222221</v>
      </c>
      <c r="X144" s="9">
        <f t="shared" si="16"/>
        <v>300.37222222222221</v>
      </c>
    </row>
    <row r="145" spans="1:24" x14ac:dyDescent="0.25">
      <c r="A145" s="9" t="s">
        <v>407</v>
      </c>
      <c r="B145" s="9" t="s">
        <v>236</v>
      </c>
      <c r="C145" s="9">
        <f>VLOOKUP(B145,{"iPhone",1;"Motorola",2;"Nokia",3;"Samsung",4;"Sony Erickson",5;"Sprint",6},2,0)</f>
        <v>1</v>
      </c>
      <c r="H145" s="9" t="s">
        <v>407</v>
      </c>
      <c r="I145" s="9" t="s">
        <v>242</v>
      </c>
      <c r="J145" s="9">
        <f>VLOOKUP(I145,{"Excellent",4;"Poor",1;"Good",3;"OK",2},2,0)</f>
        <v>1</v>
      </c>
      <c r="O145" s="9">
        <v>80</v>
      </c>
      <c r="P145" s="9">
        <f t="shared" si="15"/>
        <v>26.666666666666664</v>
      </c>
      <c r="X145" s="9">
        <f t="shared" si="16"/>
        <v>299.81666666666666</v>
      </c>
    </row>
    <row r="146" spans="1:24" x14ac:dyDescent="0.25">
      <c r="A146" s="9" t="s">
        <v>408</v>
      </c>
      <c r="B146" s="9" t="s">
        <v>235</v>
      </c>
      <c r="C146" s="9">
        <f>VLOOKUP(B146,{"iPhone",1;"Motorola",2;"Nokia",3;"Samsung",4;"Sony Erickson",5;"Sprint",6},2,0)</f>
        <v>2</v>
      </c>
      <c r="H146" s="9" t="s">
        <v>408</v>
      </c>
      <c r="I146" s="9" t="s">
        <v>242</v>
      </c>
      <c r="J146" s="9">
        <f>VLOOKUP(I146,{"Excellent",4;"Poor",1;"Good",3;"OK",2},2,0)</f>
        <v>1</v>
      </c>
      <c r="O146" s="9">
        <v>79</v>
      </c>
      <c r="P146" s="9">
        <f t="shared" si="15"/>
        <v>26.111111111111111</v>
      </c>
      <c r="X146" s="9">
        <f t="shared" si="16"/>
        <v>299.26111111111106</v>
      </c>
    </row>
    <row r="147" spans="1:24" x14ac:dyDescent="0.25">
      <c r="A147" s="9" t="s">
        <v>409</v>
      </c>
      <c r="B147" s="9" t="s">
        <v>236</v>
      </c>
      <c r="C147" s="9">
        <f>VLOOKUP(B147,{"iPhone",1;"Motorola",2;"Nokia",3;"Samsung",4;"Sony Erickson",5;"Sprint",6},2,0)</f>
        <v>1</v>
      </c>
      <c r="H147" s="9" t="s">
        <v>409</v>
      </c>
      <c r="I147" s="9" t="s">
        <v>242</v>
      </c>
      <c r="J147" s="9">
        <f>VLOOKUP(I147,{"Excellent",4;"Poor",1;"Good",3;"OK",2},2,0)</f>
        <v>1</v>
      </c>
      <c r="O147" s="9">
        <v>78</v>
      </c>
      <c r="P147" s="9">
        <f t="shared" si="15"/>
        <v>25.555555555555554</v>
      </c>
      <c r="X147" s="9">
        <f t="shared" si="16"/>
        <v>298.70555555555552</v>
      </c>
    </row>
    <row r="148" spans="1:24" x14ac:dyDescent="0.25">
      <c r="A148" s="9" t="s">
        <v>410</v>
      </c>
      <c r="B148" s="9" t="s">
        <v>247</v>
      </c>
      <c r="C148" s="9">
        <f>VLOOKUP(B148,{"iPhone",1;"Motorola",2;"Nokia",3;"Samsung",4;"Sony Erickson",5;"Sprint",6},2,0)</f>
        <v>4</v>
      </c>
      <c r="H148" s="9" t="s">
        <v>410</v>
      </c>
      <c r="I148" s="9" t="s">
        <v>242</v>
      </c>
      <c r="J148" s="9">
        <f>VLOOKUP(I148,{"Excellent",4;"Poor",1;"Good",3;"OK",2},2,0)</f>
        <v>1</v>
      </c>
      <c r="O148" s="9">
        <v>77</v>
      </c>
      <c r="P148" s="9">
        <f t="shared" si="15"/>
        <v>25</v>
      </c>
      <c r="X148" s="9">
        <f t="shared" si="16"/>
        <v>298.14999999999998</v>
      </c>
    </row>
    <row r="149" spans="1:24" x14ac:dyDescent="0.25">
      <c r="A149" s="9" t="s">
        <v>411</v>
      </c>
      <c r="B149" s="9" t="s">
        <v>235</v>
      </c>
      <c r="C149" s="9">
        <f>VLOOKUP(B149,{"iPhone",1;"Motorola",2;"Nokia",3;"Samsung",4;"Sony Erickson",5;"Sprint",6},2,0)</f>
        <v>2</v>
      </c>
      <c r="H149" s="9" t="s">
        <v>411</v>
      </c>
      <c r="I149" s="9" t="s">
        <v>237</v>
      </c>
      <c r="J149" s="9">
        <f>VLOOKUP(I149,{"Excellent",4;"Poor",1;"Good",3;"OK",2},2,0)</f>
        <v>2</v>
      </c>
      <c r="O149" s="9">
        <v>76</v>
      </c>
      <c r="P149" s="9">
        <f t="shared" si="15"/>
        <v>24.444444444444443</v>
      </c>
      <c r="X149" s="9">
        <f t="shared" si="16"/>
        <v>297.59444444444443</v>
      </c>
    </row>
    <row r="150" spans="1:24" x14ac:dyDescent="0.25">
      <c r="A150" s="9" t="s">
        <v>412</v>
      </c>
      <c r="B150" s="9" t="s">
        <v>248</v>
      </c>
      <c r="C150" s="9">
        <f>VLOOKUP(B150,{"iPhone",1;"Motorola",2;"Nokia",3;"Samsung",4;"Sony Erickson",5;"Sprint",6},2,0)</f>
        <v>3</v>
      </c>
      <c r="H150" s="9" t="s">
        <v>412</v>
      </c>
      <c r="I150" s="9" t="s">
        <v>242</v>
      </c>
      <c r="J150" s="9">
        <f>VLOOKUP(I150,{"Excellent",4;"Poor",1;"Good",3;"OK",2},2,0)</f>
        <v>1</v>
      </c>
      <c r="O150" s="9">
        <v>75</v>
      </c>
      <c r="P150" s="9">
        <f t="shared" si="15"/>
        <v>23.888888888888889</v>
      </c>
      <c r="X150" s="9">
        <f t="shared" si="16"/>
        <v>297.03888888888889</v>
      </c>
    </row>
    <row r="151" spans="1:24" x14ac:dyDescent="0.25">
      <c r="A151" s="9" t="s">
        <v>413</v>
      </c>
      <c r="B151" s="9" t="s">
        <v>235</v>
      </c>
      <c r="C151" s="9">
        <f>VLOOKUP(B151,{"iPhone",1;"Motorola",2;"Nokia",3;"Samsung",4;"Sony Erickson",5;"Sprint",6},2,0)</f>
        <v>2</v>
      </c>
      <c r="H151" s="9" t="s">
        <v>413</v>
      </c>
      <c r="I151" s="9" t="s">
        <v>242</v>
      </c>
      <c r="J151" s="9">
        <f>VLOOKUP(I151,{"Excellent",4;"Poor",1;"Good",3;"OK",2},2,0)</f>
        <v>1</v>
      </c>
      <c r="O151" s="9">
        <v>74</v>
      </c>
      <c r="P151" s="9">
        <f t="shared" si="15"/>
        <v>23.333333333333332</v>
      </c>
      <c r="X151" s="9">
        <f t="shared" si="16"/>
        <v>296.48333333333329</v>
      </c>
    </row>
    <row r="152" spans="1:24" x14ac:dyDescent="0.25">
      <c r="A152" s="9" t="s">
        <v>414</v>
      </c>
      <c r="B152" s="9" t="s">
        <v>247</v>
      </c>
      <c r="C152" s="9">
        <f>VLOOKUP(B152,{"iPhone",1;"Motorola",2;"Nokia",3;"Samsung",4;"Sony Erickson",5;"Sprint",6},2,0)</f>
        <v>4</v>
      </c>
      <c r="H152" s="9" t="s">
        <v>414</v>
      </c>
      <c r="I152" s="9" t="s">
        <v>237</v>
      </c>
      <c r="J152" s="9">
        <f>VLOOKUP(I152,{"Excellent",4;"Poor",1;"Good",3;"OK",2},2,0)</f>
        <v>2</v>
      </c>
      <c r="O152" s="9">
        <v>73</v>
      </c>
      <c r="P152" s="9">
        <f t="shared" si="15"/>
        <v>22.777777777777779</v>
      </c>
      <c r="X152" s="9">
        <f t="shared" si="16"/>
        <v>295.92777777777775</v>
      </c>
    </row>
    <row r="153" spans="1:24" x14ac:dyDescent="0.25">
      <c r="A153" s="9" t="s">
        <v>415</v>
      </c>
      <c r="B153" s="9" t="s">
        <v>258</v>
      </c>
      <c r="C153" s="9">
        <f>VLOOKUP(B153,{"iPhone",1;"Motorola",2;"Nokia",3;"Samsung",4;"Sony Erickson",5;"Sprint",6},2,0)</f>
        <v>6</v>
      </c>
      <c r="H153" s="9" t="s">
        <v>415</v>
      </c>
      <c r="I153" s="9" t="s">
        <v>242</v>
      </c>
      <c r="J153" s="9">
        <f>VLOOKUP(I153,{"Excellent",4;"Poor",1;"Good",3;"OK",2},2,0)</f>
        <v>1</v>
      </c>
      <c r="O153" s="9">
        <v>72</v>
      </c>
      <c r="P153" s="9">
        <f t="shared" si="15"/>
        <v>22.222222222222221</v>
      </c>
      <c r="X153" s="9">
        <f t="shared" si="16"/>
        <v>295.37222222222221</v>
      </c>
    </row>
    <row r="154" spans="1:24" x14ac:dyDescent="0.25">
      <c r="A154" s="9" t="s">
        <v>416</v>
      </c>
      <c r="B154" s="9" t="s">
        <v>247</v>
      </c>
      <c r="C154" s="9">
        <f>VLOOKUP(B154,{"iPhone",1;"Motorola",2;"Nokia",3;"Samsung",4;"Sony Erickson",5;"Sprint",6},2,0)</f>
        <v>4</v>
      </c>
      <c r="H154" s="9" t="s">
        <v>416</v>
      </c>
      <c r="I154" s="9" t="s">
        <v>238</v>
      </c>
      <c r="J154" s="9">
        <f>VLOOKUP(I154,{"Excellent",4;"Poor",1;"Good",3;"OK",2},2,0)</f>
        <v>4</v>
      </c>
      <c r="O154" s="9">
        <v>71</v>
      </c>
      <c r="P154" s="9">
        <f t="shared" si="15"/>
        <v>21.666666666666668</v>
      </c>
      <c r="X154" s="9">
        <f t="shared" si="16"/>
        <v>294.81666666666666</v>
      </c>
    </row>
    <row r="155" spans="1:24" x14ac:dyDescent="0.25">
      <c r="A155" s="9" t="s">
        <v>417</v>
      </c>
      <c r="B155" s="9" t="s">
        <v>254</v>
      </c>
      <c r="C155" s="9">
        <f>VLOOKUP(B155,{"iPhone",1;"Motorola",2;"Nokia",3;"Samsung",4;"Sony Erickson",5;"Sprint",6},2,0)</f>
        <v>5</v>
      </c>
      <c r="H155" s="9" t="s">
        <v>417</v>
      </c>
      <c r="I155" s="9" t="s">
        <v>238</v>
      </c>
      <c r="J155" s="9">
        <f>VLOOKUP(I155,{"Excellent",4;"Poor",1;"Good",3;"OK",2},2,0)</f>
        <v>4</v>
      </c>
      <c r="O155" s="9">
        <v>70</v>
      </c>
      <c r="P155" s="9">
        <f t="shared" si="15"/>
        <v>21.111111111111111</v>
      </c>
      <c r="X155" s="9">
        <f t="shared" si="16"/>
        <v>294.26111111111106</v>
      </c>
    </row>
    <row r="156" spans="1:24" x14ac:dyDescent="0.25">
      <c r="A156" s="9" t="s">
        <v>418</v>
      </c>
      <c r="B156" s="9" t="s">
        <v>248</v>
      </c>
      <c r="C156" s="9">
        <f>VLOOKUP(B156,{"iPhone",1;"Motorola",2;"Nokia",3;"Samsung",4;"Sony Erickson",5;"Sprint",6},2,0)</f>
        <v>3</v>
      </c>
      <c r="H156" s="9" t="s">
        <v>418</v>
      </c>
      <c r="I156" s="9" t="s">
        <v>238</v>
      </c>
      <c r="J156" s="9">
        <f>VLOOKUP(I156,{"Excellent",4;"Poor",1;"Good",3;"OK",2},2,0)</f>
        <v>4</v>
      </c>
      <c r="O156" s="9">
        <v>69</v>
      </c>
      <c r="P156" s="9">
        <f t="shared" si="15"/>
        <v>20.555555555555554</v>
      </c>
      <c r="X156" s="9">
        <f t="shared" si="16"/>
        <v>293.70555555555552</v>
      </c>
    </row>
    <row r="157" spans="1:24" x14ac:dyDescent="0.25">
      <c r="A157" s="9" t="s">
        <v>419</v>
      </c>
      <c r="B157" s="9" t="s">
        <v>236</v>
      </c>
      <c r="C157" s="9">
        <f>VLOOKUP(B157,{"iPhone",1;"Motorola",2;"Nokia",3;"Samsung",4;"Sony Erickson",5;"Sprint",6},2,0)</f>
        <v>1</v>
      </c>
      <c r="H157" s="9" t="s">
        <v>419</v>
      </c>
      <c r="I157" s="9" t="s">
        <v>237</v>
      </c>
      <c r="J157" s="9">
        <f>VLOOKUP(I157,{"Excellent",4;"Poor",1;"Good",3;"OK",2},2,0)</f>
        <v>2</v>
      </c>
      <c r="O157" s="9">
        <v>68</v>
      </c>
      <c r="P157" s="9">
        <f t="shared" si="15"/>
        <v>20</v>
      </c>
      <c r="X157" s="9">
        <f t="shared" si="16"/>
        <v>293.14999999999998</v>
      </c>
    </row>
    <row r="158" spans="1:24" x14ac:dyDescent="0.25">
      <c r="A158" s="9" t="s">
        <v>420</v>
      </c>
      <c r="B158" s="9" t="s">
        <v>258</v>
      </c>
      <c r="C158" s="9">
        <f>VLOOKUP(B158,{"iPhone",1;"Motorola",2;"Nokia",3;"Samsung",4;"Sony Erickson",5;"Sprint",6},2,0)</f>
        <v>6</v>
      </c>
      <c r="H158" s="9" t="s">
        <v>420</v>
      </c>
      <c r="I158" s="9" t="s">
        <v>242</v>
      </c>
      <c r="J158" s="9">
        <f>VLOOKUP(I158,{"Excellent",4;"Poor",1;"Good",3;"OK",2},2,0)</f>
        <v>1</v>
      </c>
      <c r="O158" s="9">
        <v>67</v>
      </c>
      <c r="P158" s="9">
        <f t="shared" si="15"/>
        <v>19.444444444444443</v>
      </c>
      <c r="X158" s="9">
        <f t="shared" si="16"/>
        <v>292.59444444444443</v>
      </c>
    </row>
    <row r="159" spans="1:24" x14ac:dyDescent="0.25">
      <c r="A159" s="9" t="s">
        <v>421</v>
      </c>
      <c r="B159" s="9" t="s">
        <v>236</v>
      </c>
      <c r="C159" s="9">
        <f>VLOOKUP(B159,{"iPhone",1;"Motorola",2;"Nokia",3;"Samsung",4;"Sony Erickson",5;"Sprint",6},2,0)</f>
        <v>1</v>
      </c>
      <c r="H159" s="9" t="s">
        <v>421</v>
      </c>
      <c r="I159" s="9" t="s">
        <v>237</v>
      </c>
      <c r="J159" s="9">
        <f>VLOOKUP(I159,{"Excellent",4;"Poor",1;"Good",3;"OK",2},2,0)</f>
        <v>2</v>
      </c>
      <c r="O159" s="9">
        <v>66</v>
      </c>
      <c r="P159" s="9">
        <f t="shared" si="15"/>
        <v>18.888888888888889</v>
      </c>
      <c r="X159" s="9">
        <f t="shared" si="16"/>
        <v>292.03888888888889</v>
      </c>
    </row>
    <row r="160" spans="1:24" x14ac:dyDescent="0.25">
      <c r="A160" s="9" t="s">
        <v>422</v>
      </c>
      <c r="B160" s="9" t="s">
        <v>236</v>
      </c>
      <c r="C160" s="9">
        <f>VLOOKUP(B160,{"iPhone",1;"Motorola",2;"Nokia",3;"Samsung",4;"Sony Erickson",5;"Sprint",6},2,0)</f>
        <v>1</v>
      </c>
      <c r="H160" s="9" t="s">
        <v>422</v>
      </c>
      <c r="I160" s="9" t="s">
        <v>242</v>
      </c>
      <c r="J160" s="9">
        <f>VLOOKUP(I160,{"Excellent",4;"Poor",1;"Good",3;"OK",2},2,0)</f>
        <v>1</v>
      </c>
      <c r="O160" s="9">
        <v>65</v>
      </c>
      <c r="P160" s="9">
        <f t="shared" si="15"/>
        <v>18.333333333333332</v>
      </c>
      <c r="X160" s="9">
        <f t="shared" si="16"/>
        <v>291.48333333333329</v>
      </c>
    </row>
    <row r="161" spans="1:24" x14ac:dyDescent="0.25">
      <c r="A161" s="9" t="s">
        <v>423</v>
      </c>
      <c r="B161" s="9" t="s">
        <v>247</v>
      </c>
      <c r="C161" s="9">
        <f>VLOOKUP(B161,{"iPhone",1;"Motorola",2;"Nokia",3;"Samsung",4;"Sony Erickson",5;"Sprint",6},2,0)</f>
        <v>4</v>
      </c>
      <c r="H161" s="9" t="s">
        <v>423</v>
      </c>
      <c r="I161" s="9" t="s">
        <v>242</v>
      </c>
      <c r="J161" s="9">
        <f>VLOOKUP(I161,{"Excellent",4;"Poor",1;"Good",3;"OK",2},2,0)</f>
        <v>1</v>
      </c>
      <c r="O161" s="9">
        <v>64</v>
      </c>
      <c r="P161" s="9">
        <f t="shared" si="15"/>
        <v>17.777777777777779</v>
      </c>
      <c r="X161" s="9">
        <f t="shared" si="16"/>
        <v>290.92777777777775</v>
      </c>
    </row>
    <row r="162" spans="1:24" x14ac:dyDescent="0.25">
      <c r="A162" s="9" t="s">
        <v>424</v>
      </c>
      <c r="B162" s="9" t="s">
        <v>248</v>
      </c>
      <c r="C162" s="9">
        <f>VLOOKUP(B162,{"iPhone",1;"Motorola",2;"Nokia",3;"Samsung",4;"Sony Erickson",5;"Sprint",6},2,0)</f>
        <v>3</v>
      </c>
      <c r="H162" s="9" t="s">
        <v>424</v>
      </c>
      <c r="I162" s="9" t="s">
        <v>242</v>
      </c>
      <c r="J162" s="9">
        <f>VLOOKUP(I162,{"Excellent",4;"Poor",1;"Good",3;"OK",2},2,0)</f>
        <v>1</v>
      </c>
      <c r="O162" s="9">
        <v>63</v>
      </c>
      <c r="P162" s="9">
        <f t="shared" si="15"/>
        <v>17.222222222222221</v>
      </c>
      <c r="X162" s="9">
        <f t="shared" si="16"/>
        <v>290.37222222222221</v>
      </c>
    </row>
    <row r="163" spans="1:24" x14ac:dyDescent="0.25">
      <c r="A163" s="9" t="s">
        <v>425</v>
      </c>
      <c r="B163" s="9" t="s">
        <v>248</v>
      </c>
      <c r="C163" s="9">
        <f>VLOOKUP(B163,{"iPhone",1;"Motorola",2;"Nokia",3;"Samsung",4;"Sony Erickson",5;"Sprint",6},2,0)</f>
        <v>3</v>
      </c>
      <c r="H163" s="9" t="s">
        <v>425</v>
      </c>
      <c r="I163" s="9" t="s">
        <v>242</v>
      </c>
      <c r="J163" s="9">
        <f>VLOOKUP(I163,{"Excellent",4;"Poor",1;"Good",3;"OK",2},2,0)</f>
        <v>1</v>
      </c>
      <c r="O163" s="9">
        <v>62</v>
      </c>
      <c r="P163" s="9">
        <f t="shared" si="15"/>
        <v>16.666666666666668</v>
      </c>
      <c r="X163" s="9">
        <f t="shared" si="16"/>
        <v>289.81666666666666</v>
      </c>
    </row>
    <row r="164" spans="1:24" x14ac:dyDescent="0.25">
      <c r="A164" s="9" t="s">
        <v>426</v>
      </c>
      <c r="B164" s="9" t="s">
        <v>236</v>
      </c>
      <c r="C164" s="9">
        <f>VLOOKUP(B164,{"iPhone",1;"Motorola",2;"Nokia",3;"Samsung",4;"Sony Erickson",5;"Sprint",6},2,0)</f>
        <v>1</v>
      </c>
      <c r="H164" s="9" t="s">
        <v>426</v>
      </c>
      <c r="I164" s="9" t="s">
        <v>242</v>
      </c>
      <c r="J164" s="9">
        <f>VLOOKUP(I164,{"Excellent",4;"Poor",1;"Good",3;"OK",2},2,0)</f>
        <v>1</v>
      </c>
      <c r="O164" s="9">
        <v>61</v>
      </c>
      <c r="P164" s="9">
        <f t="shared" si="15"/>
        <v>16.111111111111111</v>
      </c>
      <c r="X164" s="9">
        <f t="shared" si="16"/>
        <v>289.26111111111106</v>
      </c>
    </row>
    <row r="165" spans="1:24" x14ac:dyDescent="0.25">
      <c r="A165" s="9" t="s">
        <v>427</v>
      </c>
      <c r="B165" s="9" t="s">
        <v>254</v>
      </c>
      <c r="C165" s="9">
        <f>VLOOKUP(B165,{"iPhone",1;"Motorola",2;"Nokia",3;"Samsung",4;"Sony Erickson",5;"Sprint",6},2,0)</f>
        <v>5</v>
      </c>
      <c r="H165" s="9" t="s">
        <v>427</v>
      </c>
      <c r="I165" s="9" t="s">
        <v>237</v>
      </c>
      <c r="J165" s="9">
        <f>VLOOKUP(I165,{"Excellent",4;"Poor",1;"Good",3;"OK",2},2,0)</f>
        <v>2</v>
      </c>
      <c r="O165" s="9">
        <v>60</v>
      </c>
      <c r="P165" s="9">
        <f t="shared" si="15"/>
        <v>15.555555555555555</v>
      </c>
      <c r="X165" s="9">
        <f t="shared" si="16"/>
        <v>288.70555555555552</v>
      </c>
    </row>
    <row r="166" spans="1:24" x14ac:dyDescent="0.25">
      <c r="A166" s="9" t="s">
        <v>428</v>
      </c>
      <c r="B166" s="9" t="s">
        <v>248</v>
      </c>
      <c r="C166" s="9">
        <f>VLOOKUP(B166,{"iPhone",1;"Motorola",2;"Nokia",3;"Samsung",4;"Sony Erickson",5;"Sprint",6},2,0)</f>
        <v>3</v>
      </c>
      <c r="H166" s="9" t="s">
        <v>428</v>
      </c>
      <c r="I166" s="9" t="s">
        <v>242</v>
      </c>
      <c r="J166" s="9">
        <f>VLOOKUP(I166,{"Excellent",4;"Poor",1;"Good",3;"OK",2},2,0)</f>
        <v>1</v>
      </c>
      <c r="O166" s="9">
        <v>59</v>
      </c>
      <c r="P166" s="9">
        <f t="shared" si="15"/>
        <v>15</v>
      </c>
      <c r="X166" s="9">
        <f t="shared" si="16"/>
        <v>288.14999999999998</v>
      </c>
    </row>
    <row r="167" spans="1:24" x14ac:dyDescent="0.25">
      <c r="A167" s="9" t="s">
        <v>429</v>
      </c>
      <c r="B167" s="9" t="s">
        <v>258</v>
      </c>
      <c r="C167" s="9">
        <f>VLOOKUP(B167,{"iPhone",1;"Motorola",2;"Nokia",3;"Samsung",4;"Sony Erickson",5;"Sprint",6},2,0)</f>
        <v>6</v>
      </c>
      <c r="H167" s="9" t="s">
        <v>429</v>
      </c>
      <c r="I167" s="9" t="s">
        <v>242</v>
      </c>
      <c r="J167" s="9">
        <f>VLOOKUP(I167,{"Excellent",4;"Poor",1;"Good",3;"OK",2},2,0)</f>
        <v>1</v>
      </c>
      <c r="O167" s="9">
        <v>58</v>
      </c>
      <c r="P167" s="9">
        <f t="shared" si="15"/>
        <v>14.444444444444445</v>
      </c>
      <c r="X167" s="9">
        <f t="shared" si="16"/>
        <v>287.59444444444443</v>
      </c>
    </row>
    <row r="168" spans="1:24" x14ac:dyDescent="0.25">
      <c r="A168" s="9" t="s">
        <v>430</v>
      </c>
      <c r="B168" s="9" t="s">
        <v>248</v>
      </c>
      <c r="C168" s="9">
        <f>VLOOKUP(B168,{"iPhone",1;"Motorola",2;"Nokia",3;"Samsung",4;"Sony Erickson",5;"Sprint",6},2,0)</f>
        <v>3</v>
      </c>
      <c r="H168" s="9" t="s">
        <v>430</v>
      </c>
      <c r="I168" s="9" t="s">
        <v>238</v>
      </c>
      <c r="J168" s="9">
        <f>VLOOKUP(I168,{"Excellent",4;"Poor",1;"Good",3;"OK",2},2,0)</f>
        <v>4</v>
      </c>
      <c r="O168" s="9">
        <v>57</v>
      </c>
      <c r="P168" s="9">
        <f t="shared" si="15"/>
        <v>13.888888888888889</v>
      </c>
      <c r="X168" s="9">
        <f t="shared" si="16"/>
        <v>287.03888888888889</v>
      </c>
    </row>
    <row r="169" spans="1:24" x14ac:dyDescent="0.25">
      <c r="A169" s="9" t="s">
        <v>431</v>
      </c>
      <c r="B169" s="9" t="s">
        <v>247</v>
      </c>
      <c r="C169" s="9">
        <f>VLOOKUP(B169,{"iPhone",1;"Motorola",2;"Nokia",3;"Samsung",4;"Sony Erickson",5;"Sprint",6},2,0)</f>
        <v>4</v>
      </c>
      <c r="H169" s="9" t="s">
        <v>431</v>
      </c>
      <c r="I169" s="9" t="s">
        <v>243</v>
      </c>
      <c r="J169" s="9">
        <f>VLOOKUP(I169,{"Excellent",4;"Poor",1;"Good",3;"OK",2},2,0)</f>
        <v>3</v>
      </c>
      <c r="O169" s="9">
        <v>56</v>
      </c>
      <c r="P169" s="9">
        <f t="shared" si="15"/>
        <v>13.333333333333332</v>
      </c>
      <c r="X169" s="9">
        <f t="shared" si="16"/>
        <v>286.48333333333329</v>
      </c>
    </row>
    <row r="170" spans="1:24" x14ac:dyDescent="0.25">
      <c r="A170" s="9" t="s">
        <v>432</v>
      </c>
      <c r="B170" s="9" t="s">
        <v>236</v>
      </c>
      <c r="C170" s="9">
        <f>VLOOKUP(B170,{"iPhone",1;"Motorola",2;"Nokia",3;"Samsung",4;"Sony Erickson",5;"Sprint",6},2,0)</f>
        <v>1</v>
      </c>
      <c r="H170" s="9" t="s">
        <v>432</v>
      </c>
      <c r="I170" s="9" t="s">
        <v>237</v>
      </c>
      <c r="J170" s="9">
        <f>VLOOKUP(I170,{"Excellent",4;"Poor",1;"Good",3;"OK",2},2,0)</f>
        <v>2</v>
      </c>
      <c r="O170" s="9">
        <v>55</v>
      </c>
      <c r="P170" s="9">
        <f t="shared" si="15"/>
        <v>12.777777777777777</v>
      </c>
      <c r="X170" s="9">
        <f t="shared" si="16"/>
        <v>285.92777777777775</v>
      </c>
    </row>
    <row r="171" spans="1:24" x14ac:dyDescent="0.25">
      <c r="A171" s="9" t="s">
        <v>433</v>
      </c>
      <c r="B171" s="9" t="s">
        <v>247</v>
      </c>
      <c r="C171" s="9">
        <f>VLOOKUP(B171,{"iPhone",1;"Motorola",2;"Nokia",3;"Samsung",4;"Sony Erickson",5;"Sprint",6},2,0)</f>
        <v>4</v>
      </c>
      <c r="H171" s="9" t="s">
        <v>433</v>
      </c>
      <c r="I171" s="9" t="s">
        <v>243</v>
      </c>
      <c r="J171" s="9">
        <f>VLOOKUP(I171,{"Excellent",4;"Poor",1;"Good",3;"OK",2},2,0)</f>
        <v>3</v>
      </c>
      <c r="O171" s="9">
        <v>54</v>
      </c>
      <c r="P171" s="9">
        <f t="shared" si="15"/>
        <v>12.222222222222221</v>
      </c>
      <c r="X171" s="9">
        <f t="shared" si="16"/>
        <v>285.37222222222221</v>
      </c>
    </row>
    <row r="172" spans="1:24" x14ac:dyDescent="0.25">
      <c r="A172" s="9" t="s">
        <v>434</v>
      </c>
      <c r="B172" s="9" t="s">
        <v>235</v>
      </c>
      <c r="C172" s="9">
        <f>VLOOKUP(B172,{"iPhone",1;"Motorola",2;"Nokia",3;"Samsung",4;"Sony Erickson",5;"Sprint",6},2,0)</f>
        <v>2</v>
      </c>
      <c r="H172" s="9" t="s">
        <v>434</v>
      </c>
      <c r="I172" s="9" t="s">
        <v>237</v>
      </c>
      <c r="J172" s="9">
        <f>VLOOKUP(I172,{"Excellent",4;"Poor",1;"Good",3;"OK",2},2,0)</f>
        <v>2</v>
      </c>
      <c r="O172" s="9">
        <v>53</v>
      </c>
      <c r="P172" s="9">
        <f t="shared" si="15"/>
        <v>11.666666666666666</v>
      </c>
      <c r="X172" s="9">
        <f t="shared" si="16"/>
        <v>284.81666666666666</v>
      </c>
    </row>
    <row r="173" spans="1:24" x14ac:dyDescent="0.25">
      <c r="A173" s="9" t="s">
        <v>435</v>
      </c>
      <c r="B173" s="9" t="s">
        <v>254</v>
      </c>
      <c r="C173" s="9">
        <f>VLOOKUP(B173,{"iPhone",1;"Motorola",2;"Nokia",3;"Samsung",4;"Sony Erickson",5;"Sprint",6},2,0)</f>
        <v>5</v>
      </c>
      <c r="H173" s="9" t="s">
        <v>435</v>
      </c>
      <c r="I173" s="9" t="s">
        <v>242</v>
      </c>
      <c r="J173" s="9">
        <f>VLOOKUP(I173,{"Excellent",4;"Poor",1;"Good",3;"OK",2},2,0)</f>
        <v>1</v>
      </c>
      <c r="O173" s="9">
        <v>52</v>
      </c>
      <c r="P173" s="9">
        <f t="shared" si="15"/>
        <v>11.111111111111111</v>
      </c>
      <c r="X173" s="9">
        <f t="shared" si="16"/>
        <v>284.26111111111106</v>
      </c>
    </row>
    <row r="174" spans="1:24" x14ac:dyDescent="0.25">
      <c r="A174" s="9" t="s">
        <v>436</v>
      </c>
      <c r="B174" s="9" t="s">
        <v>248</v>
      </c>
      <c r="C174" s="9">
        <f>VLOOKUP(B174,{"iPhone",1;"Motorola",2;"Nokia",3;"Samsung",4;"Sony Erickson",5;"Sprint",6},2,0)</f>
        <v>3</v>
      </c>
      <c r="H174" s="9" t="s">
        <v>436</v>
      </c>
      <c r="I174" s="9" t="s">
        <v>242</v>
      </c>
      <c r="J174" s="9">
        <f>VLOOKUP(I174,{"Excellent",4;"Poor",1;"Good",3;"OK",2},2,0)</f>
        <v>1</v>
      </c>
      <c r="O174" s="9">
        <v>51</v>
      </c>
      <c r="P174" s="9">
        <f t="shared" si="15"/>
        <v>10.555555555555555</v>
      </c>
      <c r="X174" s="9">
        <f t="shared" si="16"/>
        <v>283.70555555555552</v>
      </c>
    </row>
    <row r="175" spans="1:24" x14ac:dyDescent="0.25">
      <c r="A175" s="9" t="s">
        <v>437</v>
      </c>
      <c r="B175" s="9" t="s">
        <v>248</v>
      </c>
      <c r="C175" s="9">
        <f>VLOOKUP(B175,{"iPhone",1;"Motorola",2;"Nokia",3;"Samsung",4;"Sony Erickson",5;"Sprint",6},2,0)</f>
        <v>3</v>
      </c>
      <c r="H175" s="9" t="s">
        <v>437</v>
      </c>
      <c r="I175" s="9" t="s">
        <v>237</v>
      </c>
      <c r="J175" s="9">
        <f>VLOOKUP(I175,{"Excellent",4;"Poor",1;"Good",3;"OK",2},2,0)</f>
        <v>2</v>
      </c>
      <c r="O175" s="9">
        <v>50</v>
      </c>
      <c r="P175" s="9">
        <f t="shared" si="15"/>
        <v>10</v>
      </c>
      <c r="X175" s="9">
        <f t="shared" si="16"/>
        <v>283.14999999999998</v>
      </c>
    </row>
    <row r="176" spans="1:24" x14ac:dyDescent="0.25">
      <c r="A176" s="9" t="s">
        <v>438</v>
      </c>
      <c r="B176" s="9" t="s">
        <v>248</v>
      </c>
      <c r="C176" s="9">
        <f>VLOOKUP(B176,{"iPhone",1;"Motorola",2;"Nokia",3;"Samsung",4;"Sony Erickson",5;"Sprint",6},2,0)</f>
        <v>3</v>
      </c>
      <c r="H176" s="9" t="s">
        <v>438</v>
      </c>
      <c r="I176" s="9" t="s">
        <v>237</v>
      </c>
      <c r="J176" s="9">
        <f>VLOOKUP(I176,{"Excellent",4;"Poor",1;"Good",3;"OK",2},2,0)</f>
        <v>2</v>
      </c>
      <c r="O176" s="9">
        <v>49</v>
      </c>
      <c r="P176" s="9">
        <f t="shared" si="15"/>
        <v>9.4444444444444446</v>
      </c>
      <c r="X176" s="9">
        <f t="shared" si="16"/>
        <v>282.59444444444443</v>
      </c>
    </row>
    <row r="177" spans="1:24" x14ac:dyDescent="0.25">
      <c r="A177" s="9" t="s">
        <v>439</v>
      </c>
      <c r="B177" s="9" t="s">
        <v>248</v>
      </c>
      <c r="C177" s="9">
        <f>VLOOKUP(B177,{"iPhone",1;"Motorola",2;"Nokia",3;"Samsung",4;"Sony Erickson",5;"Sprint",6},2,0)</f>
        <v>3</v>
      </c>
      <c r="H177" s="9" t="s">
        <v>439</v>
      </c>
      <c r="I177" s="9" t="s">
        <v>242</v>
      </c>
      <c r="J177" s="9">
        <f>VLOOKUP(I177,{"Excellent",4;"Poor",1;"Good",3;"OK",2},2,0)</f>
        <v>1</v>
      </c>
      <c r="O177" s="9">
        <v>48</v>
      </c>
      <c r="P177" s="9">
        <f t="shared" si="15"/>
        <v>8.8888888888888893</v>
      </c>
      <c r="X177" s="9">
        <f t="shared" si="16"/>
        <v>282.03888888888889</v>
      </c>
    </row>
    <row r="178" spans="1:24" x14ac:dyDescent="0.25">
      <c r="A178" s="9" t="s">
        <v>440</v>
      </c>
      <c r="B178" s="9" t="s">
        <v>236</v>
      </c>
      <c r="C178" s="9">
        <f>VLOOKUP(B178,{"iPhone",1;"Motorola",2;"Nokia",3;"Samsung",4;"Sony Erickson",5;"Sprint",6},2,0)</f>
        <v>1</v>
      </c>
      <c r="H178" s="9" t="s">
        <v>440</v>
      </c>
      <c r="I178" s="9" t="s">
        <v>237</v>
      </c>
      <c r="J178" s="9">
        <f>VLOOKUP(I178,{"Excellent",4;"Poor",1;"Good",3;"OK",2},2,0)</f>
        <v>2</v>
      </c>
      <c r="O178" s="9">
        <v>47</v>
      </c>
      <c r="P178" s="9">
        <f t="shared" si="15"/>
        <v>8.3333333333333339</v>
      </c>
      <c r="X178" s="9">
        <f t="shared" si="16"/>
        <v>281.48333333333329</v>
      </c>
    </row>
    <row r="179" spans="1:24" x14ac:dyDescent="0.25">
      <c r="A179" s="9" t="s">
        <v>441</v>
      </c>
      <c r="B179" s="9" t="s">
        <v>235</v>
      </c>
      <c r="C179" s="9">
        <f>VLOOKUP(B179,{"iPhone",1;"Motorola",2;"Nokia",3;"Samsung",4;"Sony Erickson",5;"Sprint",6},2,0)</f>
        <v>2</v>
      </c>
      <c r="H179" s="9" t="s">
        <v>441</v>
      </c>
      <c r="I179" s="9" t="s">
        <v>243</v>
      </c>
      <c r="J179" s="9">
        <f>VLOOKUP(I179,{"Excellent",4;"Poor",1;"Good",3;"OK",2},2,0)</f>
        <v>3</v>
      </c>
      <c r="O179" s="9">
        <v>46</v>
      </c>
      <c r="P179" s="9">
        <f t="shared" si="15"/>
        <v>7.7777777777777777</v>
      </c>
      <c r="X179" s="9">
        <f t="shared" si="16"/>
        <v>280.92777777777775</v>
      </c>
    </row>
    <row r="180" spans="1:24" x14ac:dyDescent="0.25">
      <c r="A180" s="9" t="s">
        <v>442</v>
      </c>
      <c r="B180" s="9" t="s">
        <v>258</v>
      </c>
      <c r="C180" s="9">
        <f>VLOOKUP(B180,{"iPhone",1;"Motorola",2;"Nokia",3;"Samsung",4;"Sony Erickson",5;"Sprint",6},2,0)</f>
        <v>6</v>
      </c>
      <c r="H180" s="9" t="s">
        <v>442</v>
      </c>
      <c r="I180" s="9" t="s">
        <v>242</v>
      </c>
      <c r="J180" s="9">
        <f>VLOOKUP(I180,{"Excellent",4;"Poor",1;"Good",3;"OK",2},2,0)</f>
        <v>1</v>
      </c>
      <c r="O180" s="9">
        <v>45</v>
      </c>
      <c r="P180" s="9">
        <f t="shared" si="15"/>
        <v>7.2222222222222223</v>
      </c>
      <c r="X180" s="9">
        <f t="shared" si="16"/>
        <v>280.37222222222221</v>
      </c>
    </row>
    <row r="181" spans="1:24" x14ac:dyDescent="0.25">
      <c r="A181" s="9" t="s">
        <v>443</v>
      </c>
      <c r="B181" s="9" t="s">
        <v>236</v>
      </c>
      <c r="C181" s="9">
        <f>VLOOKUP(B181,{"iPhone",1;"Motorola",2;"Nokia",3;"Samsung",4;"Sony Erickson",5;"Sprint",6},2,0)</f>
        <v>1</v>
      </c>
      <c r="H181" s="9" t="s">
        <v>443</v>
      </c>
      <c r="I181" s="9" t="s">
        <v>238</v>
      </c>
      <c r="J181" s="9">
        <f>VLOOKUP(I181,{"Excellent",4;"Poor",1;"Good",3;"OK",2},2,0)</f>
        <v>4</v>
      </c>
      <c r="O181" s="9">
        <v>44</v>
      </c>
      <c r="P181" s="9">
        <f t="shared" si="15"/>
        <v>6.6666666666666661</v>
      </c>
      <c r="X181" s="9">
        <f t="shared" si="16"/>
        <v>279.81666666666666</v>
      </c>
    </row>
    <row r="182" spans="1:24" x14ac:dyDescent="0.25">
      <c r="A182" s="9" t="s">
        <v>444</v>
      </c>
      <c r="B182" s="9" t="s">
        <v>235</v>
      </c>
      <c r="C182" s="9">
        <f>VLOOKUP(B182,{"iPhone",1;"Motorola",2;"Nokia",3;"Samsung",4;"Sony Erickson",5;"Sprint",6},2,0)</f>
        <v>2</v>
      </c>
      <c r="H182" s="9" t="s">
        <v>444</v>
      </c>
      <c r="I182" s="9" t="s">
        <v>242</v>
      </c>
      <c r="J182" s="9">
        <f>VLOOKUP(I182,{"Excellent",4;"Poor",1;"Good",3;"OK",2},2,0)</f>
        <v>1</v>
      </c>
      <c r="O182" s="9">
        <v>43</v>
      </c>
      <c r="P182" s="9">
        <f t="shared" si="15"/>
        <v>6.1111111111111107</v>
      </c>
      <c r="X182" s="9">
        <f t="shared" si="16"/>
        <v>279.26111111111106</v>
      </c>
    </row>
    <row r="183" spans="1:24" x14ac:dyDescent="0.25">
      <c r="A183" s="9" t="s">
        <v>445</v>
      </c>
      <c r="B183" s="9" t="s">
        <v>248</v>
      </c>
      <c r="C183" s="9">
        <f>VLOOKUP(B183,{"iPhone",1;"Motorola",2;"Nokia",3;"Samsung",4;"Sony Erickson",5;"Sprint",6},2,0)</f>
        <v>3</v>
      </c>
      <c r="H183" s="9" t="s">
        <v>445</v>
      </c>
      <c r="I183" s="9" t="s">
        <v>242</v>
      </c>
      <c r="J183" s="9">
        <f>VLOOKUP(I183,{"Excellent",4;"Poor",1;"Good",3;"OK",2},2,0)</f>
        <v>1</v>
      </c>
      <c r="O183" s="9">
        <v>42</v>
      </c>
      <c r="P183" s="9">
        <f t="shared" si="15"/>
        <v>5.5555555555555554</v>
      </c>
      <c r="X183" s="9">
        <f t="shared" si="16"/>
        <v>278.70555555555552</v>
      </c>
    </row>
    <row r="184" spans="1:24" x14ac:dyDescent="0.25">
      <c r="A184" s="9" t="s">
        <v>446</v>
      </c>
      <c r="B184" s="9" t="s">
        <v>236</v>
      </c>
      <c r="C184" s="9">
        <f>VLOOKUP(B184,{"iPhone",1;"Motorola",2;"Nokia",3;"Samsung",4;"Sony Erickson",5;"Sprint",6},2,0)</f>
        <v>1</v>
      </c>
      <c r="H184" s="9" t="s">
        <v>446</v>
      </c>
      <c r="I184" s="9" t="s">
        <v>242</v>
      </c>
      <c r="J184" s="9">
        <f>VLOOKUP(I184,{"Excellent",4;"Poor",1;"Good",3;"OK",2},2,0)</f>
        <v>1</v>
      </c>
      <c r="O184" s="9">
        <v>41</v>
      </c>
      <c r="P184" s="9">
        <f t="shared" si="15"/>
        <v>5</v>
      </c>
      <c r="X184" s="9">
        <f t="shared" si="16"/>
        <v>278.14999999999998</v>
      </c>
    </row>
    <row r="185" spans="1:24" x14ac:dyDescent="0.25">
      <c r="A185" s="9" t="s">
        <v>447</v>
      </c>
      <c r="B185" s="9" t="s">
        <v>236</v>
      </c>
      <c r="C185" s="9">
        <f>VLOOKUP(B185,{"iPhone",1;"Motorola",2;"Nokia",3;"Samsung",4;"Sony Erickson",5;"Sprint",6},2,0)</f>
        <v>1</v>
      </c>
      <c r="H185" s="9" t="s">
        <v>447</v>
      </c>
      <c r="I185" s="9" t="s">
        <v>237</v>
      </c>
      <c r="J185" s="9">
        <f>VLOOKUP(I185,{"Excellent",4;"Poor",1;"Good",3;"OK",2},2,0)</f>
        <v>2</v>
      </c>
      <c r="O185" s="9">
        <v>40</v>
      </c>
      <c r="P185" s="9">
        <f t="shared" si="15"/>
        <v>4.4444444444444446</v>
      </c>
      <c r="X185" s="9">
        <f t="shared" si="16"/>
        <v>277.59444444444443</v>
      </c>
    </row>
    <row r="186" spans="1:24" x14ac:dyDescent="0.25">
      <c r="A186" s="9" t="s">
        <v>448</v>
      </c>
      <c r="B186" s="9" t="s">
        <v>236</v>
      </c>
      <c r="C186" s="9">
        <f>VLOOKUP(B186,{"iPhone",1;"Motorola",2;"Nokia",3;"Samsung",4;"Sony Erickson",5;"Sprint",6},2,0)</f>
        <v>1</v>
      </c>
      <c r="H186" s="9" t="s">
        <v>448</v>
      </c>
      <c r="I186" s="9" t="s">
        <v>242</v>
      </c>
      <c r="J186" s="9">
        <f>VLOOKUP(I186,{"Excellent",4;"Poor",1;"Good",3;"OK",2},2,0)</f>
        <v>1</v>
      </c>
      <c r="O186" s="9">
        <v>39</v>
      </c>
      <c r="P186" s="9">
        <f t="shared" si="15"/>
        <v>3.8888888888888888</v>
      </c>
      <c r="X186" s="9">
        <f t="shared" si="16"/>
        <v>277.03888888888889</v>
      </c>
    </row>
    <row r="187" spans="1:24" x14ac:dyDescent="0.25">
      <c r="A187" s="9" t="s">
        <v>449</v>
      </c>
      <c r="B187" s="9" t="s">
        <v>258</v>
      </c>
      <c r="C187" s="9">
        <f>VLOOKUP(B187,{"iPhone",1;"Motorola",2;"Nokia",3;"Samsung",4;"Sony Erickson",5;"Sprint",6},2,0)</f>
        <v>6</v>
      </c>
      <c r="H187" s="9" t="s">
        <v>449</v>
      </c>
      <c r="I187" s="9" t="s">
        <v>242</v>
      </c>
      <c r="J187" s="9">
        <f>VLOOKUP(I187,{"Excellent",4;"Poor",1;"Good",3;"OK",2},2,0)</f>
        <v>1</v>
      </c>
      <c r="O187" s="9">
        <v>38</v>
      </c>
      <c r="P187" s="9">
        <f t="shared" si="15"/>
        <v>3.333333333333333</v>
      </c>
      <c r="X187" s="9">
        <f t="shared" si="16"/>
        <v>276.48333333333329</v>
      </c>
    </row>
    <row r="188" spans="1:24" x14ac:dyDescent="0.25">
      <c r="A188" s="9" t="s">
        <v>450</v>
      </c>
      <c r="B188" s="9" t="s">
        <v>248</v>
      </c>
      <c r="C188" s="9">
        <f>VLOOKUP(B188,{"iPhone",1;"Motorola",2;"Nokia",3;"Samsung",4;"Sony Erickson",5;"Sprint",6},2,0)</f>
        <v>3</v>
      </c>
      <c r="H188" s="9" t="s">
        <v>450</v>
      </c>
      <c r="I188" s="9" t="s">
        <v>242</v>
      </c>
      <c r="J188" s="9">
        <f>VLOOKUP(I188,{"Excellent",4;"Poor",1;"Good",3;"OK",2},2,0)</f>
        <v>1</v>
      </c>
      <c r="O188" s="9">
        <v>37</v>
      </c>
      <c r="P188" s="9">
        <f t="shared" si="15"/>
        <v>2.7777777777777777</v>
      </c>
      <c r="X188" s="9">
        <f t="shared" si="16"/>
        <v>275.92777777777775</v>
      </c>
    </row>
    <row r="189" spans="1:24" x14ac:dyDescent="0.25">
      <c r="A189" s="9" t="s">
        <v>451</v>
      </c>
      <c r="B189" s="9" t="s">
        <v>236</v>
      </c>
      <c r="C189" s="9">
        <f>VLOOKUP(B189,{"iPhone",1;"Motorola",2;"Nokia",3;"Samsung",4;"Sony Erickson",5;"Sprint",6},2,0)</f>
        <v>1</v>
      </c>
      <c r="H189" s="9" t="s">
        <v>451</v>
      </c>
      <c r="I189" s="9" t="s">
        <v>242</v>
      </c>
      <c r="J189" s="9">
        <f>VLOOKUP(I189,{"Excellent",4;"Poor",1;"Good",3;"OK",2},2,0)</f>
        <v>1</v>
      </c>
      <c r="O189" s="9">
        <v>36</v>
      </c>
      <c r="P189" s="9">
        <f t="shared" si="15"/>
        <v>2.2222222222222223</v>
      </c>
      <c r="X189" s="9">
        <f t="shared" si="16"/>
        <v>275.37222222222221</v>
      </c>
    </row>
    <row r="190" spans="1:24" x14ac:dyDescent="0.25">
      <c r="A190" s="9" t="s">
        <v>452</v>
      </c>
      <c r="B190" s="9" t="s">
        <v>236</v>
      </c>
      <c r="C190" s="9">
        <f>VLOOKUP(B190,{"iPhone",1;"Motorola",2;"Nokia",3;"Samsung",4;"Sony Erickson",5;"Sprint",6},2,0)</f>
        <v>1</v>
      </c>
      <c r="H190" s="9" t="s">
        <v>452</v>
      </c>
      <c r="I190" s="9" t="s">
        <v>237</v>
      </c>
      <c r="J190" s="9">
        <f>VLOOKUP(I190,{"Excellent",4;"Poor",1;"Good",3;"OK",2},2,0)</f>
        <v>2</v>
      </c>
      <c r="O190" s="9">
        <v>35</v>
      </c>
      <c r="P190" s="9">
        <f t="shared" si="15"/>
        <v>1.6666666666666665</v>
      </c>
      <c r="X190" s="9">
        <f t="shared" si="16"/>
        <v>274.81666666666666</v>
      </c>
    </row>
    <row r="191" spans="1:24" x14ac:dyDescent="0.25">
      <c r="A191" s="9" t="s">
        <v>453</v>
      </c>
      <c r="B191" s="9" t="s">
        <v>258</v>
      </c>
      <c r="C191" s="9">
        <f>VLOOKUP(B191,{"iPhone",1;"Motorola",2;"Nokia",3;"Samsung",4;"Sony Erickson",5;"Sprint",6},2,0)</f>
        <v>6</v>
      </c>
      <c r="H191" s="9" t="s">
        <v>453</v>
      </c>
      <c r="I191" s="9" t="s">
        <v>242</v>
      </c>
      <c r="J191" s="9">
        <f>VLOOKUP(I191,{"Excellent",4;"Poor",1;"Good",3;"OK",2},2,0)</f>
        <v>1</v>
      </c>
      <c r="O191" s="9">
        <v>34</v>
      </c>
      <c r="P191" s="9">
        <f t="shared" si="15"/>
        <v>1.1111111111111112</v>
      </c>
      <c r="X191" s="9">
        <f t="shared" si="16"/>
        <v>274.26111111111106</v>
      </c>
    </row>
    <row r="192" spans="1:24" x14ac:dyDescent="0.25">
      <c r="A192" s="9" t="s">
        <v>454</v>
      </c>
      <c r="B192" s="9" t="s">
        <v>235</v>
      </c>
      <c r="C192" s="9">
        <f>VLOOKUP(B192,{"iPhone",1;"Motorola",2;"Nokia",3;"Samsung",4;"Sony Erickson",5;"Sprint",6},2,0)</f>
        <v>2</v>
      </c>
      <c r="H192" s="9" t="s">
        <v>454</v>
      </c>
      <c r="I192" s="9" t="s">
        <v>242</v>
      </c>
      <c r="J192" s="9">
        <f>VLOOKUP(I192,{"Excellent",4;"Poor",1;"Good",3;"OK",2},2,0)</f>
        <v>1</v>
      </c>
      <c r="O192" s="9">
        <v>33</v>
      </c>
      <c r="P192" s="9">
        <f t="shared" si="15"/>
        <v>0.55555555555555558</v>
      </c>
      <c r="X192" s="9">
        <f t="shared" si="16"/>
        <v>273.70555555555552</v>
      </c>
    </row>
    <row r="193" spans="1:24" x14ac:dyDescent="0.25">
      <c r="A193" s="9" t="s">
        <v>455</v>
      </c>
      <c r="B193" s="9" t="s">
        <v>236</v>
      </c>
      <c r="C193" s="9">
        <f>VLOOKUP(B193,{"iPhone",1;"Motorola",2;"Nokia",3;"Samsung",4;"Sony Erickson",5;"Sprint",6},2,0)</f>
        <v>1</v>
      </c>
      <c r="H193" s="9" t="s">
        <v>455</v>
      </c>
      <c r="I193" s="9" t="s">
        <v>243</v>
      </c>
      <c r="J193" s="9">
        <f>VLOOKUP(I193,{"Excellent",4;"Poor",1;"Good",3;"OK",2},2,0)</f>
        <v>3</v>
      </c>
      <c r="O193" s="9">
        <v>32</v>
      </c>
      <c r="P193" s="9">
        <f t="shared" si="15"/>
        <v>0</v>
      </c>
      <c r="X193" s="9">
        <f t="shared" si="16"/>
        <v>273.14999999999998</v>
      </c>
    </row>
    <row r="194" spans="1:24" x14ac:dyDescent="0.25">
      <c r="A194" s="9" t="s">
        <v>456</v>
      </c>
      <c r="B194" s="9" t="s">
        <v>236</v>
      </c>
      <c r="C194" s="9">
        <f>VLOOKUP(B194,{"iPhone",1;"Motorola",2;"Nokia",3;"Samsung",4;"Sony Erickson",5;"Sprint",6},2,0)</f>
        <v>1</v>
      </c>
      <c r="H194" s="9" t="s">
        <v>456</v>
      </c>
      <c r="I194" s="9" t="s">
        <v>243</v>
      </c>
      <c r="J194" s="9">
        <f>VLOOKUP(I194,{"Excellent",4;"Poor",1;"Good",3;"OK",2},2,0)</f>
        <v>3</v>
      </c>
      <c r="O194" s="9">
        <v>31</v>
      </c>
      <c r="P194" s="9">
        <f t="shared" si="15"/>
        <v>-0.55555555555555558</v>
      </c>
      <c r="X194" s="9">
        <f t="shared" si="16"/>
        <v>272.59444444444443</v>
      </c>
    </row>
    <row r="195" spans="1:24" x14ac:dyDescent="0.25">
      <c r="A195" s="9" t="s">
        <v>457</v>
      </c>
      <c r="B195" s="9" t="s">
        <v>236</v>
      </c>
      <c r="C195" s="9">
        <f>VLOOKUP(B195,{"iPhone",1;"Motorola",2;"Nokia",3;"Samsung",4;"Sony Erickson",5;"Sprint",6},2,0)</f>
        <v>1</v>
      </c>
      <c r="H195" s="9" t="s">
        <v>457</v>
      </c>
      <c r="I195" s="9" t="s">
        <v>237</v>
      </c>
      <c r="J195" s="9">
        <f>VLOOKUP(I195,{"Excellent",4;"Poor",1;"Good",3;"OK",2},2,0)</f>
        <v>2</v>
      </c>
      <c r="O195" s="9">
        <v>30</v>
      </c>
      <c r="P195" s="9">
        <f t="shared" si="15"/>
        <v>-1.1111111111111112</v>
      </c>
      <c r="X195" s="9">
        <f t="shared" si="16"/>
        <v>272.03888888888889</v>
      </c>
    </row>
    <row r="196" spans="1:24" x14ac:dyDescent="0.25">
      <c r="A196" s="9" t="s">
        <v>458</v>
      </c>
      <c r="B196" s="9" t="s">
        <v>254</v>
      </c>
      <c r="C196" s="9">
        <f>VLOOKUP(B196,{"iPhone",1;"Motorola",2;"Nokia",3;"Samsung",4;"Sony Erickson",5;"Sprint",6},2,0)</f>
        <v>5</v>
      </c>
      <c r="H196" s="9" t="s">
        <v>458</v>
      </c>
      <c r="I196" s="9" t="s">
        <v>243</v>
      </c>
      <c r="J196" s="9">
        <f>VLOOKUP(I196,{"Excellent",4;"Poor",1;"Good",3;"OK",2},2,0)</f>
        <v>3</v>
      </c>
      <c r="O196" s="9">
        <v>29</v>
      </c>
      <c r="P196" s="9">
        <f t="shared" si="15"/>
        <v>-1.6666666666666665</v>
      </c>
      <c r="X196" s="9">
        <f t="shared" si="16"/>
        <v>271.48333333333329</v>
      </c>
    </row>
    <row r="197" spans="1:24" x14ac:dyDescent="0.25">
      <c r="A197" s="9" t="s">
        <v>459</v>
      </c>
      <c r="B197" s="9" t="s">
        <v>236</v>
      </c>
      <c r="C197" s="9">
        <f>VLOOKUP(B197,{"iPhone",1;"Motorola",2;"Nokia",3;"Samsung",4;"Sony Erickson",5;"Sprint",6},2,0)</f>
        <v>1</v>
      </c>
      <c r="H197" s="9" t="s">
        <v>459</v>
      </c>
      <c r="I197" s="9" t="s">
        <v>242</v>
      </c>
      <c r="J197" s="9">
        <f>VLOOKUP(I197,{"Excellent",4;"Poor",1;"Good",3;"OK",2},2,0)</f>
        <v>1</v>
      </c>
      <c r="O197" s="9">
        <v>28</v>
      </c>
      <c r="P197" s="9">
        <f t="shared" ref="P197:P260" si="17">CONVERT(O197,"F","C")</f>
        <v>-2.2222222222222223</v>
      </c>
      <c r="X197" s="9">
        <f t="shared" si="16"/>
        <v>270.92777777777775</v>
      </c>
    </row>
    <row r="198" spans="1:24" x14ac:dyDescent="0.25">
      <c r="A198" s="9" t="s">
        <v>460</v>
      </c>
      <c r="B198" s="9" t="s">
        <v>235</v>
      </c>
      <c r="C198" s="9">
        <f>VLOOKUP(B198,{"iPhone",1;"Motorola",2;"Nokia",3;"Samsung",4;"Sony Erickson",5;"Sprint",6},2,0)</f>
        <v>2</v>
      </c>
      <c r="H198" s="9" t="s">
        <v>460</v>
      </c>
      <c r="I198" s="9" t="s">
        <v>237</v>
      </c>
      <c r="J198" s="9">
        <f>VLOOKUP(I198,{"Excellent",4;"Poor",1;"Good",3;"OK",2},2,0)</f>
        <v>2</v>
      </c>
      <c r="O198" s="9">
        <v>27</v>
      </c>
      <c r="P198" s="9">
        <f t="shared" si="17"/>
        <v>-2.7777777777777777</v>
      </c>
      <c r="X198" s="9">
        <f t="shared" ref="X198:X261" si="18">CONVERT(O198,"F","K")</f>
        <v>270.37222222222221</v>
      </c>
    </row>
    <row r="199" spans="1:24" x14ac:dyDescent="0.25">
      <c r="A199" s="9" t="s">
        <v>461</v>
      </c>
      <c r="B199" s="9" t="s">
        <v>236</v>
      </c>
      <c r="C199" s="9">
        <f>VLOOKUP(B199,{"iPhone",1;"Motorola",2;"Nokia",3;"Samsung",4;"Sony Erickson",5;"Sprint",6},2,0)</f>
        <v>1</v>
      </c>
      <c r="H199" s="9" t="s">
        <v>461</v>
      </c>
      <c r="I199" s="9" t="s">
        <v>243</v>
      </c>
      <c r="J199" s="9">
        <f>VLOOKUP(I199,{"Excellent",4;"Poor",1;"Good",3;"OK",2},2,0)</f>
        <v>3</v>
      </c>
      <c r="O199" s="9">
        <v>26</v>
      </c>
      <c r="P199" s="9">
        <f t="shared" si="17"/>
        <v>-3.333333333333333</v>
      </c>
      <c r="X199" s="9">
        <f t="shared" si="18"/>
        <v>269.81666666666666</v>
      </c>
    </row>
    <row r="200" spans="1:24" x14ac:dyDescent="0.25">
      <c r="A200" s="9" t="s">
        <v>462</v>
      </c>
      <c r="B200" s="9" t="s">
        <v>248</v>
      </c>
      <c r="C200" s="9">
        <f>VLOOKUP(B200,{"iPhone",1;"Motorola",2;"Nokia",3;"Samsung",4;"Sony Erickson",5;"Sprint",6},2,0)</f>
        <v>3</v>
      </c>
      <c r="H200" s="9" t="s">
        <v>462</v>
      </c>
      <c r="I200" s="9" t="s">
        <v>242</v>
      </c>
      <c r="J200" s="9">
        <f>VLOOKUP(I200,{"Excellent",4;"Poor",1;"Good",3;"OK",2},2,0)</f>
        <v>1</v>
      </c>
      <c r="O200" s="9">
        <v>25</v>
      </c>
      <c r="P200" s="9">
        <f t="shared" si="17"/>
        <v>-3.8888888888888888</v>
      </c>
      <c r="X200" s="9">
        <f t="shared" si="18"/>
        <v>269.26111111111106</v>
      </c>
    </row>
    <row r="201" spans="1:24" x14ac:dyDescent="0.25">
      <c r="A201" s="9" t="s">
        <v>463</v>
      </c>
      <c r="B201" s="9" t="s">
        <v>254</v>
      </c>
      <c r="C201" s="9">
        <f>VLOOKUP(B201,{"iPhone",1;"Motorola",2;"Nokia",3;"Samsung",4;"Sony Erickson",5;"Sprint",6},2,0)</f>
        <v>5</v>
      </c>
      <c r="H201" s="9" t="s">
        <v>463</v>
      </c>
      <c r="I201" s="9" t="s">
        <v>237</v>
      </c>
      <c r="J201" s="9">
        <f>VLOOKUP(I201,{"Excellent",4;"Poor",1;"Good",3;"OK",2},2,0)</f>
        <v>2</v>
      </c>
      <c r="O201" s="9">
        <v>24</v>
      </c>
      <c r="P201" s="9">
        <f t="shared" si="17"/>
        <v>-4.4444444444444446</v>
      </c>
      <c r="X201" s="9">
        <f t="shared" si="18"/>
        <v>268.70555555555552</v>
      </c>
    </row>
    <row r="202" spans="1:24" x14ac:dyDescent="0.25">
      <c r="A202" s="9" t="s">
        <v>464</v>
      </c>
      <c r="B202" s="9" t="s">
        <v>247</v>
      </c>
      <c r="C202" s="9">
        <f>VLOOKUP(B202,{"iPhone",1;"Motorola",2;"Nokia",3;"Samsung",4;"Sony Erickson",5;"Sprint",6},2,0)</f>
        <v>4</v>
      </c>
      <c r="H202" s="9" t="s">
        <v>464</v>
      </c>
      <c r="I202" s="9" t="s">
        <v>242</v>
      </c>
      <c r="J202" s="9">
        <f>VLOOKUP(I202,{"Excellent",4;"Poor",1;"Good",3;"OK",2},2,0)</f>
        <v>1</v>
      </c>
      <c r="O202" s="9">
        <v>23</v>
      </c>
      <c r="P202" s="9">
        <f t="shared" si="17"/>
        <v>-5</v>
      </c>
      <c r="X202" s="9">
        <f t="shared" si="18"/>
        <v>268.14999999999998</v>
      </c>
    </row>
    <row r="203" spans="1:24" x14ac:dyDescent="0.25">
      <c r="A203" s="9" t="s">
        <v>465</v>
      </c>
      <c r="B203" s="9" t="s">
        <v>258</v>
      </c>
      <c r="C203" s="9">
        <f>VLOOKUP(B203,{"iPhone",1;"Motorola",2;"Nokia",3;"Samsung",4;"Sony Erickson",5;"Sprint",6},2,0)</f>
        <v>6</v>
      </c>
      <c r="H203" s="9" t="s">
        <v>465</v>
      </c>
      <c r="I203" s="9" t="s">
        <v>237</v>
      </c>
      <c r="J203" s="9">
        <f>VLOOKUP(I203,{"Excellent",4;"Poor",1;"Good",3;"OK",2},2,0)</f>
        <v>2</v>
      </c>
      <c r="O203" s="9">
        <v>22</v>
      </c>
      <c r="P203" s="9">
        <f t="shared" si="17"/>
        <v>-5.5555555555555554</v>
      </c>
      <c r="X203" s="9">
        <f t="shared" si="18"/>
        <v>267.59444444444443</v>
      </c>
    </row>
    <row r="204" spans="1:24" x14ac:dyDescent="0.25">
      <c r="A204" s="9" t="s">
        <v>466</v>
      </c>
      <c r="B204" s="9" t="s">
        <v>236</v>
      </c>
      <c r="C204" s="9">
        <f>VLOOKUP(B204,{"iPhone",1;"Motorola",2;"Nokia",3;"Samsung",4;"Sony Erickson",5;"Sprint",6},2,0)</f>
        <v>1</v>
      </c>
      <c r="H204" s="9" t="s">
        <v>466</v>
      </c>
      <c r="I204" s="9" t="s">
        <v>242</v>
      </c>
      <c r="J204" s="9">
        <f>VLOOKUP(I204,{"Excellent",4;"Poor",1;"Good",3;"OK",2},2,0)</f>
        <v>1</v>
      </c>
      <c r="O204" s="9">
        <v>21</v>
      </c>
      <c r="P204" s="9">
        <f t="shared" si="17"/>
        <v>-6.1111111111111107</v>
      </c>
      <c r="X204" s="9">
        <f t="shared" si="18"/>
        <v>267.03888888888889</v>
      </c>
    </row>
    <row r="205" spans="1:24" x14ac:dyDescent="0.25">
      <c r="A205" s="9" t="s">
        <v>467</v>
      </c>
      <c r="B205" s="9" t="s">
        <v>235</v>
      </c>
      <c r="C205" s="9">
        <f>VLOOKUP(B205,{"iPhone",1;"Motorola",2;"Nokia",3;"Samsung",4;"Sony Erickson",5;"Sprint",6},2,0)</f>
        <v>2</v>
      </c>
      <c r="H205" s="9" t="s">
        <v>467</v>
      </c>
      <c r="I205" s="9" t="s">
        <v>243</v>
      </c>
      <c r="J205" s="9">
        <f>VLOOKUP(I205,{"Excellent",4;"Poor",1;"Good",3;"OK",2},2,0)</f>
        <v>3</v>
      </c>
      <c r="O205" s="9">
        <v>20</v>
      </c>
      <c r="P205" s="9">
        <f t="shared" si="17"/>
        <v>-6.6666666666666661</v>
      </c>
      <c r="X205" s="9">
        <f t="shared" si="18"/>
        <v>266.48333333333329</v>
      </c>
    </row>
    <row r="206" spans="1:24" x14ac:dyDescent="0.25">
      <c r="A206" s="9" t="s">
        <v>468</v>
      </c>
      <c r="B206" s="9" t="s">
        <v>236</v>
      </c>
      <c r="C206" s="9">
        <f>VLOOKUP(B206,{"iPhone",1;"Motorola",2;"Nokia",3;"Samsung",4;"Sony Erickson",5;"Sprint",6},2,0)</f>
        <v>1</v>
      </c>
      <c r="H206" s="9" t="s">
        <v>468</v>
      </c>
      <c r="I206" s="9" t="s">
        <v>237</v>
      </c>
      <c r="J206" s="9">
        <f>VLOOKUP(I206,{"Excellent",4;"Poor",1;"Good",3;"OK",2},2,0)</f>
        <v>2</v>
      </c>
      <c r="O206" s="9">
        <v>19</v>
      </c>
      <c r="P206" s="9">
        <f t="shared" si="17"/>
        <v>-7.2222222222222223</v>
      </c>
      <c r="X206" s="9">
        <f t="shared" si="18"/>
        <v>265.92777777777775</v>
      </c>
    </row>
    <row r="207" spans="1:24" x14ac:dyDescent="0.25">
      <c r="A207" s="9" t="s">
        <v>469</v>
      </c>
      <c r="B207" s="9" t="s">
        <v>236</v>
      </c>
      <c r="C207" s="9">
        <f>VLOOKUP(B207,{"iPhone",1;"Motorola",2;"Nokia",3;"Samsung",4;"Sony Erickson",5;"Sprint",6},2,0)</f>
        <v>1</v>
      </c>
      <c r="H207" s="9" t="s">
        <v>469</v>
      </c>
      <c r="I207" s="9" t="s">
        <v>238</v>
      </c>
      <c r="J207" s="9">
        <f>VLOOKUP(I207,{"Excellent",4;"Poor",1;"Good",3;"OK",2},2,0)</f>
        <v>4</v>
      </c>
      <c r="O207" s="9">
        <v>18</v>
      </c>
      <c r="P207" s="9">
        <f t="shared" si="17"/>
        <v>-7.7777777777777777</v>
      </c>
      <c r="X207" s="9">
        <f t="shared" si="18"/>
        <v>265.37222222222221</v>
      </c>
    </row>
    <row r="208" spans="1:24" x14ac:dyDescent="0.25">
      <c r="A208" s="9" t="s">
        <v>470</v>
      </c>
      <c r="B208" s="9" t="s">
        <v>258</v>
      </c>
      <c r="C208" s="9">
        <f>VLOOKUP(B208,{"iPhone",1;"Motorola",2;"Nokia",3;"Samsung",4;"Sony Erickson",5;"Sprint",6},2,0)</f>
        <v>6</v>
      </c>
      <c r="H208" s="9" t="s">
        <v>470</v>
      </c>
      <c r="I208" s="9" t="s">
        <v>243</v>
      </c>
      <c r="J208" s="9">
        <f>VLOOKUP(I208,{"Excellent",4;"Poor",1;"Good",3;"OK",2},2,0)</f>
        <v>3</v>
      </c>
      <c r="O208" s="9">
        <v>17</v>
      </c>
      <c r="P208" s="9">
        <f t="shared" si="17"/>
        <v>-8.3333333333333339</v>
      </c>
      <c r="X208" s="9">
        <f t="shared" si="18"/>
        <v>264.81666666666666</v>
      </c>
    </row>
    <row r="209" spans="1:24" x14ac:dyDescent="0.25">
      <c r="A209" s="9" t="s">
        <v>471</v>
      </c>
      <c r="B209" s="9" t="s">
        <v>258</v>
      </c>
      <c r="C209" s="9">
        <f>VLOOKUP(B209,{"iPhone",1;"Motorola",2;"Nokia",3;"Samsung",4;"Sony Erickson",5;"Sprint",6},2,0)</f>
        <v>6</v>
      </c>
      <c r="H209" s="9" t="s">
        <v>471</v>
      </c>
      <c r="I209" s="9" t="s">
        <v>242</v>
      </c>
      <c r="J209" s="9">
        <f>VLOOKUP(I209,{"Excellent",4;"Poor",1;"Good",3;"OK",2},2,0)</f>
        <v>1</v>
      </c>
      <c r="O209" s="9">
        <v>16</v>
      </c>
      <c r="P209" s="9">
        <f t="shared" si="17"/>
        <v>-8.8888888888888893</v>
      </c>
      <c r="X209" s="9">
        <f t="shared" si="18"/>
        <v>264.26111111111106</v>
      </c>
    </row>
    <row r="210" spans="1:24" x14ac:dyDescent="0.25">
      <c r="A210" s="9" t="s">
        <v>472</v>
      </c>
      <c r="B210" s="9" t="s">
        <v>236</v>
      </c>
      <c r="C210" s="9">
        <f>VLOOKUP(B210,{"iPhone",1;"Motorola",2;"Nokia",3;"Samsung",4;"Sony Erickson",5;"Sprint",6},2,0)</f>
        <v>1</v>
      </c>
      <c r="H210" s="9" t="s">
        <v>472</v>
      </c>
      <c r="I210" s="9" t="s">
        <v>242</v>
      </c>
      <c r="J210" s="9">
        <f>VLOOKUP(I210,{"Excellent",4;"Poor",1;"Good",3;"OK",2},2,0)</f>
        <v>1</v>
      </c>
      <c r="O210" s="9">
        <v>15</v>
      </c>
      <c r="P210" s="9">
        <f t="shared" si="17"/>
        <v>-9.4444444444444446</v>
      </c>
      <c r="X210" s="9">
        <f t="shared" si="18"/>
        <v>263.70555555555552</v>
      </c>
    </row>
    <row r="211" spans="1:24" x14ac:dyDescent="0.25">
      <c r="A211" s="9" t="s">
        <v>473</v>
      </c>
      <c r="B211" s="9" t="s">
        <v>254</v>
      </c>
      <c r="C211" s="9">
        <f>VLOOKUP(B211,{"iPhone",1;"Motorola",2;"Nokia",3;"Samsung",4;"Sony Erickson",5;"Sprint",6},2,0)</f>
        <v>5</v>
      </c>
      <c r="H211" s="9" t="s">
        <v>473</v>
      </c>
      <c r="I211" s="9" t="s">
        <v>242</v>
      </c>
      <c r="J211" s="9">
        <f>VLOOKUP(I211,{"Excellent",4;"Poor",1;"Good",3;"OK",2},2,0)</f>
        <v>1</v>
      </c>
      <c r="O211" s="9">
        <v>14</v>
      </c>
      <c r="P211" s="9">
        <f t="shared" si="17"/>
        <v>-10</v>
      </c>
      <c r="X211" s="9">
        <f t="shared" si="18"/>
        <v>263.14999999999998</v>
      </c>
    </row>
    <row r="212" spans="1:24" x14ac:dyDescent="0.25">
      <c r="A212" s="9" t="s">
        <v>474</v>
      </c>
      <c r="B212" s="9" t="s">
        <v>235</v>
      </c>
      <c r="C212" s="9">
        <f>VLOOKUP(B212,{"iPhone",1;"Motorola",2;"Nokia",3;"Samsung",4;"Sony Erickson",5;"Sprint",6},2,0)</f>
        <v>2</v>
      </c>
      <c r="H212" s="9" t="s">
        <v>474</v>
      </c>
      <c r="I212" s="9" t="s">
        <v>242</v>
      </c>
      <c r="J212" s="9">
        <f>VLOOKUP(I212,{"Excellent",4;"Poor",1;"Good",3;"OK",2},2,0)</f>
        <v>1</v>
      </c>
      <c r="O212" s="9">
        <v>13</v>
      </c>
      <c r="P212" s="9">
        <f t="shared" si="17"/>
        <v>-10.555555555555555</v>
      </c>
      <c r="X212" s="9">
        <f t="shared" si="18"/>
        <v>262.59444444444443</v>
      </c>
    </row>
    <row r="213" spans="1:24" x14ac:dyDescent="0.25">
      <c r="A213" s="9" t="s">
        <v>475</v>
      </c>
      <c r="B213" s="9" t="s">
        <v>236</v>
      </c>
      <c r="C213" s="9">
        <f>VLOOKUP(B213,{"iPhone",1;"Motorola",2;"Nokia",3;"Samsung",4;"Sony Erickson",5;"Sprint",6},2,0)</f>
        <v>1</v>
      </c>
      <c r="H213" s="9" t="s">
        <v>475</v>
      </c>
      <c r="I213" s="9" t="s">
        <v>242</v>
      </c>
      <c r="J213" s="9">
        <f>VLOOKUP(I213,{"Excellent",4;"Poor",1;"Good",3;"OK",2},2,0)</f>
        <v>1</v>
      </c>
      <c r="O213" s="9">
        <v>12</v>
      </c>
      <c r="P213" s="9">
        <f t="shared" si="17"/>
        <v>-11.111111111111111</v>
      </c>
      <c r="X213" s="9">
        <f t="shared" si="18"/>
        <v>262.03888888888889</v>
      </c>
    </row>
    <row r="214" spans="1:24" x14ac:dyDescent="0.25">
      <c r="A214" s="9" t="s">
        <v>476</v>
      </c>
      <c r="B214" s="9" t="s">
        <v>236</v>
      </c>
      <c r="C214" s="9">
        <f>VLOOKUP(B214,{"iPhone",1;"Motorola",2;"Nokia",3;"Samsung",4;"Sony Erickson",5;"Sprint",6},2,0)</f>
        <v>1</v>
      </c>
      <c r="H214" s="9" t="s">
        <v>476</v>
      </c>
      <c r="I214" s="9" t="s">
        <v>242</v>
      </c>
      <c r="J214" s="9">
        <f>VLOOKUP(I214,{"Excellent",4;"Poor",1;"Good",3;"OK",2},2,0)</f>
        <v>1</v>
      </c>
      <c r="O214" s="9">
        <v>11</v>
      </c>
      <c r="P214" s="9">
        <f t="shared" si="17"/>
        <v>-11.666666666666666</v>
      </c>
      <c r="X214" s="9">
        <f t="shared" si="18"/>
        <v>261.48333333333329</v>
      </c>
    </row>
    <row r="215" spans="1:24" x14ac:dyDescent="0.25">
      <c r="A215" s="9" t="s">
        <v>477</v>
      </c>
      <c r="B215" s="9" t="s">
        <v>247</v>
      </c>
      <c r="C215" s="9">
        <f>VLOOKUP(B215,{"iPhone",1;"Motorola",2;"Nokia",3;"Samsung",4;"Sony Erickson",5;"Sprint",6},2,0)</f>
        <v>4</v>
      </c>
      <c r="H215" s="9" t="s">
        <v>477</v>
      </c>
      <c r="I215" s="9" t="s">
        <v>242</v>
      </c>
      <c r="J215" s="9">
        <f>VLOOKUP(I215,{"Excellent",4;"Poor",1;"Good",3;"OK",2},2,0)</f>
        <v>1</v>
      </c>
      <c r="O215" s="9">
        <v>10</v>
      </c>
      <c r="P215" s="9">
        <f t="shared" si="17"/>
        <v>-12.222222222222221</v>
      </c>
      <c r="X215" s="9">
        <f t="shared" si="18"/>
        <v>260.92777777777775</v>
      </c>
    </row>
    <row r="216" spans="1:24" x14ac:dyDescent="0.25">
      <c r="A216" s="9" t="s">
        <v>478</v>
      </c>
      <c r="B216" s="9" t="s">
        <v>258</v>
      </c>
      <c r="C216" s="9">
        <f>VLOOKUP(B216,{"iPhone",1;"Motorola",2;"Nokia",3;"Samsung",4;"Sony Erickson",5;"Sprint",6},2,0)</f>
        <v>6</v>
      </c>
      <c r="H216" s="9" t="s">
        <v>478</v>
      </c>
      <c r="I216" s="9" t="s">
        <v>238</v>
      </c>
      <c r="J216" s="9">
        <f>VLOOKUP(I216,{"Excellent",4;"Poor",1;"Good",3;"OK",2},2,0)</f>
        <v>4</v>
      </c>
      <c r="O216" s="9">
        <v>9</v>
      </c>
      <c r="P216" s="9">
        <f t="shared" si="17"/>
        <v>-12.777777777777777</v>
      </c>
      <c r="X216" s="9">
        <f t="shared" si="18"/>
        <v>260.37222222222221</v>
      </c>
    </row>
    <row r="217" spans="1:24" x14ac:dyDescent="0.25">
      <c r="A217" s="9" t="s">
        <v>479</v>
      </c>
      <c r="B217" s="9" t="s">
        <v>236</v>
      </c>
      <c r="C217" s="9">
        <f>VLOOKUP(B217,{"iPhone",1;"Motorola",2;"Nokia",3;"Samsung",4;"Sony Erickson",5;"Sprint",6},2,0)</f>
        <v>1</v>
      </c>
      <c r="H217" s="9" t="s">
        <v>479</v>
      </c>
      <c r="I217" s="9" t="s">
        <v>238</v>
      </c>
      <c r="J217" s="9">
        <f>VLOOKUP(I217,{"Excellent",4;"Poor",1;"Good",3;"OK",2},2,0)</f>
        <v>4</v>
      </c>
      <c r="O217" s="9">
        <v>8</v>
      </c>
      <c r="P217" s="9">
        <f t="shared" si="17"/>
        <v>-13.333333333333332</v>
      </c>
      <c r="X217" s="9">
        <f t="shared" si="18"/>
        <v>259.81666666666666</v>
      </c>
    </row>
    <row r="218" spans="1:24" x14ac:dyDescent="0.25">
      <c r="A218" s="9" t="s">
        <v>480</v>
      </c>
      <c r="B218" s="9" t="s">
        <v>236</v>
      </c>
      <c r="C218" s="9">
        <f>VLOOKUP(B218,{"iPhone",1;"Motorola",2;"Nokia",3;"Samsung",4;"Sony Erickson",5;"Sprint",6},2,0)</f>
        <v>1</v>
      </c>
      <c r="H218" s="9" t="s">
        <v>480</v>
      </c>
      <c r="I218" s="9" t="s">
        <v>238</v>
      </c>
      <c r="J218" s="9">
        <f>VLOOKUP(I218,{"Excellent",4;"Poor",1;"Good",3;"OK",2},2,0)</f>
        <v>4</v>
      </c>
      <c r="O218" s="9">
        <v>7</v>
      </c>
      <c r="P218" s="9">
        <f t="shared" si="17"/>
        <v>-13.888888888888889</v>
      </c>
      <c r="X218" s="9">
        <f t="shared" si="18"/>
        <v>259.26111111111106</v>
      </c>
    </row>
    <row r="219" spans="1:24" x14ac:dyDescent="0.25">
      <c r="A219" s="9" t="s">
        <v>481</v>
      </c>
      <c r="B219" s="9" t="s">
        <v>248</v>
      </c>
      <c r="C219" s="9">
        <f>VLOOKUP(B219,{"iPhone",1;"Motorola",2;"Nokia",3;"Samsung",4;"Sony Erickson",5;"Sprint",6},2,0)</f>
        <v>3</v>
      </c>
      <c r="H219" s="9" t="s">
        <v>481</v>
      </c>
      <c r="I219" s="9" t="s">
        <v>237</v>
      </c>
      <c r="J219" s="9">
        <f>VLOOKUP(I219,{"Excellent",4;"Poor",1;"Good",3;"OK",2},2,0)</f>
        <v>2</v>
      </c>
      <c r="O219" s="9">
        <v>6</v>
      </c>
      <c r="P219" s="9">
        <f t="shared" si="17"/>
        <v>-14.444444444444445</v>
      </c>
      <c r="X219" s="9">
        <f t="shared" si="18"/>
        <v>258.70555555555552</v>
      </c>
    </row>
    <row r="220" spans="1:24" x14ac:dyDescent="0.25">
      <c r="A220" s="9" t="s">
        <v>482</v>
      </c>
      <c r="B220" s="9" t="s">
        <v>236</v>
      </c>
      <c r="C220" s="9">
        <f>VLOOKUP(B220,{"iPhone",1;"Motorola",2;"Nokia",3;"Samsung",4;"Sony Erickson",5;"Sprint",6},2,0)</f>
        <v>1</v>
      </c>
      <c r="H220" s="9" t="s">
        <v>482</v>
      </c>
      <c r="I220" s="9" t="s">
        <v>238</v>
      </c>
      <c r="J220" s="9">
        <f>VLOOKUP(I220,{"Excellent",4;"Poor",1;"Good",3;"OK",2},2,0)</f>
        <v>4</v>
      </c>
      <c r="O220" s="9">
        <v>5</v>
      </c>
      <c r="P220" s="9">
        <f t="shared" si="17"/>
        <v>-15</v>
      </c>
      <c r="X220" s="9">
        <f t="shared" si="18"/>
        <v>258.14999999999998</v>
      </c>
    </row>
    <row r="221" spans="1:24" x14ac:dyDescent="0.25">
      <c r="A221" s="9" t="s">
        <v>483</v>
      </c>
      <c r="B221" s="9" t="s">
        <v>258</v>
      </c>
      <c r="C221" s="9">
        <f>VLOOKUP(B221,{"iPhone",1;"Motorola",2;"Nokia",3;"Samsung",4;"Sony Erickson",5;"Sprint",6},2,0)</f>
        <v>6</v>
      </c>
      <c r="H221" s="9" t="s">
        <v>483</v>
      </c>
      <c r="I221" s="9" t="s">
        <v>242</v>
      </c>
      <c r="J221" s="9">
        <f>VLOOKUP(I221,{"Excellent",4;"Poor",1;"Good",3;"OK",2},2,0)</f>
        <v>1</v>
      </c>
      <c r="O221" s="9">
        <v>4</v>
      </c>
      <c r="P221" s="9">
        <f t="shared" si="17"/>
        <v>-15.555555555555555</v>
      </c>
      <c r="X221" s="9">
        <f t="shared" si="18"/>
        <v>257.59444444444443</v>
      </c>
    </row>
    <row r="222" spans="1:24" x14ac:dyDescent="0.25">
      <c r="A222" s="9" t="s">
        <v>484</v>
      </c>
      <c r="B222" s="9" t="s">
        <v>236</v>
      </c>
      <c r="C222" s="9">
        <f>VLOOKUP(B222,{"iPhone",1;"Motorola",2;"Nokia",3;"Samsung",4;"Sony Erickson",5;"Sprint",6},2,0)</f>
        <v>1</v>
      </c>
      <c r="H222" s="9" t="s">
        <v>484</v>
      </c>
      <c r="I222" s="9" t="s">
        <v>242</v>
      </c>
      <c r="J222" s="9">
        <f>VLOOKUP(I222,{"Excellent",4;"Poor",1;"Good",3;"OK",2},2,0)</f>
        <v>1</v>
      </c>
      <c r="O222" s="9">
        <v>3</v>
      </c>
      <c r="P222" s="9">
        <f t="shared" si="17"/>
        <v>-16.111111111111111</v>
      </c>
      <c r="X222" s="9">
        <f t="shared" si="18"/>
        <v>257.03888888888889</v>
      </c>
    </row>
    <row r="223" spans="1:24" x14ac:dyDescent="0.25">
      <c r="A223" s="9" t="s">
        <v>485</v>
      </c>
      <c r="B223" s="9" t="s">
        <v>248</v>
      </c>
      <c r="C223" s="9">
        <f>VLOOKUP(B223,{"iPhone",1;"Motorola",2;"Nokia",3;"Samsung",4;"Sony Erickson",5;"Sprint",6},2,0)</f>
        <v>3</v>
      </c>
      <c r="H223" s="9" t="s">
        <v>485</v>
      </c>
      <c r="I223" s="9" t="s">
        <v>237</v>
      </c>
      <c r="J223" s="9">
        <f>VLOOKUP(I223,{"Excellent",4;"Poor",1;"Good",3;"OK",2},2,0)</f>
        <v>2</v>
      </c>
      <c r="O223" s="9">
        <v>2</v>
      </c>
      <c r="P223" s="9">
        <f t="shared" si="17"/>
        <v>-16.666666666666668</v>
      </c>
      <c r="X223" s="9">
        <f t="shared" si="18"/>
        <v>256.48333333333329</v>
      </c>
    </row>
    <row r="224" spans="1:24" x14ac:dyDescent="0.25">
      <c r="A224" s="9" t="s">
        <v>486</v>
      </c>
      <c r="B224" s="9" t="s">
        <v>236</v>
      </c>
      <c r="C224" s="9">
        <f>VLOOKUP(B224,{"iPhone",1;"Motorola",2;"Nokia",3;"Samsung",4;"Sony Erickson",5;"Sprint",6},2,0)</f>
        <v>1</v>
      </c>
      <c r="H224" s="9" t="s">
        <v>486</v>
      </c>
      <c r="I224" s="9" t="s">
        <v>242</v>
      </c>
      <c r="J224" s="9">
        <f>VLOOKUP(I224,{"Excellent",4;"Poor",1;"Good",3;"OK",2},2,0)</f>
        <v>1</v>
      </c>
      <c r="O224" s="9">
        <v>1</v>
      </c>
      <c r="P224" s="9">
        <f t="shared" si="17"/>
        <v>-17.222222222222221</v>
      </c>
      <c r="X224" s="9">
        <f t="shared" si="18"/>
        <v>255.92777777777775</v>
      </c>
    </row>
    <row r="225" spans="1:24" x14ac:dyDescent="0.25">
      <c r="A225" s="9" t="s">
        <v>487</v>
      </c>
      <c r="B225" s="9" t="s">
        <v>248</v>
      </c>
      <c r="C225" s="9">
        <f>VLOOKUP(B225,{"iPhone",1;"Motorola",2;"Nokia",3;"Samsung",4;"Sony Erickson",5;"Sprint",6},2,0)</f>
        <v>3</v>
      </c>
      <c r="H225" s="9" t="s">
        <v>487</v>
      </c>
      <c r="I225" s="9" t="s">
        <v>237</v>
      </c>
      <c r="J225" s="9">
        <f>VLOOKUP(I225,{"Excellent",4;"Poor",1;"Good",3;"OK",2},2,0)</f>
        <v>2</v>
      </c>
      <c r="O225" s="9">
        <v>0</v>
      </c>
      <c r="P225" s="9">
        <f t="shared" si="17"/>
        <v>-17.777777777777779</v>
      </c>
      <c r="X225" s="9">
        <f t="shared" si="18"/>
        <v>255.37222222222221</v>
      </c>
    </row>
    <row r="226" spans="1:24" x14ac:dyDescent="0.25">
      <c r="A226" s="9" t="s">
        <v>488</v>
      </c>
      <c r="B226" s="9" t="s">
        <v>258</v>
      </c>
      <c r="C226" s="9">
        <f>VLOOKUP(B226,{"iPhone",1;"Motorola",2;"Nokia",3;"Samsung",4;"Sony Erickson",5;"Sprint",6},2,0)</f>
        <v>6</v>
      </c>
      <c r="H226" s="9" t="s">
        <v>488</v>
      </c>
      <c r="I226" s="9" t="s">
        <v>237</v>
      </c>
      <c r="J226" s="9">
        <f>VLOOKUP(I226,{"Excellent",4;"Poor",1;"Good",3;"OK",2},2,0)</f>
        <v>2</v>
      </c>
      <c r="O226" s="9">
        <v>-1</v>
      </c>
      <c r="P226" s="9">
        <f t="shared" si="17"/>
        <v>-18.333333333333332</v>
      </c>
      <c r="X226" s="9">
        <f t="shared" si="18"/>
        <v>254.81666666666663</v>
      </c>
    </row>
    <row r="227" spans="1:24" x14ac:dyDescent="0.25">
      <c r="A227" s="9" t="s">
        <v>489</v>
      </c>
      <c r="B227" s="9" t="s">
        <v>248</v>
      </c>
      <c r="C227" s="9">
        <f>VLOOKUP(B227,{"iPhone",1;"Motorola",2;"Nokia",3;"Samsung",4;"Sony Erickson",5;"Sprint",6},2,0)</f>
        <v>3</v>
      </c>
      <c r="H227" s="9" t="s">
        <v>489</v>
      </c>
      <c r="I227" s="9" t="s">
        <v>242</v>
      </c>
      <c r="J227" s="9">
        <f>VLOOKUP(I227,{"Excellent",4;"Poor",1;"Good",3;"OK",2},2,0)</f>
        <v>1</v>
      </c>
      <c r="O227" s="9">
        <v>-2</v>
      </c>
      <c r="P227" s="9">
        <f t="shared" si="17"/>
        <v>-18.888888888888889</v>
      </c>
      <c r="X227" s="9">
        <f t="shared" si="18"/>
        <v>254.26111111111109</v>
      </c>
    </row>
    <row r="228" spans="1:24" x14ac:dyDescent="0.25">
      <c r="A228" s="9" t="s">
        <v>490</v>
      </c>
      <c r="B228" s="9" t="s">
        <v>248</v>
      </c>
      <c r="C228" s="9">
        <f>VLOOKUP(B228,{"iPhone",1;"Motorola",2;"Nokia",3;"Samsung",4;"Sony Erickson",5;"Sprint",6},2,0)</f>
        <v>3</v>
      </c>
      <c r="H228" s="9" t="s">
        <v>490</v>
      </c>
      <c r="I228" s="9" t="s">
        <v>242</v>
      </c>
      <c r="J228" s="9">
        <f>VLOOKUP(I228,{"Excellent",4;"Poor",1;"Good",3;"OK",2},2,0)</f>
        <v>1</v>
      </c>
      <c r="O228" s="9">
        <v>-3</v>
      </c>
      <c r="P228" s="9">
        <f t="shared" si="17"/>
        <v>-19.444444444444443</v>
      </c>
      <c r="X228" s="9">
        <f t="shared" si="18"/>
        <v>253.70555555555552</v>
      </c>
    </row>
    <row r="229" spans="1:24" x14ac:dyDescent="0.25">
      <c r="A229" s="9" t="s">
        <v>491</v>
      </c>
      <c r="B229" s="9" t="s">
        <v>247</v>
      </c>
      <c r="C229" s="9">
        <f>VLOOKUP(B229,{"iPhone",1;"Motorola",2;"Nokia",3;"Samsung",4;"Sony Erickson",5;"Sprint",6},2,0)</f>
        <v>4</v>
      </c>
      <c r="H229" s="9" t="s">
        <v>491</v>
      </c>
      <c r="I229" s="9" t="s">
        <v>237</v>
      </c>
      <c r="J229" s="9">
        <f>VLOOKUP(I229,{"Excellent",4;"Poor",1;"Good",3;"OK",2},2,0)</f>
        <v>2</v>
      </c>
      <c r="O229" s="9">
        <v>-4</v>
      </c>
      <c r="P229" s="9">
        <f t="shared" si="17"/>
        <v>-20</v>
      </c>
      <c r="X229" s="9">
        <f t="shared" si="18"/>
        <v>253.14999999999998</v>
      </c>
    </row>
    <row r="230" spans="1:24" x14ac:dyDescent="0.25">
      <c r="A230" s="9" t="s">
        <v>492</v>
      </c>
      <c r="B230" s="9" t="s">
        <v>236</v>
      </c>
      <c r="C230" s="9">
        <f>VLOOKUP(B230,{"iPhone",1;"Motorola",2;"Nokia",3;"Samsung",4;"Sony Erickson",5;"Sprint",6},2,0)</f>
        <v>1</v>
      </c>
      <c r="H230" s="9" t="s">
        <v>492</v>
      </c>
      <c r="I230" s="9" t="s">
        <v>237</v>
      </c>
      <c r="J230" s="9">
        <f>VLOOKUP(I230,{"Excellent",4;"Poor",1;"Good",3;"OK",2},2,0)</f>
        <v>2</v>
      </c>
      <c r="O230" s="9">
        <v>-5</v>
      </c>
      <c r="P230" s="9">
        <f t="shared" si="17"/>
        <v>-20.555555555555554</v>
      </c>
      <c r="X230" s="9">
        <f t="shared" si="18"/>
        <v>252.59444444444443</v>
      </c>
    </row>
    <row r="231" spans="1:24" x14ac:dyDescent="0.25">
      <c r="A231" s="9" t="s">
        <v>493</v>
      </c>
      <c r="B231" s="9" t="s">
        <v>236</v>
      </c>
      <c r="C231" s="9">
        <f>VLOOKUP(B231,{"iPhone",1;"Motorola",2;"Nokia",3;"Samsung",4;"Sony Erickson",5;"Sprint",6},2,0)</f>
        <v>1</v>
      </c>
      <c r="H231" s="9" t="s">
        <v>493</v>
      </c>
      <c r="I231" s="9" t="s">
        <v>242</v>
      </c>
      <c r="J231" s="9">
        <f>VLOOKUP(I231,{"Excellent",4;"Poor",1;"Good",3;"OK",2},2,0)</f>
        <v>1</v>
      </c>
      <c r="O231" s="9">
        <v>-6</v>
      </c>
      <c r="P231" s="9">
        <f t="shared" si="17"/>
        <v>-21.111111111111111</v>
      </c>
      <c r="X231" s="9">
        <f t="shared" si="18"/>
        <v>252.03888888888886</v>
      </c>
    </row>
    <row r="232" spans="1:24" x14ac:dyDescent="0.25">
      <c r="A232" s="9" t="s">
        <v>494</v>
      </c>
      <c r="B232" s="9" t="s">
        <v>258</v>
      </c>
      <c r="C232" s="9">
        <f>VLOOKUP(B232,{"iPhone",1;"Motorola",2;"Nokia",3;"Samsung",4;"Sony Erickson",5;"Sprint",6},2,0)</f>
        <v>6</v>
      </c>
      <c r="H232" s="9" t="s">
        <v>494</v>
      </c>
      <c r="I232" s="9" t="s">
        <v>237</v>
      </c>
      <c r="J232" s="9">
        <f>VLOOKUP(I232,{"Excellent",4;"Poor",1;"Good",3;"OK",2},2,0)</f>
        <v>2</v>
      </c>
      <c r="O232" s="9">
        <v>-7</v>
      </c>
      <c r="P232" s="9">
        <f t="shared" si="17"/>
        <v>-21.666666666666668</v>
      </c>
      <c r="X232" s="9">
        <f t="shared" si="18"/>
        <v>251.48333333333332</v>
      </c>
    </row>
    <row r="233" spans="1:24" x14ac:dyDescent="0.25">
      <c r="A233" s="9" t="s">
        <v>495</v>
      </c>
      <c r="B233" s="9" t="s">
        <v>235</v>
      </c>
      <c r="C233" s="9">
        <f>VLOOKUP(B233,{"iPhone",1;"Motorola",2;"Nokia",3;"Samsung",4;"Sony Erickson",5;"Sprint",6},2,0)</f>
        <v>2</v>
      </c>
      <c r="H233" s="9" t="s">
        <v>495</v>
      </c>
      <c r="I233" s="9" t="s">
        <v>242</v>
      </c>
      <c r="J233" s="9">
        <f>VLOOKUP(I233,{"Excellent",4;"Poor",1;"Good",3;"OK",2},2,0)</f>
        <v>1</v>
      </c>
      <c r="O233" s="9">
        <v>-8</v>
      </c>
      <c r="P233" s="9">
        <f t="shared" si="17"/>
        <v>-22.222222222222221</v>
      </c>
      <c r="X233" s="9">
        <f t="shared" si="18"/>
        <v>250.92777777777775</v>
      </c>
    </row>
    <row r="234" spans="1:24" x14ac:dyDescent="0.25">
      <c r="A234" s="9" t="s">
        <v>496</v>
      </c>
      <c r="B234" s="9" t="s">
        <v>258</v>
      </c>
      <c r="C234" s="9">
        <f>VLOOKUP(B234,{"iPhone",1;"Motorola",2;"Nokia",3;"Samsung",4;"Sony Erickson",5;"Sprint",6},2,0)</f>
        <v>6</v>
      </c>
      <c r="H234" s="9" t="s">
        <v>496</v>
      </c>
      <c r="I234" s="9" t="s">
        <v>242</v>
      </c>
      <c r="J234" s="9">
        <f>VLOOKUP(I234,{"Excellent",4;"Poor",1;"Good",3;"OK",2},2,0)</f>
        <v>1</v>
      </c>
      <c r="O234" s="9">
        <v>-9</v>
      </c>
      <c r="P234" s="9">
        <f t="shared" si="17"/>
        <v>-22.777777777777779</v>
      </c>
      <c r="X234" s="9">
        <f t="shared" si="18"/>
        <v>250.37222222222221</v>
      </c>
    </row>
    <row r="235" spans="1:24" x14ac:dyDescent="0.25">
      <c r="A235" s="9" t="s">
        <v>497</v>
      </c>
      <c r="B235" s="9" t="s">
        <v>236</v>
      </c>
      <c r="C235" s="9">
        <f>VLOOKUP(B235,{"iPhone",1;"Motorola",2;"Nokia",3;"Samsung",4;"Sony Erickson",5;"Sprint",6},2,0)</f>
        <v>1</v>
      </c>
      <c r="H235" s="9" t="s">
        <v>497</v>
      </c>
      <c r="I235" s="9" t="s">
        <v>242</v>
      </c>
      <c r="J235" s="9">
        <f>VLOOKUP(I235,{"Excellent",4;"Poor",1;"Good",3;"OK",2},2,0)</f>
        <v>1</v>
      </c>
      <c r="O235" s="9">
        <v>-10</v>
      </c>
      <c r="P235" s="9">
        <f t="shared" si="17"/>
        <v>-23.333333333333332</v>
      </c>
      <c r="X235" s="9">
        <f t="shared" si="18"/>
        <v>249.81666666666663</v>
      </c>
    </row>
    <row r="236" spans="1:24" x14ac:dyDescent="0.25">
      <c r="A236" s="9" t="s">
        <v>498</v>
      </c>
      <c r="B236" s="9" t="s">
        <v>236</v>
      </c>
      <c r="C236" s="9">
        <f>VLOOKUP(B236,{"iPhone",1;"Motorola",2;"Nokia",3;"Samsung",4;"Sony Erickson",5;"Sprint",6},2,0)</f>
        <v>1</v>
      </c>
      <c r="H236" s="9" t="s">
        <v>498</v>
      </c>
      <c r="I236" s="9" t="s">
        <v>242</v>
      </c>
      <c r="J236" s="9">
        <f>VLOOKUP(I236,{"Excellent",4;"Poor",1;"Good",3;"OK",2},2,0)</f>
        <v>1</v>
      </c>
      <c r="O236" s="9">
        <v>-11</v>
      </c>
      <c r="P236" s="9">
        <f t="shared" si="17"/>
        <v>-23.888888888888889</v>
      </c>
      <c r="X236" s="9">
        <f t="shared" si="18"/>
        <v>249.26111111111109</v>
      </c>
    </row>
    <row r="237" spans="1:24" x14ac:dyDescent="0.25">
      <c r="A237" s="9" t="s">
        <v>499</v>
      </c>
      <c r="B237" s="9" t="s">
        <v>254</v>
      </c>
      <c r="C237" s="9">
        <f>VLOOKUP(B237,{"iPhone",1;"Motorola",2;"Nokia",3;"Samsung",4;"Sony Erickson",5;"Sprint",6},2,0)</f>
        <v>5</v>
      </c>
      <c r="H237" s="9" t="s">
        <v>499</v>
      </c>
      <c r="I237" s="9" t="s">
        <v>242</v>
      </c>
      <c r="J237" s="9">
        <f>VLOOKUP(I237,{"Excellent",4;"Poor",1;"Good",3;"OK",2},2,0)</f>
        <v>1</v>
      </c>
      <c r="O237" s="9">
        <v>-12</v>
      </c>
      <c r="P237" s="9">
        <f t="shared" si="17"/>
        <v>-24.444444444444443</v>
      </c>
      <c r="X237" s="9">
        <f t="shared" si="18"/>
        <v>248.70555555555552</v>
      </c>
    </row>
    <row r="238" spans="1:24" x14ac:dyDescent="0.25">
      <c r="A238" s="9" t="s">
        <v>500</v>
      </c>
      <c r="B238" s="9" t="s">
        <v>258</v>
      </c>
      <c r="C238" s="9">
        <f>VLOOKUP(B238,{"iPhone",1;"Motorola",2;"Nokia",3;"Samsung",4;"Sony Erickson",5;"Sprint",6},2,0)</f>
        <v>6</v>
      </c>
      <c r="H238" s="9" t="s">
        <v>500</v>
      </c>
      <c r="I238" s="9" t="s">
        <v>237</v>
      </c>
      <c r="J238" s="9">
        <f>VLOOKUP(I238,{"Excellent",4;"Poor",1;"Good",3;"OK",2},2,0)</f>
        <v>2</v>
      </c>
      <c r="O238" s="9">
        <v>-13</v>
      </c>
      <c r="P238" s="9">
        <f t="shared" si="17"/>
        <v>-25</v>
      </c>
      <c r="X238" s="9">
        <f t="shared" si="18"/>
        <v>248.14999999999998</v>
      </c>
    </row>
    <row r="239" spans="1:24" x14ac:dyDescent="0.25">
      <c r="A239" s="9" t="s">
        <v>501</v>
      </c>
      <c r="B239" s="9" t="s">
        <v>236</v>
      </c>
      <c r="C239" s="9">
        <f>VLOOKUP(B239,{"iPhone",1;"Motorola",2;"Nokia",3;"Samsung",4;"Sony Erickson",5;"Sprint",6},2,0)</f>
        <v>1</v>
      </c>
      <c r="H239" s="9" t="s">
        <v>501</v>
      </c>
      <c r="I239" s="9" t="s">
        <v>242</v>
      </c>
      <c r="J239" s="9">
        <f>VLOOKUP(I239,{"Excellent",4;"Poor",1;"Good",3;"OK",2},2,0)</f>
        <v>1</v>
      </c>
      <c r="O239" s="9">
        <v>-14</v>
      </c>
      <c r="P239" s="9">
        <f t="shared" si="17"/>
        <v>-25.555555555555554</v>
      </c>
      <c r="X239" s="9">
        <f t="shared" si="18"/>
        <v>247.59444444444443</v>
      </c>
    </row>
    <row r="240" spans="1:24" x14ac:dyDescent="0.25">
      <c r="A240" s="9" t="s">
        <v>502</v>
      </c>
      <c r="B240" s="9" t="s">
        <v>236</v>
      </c>
      <c r="C240" s="9">
        <f>VLOOKUP(B240,{"iPhone",1;"Motorola",2;"Nokia",3;"Samsung",4;"Sony Erickson",5;"Sprint",6},2,0)</f>
        <v>1</v>
      </c>
      <c r="H240" s="9" t="s">
        <v>502</v>
      </c>
      <c r="I240" s="9" t="s">
        <v>242</v>
      </c>
      <c r="J240" s="9">
        <f>VLOOKUP(I240,{"Excellent",4;"Poor",1;"Good",3;"OK",2},2,0)</f>
        <v>1</v>
      </c>
      <c r="O240" s="9">
        <v>-15</v>
      </c>
      <c r="P240" s="9">
        <f t="shared" si="17"/>
        <v>-26.111111111111111</v>
      </c>
      <c r="X240" s="9">
        <f t="shared" si="18"/>
        <v>247.03888888888886</v>
      </c>
    </row>
    <row r="241" spans="1:24" x14ac:dyDescent="0.25">
      <c r="A241" s="9" t="s">
        <v>503</v>
      </c>
      <c r="B241" s="9" t="s">
        <v>247</v>
      </c>
      <c r="C241" s="9">
        <f>VLOOKUP(B241,{"iPhone",1;"Motorola",2;"Nokia",3;"Samsung",4;"Sony Erickson",5;"Sprint",6},2,0)</f>
        <v>4</v>
      </c>
      <c r="H241" s="9" t="s">
        <v>503</v>
      </c>
      <c r="I241" s="9" t="s">
        <v>242</v>
      </c>
      <c r="J241" s="9">
        <f>VLOOKUP(I241,{"Excellent",4;"Poor",1;"Good",3;"OK",2},2,0)</f>
        <v>1</v>
      </c>
      <c r="O241" s="9">
        <v>-16</v>
      </c>
      <c r="P241" s="9">
        <f t="shared" si="17"/>
        <v>-26.666666666666664</v>
      </c>
      <c r="X241" s="9">
        <f t="shared" si="18"/>
        <v>246.48333333333332</v>
      </c>
    </row>
    <row r="242" spans="1:24" x14ac:dyDescent="0.25">
      <c r="A242" s="9" t="s">
        <v>504</v>
      </c>
      <c r="B242" s="9" t="s">
        <v>254</v>
      </c>
      <c r="C242" s="9">
        <f>VLOOKUP(B242,{"iPhone",1;"Motorola",2;"Nokia",3;"Samsung",4;"Sony Erickson",5;"Sprint",6},2,0)</f>
        <v>5</v>
      </c>
      <c r="H242" s="9" t="s">
        <v>504</v>
      </c>
      <c r="I242" s="9" t="s">
        <v>243</v>
      </c>
      <c r="J242" s="9">
        <f>VLOOKUP(I242,{"Excellent",4;"Poor",1;"Good",3;"OK",2},2,0)</f>
        <v>3</v>
      </c>
      <c r="O242" s="9">
        <v>-17</v>
      </c>
      <c r="P242" s="9">
        <f t="shared" si="17"/>
        <v>-27.222222222222221</v>
      </c>
      <c r="X242" s="9">
        <f t="shared" si="18"/>
        <v>245.92777777777775</v>
      </c>
    </row>
    <row r="243" spans="1:24" x14ac:dyDescent="0.25">
      <c r="A243" s="9" t="s">
        <v>505</v>
      </c>
      <c r="B243" s="9" t="s">
        <v>254</v>
      </c>
      <c r="C243" s="9">
        <f>VLOOKUP(B243,{"iPhone",1;"Motorola",2;"Nokia",3;"Samsung",4;"Sony Erickson",5;"Sprint",6},2,0)</f>
        <v>5</v>
      </c>
      <c r="H243" s="9" t="s">
        <v>505</v>
      </c>
      <c r="I243" s="9" t="s">
        <v>238</v>
      </c>
      <c r="J243" s="9">
        <f>VLOOKUP(I243,{"Excellent",4;"Poor",1;"Good",3;"OK",2},2,0)</f>
        <v>4</v>
      </c>
      <c r="O243" s="9">
        <v>-18</v>
      </c>
      <c r="P243" s="9">
        <f t="shared" si="17"/>
        <v>-27.777777777777779</v>
      </c>
      <c r="X243" s="9">
        <f t="shared" si="18"/>
        <v>245.37222222222221</v>
      </c>
    </row>
    <row r="244" spans="1:24" x14ac:dyDescent="0.25">
      <c r="A244" s="9" t="s">
        <v>506</v>
      </c>
      <c r="B244" s="9" t="s">
        <v>236</v>
      </c>
      <c r="C244" s="9">
        <f>VLOOKUP(B244,{"iPhone",1;"Motorola",2;"Nokia",3;"Samsung",4;"Sony Erickson",5;"Sprint",6},2,0)</f>
        <v>1</v>
      </c>
      <c r="H244" s="9" t="s">
        <v>506</v>
      </c>
      <c r="I244" s="9" t="s">
        <v>243</v>
      </c>
      <c r="J244" s="9">
        <f>VLOOKUP(I244,{"Excellent",4;"Poor",1;"Good",3;"OK",2},2,0)</f>
        <v>3</v>
      </c>
      <c r="O244" s="9">
        <v>-19</v>
      </c>
      <c r="P244" s="9">
        <f t="shared" si="17"/>
        <v>-28.333333333333332</v>
      </c>
      <c r="X244" s="9">
        <f t="shared" si="18"/>
        <v>244.81666666666663</v>
      </c>
    </row>
    <row r="245" spans="1:24" x14ac:dyDescent="0.25">
      <c r="A245" s="9" t="s">
        <v>507</v>
      </c>
      <c r="B245" s="9" t="s">
        <v>235</v>
      </c>
      <c r="C245" s="9">
        <f>VLOOKUP(B245,{"iPhone",1;"Motorola",2;"Nokia",3;"Samsung",4;"Sony Erickson",5;"Sprint",6},2,0)</f>
        <v>2</v>
      </c>
      <c r="H245" s="9" t="s">
        <v>507</v>
      </c>
      <c r="I245" s="9" t="s">
        <v>242</v>
      </c>
      <c r="J245" s="9">
        <f>VLOOKUP(I245,{"Excellent",4;"Poor",1;"Good",3;"OK",2},2,0)</f>
        <v>1</v>
      </c>
      <c r="O245" s="9">
        <v>-20</v>
      </c>
      <c r="P245" s="9">
        <f t="shared" si="17"/>
        <v>-28.888888888888889</v>
      </c>
      <c r="X245" s="9">
        <f t="shared" si="18"/>
        <v>244.26111111111109</v>
      </c>
    </row>
    <row r="246" spans="1:24" x14ac:dyDescent="0.25">
      <c r="A246" s="9" t="s">
        <v>508</v>
      </c>
      <c r="B246" s="9" t="s">
        <v>247</v>
      </c>
      <c r="C246" s="9">
        <f>VLOOKUP(B246,{"iPhone",1;"Motorola",2;"Nokia",3;"Samsung",4;"Sony Erickson",5;"Sprint",6},2,0)</f>
        <v>4</v>
      </c>
      <c r="H246" s="9" t="s">
        <v>508</v>
      </c>
      <c r="I246" s="9" t="s">
        <v>242</v>
      </c>
      <c r="J246" s="9">
        <f>VLOOKUP(I246,{"Excellent",4;"Poor",1;"Good",3;"OK",2},2,0)</f>
        <v>1</v>
      </c>
      <c r="O246" s="9">
        <v>-21</v>
      </c>
      <c r="P246" s="9">
        <f t="shared" si="17"/>
        <v>-29.444444444444443</v>
      </c>
      <c r="X246" s="9">
        <f t="shared" si="18"/>
        <v>243.70555555555552</v>
      </c>
    </row>
    <row r="247" spans="1:24" x14ac:dyDescent="0.25">
      <c r="A247" s="9" t="s">
        <v>509</v>
      </c>
      <c r="B247" s="9" t="s">
        <v>236</v>
      </c>
      <c r="C247" s="9">
        <f>VLOOKUP(B247,{"iPhone",1;"Motorola",2;"Nokia",3;"Samsung",4;"Sony Erickson",5;"Sprint",6},2,0)</f>
        <v>1</v>
      </c>
      <c r="H247" s="9" t="s">
        <v>509</v>
      </c>
      <c r="I247" s="9" t="s">
        <v>242</v>
      </c>
      <c r="J247" s="9">
        <f>VLOOKUP(I247,{"Excellent",4;"Poor",1;"Good",3;"OK",2},2,0)</f>
        <v>1</v>
      </c>
      <c r="O247" s="9">
        <v>-22</v>
      </c>
      <c r="P247" s="9">
        <f t="shared" si="17"/>
        <v>-30</v>
      </c>
      <c r="X247" s="9">
        <f t="shared" si="18"/>
        <v>243.14999999999998</v>
      </c>
    </row>
    <row r="248" spans="1:24" x14ac:dyDescent="0.25">
      <c r="A248" s="9" t="s">
        <v>510</v>
      </c>
      <c r="B248" s="9" t="s">
        <v>248</v>
      </c>
      <c r="C248" s="9">
        <f>VLOOKUP(B248,{"iPhone",1;"Motorola",2;"Nokia",3;"Samsung",4;"Sony Erickson",5;"Sprint",6},2,0)</f>
        <v>3</v>
      </c>
      <c r="H248" s="9" t="s">
        <v>510</v>
      </c>
      <c r="I248" s="9" t="s">
        <v>242</v>
      </c>
      <c r="J248" s="9">
        <f>VLOOKUP(I248,{"Excellent",4;"Poor",1;"Good",3;"OK",2},2,0)</f>
        <v>1</v>
      </c>
      <c r="O248" s="9">
        <v>-23</v>
      </c>
      <c r="P248" s="9">
        <f t="shared" si="17"/>
        <v>-30.555555555555554</v>
      </c>
      <c r="X248" s="9">
        <f t="shared" si="18"/>
        <v>242.59444444444443</v>
      </c>
    </row>
    <row r="249" spans="1:24" x14ac:dyDescent="0.25">
      <c r="A249" s="9" t="s">
        <v>511</v>
      </c>
      <c r="B249" s="9" t="s">
        <v>254</v>
      </c>
      <c r="C249" s="9">
        <f>VLOOKUP(B249,{"iPhone",1;"Motorola",2;"Nokia",3;"Samsung",4;"Sony Erickson",5;"Sprint",6},2,0)</f>
        <v>5</v>
      </c>
      <c r="H249" s="9" t="s">
        <v>511</v>
      </c>
      <c r="I249" s="9" t="s">
        <v>237</v>
      </c>
      <c r="J249" s="9">
        <f>VLOOKUP(I249,{"Excellent",4;"Poor",1;"Good",3;"OK",2},2,0)</f>
        <v>2</v>
      </c>
      <c r="O249" s="9">
        <v>-24</v>
      </c>
      <c r="P249" s="9">
        <f t="shared" si="17"/>
        <v>-31.111111111111111</v>
      </c>
      <c r="X249" s="9">
        <f t="shared" si="18"/>
        <v>242.03888888888886</v>
      </c>
    </row>
    <row r="250" spans="1:24" x14ac:dyDescent="0.25">
      <c r="A250" s="9" t="s">
        <v>512</v>
      </c>
      <c r="B250" s="9" t="s">
        <v>247</v>
      </c>
      <c r="C250" s="9">
        <f>VLOOKUP(B250,{"iPhone",1;"Motorola",2;"Nokia",3;"Samsung",4;"Sony Erickson",5;"Sprint",6},2,0)</f>
        <v>4</v>
      </c>
      <c r="H250" s="9" t="s">
        <v>512</v>
      </c>
      <c r="I250" s="9" t="s">
        <v>237</v>
      </c>
      <c r="J250" s="9">
        <f>VLOOKUP(I250,{"Excellent",4;"Poor",1;"Good",3;"OK",2},2,0)</f>
        <v>2</v>
      </c>
      <c r="O250" s="9">
        <v>-25</v>
      </c>
      <c r="P250" s="9">
        <f t="shared" si="17"/>
        <v>-31.666666666666664</v>
      </c>
      <c r="X250" s="9">
        <f t="shared" si="18"/>
        <v>241.48333333333332</v>
      </c>
    </row>
    <row r="251" spans="1:24" x14ac:dyDescent="0.25">
      <c r="A251" s="9" t="s">
        <v>513</v>
      </c>
      <c r="B251" s="9" t="s">
        <v>248</v>
      </c>
      <c r="C251" s="9">
        <f>VLOOKUP(B251,{"iPhone",1;"Motorola",2;"Nokia",3;"Samsung",4;"Sony Erickson",5;"Sprint",6},2,0)</f>
        <v>3</v>
      </c>
      <c r="H251" s="9" t="s">
        <v>513</v>
      </c>
      <c r="I251" s="9" t="s">
        <v>243</v>
      </c>
      <c r="J251" s="9">
        <f>VLOOKUP(I251,{"Excellent",4;"Poor",1;"Good",3;"OK",2},2,0)</f>
        <v>3</v>
      </c>
      <c r="O251" s="9">
        <v>-26</v>
      </c>
      <c r="P251" s="9">
        <f t="shared" si="17"/>
        <v>-32.222222222222221</v>
      </c>
      <c r="X251" s="9">
        <f t="shared" si="18"/>
        <v>240.92777777777775</v>
      </c>
    </row>
    <row r="252" spans="1:24" x14ac:dyDescent="0.25">
      <c r="A252" s="9" t="s">
        <v>514</v>
      </c>
      <c r="B252" s="9" t="s">
        <v>235</v>
      </c>
      <c r="C252" s="9">
        <f>VLOOKUP(B252,{"iPhone",1;"Motorola",2;"Nokia",3;"Samsung",4;"Sony Erickson",5;"Sprint",6},2,0)</f>
        <v>2</v>
      </c>
      <c r="H252" s="9" t="s">
        <v>514</v>
      </c>
      <c r="I252" s="9" t="s">
        <v>237</v>
      </c>
      <c r="J252" s="9">
        <f>VLOOKUP(I252,{"Excellent",4;"Poor",1;"Good",3;"OK",2},2,0)</f>
        <v>2</v>
      </c>
      <c r="O252" s="9">
        <v>-27</v>
      </c>
      <c r="P252" s="9">
        <f t="shared" si="17"/>
        <v>-32.777777777777779</v>
      </c>
      <c r="X252" s="9">
        <f t="shared" si="18"/>
        <v>240.37222222222221</v>
      </c>
    </row>
    <row r="253" spans="1:24" x14ac:dyDescent="0.25">
      <c r="A253" s="9" t="s">
        <v>515</v>
      </c>
      <c r="B253" s="9" t="s">
        <v>254</v>
      </c>
      <c r="C253" s="9">
        <f>VLOOKUP(B253,{"iPhone",1;"Motorola",2;"Nokia",3;"Samsung",4;"Sony Erickson",5;"Sprint",6},2,0)</f>
        <v>5</v>
      </c>
      <c r="H253" s="9" t="s">
        <v>515</v>
      </c>
      <c r="I253" s="9" t="s">
        <v>237</v>
      </c>
      <c r="J253" s="9">
        <f>VLOOKUP(I253,{"Excellent",4;"Poor",1;"Good",3;"OK",2},2,0)</f>
        <v>2</v>
      </c>
      <c r="O253" s="9">
        <v>-28</v>
      </c>
      <c r="P253" s="9">
        <f t="shared" si="17"/>
        <v>-33.333333333333336</v>
      </c>
      <c r="X253" s="9">
        <f t="shared" si="18"/>
        <v>239.81666666666663</v>
      </c>
    </row>
    <row r="254" spans="1:24" x14ac:dyDescent="0.25">
      <c r="A254" s="9" t="s">
        <v>516</v>
      </c>
      <c r="B254" s="9" t="s">
        <v>258</v>
      </c>
      <c r="C254" s="9">
        <f>VLOOKUP(B254,{"iPhone",1;"Motorola",2;"Nokia",3;"Samsung",4;"Sony Erickson",5;"Sprint",6},2,0)</f>
        <v>6</v>
      </c>
      <c r="H254" s="9" t="s">
        <v>516</v>
      </c>
      <c r="I254" s="9" t="s">
        <v>242</v>
      </c>
      <c r="J254" s="9">
        <f>VLOOKUP(I254,{"Excellent",4;"Poor",1;"Good",3;"OK",2},2,0)</f>
        <v>1</v>
      </c>
      <c r="O254" s="9">
        <v>-29</v>
      </c>
      <c r="P254" s="9">
        <f t="shared" si="17"/>
        <v>-33.888888888888886</v>
      </c>
      <c r="X254" s="9">
        <f t="shared" si="18"/>
        <v>239.26111111111109</v>
      </c>
    </row>
    <row r="255" spans="1:24" x14ac:dyDescent="0.25">
      <c r="A255" s="9" t="s">
        <v>517</v>
      </c>
      <c r="B255" s="9" t="s">
        <v>248</v>
      </c>
      <c r="C255" s="9">
        <f>VLOOKUP(B255,{"iPhone",1;"Motorola",2;"Nokia",3;"Samsung",4;"Sony Erickson",5;"Sprint",6},2,0)</f>
        <v>3</v>
      </c>
      <c r="H255" s="9" t="s">
        <v>517</v>
      </c>
      <c r="I255" s="9" t="s">
        <v>242</v>
      </c>
      <c r="J255" s="9">
        <f>VLOOKUP(I255,{"Excellent",4;"Poor",1;"Good",3;"OK",2},2,0)</f>
        <v>1</v>
      </c>
      <c r="O255" s="9">
        <v>-30</v>
      </c>
      <c r="P255" s="9">
        <f t="shared" si="17"/>
        <v>-34.444444444444443</v>
      </c>
      <c r="X255" s="9">
        <f t="shared" si="18"/>
        <v>238.70555555555552</v>
      </c>
    </row>
    <row r="256" spans="1:24" x14ac:dyDescent="0.25">
      <c r="A256" s="9" t="s">
        <v>518</v>
      </c>
      <c r="B256" s="9" t="s">
        <v>254</v>
      </c>
      <c r="C256" s="9">
        <f>VLOOKUP(B256,{"iPhone",1;"Motorola",2;"Nokia",3;"Samsung",4;"Sony Erickson",5;"Sprint",6},2,0)</f>
        <v>5</v>
      </c>
      <c r="H256" s="9" t="s">
        <v>518</v>
      </c>
      <c r="I256" s="9" t="s">
        <v>237</v>
      </c>
      <c r="J256" s="9">
        <f>VLOOKUP(I256,{"Excellent",4;"Poor",1;"Good",3;"OK",2},2,0)</f>
        <v>2</v>
      </c>
      <c r="O256" s="9">
        <v>-31</v>
      </c>
      <c r="P256" s="9">
        <f t="shared" si="17"/>
        <v>-35</v>
      </c>
      <c r="X256" s="9">
        <f t="shared" si="18"/>
        <v>238.14999999999998</v>
      </c>
    </row>
    <row r="257" spans="1:24" x14ac:dyDescent="0.25">
      <c r="A257" s="9" t="s">
        <v>519</v>
      </c>
      <c r="B257" s="9" t="s">
        <v>248</v>
      </c>
      <c r="C257" s="9">
        <f>VLOOKUP(B257,{"iPhone",1;"Motorola",2;"Nokia",3;"Samsung",4;"Sony Erickson",5;"Sprint",6},2,0)</f>
        <v>3</v>
      </c>
      <c r="H257" s="9" t="s">
        <v>519</v>
      </c>
      <c r="I257" s="9" t="s">
        <v>237</v>
      </c>
      <c r="J257" s="9">
        <f>VLOOKUP(I257,{"Excellent",4;"Poor",1;"Good",3;"OK",2},2,0)</f>
        <v>2</v>
      </c>
      <c r="O257" s="9">
        <v>-32</v>
      </c>
      <c r="P257" s="9">
        <f t="shared" si="17"/>
        <v>-35.555555555555557</v>
      </c>
      <c r="X257" s="9">
        <f t="shared" si="18"/>
        <v>237.59444444444443</v>
      </c>
    </row>
    <row r="258" spans="1:24" x14ac:dyDescent="0.25">
      <c r="A258" s="9" t="s">
        <v>520</v>
      </c>
      <c r="B258" s="9" t="s">
        <v>254</v>
      </c>
      <c r="C258" s="9">
        <f>VLOOKUP(B258,{"iPhone",1;"Motorola",2;"Nokia",3;"Samsung",4;"Sony Erickson",5;"Sprint",6},2,0)</f>
        <v>5</v>
      </c>
      <c r="H258" s="9" t="s">
        <v>520</v>
      </c>
      <c r="I258" s="9" t="s">
        <v>237</v>
      </c>
      <c r="J258" s="9">
        <f>VLOOKUP(I258,{"Excellent",4;"Poor",1;"Good",3;"OK",2},2,0)</f>
        <v>2</v>
      </c>
      <c r="O258" s="9">
        <v>-33</v>
      </c>
      <c r="P258" s="9">
        <f t="shared" si="17"/>
        <v>-36.111111111111107</v>
      </c>
      <c r="X258" s="9">
        <f t="shared" si="18"/>
        <v>237.03888888888886</v>
      </c>
    </row>
    <row r="259" spans="1:24" x14ac:dyDescent="0.25">
      <c r="A259" s="9" t="s">
        <v>521</v>
      </c>
      <c r="B259" s="9" t="s">
        <v>236</v>
      </c>
      <c r="C259" s="9">
        <f>VLOOKUP(B259,{"iPhone",1;"Motorola",2;"Nokia",3;"Samsung",4;"Sony Erickson",5;"Sprint",6},2,0)</f>
        <v>1</v>
      </c>
      <c r="H259" s="9" t="s">
        <v>521</v>
      </c>
      <c r="I259" s="9" t="s">
        <v>242</v>
      </c>
      <c r="J259" s="9">
        <f>VLOOKUP(I259,{"Excellent",4;"Poor",1;"Good",3;"OK",2},2,0)</f>
        <v>1</v>
      </c>
      <c r="O259" s="9">
        <v>-34</v>
      </c>
      <c r="P259" s="9">
        <f t="shared" si="17"/>
        <v>-36.666666666666664</v>
      </c>
      <c r="X259" s="9">
        <f t="shared" si="18"/>
        <v>236.48333333333332</v>
      </c>
    </row>
    <row r="260" spans="1:24" x14ac:dyDescent="0.25">
      <c r="A260" s="9" t="s">
        <v>522</v>
      </c>
      <c r="B260" s="9" t="s">
        <v>236</v>
      </c>
      <c r="C260" s="9">
        <f>VLOOKUP(B260,{"iPhone",1;"Motorola",2;"Nokia",3;"Samsung",4;"Sony Erickson",5;"Sprint",6},2,0)</f>
        <v>1</v>
      </c>
      <c r="H260" s="9" t="s">
        <v>522</v>
      </c>
      <c r="I260" s="9" t="s">
        <v>237</v>
      </c>
      <c r="J260" s="9">
        <f>VLOOKUP(I260,{"Excellent",4;"Poor",1;"Good",3;"OK",2},2,0)</f>
        <v>2</v>
      </c>
      <c r="O260" s="9">
        <v>-35</v>
      </c>
      <c r="P260" s="9">
        <f t="shared" si="17"/>
        <v>-37.222222222222221</v>
      </c>
      <c r="X260" s="9">
        <f t="shared" si="18"/>
        <v>235.92777777777775</v>
      </c>
    </row>
    <row r="261" spans="1:24" x14ac:dyDescent="0.25">
      <c r="A261" s="9" t="s">
        <v>523</v>
      </c>
      <c r="B261" s="9" t="s">
        <v>235</v>
      </c>
      <c r="C261" s="9">
        <f>VLOOKUP(B261,{"iPhone",1;"Motorola",2;"Nokia",3;"Samsung",4;"Sony Erickson",5;"Sprint",6},2,0)</f>
        <v>2</v>
      </c>
      <c r="H261" s="9" t="s">
        <v>523</v>
      </c>
      <c r="I261" s="9" t="s">
        <v>237</v>
      </c>
      <c r="J261" s="9">
        <f>VLOOKUP(I261,{"Excellent",4;"Poor",1;"Good",3;"OK",2},2,0)</f>
        <v>2</v>
      </c>
      <c r="O261" s="9">
        <v>-36</v>
      </c>
      <c r="P261" s="9">
        <f t="shared" ref="P261:P324" si="19">CONVERT(O261,"F","C")</f>
        <v>-37.777777777777779</v>
      </c>
      <c r="X261" s="9">
        <f t="shared" si="18"/>
        <v>235.37222222222221</v>
      </c>
    </row>
    <row r="262" spans="1:24" x14ac:dyDescent="0.25">
      <c r="A262" s="9" t="s">
        <v>524</v>
      </c>
      <c r="B262" s="9" t="s">
        <v>254</v>
      </c>
      <c r="C262" s="9">
        <f>VLOOKUP(B262,{"iPhone",1;"Motorola",2;"Nokia",3;"Samsung",4;"Sony Erickson",5;"Sprint",6},2,0)</f>
        <v>5</v>
      </c>
      <c r="H262" s="9" t="s">
        <v>524</v>
      </c>
      <c r="I262" s="9" t="s">
        <v>238</v>
      </c>
      <c r="J262" s="9">
        <f>VLOOKUP(I262,{"Excellent",4;"Poor",1;"Good",3;"OK",2},2,0)</f>
        <v>4</v>
      </c>
      <c r="O262" s="9">
        <v>-37</v>
      </c>
      <c r="P262" s="9">
        <f t="shared" si="19"/>
        <v>-38.333333333333336</v>
      </c>
      <c r="X262" s="9">
        <f t="shared" ref="X262:X325" si="20">CONVERT(O262,"F","K")</f>
        <v>234.81666666666663</v>
      </c>
    </row>
    <row r="263" spans="1:24" x14ac:dyDescent="0.25">
      <c r="A263" s="9" t="s">
        <v>525</v>
      </c>
      <c r="B263" s="9" t="s">
        <v>247</v>
      </c>
      <c r="C263" s="9">
        <f>VLOOKUP(B263,{"iPhone",1;"Motorola",2;"Nokia",3;"Samsung",4;"Sony Erickson",5;"Sprint",6},2,0)</f>
        <v>4</v>
      </c>
      <c r="H263" s="9" t="s">
        <v>525</v>
      </c>
      <c r="I263" s="9" t="s">
        <v>243</v>
      </c>
      <c r="J263" s="9">
        <f>VLOOKUP(I263,{"Excellent",4;"Poor",1;"Good",3;"OK",2},2,0)</f>
        <v>3</v>
      </c>
      <c r="O263" s="9">
        <v>-38</v>
      </c>
      <c r="P263" s="9">
        <f t="shared" si="19"/>
        <v>-38.888888888888886</v>
      </c>
      <c r="X263" s="9">
        <f t="shared" si="20"/>
        <v>234.26111111111109</v>
      </c>
    </row>
    <row r="264" spans="1:24" x14ac:dyDescent="0.25">
      <c r="A264" s="9" t="s">
        <v>526</v>
      </c>
      <c r="B264" s="9" t="s">
        <v>247</v>
      </c>
      <c r="C264" s="9">
        <f>VLOOKUP(B264,{"iPhone",1;"Motorola",2;"Nokia",3;"Samsung",4;"Sony Erickson",5;"Sprint",6},2,0)</f>
        <v>4</v>
      </c>
      <c r="H264" s="9" t="s">
        <v>526</v>
      </c>
      <c r="I264" s="9" t="s">
        <v>238</v>
      </c>
      <c r="J264" s="9">
        <f>VLOOKUP(I264,{"Excellent",4;"Poor",1;"Good",3;"OK",2},2,0)</f>
        <v>4</v>
      </c>
      <c r="O264" s="9">
        <v>-39</v>
      </c>
      <c r="P264" s="9">
        <f t="shared" si="19"/>
        <v>-39.444444444444443</v>
      </c>
      <c r="X264" s="9">
        <f t="shared" si="20"/>
        <v>233.70555555555552</v>
      </c>
    </row>
    <row r="265" spans="1:24" x14ac:dyDescent="0.25">
      <c r="A265" s="9" t="s">
        <v>527</v>
      </c>
      <c r="B265" s="9" t="s">
        <v>235</v>
      </c>
      <c r="C265" s="9">
        <f>VLOOKUP(B265,{"iPhone",1;"Motorola",2;"Nokia",3;"Samsung",4;"Sony Erickson",5;"Sprint",6},2,0)</f>
        <v>2</v>
      </c>
      <c r="H265" s="9" t="s">
        <v>527</v>
      </c>
      <c r="I265" s="9" t="s">
        <v>242</v>
      </c>
      <c r="J265" s="9">
        <f>VLOOKUP(I265,{"Excellent",4;"Poor",1;"Good",3;"OK",2},2,0)</f>
        <v>1</v>
      </c>
      <c r="O265" s="9">
        <v>-40</v>
      </c>
      <c r="P265" s="9">
        <f t="shared" si="19"/>
        <v>-40</v>
      </c>
      <c r="X265" s="9">
        <f t="shared" si="20"/>
        <v>233.14999999999998</v>
      </c>
    </row>
    <row r="266" spans="1:24" x14ac:dyDescent="0.25">
      <c r="A266" s="9" t="s">
        <v>528</v>
      </c>
      <c r="B266" s="9" t="s">
        <v>236</v>
      </c>
      <c r="C266" s="9">
        <f>VLOOKUP(B266,{"iPhone",1;"Motorola",2;"Nokia",3;"Samsung",4;"Sony Erickson",5;"Sprint",6},2,0)</f>
        <v>1</v>
      </c>
      <c r="H266" s="9" t="s">
        <v>528</v>
      </c>
      <c r="I266" s="9" t="s">
        <v>237</v>
      </c>
      <c r="J266" s="9">
        <f>VLOOKUP(I266,{"Excellent",4;"Poor",1;"Good",3;"OK",2},2,0)</f>
        <v>2</v>
      </c>
      <c r="O266" s="9">
        <v>-41</v>
      </c>
      <c r="P266" s="9">
        <f t="shared" si="19"/>
        <v>-40.555555555555557</v>
      </c>
      <c r="X266" s="9">
        <f t="shared" si="20"/>
        <v>232.59444444444443</v>
      </c>
    </row>
    <row r="267" spans="1:24" x14ac:dyDescent="0.25">
      <c r="A267" s="9" t="s">
        <v>529</v>
      </c>
      <c r="B267" s="9" t="s">
        <v>236</v>
      </c>
      <c r="C267" s="9">
        <f>VLOOKUP(B267,{"iPhone",1;"Motorola",2;"Nokia",3;"Samsung",4;"Sony Erickson",5;"Sprint",6},2,0)</f>
        <v>1</v>
      </c>
      <c r="H267" s="9" t="s">
        <v>529</v>
      </c>
      <c r="I267" s="9" t="s">
        <v>237</v>
      </c>
      <c r="J267" s="9">
        <f>VLOOKUP(I267,{"Excellent",4;"Poor",1;"Good",3;"OK",2},2,0)</f>
        <v>2</v>
      </c>
      <c r="O267" s="9">
        <v>-42</v>
      </c>
      <c r="P267" s="9">
        <f t="shared" si="19"/>
        <v>-41.111111111111107</v>
      </c>
      <c r="X267" s="9">
        <f t="shared" si="20"/>
        <v>232.03888888888886</v>
      </c>
    </row>
    <row r="268" spans="1:24" x14ac:dyDescent="0.25">
      <c r="A268" s="9" t="s">
        <v>530</v>
      </c>
      <c r="B268" s="9" t="s">
        <v>247</v>
      </c>
      <c r="C268" s="9">
        <f>VLOOKUP(B268,{"iPhone",1;"Motorola",2;"Nokia",3;"Samsung",4;"Sony Erickson",5;"Sprint",6},2,0)</f>
        <v>4</v>
      </c>
      <c r="H268" s="9" t="s">
        <v>530</v>
      </c>
      <c r="I268" s="9" t="s">
        <v>237</v>
      </c>
      <c r="J268" s="9">
        <f>VLOOKUP(I268,{"Excellent",4;"Poor",1;"Good",3;"OK",2},2,0)</f>
        <v>2</v>
      </c>
      <c r="O268" s="9">
        <v>-43</v>
      </c>
      <c r="P268" s="9">
        <f t="shared" si="19"/>
        <v>-41.666666666666664</v>
      </c>
      <c r="X268" s="9">
        <f t="shared" si="20"/>
        <v>231.48333333333332</v>
      </c>
    </row>
    <row r="269" spans="1:24" x14ac:dyDescent="0.25">
      <c r="A269" s="9" t="s">
        <v>531</v>
      </c>
      <c r="B269" s="9" t="s">
        <v>254</v>
      </c>
      <c r="C269" s="9">
        <f>VLOOKUP(B269,{"iPhone",1;"Motorola",2;"Nokia",3;"Samsung",4;"Sony Erickson",5;"Sprint",6},2,0)</f>
        <v>5</v>
      </c>
      <c r="H269" s="9" t="s">
        <v>531</v>
      </c>
      <c r="I269" s="9" t="s">
        <v>242</v>
      </c>
      <c r="J269" s="9">
        <f>VLOOKUP(I269,{"Excellent",4;"Poor",1;"Good",3;"OK",2},2,0)</f>
        <v>1</v>
      </c>
      <c r="O269" s="9">
        <v>-44</v>
      </c>
      <c r="P269" s="9">
        <f t="shared" si="19"/>
        <v>-42.222222222222221</v>
      </c>
      <c r="X269" s="9">
        <f t="shared" si="20"/>
        <v>230.92777777777775</v>
      </c>
    </row>
    <row r="270" spans="1:24" x14ac:dyDescent="0.25">
      <c r="A270" s="9" t="s">
        <v>532</v>
      </c>
      <c r="B270" s="9" t="s">
        <v>254</v>
      </c>
      <c r="C270" s="9">
        <f>VLOOKUP(B270,{"iPhone",1;"Motorola",2;"Nokia",3;"Samsung",4;"Sony Erickson",5;"Sprint",6},2,0)</f>
        <v>5</v>
      </c>
      <c r="H270" s="9" t="s">
        <v>532</v>
      </c>
      <c r="I270" s="9" t="s">
        <v>237</v>
      </c>
      <c r="J270" s="9">
        <f>VLOOKUP(I270,{"Excellent",4;"Poor",1;"Good",3;"OK",2},2,0)</f>
        <v>2</v>
      </c>
      <c r="O270" s="9">
        <v>-45</v>
      </c>
      <c r="P270" s="9">
        <f t="shared" si="19"/>
        <v>-42.777777777777779</v>
      </c>
      <c r="X270" s="9">
        <f t="shared" si="20"/>
        <v>230.37222222222221</v>
      </c>
    </row>
    <row r="271" spans="1:24" x14ac:dyDescent="0.25">
      <c r="A271" s="9" t="s">
        <v>533</v>
      </c>
      <c r="B271" s="9" t="s">
        <v>235</v>
      </c>
      <c r="C271" s="9">
        <f>VLOOKUP(B271,{"iPhone",1;"Motorola",2;"Nokia",3;"Samsung",4;"Sony Erickson",5;"Sprint",6},2,0)</f>
        <v>2</v>
      </c>
      <c r="H271" s="9" t="s">
        <v>533</v>
      </c>
      <c r="I271" s="9" t="s">
        <v>237</v>
      </c>
      <c r="J271" s="9">
        <f>VLOOKUP(I271,{"Excellent",4;"Poor",1;"Good",3;"OK",2},2,0)</f>
        <v>2</v>
      </c>
      <c r="O271" s="9">
        <v>-46</v>
      </c>
      <c r="P271" s="9">
        <f t="shared" si="19"/>
        <v>-43.333333333333336</v>
      </c>
      <c r="X271" s="9">
        <f t="shared" si="20"/>
        <v>229.81666666666663</v>
      </c>
    </row>
    <row r="272" spans="1:24" x14ac:dyDescent="0.25">
      <c r="A272" s="9" t="s">
        <v>534</v>
      </c>
      <c r="B272" s="9" t="s">
        <v>235</v>
      </c>
      <c r="C272" s="9">
        <f>VLOOKUP(B272,{"iPhone",1;"Motorola",2;"Nokia",3;"Samsung",4;"Sony Erickson",5;"Sprint",6},2,0)</f>
        <v>2</v>
      </c>
      <c r="H272" s="9" t="s">
        <v>534</v>
      </c>
      <c r="I272" s="9" t="s">
        <v>238</v>
      </c>
      <c r="J272" s="9">
        <f>VLOOKUP(I272,{"Excellent",4;"Poor",1;"Good",3;"OK",2},2,0)</f>
        <v>4</v>
      </c>
      <c r="O272" s="9">
        <v>-47</v>
      </c>
      <c r="P272" s="9">
        <f t="shared" si="19"/>
        <v>-43.888888888888886</v>
      </c>
      <c r="X272" s="9">
        <f t="shared" si="20"/>
        <v>229.26111111111109</v>
      </c>
    </row>
    <row r="273" spans="1:24" x14ac:dyDescent="0.25">
      <c r="A273" s="9" t="s">
        <v>535</v>
      </c>
      <c r="B273" s="9" t="s">
        <v>236</v>
      </c>
      <c r="C273" s="9">
        <f>VLOOKUP(B273,{"iPhone",1;"Motorola",2;"Nokia",3;"Samsung",4;"Sony Erickson",5;"Sprint",6},2,0)</f>
        <v>1</v>
      </c>
      <c r="H273" s="9" t="s">
        <v>535</v>
      </c>
      <c r="I273" s="9" t="s">
        <v>242</v>
      </c>
      <c r="J273" s="9">
        <f>VLOOKUP(I273,{"Excellent",4;"Poor",1;"Good",3;"OK",2},2,0)</f>
        <v>1</v>
      </c>
      <c r="O273" s="9">
        <v>-48</v>
      </c>
      <c r="P273" s="9">
        <f t="shared" si="19"/>
        <v>-44.444444444444443</v>
      </c>
      <c r="X273" s="9">
        <f t="shared" si="20"/>
        <v>228.70555555555552</v>
      </c>
    </row>
    <row r="274" spans="1:24" x14ac:dyDescent="0.25">
      <c r="A274" s="9" t="s">
        <v>536</v>
      </c>
      <c r="B274" s="9" t="s">
        <v>248</v>
      </c>
      <c r="C274" s="9">
        <f>VLOOKUP(B274,{"iPhone",1;"Motorola",2;"Nokia",3;"Samsung",4;"Sony Erickson",5;"Sprint",6},2,0)</f>
        <v>3</v>
      </c>
      <c r="H274" s="9" t="s">
        <v>536</v>
      </c>
      <c r="I274" s="9" t="s">
        <v>238</v>
      </c>
      <c r="J274" s="9">
        <f>VLOOKUP(I274,{"Excellent",4;"Poor",1;"Good",3;"OK",2},2,0)</f>
        <v>4</v>
      </c>
      <c r="O274" s="9">
        <v>-49</v>
      </c>
      <c r="P274" s="9">
        <f t="shared" si="19"/>
        <v>-45</v>
      </c>
      <c r="X274" s="9">
        <f t="shared" si="20"/>
        <v>228.14999999999998</v>
      </c>
    </row>
    <row r="275" spans="1:24" x14ac:dyDescent="0.25">
      <c r="A275" s="9" t="s">
        <v>537</v>
      </c>
      <c r="B275" s="9" t="s">
        <v>254</v>
      </c>
      <c r="C275" s="9">
        <f>VLOOKUP(B275,{"iPhone",1;"Motorola",2;"Nokia",3;"Samsung",4;"Sony Erickson",5;"Sprint",6},2,0)</f>
        <v>5</v>
      </c>
      <c r="H275" s="9" t="s">
        <v>537</v>
      </c>
      <c r="I275" s="9" t="s">
        <v>237</v>
      </c>
      <c r="J275" s="9">
        <f>VLOOKUP(I275,{"Excellent",4;"Poor",1;"Good",3;"OK",2},2,0)</f>
        <v>2</v>
      </c>
      <c r="O275" s="9">
        <v>-50</v>
      </c>
      <c r="P275" s="9">
        <f t="shared" si="19"/>
        <v>-45.555555555555557</v>
      </c>
      <c r="X275" s="9">
        <f t="shared" si="20"/>
        <v>227.59444444444443</v>
      </c>
    </row>
    <row r="276" spans="1:24" x14ac:dyDescent="0.25">
      <c r="A276" s="9" t="s">
        <v>538</v>
      </c>
      <c r="B276" s="9" t="s">
        <v>248</v>
      </c>
      <c r="C276" s="9">
        <f>VLOOKUP(B276,{"iPhone",1;"Motorola",2;"Nokia",3;"Samsung",4;"Sony Erickson",5;"Sprint",6},2,0)</f>
        <v>3</v>
      </c>
      <c r="H276" s="9" t="s">
        <v>538</v>
      </c>
      <c r="I276" s="9" t="s">
        <v>238</v>
      </c>
      <c r="J276" s="9">
        <f>VLOOKUP(I276,{"Excellent",4;"Poor",1;"Good",3;"OK",2},2,0)</f>
        <v>4</v>
      </c>
      <c r="O276" s="9">
        <v>-51</v>
      </c>
      <c r="P276" s="9">
        <f t="shared" si="19"/>
        <v>-46.111111111111107</v>
      </c>
      <c r="X276" s="9">
        <f t="shared" si="20"/>
        <v>227.03888888888886</v>
      </c>
    </row>
    <row r="277" spans="1:24" x14ac:dyDescent="0.25">
      <c r="A277" s="9" t="s">
        <v>539</v>
      </c>
      <c r="B277" s="9" t="s">
        <v>258</v>
      </c>
      <c r="C277" s="9">
        <f>VLOOKUP(B277,{"iPhone",1;"Motorola",2;"Nokia",3;"Samsung",4;"Sony Erickson",5;"Sprint",6},2,0)</f>
        <v>6</v>
      </c>
      <c r="H277" s="9" t="s">
        <v>539</v>
      </c>
      <c r="I277" s="9" t="s">
        <v>242</v>
      </c>
      <c r="J277" s="9">
        <f>VLOOKUP(I277,{"Excellent",4;"Poor",1;"Good",3;"OK",2},2,0)</f>
        <v>1</v>
      </c>
      <c r="O277" s="9">
        <v>-52</v>
      </c>
      <c r="P277" s="9">
        <f t="shared" si="19"/>
        <v>-46.666666666666664</v>
      </c>
      <c r="X277" s="9">
        <f t="shared" si="20"/>
        <v>226.48333333333332</v>
      </c>
    </row>
    <row r="278" spans="1:24" x14ac:dyDescent="0.25">
      <c r="A278" s="9" t="s">
        <v>540</v>
      </c>
      <c r="B278" s="9" t="s">
        <v>236</v>
      </c>
      <c r="C278" s="9">
        <f>VLOOKUP(B278,{"iPhone",1;"Motorola",2;"Nokia",3;"Samsung",4;"Sony Erickson",5;"Sprint",6},2,0)</f>
        <v>1</v>
      </c>
      <c r="H278" s="9" t="s">
        <v>540</v>
      </c>
      <c r="I278" s="9" t="s">
        <v>243</v>
      </c>
      <c r="J278" s="9">
        <f>VLOOKUP(I278,{"Excellent",4;"Poor",1;"Good",3;"OK",2},2,0)</f>
        <v>3</v>
      </c>
      <c r="O278" s="9">
        <v>-53</v>
      </c>
      <c r="P278" s="9">
        <f t="shared" si="19"/>
        <v>-47.222222222222221</v>
      </c>
      <c r="X278" s="9">
        <f t="shared" si="20"/>
        <v>225.92777777777775</v>
      </c>
    </row>
    <row r="279" spans="1:24" x14ac:dyDescent="0.25">
      <c r="A279" s="9" t="s">
        <v>541</v>
      </c>
      <c r="B279" s="9" t="s">
        <v>248</v>
      </c>
      <c r="C279" s="9">
        <f>VLOOKUP(B279,{"iPhone",1;"Motorola",2;"Nokia",3;"Samsung",4;"Sony Erickson",5;"Sprint",6},2,0)</f>
        <v>3</v>
      </c>
      <c r="H279" s="9" t="s">
        <v>541</v>
      </c>
      <c r="I279" s="9" t="s">
        <v>238</v>
      </c>
      <c r="J279" s="9">
        <f>VLOOKUP(I279,{"Excellent",4;"Poor",1;"Good",3;"OK",2},2,0)</f>
        <v>4</v>
      </c>
      <c r="O279" s="9">
        <v>-54</v>
      </c>
      <c r="P279" s="9">
        <f t="shared" si="19"/>
        <v>-47.777777777777779</v>
      </c>
      <c r="X279" s="9">
        <f t="shared" si="20"/>
        <v>225.37222222222221</v>
      </c>
    </row>
    <row r="280" spans="1:24" x14ac:dyDescent="0.25">
      <c r="A280" s="9" t="s">
        <v>542</v>
      </c>
      <c r="B280" s="9" t="s">
        <v>248</v>
      </c>
      <c r="C280" s="9">
        <f>VLOOKUP(B280,{"iPhone",1;"Motorola",2;"Nokia",3;"Samsung",4;"Sony Erickson",5;"Sprint",6},2,0)</f>
        <v>3</v>
      </c>
      <c r="H280" s="9" t="s">
        <v>542</v>
      </c>
      <c r="I280" s="9" t="s">
        <v>238</v>
      </c>
      <c r="J280" s="9">
        <f>VLOOKUP(I280,{"Excellent",4;"Poor",1;"Good",3;"OK",2},2,0)</f>
        <v>4</v>
      </c>
      <c r="O280" s="9">
        <v>-55</v>
      </c>
      <c r="P280" s="9">
        <f t="shared" si="19"/>
        <v>-48.333333333333329</v>
      </c>
      <c r="X280" s="9">
        <f t="shared" si="20"/>
        <v>224.81666666666666</v>
      </c>
    </row>
    <row r="281" spans="1:24" x14ac:dyDescent="0.25">
      <c r="A281" s="9" t="s">
        <v>543</v>
      </c>
      <c r="B281" s="9" t="s">
        <v>247</v>
      </c>
      <c r="C281" s="9">
        <f>VLOOKUP(B281,{"iPhone",1;"Motorola",2;"Nokia",3;"Samsung",4;"Sony Erickson",5;"Sprint",6},2,0)</f>
        <v>4</v>
      </c>
      <c r="H281" s="9" t="s">
        <v>543</v>
      </c>
      <c r="I281" s="9" t="s">
        <v>242</v>
      </c>
      <c r="J281" s="9">
        <f>VLOOKUP(I281,{"Excellent",4;"Poor",1;"Good",3;"OK",2},2,0)</f>
        <v>1</v>
      </c>
      <c r="O281" s="9">
        <v>-56</v>
      </c>
      <c r="P281" s="9">
        <f t="shared" si="19"/>
        <v>-48.888888888888886</v>
      </c>
      <c r="X281" s="9">
        <f t="shared" si="20"/>
        <v>224.26111111111109</v>
      </c>
    </row>
    <row r="282" spans="1:24" x14ac:dyDescent="0.25">
      <c r="A282" s="9" t="s">
        <v>544</v>
      </c>
      <c r="B282" s="9" t="s">
        <v>254</v>
      </c>
      <c r="C282" s="9">
        <f>VLOOKUP(B282,{"iPhone",1;"Motorola",2;"Nokia",3;"Samsung",4;"Sony Erickson",5;"Sprint",6},2,0)</f>
        <v>5</v>
      </c>
      <c r="H282" s="9" t="s">
        <v>544</v>
      </c>
      <c r="I282" s="9" t="s">
        <v>238</v>
      </c>
      <c r="J282" s="9">
        <f>VLOOKUP(I282,{"Excellent",4;"Poor",1;"Good",3;"OK",2},2,0)</f>
        <v>4</v>
      </c>
      <c r="O282" s="9">
        <v>-57</v>
      </c>
      <c r="P282" s="9">
        <f t="shared" si="19"/>
        <v>-49.444444444444443</v>
      </c>
      <c r="X282" s="9">
        <f t="shared" si="20"/>
        <v>223.70555555555552</v>
      </c>
    </row>
    <row r="283" spans="1:24" x14ac:dyDescent="0.25">
      <c r="A283" s="9" t="s">
        <v>545</v>
      </c>
      <c r="B283" s="9" t="s">
        <v>247</v>
      </c>
      <c r="C283" s="9">
        <f>VLOOKUP(B283,{"iPhone",1;"Motorola",2;"Nokia",3;"Samsung",4;"Sony Erickson",5;"Sprint",6},2,0)</f>
        <v>4</v>
      </c>
      <c r="H283" s="9" t="s">
        <v>545</v>
      </c>
      <c r="I283" s="9" t="s">
        <v>242</v>
      </c>
      <c r="J283" s="9">
        <f>VLOOKUP(I283,{"Excellent",4;"Poor",1;"Good",3;"OK",2},2,0)</f>
        <v>1</v>
      </c>
      <c r="O283" s="9">
        <v>-58</v>
      </c>
      <c r="P283" s="9">
        <f t="shared" si="19"/>
        <v>-50</v>
      </c>
      <c r="X283" s="9">
        <f t="shared" si="20"/>
        <v>223.14999999999998</v>
      </c>
    </row>
    <row r="284" spans="1:24" x14ac:dyDescent="0.25">
      <c r="A284" s="9" t="s">
        <v>546</v>
      </c>
      <c r="B284" s="9" t="s">
        <v>248</v>
      </c>
      <c r="C284" s="9">
        <f>VLOOKUP(B284,{"iPhone",1;"Motorola",2;"Nokia",3;"Samsung",4;"Sony Erickson",5;"Sprint",6},2,0)</f>
        <v>3</v>
      </c>
      <c r="H284" s="9" t="s">
        <v>546</v>
      </c>
      <c r="I284" s="9" t="s">
        <v>242</v>
      </c>
      <c r="J284" s="9">
        <f>VLOOKUP(I284,{"Excellent",4;"Poor",1;"Good",3;"OK",2},2,0)</f>
        <v>1</v>
      </c>
      <c r="O284" s="9">
        <v>-59</v>
      </c>
      <c r="P284" s="9">
        <f t="shared" si="19"/>
        <v>-50.555555555555557</v>
      </c>
      <c r="X284" s="9">
        <f t="shared" si="20"/>
        <v>222.59444444444443</v>
      </c>
    </row>
    <row r="285" spans="1:24" x14ac:dyDescent="0.25">
      <c r="A285" s="9" t="s">
        <v>547</v>
      </c>
      <c r="B285" s="9" t="s">
        <v>247</v>
      </c>
      <c r="C285" s="9">
        <f>VLOOKUP(B285,{"iPhone",1;"Motorola",2;"Nokia",3;"Samsung",4;"Sony Erickson",5;"Sprint",6},2,0)</f>
        <v>4</v>
      </c>
      <c r="H285" s="9" t="s">
        <v>547</v>
      </c>
      <c r="I285" s="9" t="s">
        <v>242</v>
      </c>
      <c r="J285" s="9">
        <f>VLOOKUP(I285,{"Excellent",4;"Poor",1;"Good",3;"OK",2},2,0)</f>
        <v>1</v>
      </c>
      <c r="O285" s="9">
        <v>-60</v>
      </c>
      <c r="P285" s="9">
        <f t="shared" si="19"/>
        <v>-51.111111111111107</v>
      </c>
      <c r="X285" s="9">
        <f t="shared" si="20"/>
        <v>222.03888888888886</v>
      </c>
    </row>
    <row r="286" spans="1:24" x14ac:dyDescent="0.25">
      <c r="A286" s="9" t="s">
        <v>548</v>
      </c>
      <c r="B286" s="9" t="s">
        <v>258</v>
      </c>
      <c r="C286" s="9">
        <f>VLOOKUP(B286,{"iPhone",1;"Motorola",2;"Nokia",3;"Samsung",4;"Sony Erickson",5;"Sprint",6},2,0)</f>
        <v>6</v>
      </c>
      <c r="H286" s="9" t="s">
        <v>548</v>
      </c>
      <c r="I286" s="9" t="s">
        <v>242</v>
      </c>
      <c r="J286" s="9">
        <f>VLOOKUP(I286,{"Excellent",4;"Poor",1;"Good",3;"OK",2},2,0)</f>
        <v>1</v>
      </c>
      <c r="O286" s="9">
        <v>-61</v>
      </c>
      <c r="P286" s="9">
        <f t="shared" si="19"/>
        <v>-51.666666666666664</v>
      </c>
      <c r="X286" s="9">
        <f t="shared" si="20"/>
        <v>221.48333333333332</v>
      </c>
    </row>
    <row r="287" spans="1:24" x14ac:dyDescent="0.25">
      <c r="A287" s="9" t="s">
        <v>549</v>
      </c>
      <c r="B287" s="9" t="s">
        <v>254</v>
      </c>
      <c r="C287" s="9">
        <f>VLOOKUP(B287,{"iPhone",1;"Motorola",2;"Nokia",3;"Samsung",4;"Sony Erickson",5;"Sprint",6},2,0)</f>
        <v>5</v>
      </c>
      <c r="H287" s="9" t="s">
        <v>549</v>
      </c>
      <c r="I287" s="9" t="s">
        <v>237</v>
      </c>
      <c r="J287" s="9">
        <f>VLOOKUP(I287,{"Excellent",4;"Poor",1;"Good",3;"OK",2},2,0)</f>
        <v>2</v>
      </c>
      <c r="O287" s="9">
        <v>-62</v>
      </c>
      <c r="P287" s="9">
        <f t="shared" si="19"/>
        <v>-52.222222222222221</v>
      </c>
      <c r="X287" s="9">
        <f t="shared" si="20"/>
        <v>220.92777777777775</v>
      </c>
    </row>
    <row r="288" spans="1:24" x14ac:dyDescent="0.25">
      <c r="A288" s="9" t="s">
        <v>550</v>
      </c>
      <c r="B288" s="9" t="s">
        <v>235</v>
      </c>
      <c r="C288" s="9">
        <f>VLOOKUP(B288,{"iPhone",1;"Motorola",2;"Nokia",3;"Samsung",4;"Sony Erickson",5;"Sprint",6},2,0)</f>
        <v>2</v>
      </c>
      <c r="H288" s="9" t="s">
        <v>550</v>
      </c>
      <c r="I288" s="9" t="s">
        <v>237</v>
      </c>
      <c r="J288" s="9">
        <f>VLOOKUP(I288,{"Excellent",4;"Poor",1;"Good",3;"OK",2},2,0)</f>
        <v>2</v>
      </c>
      <c r="O288" s="9">
        <v>-63</v>
      </c>
      <c r="P288" s="9">
        <f t="shared" si="19"/>
        <v>-52.777777777777779</v>
      </c>
      <c r="X288" s="9">
        <f t="shared" si="20"/>
        <v>220.37222222222221</v>
      </c>
    </row>
    <row r="289" spans="1:24" x14ac:dyDescent="0.25">
      <c r="A289" s="9" t="s">
        <v>551</v>
      </c>
      <c r="B289" s="9" t="s">
        <v>247</v>
      </c>
      <c r="C289" s="9">
        <f>VLOOKUP(B289,{"iPhone",1;"Motorola",2;"Nokia",3;"Samsung",4;"Sony Erickson",5;"Sprint",6},2,0)</f>
        <v>4</v>
      </c>
      <c r="H289" s="9" t="s">
        <v>551</v>
      </c>
      <c r="I289" s="9" t="s">
        <v>242</v>
      </c>
      <c r="J289" s="9">
        <f>VLOOKUP(I289,{"Excellent",4;"Poor",1;"Good",3;"OK",2},2,0)</f>
        <v>1</v>
      </c>
      <c r="O289" s="9">
        <v>-64</v>
      </c>
      <c r="P289" s="9">
        <f t="shared" si="19"/>
        <v>-53.333333333333329</v>
      </c>
      <c r="X289" s="9">
        <f t="shared" si="20"/>
        <v>219.81666666666666</v>
      </c>
    </row>
    <row r="290" spans="1:24" x14ac:dyDescent="0.25">
      <c r="A290" s="9" t="s">
        <v>552</v>
      </c>
      <c r="B290" s="9" t="s">
        <v>248</v>
      </c>
      <c r="C290" s="9">
        <f>VLOOKUP(B290,{"iPhone",1;"Motorola",2;"Nokia",3;"Samsung",4;"Sony Erickson",5;"Sprint",6},2,0)</f>
        <v>3</v>
      </c>
      <c r="H290" s="9" t="s">
        <v>552</v>
      </c>
      <c r="I290" s="9" t="s">
        <v>238</v>
      </c>
      <c r="J290" s="9">
        <f>VLOOKUP(I290,{"Excellent",4;"Poor",1;"Good",3;"OK",2},2,0)</f>
        <v>4</v>
      </c>
      <c r="O290" s="9">
        <v>-65</v>
      </c>
      <c r="P290" s="9">
        <f t="shared" si="19"/>
        <v>-53.888888888888886</v>
      </c>
      <c r="X290" s="9">
        <f t="shared" si="20"/>
        <v>219.26111111111109</v>
      </c>
    </row>
    <row r="291" spans="1:24" x14ac:dyDescent="0.25">
      <c r="A291" s="9" t="s">
        <v>553</v>
      </c>
      <c r="B291" s="9" t="s">
        <v>247</v>
      </c>
      <c r="C291" s="9">
        <f>VLOOKUP(B291,{"iPhone",1;"Motorola",2;"Nokia",3;"Samsung",4;"Sony Erickson",5;"Sprint",6},2,0)</f>
        <v>4</v>
      </c>
      <c r="H291" s="9" t="s">
        <v>553</v>
      </c>
      <c r="I291" s="9" t="s">
        <v>238</v>
      </c>
      <c r="J291" s="9">
        <f>VLOOKUP(I291,{"Excellent",4;"Poor",1;"Good",3;"OK",2},2,0)</f>
        <v>4</v>
      </c>
      <c r="O291" s="9">
        <v>-66</v>
      </c>
      <c r="P291" s="9">
        <f t="shared" si="19"/>
        <v>-54.444444444444443</v>
      </c>
      <c r="X291" s="9">
        <f t="shared" si="20"/>
        <v>218.70555555555552</v>
      </c>
    </row>
    <row r="292" spans="1:24" x14ac:dyDescent="0.25">
      <c r="A292" s="9" t="s">
        <v>554</v>
      </c>
      <c r="B292" s="9" t="s">
        <v>247</v>
      </c>
      <c r="C292" s="9">
        <f>VLOOKUP(B292,{"iPhone",1;"Motorola",2;"Nokia",3;"Samsung",4;"Sony Erickson",5;"Sprint",6},2,0)</f>
        <v>4</v>
      </c>
      <c r="H292" s="9" t="s">
        <v>554</v>
      </c>
      <c r="I292" s="9" t="s">
        <v>237</v>
      </c>
      <c r="J292" s="9">
        <f>VLOOKUP(I292,{"Excellent",4;"Poor",1;"Good",3;"OK",2},2,0)</f>
        <v>2</v>
      </c>
      <c r="O292" s="9">
        <v>-67</v>
      </c>
      <c r="P292" s="9">
        <f t="shared" si="19"/>
        <v>-55</v>
      </c>
      <c r="X292" s="9">
        <f t="shared" si="20"/>
        <v>218.14999999999998</v>
      </c>
    </row>
    <row r="293" spans="1:24" x14ac:dyDescent="0.25">
      <c r="A293" s="9" t="s">
        <v>555</v>
      </c>
      <c r="B293" s="9" t="s">
        <v>235</v>
      </c>
      <c r="C293" s="9">
        <f>VLOOKUP(B293,{"iPhone",1;"Motorola",2;"Nokia",3;"Samsung",4;"Sony Erickson",5;"Sprint",6},2,0)</f>
        <v>2</v>
      </c>
      <c r="H293" s="9" t="s">
        <v>555</v>
      </c>
      <c r="I293" s="9" t="s">
        <v>242</v>
      </c>
      <c r="J293" s="9">
        <f>VLOOKUP(I293,{"Excellent",4;"Poor",1;"Good",3;"OK",2},2,0)</f>
        <v>1</v>
      </c>
      <c r="O293" s="9">
        <v>-68</v>
      </c>
      <c r="P293" s="9">
        <f t="shared" si="19"/>
        <v>-55.555555555555557</v>
      </c>
      <c r="X293" s="9">
        <f t="shared" si="20"/>
        <v>217.59444444444443</v>
      </c>
    </row>
    <row r="294" spans="1:24" x14ac:dyDescent="0.25">
      <c r="A294" s="9" t="s">
        <v>556</v>
      </c>
      <c r="B294" s="9" t="s">
        <v>236</v>
      </c>
      <c r="C294" s="9">
        <f>VLOOKUP(B294,{"iPhone",1;"Motorola",2;"Nokia",3;"Samsung",4;"Sony Erickson",5;"Sprint",6},2,0)</f>
        <v>1</v>
      </c>
      <c r="H294" s="9" t="s">
        <v>556</v>
      </c>
      <c r="I294" s="9" t="s">
        <v>242</v>
      </c>
      <c r="J294" s="9">
        <f>VLOOKUP(I294,{"Excellent",4;"Poor",1;"Good",3;"OK",2},2,0)</f>
        <v>1</v>
      </c>
      <c r="O294" s="9">
        <v>-69</v>
      </c>
      <c r="P294" s="9">
        <f t="shared" si="19"/>
        <v>-56.111111111111107</v>
      </c>
      <c r="X294" s="9">
        <f t="shared" si="20"/>
        <v>217.03888888888886</v>
      </c>
    </row>
    <row r="295" spans="1:24" x14ac:dyDescent="0.25">
      <c r="A295" s="9" t="s">
        <v>557</v>
      </c>
      <c r="B295" s="9" t="s">
        <v>248</v>
      </c>
      <c r="C295" s="9">
        <f>VLOOKUP(B295,{"iPhone",1;"Motorola",2;"Nokia",3;"Samsung",4;"Sony Erickson",5;"Sprint",6},2,0)</f>
        <v>3</v>
      </c>
      <c r="H295" s="9" t="s">
        <v>557</v>
      </c>
      <c r="I295" s="9" t="s">
        <v>243</v>
      </c>
      <c r="J295" s="9">
        <f>VLOOKUP(I295,{"Excellent",4;"Poor",1;"Good",3;"OK",2},2,0)</f>
        <v>3</v>
      </c>
      <c r="O295" s="9">
        <v>-70</v>
      </c>
      <c r="P295" s="9">
        <f t="shared" si="19"/>
        <v>-56.666666666666664</v>
      </c>
      <c r="X295" s="9">
        <f t="shared" si="20"/>
        <v>216.48333333333332</v>
      </c>
    </row>
    <row r="296" spans="1:24" x14ac:dyDescent="0.25">
      <c r="A296" s="9" t="s">
        <v>558</v>
      </c>
      <c r="B296" s="9" t="s">
        <v>248</v>
      </c>
      <c r="C296" s="9">
        <f>VLOOKUP(B296,{"iPhone",1;"Motorola",2;"Nokia",3;"Samsung",4;"Sony Erickson",5;"Sprint",6},2,0)</f>
        <v>3</v>
      </c>
      <c r="H296" s="9" t="s">
        <v>558</v>
      </c>
      <c r="I296" s="9" t="s">
        <v>242</v>
      </c>
      <c r="J296" s="9">
        <f>VLOOKUP(I296,{"Excellent",4;"Poor",1;"Good",3;"OK",2},2,0)</f>
        <v>1</v>
      </c>
      <c r="O296" s="9">
        <v>-71</v>
      </c>
      <c r="P296" s="9">
        <f t="shared" si="19"/>
        <v>-57.222222222222221</v>
      </c>
      <c r="X296" s="9">
        <f t="shared" si="20"/>
        <v>215.92777777777775</v>
      </c>
    </row>
    <row r="297" spans="1:24" x14ac:dyDescent="0.25">
      <c r="A297" s="9" t="s">
        <v>559</v>
      </c>
      <c r="B297" s="9" t="s">
        <v>248</v>
      </c>
      <c r="C297" s="9">
        <f>VLOOKUP(B297,{"iPhone",1;"Motorola",2;"Nokia",3;"Samsung",4;"Sony Erickson",5;"Sprint",6},2,0)</f>
        <v>3</v>
      </c>
      <c r="H297" s="9" t="s">
        <v>559</v>
      </c>
      <c r="I297" s="9" t="s">
        <v>237</v>
      </c>
      <c r="J297" s="9">
        <f>VLOOKUP(I297,{"Excellent",4;"Poor",1;"Good",3;"OK",2},2,0)</f>
        <v>2</v>
      </c>
      <c r="O297" s="9">
        <v>-72</v>
      </c>
      <c r="P297" s="9">
        <f t="shared" si="19"/>
        <v>-57.777777777777779</v>
      </c>
      <c r="X297" s="9">
        <f t="shared" si="20"/>
        <v>215.37222222222221</v>
      </c>
    </row>
    <row r="298" spans="1:24" x14ac:dyDescent="0.25">
      <c r="A298" s="9" t="s">
        <v>560</v>
      </c>
      <c r="B298" s="9" t="s">
        <v>235</v>
      </c>
      <c r="C298" s="9">
        <f>VLOOKUP(B298,{"iPhone",1;"Motorola",2;"Nokia",3;"Samsung",4;"Sony Erickson",5;"Sprint",6},2,0)</f>
        <v>2</v>
      </c>
      <c r="H298" s="9" t="s">
        <v>560</v>
      </c>
      <c r="I298" s="9" t="s">
        <v>242</v>
      </c>
      <c r="J298" s="9">
        <f>VLOOKUP(I298,{"Excellent",4;"Poor",1;"Good",3;"OK",2},2,0)</f>
        <v>1</v>
      </c>
      <c r="O298" s="9">
        <v>-73</v>
      </c>
      <c r="P298" s="9">
        <f t="shared" si="19"/>
        <v>-58.333333333333329</v>
      </c>
      <c r="X298" s="9">
        <f t="shared" si="20"/>
        <v>214.81666666666666</v>
      </c>
    </row>
    <row r="299" spans="1:24" x14ac:dyDescent="0.25">
      <c r="A299" s="9" t="s">
        <v>561</v>
      </c>
      <c r="B299" s="9" t="s">
        <v>258</v>
      </c>
      <c r="C299" s="9">
        <f>VLOOKUP(B299,{"iPhone",1;"Motorola",2;"Nokia",3;"Samsung",4;"Sony Erickson",5;"Sprint",6},2,0)</f>
        <v>6</v>
      </c>
      <c r="H299" s="9" t="s">
        <v>561</v>
      </c>
      <c r="I299" s="9" t="s">
        <v>238</v>
      </c>
      <c r="J299" s="9">
        <f>VLOOKUP(I299,{"Excellent",4;"Poor",1;"Good",3;"OK",2},2,0)</f>
        <v>4</v>
      </c>
      <c r="O299" s="9">
        <v>-74</v>
      </c>
      <c r="P299" s="9">
        <f t="shared" si="19"/>
        <v>-58.888888888888886</v>
      </c>
      <c r="X299" s="9">
        <f t="shared" si="20"/>
        <v>214.26111111111109</v>
      </c>
    </row>
    <row r="300" spans="1:24" x14ac:dyDescent="0.25">
      <c r="A300" s="9" t="s">
        <v>562</v>
      </c>
      <c r="B300" s="9" t="s">
        <v>235</v>
      </c>
      <c r="C300" s="9">
        <f>VLOOKUP(B300,{"iPhone",1;"Motorola",2;"Nokia",3;"Samsung",4;"Sony Erickson",5;"Sprint",6},2,0)</f>
        <v>2</v>
      </c>
      <c r="H300" s="9" t="s">
        <v>562</v>
      </c>
      <c r="I300" s="9" t="s">
        <v>238</v>
      </c>
      <c r="J300" s="9">
        <f>VLOOKUP(I300,{"Excellent",4;"Poor",1;"Good",3;"OK",2},2,0)</f>
        <v>4</v>
      </c>
      <c r="O300" s="9">
        <v>-75</v>
      </c>
      <c r="P300" s="9">
        <f t="shared" si="19"/>
        <v>-59.444444444444443</v>
      </c>
      <c r="X300" s="9">
        <f t="shared" si="20"/>
        <v>213.70555555555552</v>
      </c>
    </row>
    <row r="301" spans="1:24" x14ac:dyDescent="0.25">
      <c r="A301" s="9" t="s">
        <v>563</v>
      </c>
      <c r="B301" s="9" t="s">
        <v>235</v>
      </c>
      <c r="C301" s="9">
        <f>VLOOKUP(B301,{"iPhone",1;"Motorola",2;"Nokia",3;"Samsung",4;"Sony Erickson",5;"Sprint",6},2,0)</f>
        <v>2</v>
      </c>
      <c r="H301" s="9" t="s">
        <v>563</v>
      </c>
      <c r="I301" s="9" t="s">
        <v>243</v>
      </c>
      <c r="J301" s="9">
        <f>VLOOKUP(I301,{"Excellent",4;"Poor",1;"Good",3;"OK",2},2,0)</f>
        <v>3</v>
      </c>
      <c r="O301" s="9">
        <v>-76</v>
      </c>
      <c r="P301" s="9">
        <f t="shared" si="19"/>
        <v>-60</v>
      </c>
      <c r="X301" s="9">
        <f t="shared" si="20"/>
        <v>213.14999999999998</v>
      </c>
    </row>
    <row r="302" spans="1:24" x14ac:dyDescent="0.25">
      <c r="A302" s="9" t="s">
        <v>564</v>
      </c>
      <c r="B302" s="9" t="s">
        <v>248</v>
      </c>
      <c r="C302" s="9">
        <f>VLOOKUP(B302,{"iPhone",1;"Motorola",2;"Nokia",3;"Samsung",4;"Sony Erickson",5;"Sprint",6},2,0)</f>
        <v>3</v>
      </c>
      <c r="H302" s="9" t="s">
        <v>564</v>
      </c>
      <c r="I302" s="9" t="s">
        <v>237</v>
      </c>
      <c r="J302" s="9">
        <f>VLOOKUP(I302,{"Excellent",4;"Poor",1;"Good",3;"OK",2},2,0)</f>
        <v>2</v>
      </c>
      <c r="O302" s="9">
        <v>-77</v>
      </c>
      <c r="P302" s="9">
        <f t="shared" si="19"/>
        <v>-60.555555555555557</v>
      </c>
      <c r="X302" s="9">
        <f t="shared" si="20"/>
        <v>212.59444444444443</v>
      </c>
    </row>
    <row r="303" spans="1:24" x14ac:dyDescent="0.25">
      <c r="A303" s="9" t="s">
        <v>565</v>
      </c>
      <c r="B303" s="9" t="s">
        <v>258</v>
      </c>
      <c r="C303" s="9">
        <f>VLOOKUP(B303,{"iPhone",1;"Motorola",2;"Nokia",3;"Samsung",4;"Sony Erickson",5;"Sprint",6},2,0)</f>
        <v>6</v>
      </c>
      <c r="H303" s="9" t="s">
        <v>565</v>
      </c>
      <c r="I303" s="9" t="s">
        <v>237</v>
      </c>
      <c r="J303" s="9">
        <f>VLOOKUP(I303,{"Excellent",4;"Poor",1;"Good",3;"OK",2},2,0)</f>
        <v>2</v>
      </c>
      <c r="O303" s="9">
        <v>-78</v>
      </c>
      <c r="P303" s="9">
        <f t="shared" si="19"/>
        <v>-61.111111111111107</v>
      </c>
      <c r="X303" s="9">
        <f t="shared" si="20"/>
        <v>212.03888888888886</v>
      </c>
    </row>
    <row r="304" spans="1:24" x14ac:dyDescent="0.25">
      <c r="A304" s="9" t="s">
        <v>566</v>
      </c>
      <c r="B304" s="9" t="s">
        <v>236</v>
      </c>
      <c r="C304" s="9">
        <f>VLOOKUP(B304,{"iPhone",1;"Motorola",2;"Nokia",3;"Samsung",4;"Sony Erickson",5;"Sprint",6},2,0)</f>
        <v>1</v>
      </c>
      <c r="H304" s="9" t="s">
        <v>566</v>
      </c>
      <c r="I304" s="9" t="s">
        <v>238</v>
      </c>
      <c r="J304" s="9">
        <f>VLOOKUP(I304,{"Excellent",4;"Poor",1;"Good",3;"OK",2},2,0)</f>
        <v>4</v>
      </c>
      <c r="O304" s="9">
        <v>-79</v>
      </c>
      <c r="P304" s="9">
        <f t="shared" si="19"/>
        <v>-61.666666666666664</v>
      </c>
      <c r="X304" s="9">
        <f t="shared" si="20"/>
        <v>211.48333333333332</v>
      </c>
    </row>
    <row r="305" spans="1:24" x14ac:dyDescent="0.25">
      <c r="A305" s="9" t="s">
        <v>567</v>
      </c>
      <c r="B305" s="9" t="s">
        <v>236</v>
      </c>
      <c r="C305" s="9">
        <f>VLOOKUP(B305,{"iPhone",1;"Motorola",2;"Nokia",3;"Samsung",4;"Sony Erickson",5;"Sprint",6},2,0)</f>
        <v>1</v>
      </c>
      <c r="H305" s="9" t="s">
        <v>567</v>
      </c>
      <c r="I305" s="9" t="s">
        <v>242</v>
      </c>
      <c r="J305" s="9">
        <f>VLOOKUP(I305,{"Excellent",4;"Poor",1;"Good",3;"OK",2},2,0)</f>
        <v>1</v>
      </c>
      <c r="O305" s="9">
        <v>-80</v>
      </c>
      <c r="P305" s="9">
        <f t="shared" si="19"/>
        <v>-62.222222222222221</v>
      </c>
      <c r="X305" s="9">
        <f t="shared" si="20"/>
        <v>210.92777777777775</v>
      </c>
    </row>
    <row r="306" spans="1:24" x14ac:dyDescent="0.25">
      <c r="A306" s="9" t="s">
        <v>568</v>
      </c>
      <c r="B306" s="9" t="s">
        <v>248</v>
      </c>
      <c r="C306" s="9">
        <f>VLOOKUP(B306,{"iPhone",1;"Motorola",2;"Nokia",3;"Samsung",4;"Sony Erickson",5;"Sprint",6},2,0)</f>
        <v>3</v>
      </c>
      <c r="H306" s="9" t="s">
        <v>568</v>
      </c>
      <c r="I306" s="9" t="s">
        <v>242</v>
      </c>
      <c r="J306" s="9">
        <f>VLOOKUP(I306,{"Excellent",4;"Poor",1;"Good",3;"OK",2},2,0)</f>
        <v>1</v>
      </c>
      <c r="O306" s="9">
        <v>-81</v>
      </c>
      <c r="P306" s="9">
        <f t="shared" si="19"/>
        <v>-62.777777777777779</v>
      </c>
      <c r="X306" s="9">
        <f t="shared" si="20"/>
        <v>210.37222222222221</v>
      </c>
    </row>
    <row r="307" spans="1:24" x14ac:dyDescent="0.25">
      <c r="A307" s="9" t="s">
        <v>569</v>
      </c>
      <c r="B307" s="9" t="s">
        <v>248</v>
      </c>
      <c r="C307" s="9">
        <f>VLOOKUP(B307,{"iPhone",1;"Motorola",2;"Nokia",3;"Samsung",4;"Sony Erickson",5;"Sprint",6},2,0)</f>
        <v>3</v>
      </c>
      <c r="H307" s="9" t="s">
        <v>569</v>
      </c>
      <c r="I307" s="9" t="s">
        <v>242</v>
      </c>
      <c r="J307" s="9">
        <f>VLOOKUP(I307,{"Excellent",4;"Poor",1;"Good",3;"OK",2},2,0)</f>
        <v>1</v>
      </c>
      <c r="O307" s="9">
        <v>-82</v>
      </c>
      <c r="P307" s="9">
        <f t="shared" si="19"/>
        <v>-63.333333333333329</v>
      </c>
      <c r="X307" s="9">
        <f t="shared" si="20"/>
        <v>209.81666666666666</v>
      </c>
    </row>
    <row r="308" spans="1:24" x14ac:dyDescent="0.25">
      <c r="A308" s="9" t="s">
        <v>570</v>
      </c>
      <c r="B308" s="9" t="s">
        <v>248</v>
      </c>
      <c r="C308" s="9">
        <f>VLOOKUP(B308,{"iPhone",1;"Motorola",2;"Nokia",3;"Samsung",4;"Sony Erickson",5;"Sprint",6},2,0)</f>
        <v>3</v>
      </c>
      <c r="H308" s="9" t="s">
        <v>570</v>
      </c>
      <c r="I308" s="9" t="s">
        <v>237</v>
      </c>
      <c r="J308" s="9">
        <f>VLOOKUP(I308,{"Excellent",4;"Poor",1;"Good",3;"OK",2},2,0)</f>
        <v>2</v>
      </c>
      <c r="O308" s="9">
        <v>-83</v>
      </c>
      <c r="P308" s="9">
        <f t="shared" si="19"/>
        <v>-63.888888888888886</v>
      </c>
      <c r="X308" s="9">
        <f t="shared" si="20"/>
        <v>209.26111111111109</v>
      </c>
    </row>
    <row r="309" spans="1:24" x14ac:dyDescent="0.25">
      <c r="A309" s="9" t="s">
        <v>571</v>
      </c>
      <c r="B309" s="9" t="s">
        <v>248</v>
      </c>
      <c r="C309" s="9">
        <f>VLOOKUP(B309,{"iPhone",1;"Motorola",2;"Nokia",3;"Samsung",4;"Sony Erickson",5;"Sprint",6},2,0)</f>
        <v>3</v>
      </c>
      <c r="H309" s="9" t="s">
        <v>571</v>
      </c>
      <c r="I309" s="9" t="s">
        <v>238</v>
      </c>
      <c r="J309" s="9">
        <f>VLOOKUP(I309,{"Excellent",4;"Poor",1;"Good",3;"OK",2},2,0)</f>
        <v>4</v>
      </c>
      <c r="O309" s="9">
        <v>-84</v>
      </c>
      <c r="P309" s="9">
        <f t="shared" si="19"/>
        <v>-64.444444444444443</v>
      </c>
      <c r="X309" s="9">
        <f t="shared" si="20"/>
        <v>208.70555555555552</v>
      </c>
    </row>
    <row r="310" spans="1:24" x14ac:dyDescent="0.25">
      <c r="A310" s="9" t="s">
        <v>572</v>
      </c>
      <c r="B310" s="9" t="s">
        <v>247</v>
      </c>
      <c r="C310" s="9">
        <f>VLOOKUP(B310,{"iPhone",1;"Motorola",2;"Nokia",3;"Samsung",4;"Sony Erickson",5;"Sprint",6},2,0)</f>
        <v>4</v>
      </c>
      <c r="H310" s="9" t="s">
        <v>572</v>
      </c>
      <c r="I310" s="9" t="s">
        <v>242</v>
      </c>
      <c r="J310" s="9">
        <f>VLOOKUP(I310,{"Excellent",4;"Poor",1;"Good",3;"OK",2},2,0)</f>
        <v>1</v>
      </c>
      <c r="O310" s="9">
        <v>-85</v>
      </c>
      <c r="P310" s="9">
        <f t="shared" si="19"/>
        <v>-65</v>
      </c>
      <c r="X310" s="9">
        <f t="shared" si="20"/>
        <v>208.14999999999998</v>
      </c>
    </row>
    <row r="311" spans="1:24" x14ac:dyDescent="0.25">
      <c r="A311" s="9" t="s">
        <v>573</v>
      </c>
      <c r="B311" s="9" t="s">
        <v>247</v>
      </c>
      <c r="C311" s="9">
        <f>VLOOKUP(B311,{"iPhone",1;"Motorola",2;"Nokia",3;"Samsung",4;"Sony Erickson",5;"Sprint",6},2,0)</f>
        <v>4</v>
      </c>
      <c r="H311" s="9" t="s">
        <v>573</v>
      </c>
      <c r="I311" s="9" t="s">
        <v>242</v>
      </c>
      <c r="J311" s="9">
        <f>VLOOKUP(I311,{"Excellent",4;"Poor",1;"Good",3;"OK",2},2,0)</f>
        <v>1</v>
      </c>
      <c r="O311" s="9">
        <v>-86</v>
      </c>
      <c r="P311" s="9">
        <f t="shared" si="19"/>
        <v>-65.555555555555557</v>
      </c>
      <c r="X311" s="9">
        <f t="shared" si="20"/>
        <v>207.59444444444443</v>
      </c>
    </row>
    <row r="312" spans="1:24" x14ac:dyDescent="0.25">
      <c r="A312" s="9" t="s">
        <v>574</v>
      </c>
      <c r="B312" s="9" t="s">
        <v>236</v>
      </c>
      <c r="C312" s="9">
        <f>VLOOKUP(B312,{"iPhone",1;"Motorola",2;"Nokia",3;"Samsung",4;"Sony Erickson",5;"Sprint",6},2,0)</f>
        <v>1</v>
      </c>
      <c r="H312" s="9" t="s">
        <v>574</v>
      </c>
      <c r="I312" s="9" t="s">
        <v>237</v>
      </c>
      <c r="J312" s="9">
        <f>VLOOKUP(I312,{"Excellent",4;"Poor",1;"Good",3;"OK",2},2,0)</f>
        <v>2</v>
      </c>
      <c r="O312" s="9">
        <v>-87</v>
      </c>
      <c r="P312" s="9">
        <f t="shared" si="19"/>
        <v>-66.111111111111114</v>
      </c>
      <c r="X312" s="9">
        <f t="shared" si="20"/>
        <v>207.03888888888886</v>
      </c>
    </row>
    <row r="313" spans="1:24" x14ac:dyDescent="0.25">
      <c r="A313" s="9" t="s">
        <v>575</v>
      </c>
      <c r="B313" s="9" t="s">
        <v>235</v>
      </c>
      <c r="C313" s="9">
        <f>VLOOKUP(B313,{"iPhone",1;"Motorola",2;"Nokia",3;"Samsung",4;"Sony Erickson",5;"Sprint",6},2,0)</f>
        <v>2</v>
      </c>
      <c r="H313" s="9" t="s">
        <v>575</v>
      </c>
      <c r="I313" s="9" t="s">
        <v>237</v>
      </c>
      <c r="J313" s="9">
        <f>VLOOKUP(I313,{"Excellent",4;"Poor",1;"Good",3;"OK",2},2,0)</f>
        <v>2</v>
      </c>
      <c r="O313" s="9">
        <v>-88</v>
      </c>
      <c r="P313" s="9">
        <f t="shared" si="19"/>
        <v>-66.666666666666671</v>
      </c>
      <c r="X313" s="9">
        <f t="shared" si="20"/>
        <v>206.48333333333329</v>
      </c>
    </row>
    <row r="314" spans="1:24" x14ac:dyDescent="0.25">
      <c r="A314" s="9" t="s">
        <v>576</v>
      </c>
      <c r="B314" s="9" t="s">
        <v>258</v>
      </c>
      <c r="C314" s="9">
        <f>VLOOKUP(B314,{"iPhone",1;"Motorola",2;"Nokia",3;"Samsung",4;"Sony Erickson",5;"Sprint",6},2,0)</f>
        <v>6</v>
      </c>
      <c r="H314" s="9" t="s">
        <v>576</v>
      </c>
      <c r="I314" s="9" t="s">
        <v>243</v>
      </c>
      <c r="J314" s="9">
        <f>VLOOKUP(I314,{"Excellent",4;"Poor",1;"Good",3;"OK",2},2,0)</f>
        <v>3</v>
      </c>
      <c r="O314" s="9">
        <v>-89</v>
      </c>
      <c r="P314" s="9">
        <f t="shared" si="19"/>
        <v>-67.222222222222214</v>
      </c>
      <c r="X314" s="9">
        <f t="shared" si="20"/>
        <v>205.92777777777775</v>
      </c>
    </row>
    <row r="315" spans="1:24" x14ac:dyDescent="0.25">
      <c r="A315" s="9" t="s">
        <v>577</v>
      </c>
      <c r="B315" s="9" t="s">
        <v>236</v>
      </c>
      <c r="C315" s="9">
        <f>VLOOKUP(B315,{"iPhone",1;"Motorola",2;"Nokia",3;"Samsung",4;"Sony Erickson",5;"Sprint",6},2,0)</f>
        <v>1</v>
      </c>
      <c r="H315" s="9" t="s">
        <v>577</v>
      </c>
      <c r="I315" s="9" t="s">
        <v>237</v>
      </c>
      <c r="J315" s="9">
        <f>VLOOKUP(I315,{"Excellent",4;"Poor",1;"Good",3;"OK",2},2,0)</f>
        <v>2</v>
      </c>
      <c r="O315" s="9">
        <v>-90</v>
      </c>
      <c r="P315" s="9">
        <f t="shared" si="19"/>
        <v>-67.777777777777771</v>
      </c>
      <c r="X315" s="9">
        <f t="shared" si="20"/>
        <v>205.37222222222221</v>
      </c>
    </row>
    <row r="316" spans="1:24" x14ac:dyDescent="0.25">
      <c r="A316" s="9" t="s">
        <v>578</v>
      </c>
      <c r="B316" s="9" t="s">
        <v>236</v>
      </c>
      <c r="C316" s="9">
        <f>VLOOKUP(B316,{"iPhone",1;"Motorola",2;"Nokia",3;"Samsung",4;"Sony Erickson",5;"Sprint",6},2,0)</f>
        <v>1</v>
      </c>
      <c r="H316" s="9" t="s">
        <v>578</v>
      </c>
      <c r="I316" s="9" t="s">
        <v>242</v>
      </c>
      <c r="J316" s="9">
        <f>VLOOKUP(I316,{"Excellent",4;"Poor",1;"Good",3;"OK",2},2,0)</f>
        <v>1</v>
      </c>
      <c r="O316" s="9">
        <v>-91</v>
      </c>
      <c r="P316" s="9">
        <f t="shared" si="19"/>
        <v>-68.333333333333329</v>
      </c>
      <c r="X316" s="9">
        <f t="shared" si="20"/>
        <v>204.81666666666666</v>
      </c>
    </row>
    <row r="317" spans="1:24" x14ac:dyDescent="0.25">
      <c r="A317" s="9" t="s">
        <v>579</v>
      </c>
      <c r="B317" s="9" t="s">
        <v>248</v>
      </c>
      <c r="C317" s="9">
        <f>VLOOKUP(B317,{"iPhone",1;"Motorola",2;"Nokia",3;"Samsung",4;"Sony Erickson",5;"Sprint",6},2,0)</f>
        <v>3</v>
      </c>
      <c r="H317" s="9" t="s">
        <v>579</v>
      </c>
      <c r="I317" s="9" t="s">
        <v>242</v>
      </c>
      <c r="J317" s="9">
        <f>VLOOKUP(I317,{"Excellent",4;"Poor",1;"Good",3;"OK",2},2,0)</f>
        <v>1</v>
      </c>
      <c r="O317" s="9">
        <v>-92</v>
      </c>
      <c r="P317" s="9">
        <f t="shared" si="19"/>
        <v>-68.888888888888886</v>
      </c>
      <c r="X317" s="9">
        <f t="shared" si="20"/>
        <v>204.26111111111109</v>
      </c>
    </row>
    <row r="318" spans="1:24" x14ac:dyDescent="0.25">
      <c r="A318" s="9" t="s">
        <v>580</v>
      </c>
      <c r="B318" s="9" t="s">
        <v>247</v>
      </c>
      <c r="C318" s="9">
        <f>VLOOKUP(B318,{"iPhone",1;"Motorola",2;"Nokia",3;"Samsung",4;"Sony Erickson",5;"Sprint",6},2,0)</f>
        <v>4</v>
      </c>
      <c r="H318" s="9" t="s">
        <v>580</v>
      </c>
      <c r="I318" s="9" t="s">
        <v>238</v>
      </c>
      <c r="J318" s="9">
        <f>VLOOKUP(I318,{"Excellent",4;"Poor",1;"Good",3;"OK",2},2,0)</f>
        <v>4</v>
      </c>
      <c r="O318" s="9">
        <v>-93</v>
      </c>
      <c r="P318" s="9">
        <f t="shared" si="19"/>
        <v>-69.444444444444443</v>
      </c>
      <c r="X318" s="9">
        <f t="shared" si="20"/>
        <v>203.70555555555552</v>
      </c>
    </row>
    <row r="319" spans="1:24" x14ac:dyDescent="0.25">
      <c r="A319" s="9" t="s">
        <v>581</v>
      </c>
      <c r="B319" s="9" t="s">
        <v>247</v>
      </c>
      <c r="C319" s="9">
        <f>VLOOKUP(B319,{"iPhone",1;"Motorola",2;"Nokia",3;"Samsung",4;"Sony Erickson",5;"Sprint",6},2,0)</f>
        <v>4</v>
      </c>
      <c r="H319" s="9" t="s">
        <v>581</v>
      </c>
      <c r="I319" s="9" t="s">
        <v>243</v>
      </c>
      <c r="J319" s="9">
        <f>VLOOKUP(I319,{"Excellent",4;"Poor",1;"Good",3;"OK",2},2,0)</f>
        <v>3</v>
      </c>
      <c r="O319" s="9">
        <v>-94</v>
      </c>
      <c r="P319" s="9">
        <f t="shared" si="19"/>
        <v>-70</v>
      </c>
      <c r="X319" s="9">
        <f t="shared" si="20"/>
        <v>203.14999999999998</v>
      </c>
    </row>
    <row r="320" spans="1:24" x14ac:dyDescent="0.25">
      <c r="A320" s="9" t="s">
        <v>582</v>
      </c>
      <c r="B320" s="9" t="s">
        <v>236</v>
      </c>
      <c r="C320" s="9">
        <f>VLOOKUP(B320,{"iPhone",1;"Motorola",2;"Nokia",3;"Samsung",4;"Sony Erickson",5;"Sprint",6},2,0)</f>
        <v>1</v>
      </c>
      <c r="H320" s="9" t="s">
        <v>582</v>
      </c>
      <c r="I320" s="9" t="s">
        <v>243</v>
      </c>
      <c r="J320" s="9">
        <f>VLOOKUP(I320,{"Excellent",4;"Poor",1;"Good",3;"OK",2},2,0)</f>
        <v>3</v>
      </c>
      <c r="O320" s="9">
        <v>-95</v>
      </c>
      <c r="P320" s="9">
        <f t="shared" si="19"/>
        <v>-70.555555555555557</v>
      </c>
      <c r="X320" s="9">
        <f t="shared" si="20"/>
        <v>202.59444444444443</v>
      </c>
    </row>
    <row r="321" spans="1:24" x14ac:dyDescent="0.25">
      <c r="A321" s="9" t="s">
        <v>583</v>
      </c>
      <c r="B321" s="9" t="s">
        <v>247</v>
      </c>
      <c r="C321" s="9">
        <f>VLOOKUP(B321,{"iPhone",1;"Motorola",2;"Nokia",3;"Samsung",4;"Sony Erickson",5;"Sprint",6},2,0)</f>
        <v>4</v>
      </c>
      <c r="H321" s="9" t="s">
        <v>583</v>
      </c>
      <c r="I321" s="9" t="s">
        <v>242</v>
      </c>
      <c r="J321" s="9">
        <f>VLOOKUP(I321,{"Excellent",4;"Poor",1;"Good",3;"OK",2},2,0)</f>
        <v>1</v>
      </c>
      <c r="O321" s="9">
        <v>-96</v>
      </c>
      <c r="P321" s="9">
        <f t="shared" si="19"/>
        <v>-71.111111111111114</v>
      </c>
      <c r="X321" s="9">
        <f t="shared" si="20"/>
        <v>202.03888888888886</v>
      </c>
    </row>
    <row r="322" spans="1:24" x14ac:dyDescent="0.25">
      <c r="A322" s="9" t="s">
        <v>584</v>
      </c>
      <c r="B322" s="9" t="s">
        <v>247</v>
      </c>
      <c r="C322" s="9">
        <f>VLOOKUP(B322,{"iPhone",1;"Motorola",2;"Nokia",3;"Samsung",4;"Sony Erickson",5;"Sprint",6},2,0)</f>
        <v>4</v>
      </c>
      <c r="H322" s="9" t="s">
        <v>584</v>
      </c>
      <c r="I322" s="9" t="s">
        <v>237</v>
      </c>
      <c r="J322" s="9">
        <f>VLOOKUP(I322,{"Excellent",4;"Poor",1;"Good",3;"OK",2},2,0)</f>
        <v>2</v>
      </c>
      <c r="O322" s="9">
        <v>-97</v>
      </c>
      <c r="P322" s="9">
        <f t="shared" si="19"/>
        <v>-71.666666666666671</v>
      </c>
      <c r="X322" s="9">
        <f t="shared" si="20"/>
        <v>201.48333333333329</v>
      </c>
    </row>
    <row r="323" spans="1:24" x14ac:dyDescent="0.25">
      <c r="A323" s="9" t="s">
        <v>585</v>
      </c>
      <c r="B323" s="9" t="s">
        <v>235</v>
      </c>
      <c r="C323" s="9">
        <f>VLOOKUP(B323,{"iPhone",1;"Motorola",2;"Nokia",3;"Samsung",4;"Sony Erickson",5;"Sprint",6},2,0)</f>
        <v>2</v>
      </c>
      <c r="H323" s="9" t="s">
        <v>585</v>
      </c>
      <c r="I323" s="9" t="s">
        <v>238</v>
      </c>
      <c r="J323" s="9">
        <f>VLOOKUP(I323,{"Excellent",4;"Poor",1;"Good",3;"OK",2},2,0)</f>
        <v>4</v>
      </c>
      <c r="O323" s="9">
        <v>-98</v>
      </c>
      <c r="P323" s="9">
        <f t="shared" si="19"/>
        <v>-72.222222222222214</v>
      </c>
      <c r="X323" s="9">
        <f t="shared" si="20"/>
        <v>200.92777777777775</v>
      </c>
    </row>
    <row r="324" spans="1:24" x14ac:dyDescent="0.25">
      <c r="A324" s="9" t="s">
        <v>586</v>
      </c>
      <c r="B324" s="9" t="s">
        <v>254</v>
      </c>
      <c r="C324" s="9">
        <f>VLOOKUP(B324,{"iPhone",1;"Motorola",2;"Nokia",3;"Samsung",4;"Sony Erickson",5;"Sprint",6},2,0)</f>
        <v>5</v>
      </c>
      <c r="H324" s="9" t="s">
        <v>586</v>
      </c>
      <c r="I324" s="9" t="s">
        <v>243</v>
      </c>
      <c r="J324" s="9">
        <f>VLOOKUP(I324,{"Excellent",4;"Poor",1;"Good",3;"OK",2},2,0)</f>
        <v>3</v>
      </c>
      <c r="O324" s="9">
        <v>-99</v>
      </c>
      <c r="P324" s="9">
        <f t="shared" si="19"/>
        <v>-72.777777777777771</v>
      </c>
      <c r="X324" s="9">
        <f t="shared" si="20"/>
        <v>200.37222222222221</v>
      </c>
    </row>
    <row r="325" spans="1:24" x14ac:dyDescent="0.25">
      <c r="A325" s="9" t="s">
        <v>587</v>
      </c>
      <c r="B325" s="9" t="s">
        <v>236</v>
      </c>
      <c r="C325" s="9">
        <f>VLOOKUP(B325,{"iPhone",1;"Motorola",2;"Nokia",3;"Samsung",4;"Sony Erickson",5;"Sprint",6},2,0)</f>
        <v>1</v>
      </c>
      <c r="H325" s="9" t="s">
        <v>587</v>
      </c>
      <c r="I325" s="9" t="s">
        <v>242</v>
      </c>
      <c r="J325" s="9">
        <f>VLOOKUP(I325,{"Excellent",4;"Poor",1;"Good",3;"OK",2},2,0)</f>
        <v>1</v>
      </c>
      <c r="O325" s="9">
        <v>-100</v>
      </c>
      <c r="P325" s="9">
        <f t="shared" ref="P325:P388" si="21">CONVERT(O325,"F","C")</f>
        <v>-73.333333333333329</v>
      </c>
      <c r="X325" s="9">
        <f t="shared" si="20"/>
        <v>199.81666666666666</v>
      </c>
    </row>
    <row r="326" spans="1:24" x14ac:dyDescent="0.25">
      <c r="A326" s="9" t="s">
        <v>588</v>
      </c>
      <c r="B326" s="9" t="s">
        <v>248</v>
      </c>
      <c r="C326" s="9">
        <f>VLOOKUP(B326,{"iPhone",1;"Motorola",2;"Nokia",3;"Samsung",4;"Sony Erickson",5;"Sprint",6},2,0)</f>
        <v>3</v>
      </c>
      <c r="H326" s="9" t="s">
        <v>588</v>
      </c>
      <c r="I326" s="9" t="s">
        <v>242</v>
      </c>
      <c r="J326" s="9">
        <f>VLOOKUP(I326,{"Excellent",4;"Poor",1;"Good",3;"OK",2},2,0)</f>
        <v>1</v>
      </c>
      <c r="O326" s="9">
        <v>-101</v>
      </c>
      <c r="P326" s="9">
        <f t="shared" si="21"/>
        <v>-73.888888888888886</v>
      </c>
      <c r="X326" s="9">
        <f t="shared" ref="X326:X389" si="22">CONVERT(O326,"F","K")</f>
        <v>199.26111111111109</v>
      </c>
    </row>
    <row r="327" spans="1:24" x14ac:dyDescent="0.25">
      <c r="A327" s="9" t="s">
        <v>589</v>
      </c>
      <c r="B327" s="9" t="s">
        <v>236</v>
      </c>
      <c r="C327" s="9">
        <f>VLOOKUP(B327,{"iPhone",1;"Motorola",2;"Nokia",3;"Samsung",4;"Sony Erickson",5;"Sprint",6},2,0)</f>
        <v>1</v>
      </c>
      <c r="H327" s="9" t="s">
        <v>589</v>
      </c>
      <c r="I327" s="9" t="s">
        <v>242</v>
      </c>
      <c r="J327" s="9">
        <f>VLOOKUP(I327,{"Excellent",4;"Poor",1;"Good",3;"OK",2},2,0)</f>
        <v>1</v>
      </c>
      <c r="O327" s="9">
        <v>-102</v>
      </c>
      <c r="P327" s="9">
        <f t="shared" si="21"/>
        <v>-74.444444444444443</v>
      </c>
      <c r="X327" s="9">
        <f t="shared" si="22"/>
        <v>198.70555555555552</v>
      </c>
    </row>
    <row r="328" spans="1:24" x14ac:dyDescent="0.25">
      <c r="A328" s="9" t="s">
        <v>590</v>
      </c>
      <c r="B328" s="9" t="s">
        <v>247</v>
      </c>
      <c r="C328" s="9">
        <f>VLOOKUP(B328,{"iPhone",1;"Motorola",2;"Nokia",3;"Samsung",4;"Sony Erickson",5;"Sprint",6},2,0)</f>
        <v>4</v>
      </c>
      <c r="H328" s="9" t="s">
        <v>590</v>
      </c>
      <c r="I328" s="9" t="s">
        <v>243</v>
      </c>
      <c r="J328" s="9">
        <f>VLOOKUP(I328,{"Excellent",4;"Poor",1;"Good",3;"OK",2},2,0)</f>
        <v>3</v>
      </c>
      <c r="O328" s="9">
        <v>-103</v>
      </c>
      <c r="P328" s="9">
        <f t="shared" si="21"/>
        <v>-75</v>
      </c>
      <c r="X328" s="9">
        <f t="shared" si="22"/>
        <v>198.14999999999998</v>
      </c>
    </row>
    <row r="329" spans="1:24" x14ac:dyDescent="0.25">
      <c r="A329" s="9" t="s">
        <v>591</v>
      </c>
      <c r="B329" s="9" t="s">
        <v>254</v>
      </c>
      <c r="C329" s="9">
        <f>VLOOKUP(B329,{"iPhone",1;"Motorola",2;"Nokia",3;"Samsung",4;"Sony Erickson",5;"Sprint",6},2,0)</f>
        <v>5</v>
      </c>
      <c r="H329" s="9" t="s">
        <v>591</v>
      </c>
      <c r="I329" s="9" t="s">
        <v>242</v>
      </c>
      <c r="J329" s="9">
        <f>VLOOKUP(I329,{"Excellent",4;"Poor",1;"Good",3;"OK",2},2,0)</f>
        <v>1</v>
      </c>
      <c r="O329" s="9">
        <v>-104</v>
      </c>
      <c r="P329" s="9">
        <f t="shared" si="21"/>
        <v>-75.555555555555557</v>
      </c>
      <c r="X329" s="9">
        <f t="shared" si="22"/>
        <v>197.59444444444443</v>
      </c>
    </row>
    <row r="330" spans="1:24" x14ac:dyDescent="0.25">
      <c r="A330" s="9" t="s">
        <v>592</v>
      </c>
      <c r="B330" s="9" t="s">
        <v>235</v>
      </c>
      <c r="C330" s="9">
        <f>VLOOKUP(B330,{"iPhone",1;"Motorola",2;"Nokia",3;"Samsung",4;"Sony Erickson",5;"Sprint",6},2,0)</f>
        <v>2</v>
      </c>
      <c r="H330" s="9" t="s">
        <v>592</v>
      </c>
      <c r="I330" s="9" t="s">
        <v>242</v>
      </c>
      <c r="J330" s="9">
        <f>VLOOKUP(I330,{"Excellent",4;"Poor",1;"Good",3;"OK",2},2,0)</f>
        <v>1</v>
      </c>
      <c r="O330" s="9">
        <v>-105</v>
      </c>
      <c r="P330" s="9">
        <f t="shared" si="21"/>
        <v>-76.111111111111114</v>
      </c>
      <c r="X330" s="9">
        <f t="shared" si="22"/>
        <v>197.03888888888886</v>
      </c>
    </row>
    <row r="331" spans="1:24" x14ac:dyDescent="0.25">
      <c r="A331" s="9" t="s">
        <v>593</v>
      </c>
      <c r="B331" s="9" t="s">
        <v>236</v>
      </c>
      <c r="C331" s="9">
        <f>VLOOKUP(B331,{"iPhone",1;"Motorola",2;"Nokia",3;"Samsung",4;"Sony Erickson",5;"Sprint",6},2,0)</f>
        <v>1</v>
      </c>
      <c r="H331" s="9" t="s">
        <v>593</v>
      </c>
      <c r="I331" s="9" t="s">
        <v>242</v>
      </c>
      <c r="J331" s="9">
        <f>VLOOKUP(I331,{"Excellent",4;"Poor",1;"Good",3;"OK",2},2,0)</f>
        <v>1</v>
      </c>
      <c r="O331" s="9">
        <v>-106</v>
      </c>
      <c r="P331" s="9">
        <f t="shared" si="21"/>
        <v>-76.666666666666671</v>
      </c>
      <c r="X331" s="9">
        <f t="shared" si="22"/>
        <v>196.48333333333329</v>
      </c>
    </row>
    <row r="332" spans="1:24" x14ac:dyDescent="0.25">
      <c r="A332" s="9" t="s">
        <v>594</v>
      </c>
      <c r="B332" s="9" t="s">
        <v>258</v>
      </c>
      <c r="C332" s="9">
        <f>VLOOKUP(B332,{"iPhone",1;"Motorola",2;"Nokia",3;"Samsung",4;"Sony Erickson",5;"Sprint",6},2,0)</f>
        <v>6</v>
      </c>
      <c r="H332" s="9" t="s">
        <v>594</v>
      </c>
      <c r="I332" s="9" t="s">
        <v>238</v>
      </c>
      <c r="J332" s="9">
        <f>VLOOKUP(I332,{"Excellent",4;"Poor",1;"Good",3;"OK",2},2,0)</f>
        <v>4</v>
      </c>
      <c r="O332" s="9">
        <v>-107</v>
      </c>
      <c r="P332" s="9">
        <f t="shared" si="21"/>
        <v>-77.222222222222214</v>
      </c>
      <c r="X332" s="9">
        <f t="shared" si="22"/>
        <v>195.92777777777775</v>
      </c>
    </row>
    <row r="333" spans="1:24" x14ac:dyDescent="0.25">
      <c r="A333" s="9" t="s">
        <v>595</v>
      </c>
      <c r="B333" s="9" t="s">
        <v>235</v>
      </c>
      <c r="C333" s="9">
        <f>VLOOKUP(B333,{"iPhone",1;"Motorola",2;"Nokia",3;"Samsung",4;"Sony Erickson",5;"Sprint",6},2,0)</f>
        <v>2</v>
      </c>
      <c r="H333" s="9" t="s">
        <v>595</v>
      </c>
      <c r="I333" s="9" t="s">
        <v>242</v>
      </c>
      <c r="J333" s="9">
        <f>VLOOKUP(I333,{"Excellent",4;"Poor",1;"Good",3;"OK",2},2,0)</f>
        <v>1</v>
      </c>
      <c r="O333" s="9">
        <v>-108</v>
      </c>
      <c r="P333" s="9">
        <f t="shared" si="21"/>
        <v>-77.777777777777771</v>
      </c>
      <c r="X333" s="9">
        <f t="shared" si="22"/>
        <v>195.37222222222221</v>
      </c>
    </row>
    <row r="334" spans="1:24" x14ac:dyDescent="0.25">
      <c r="A334" s="9" t="s">
        <v>596</v>
      </c>
      <c r="B334" s="9" t="s">
        <v>247</v>
      </c>
      <c r="C334" s="9">
        <f>VLOOKUP(B334,{"iPhone",1;"Motorola",2;"Nokia",3;"Samsung",4;"Sony Erickson",5;"Sprint",6},2,0)</f>
        <v>4</v>
      </c>
      <c r="H334" s="9" t="s">
        <v>596</v>
      </c>
      <c r="I334" s="9" t="s">
        <v>237</v>
      </c>
      <c r="J334" s="9">
        <f>VLOOKUP(I334,{"Excellent",4;"Poor",1;"Good",3;"OK",2},2,0)</f>
        <v>2</v>
      </c>
      <c r="O334" s="9">
        <v>-109</v>
      </c>
      <c r="P334" s="9">
        <f t="shared" si="21"/>
        <v>-78.333333333333329</v>
      </c>
      <c r="X334" s="9">
        <f t="shared" si="22"/>
        <v>194.81666666666666</v>
      </c>
    </row>
    <row r="335" spans="1:24" x14ac:dyDescent="0.25">
      <c r="A335" s="9" t="s">
        <v>597</v>
      </c>
      <c r="B335" s="9" t="s">
        <v>248</v>
      </c>
      <c r="C335" s="9">
        <f>VLOOKUP(B335,{"iPhone",1;"Motorola",2;"Nokia",3;"Samsung",4;"Sony Erickson",5;"Sprint",6},2,0)</f>
        <v>3</v>
      </c>
      <c r="H335" s="9" t="s">
        <v>597</v>
      </c>
      <c r="I335" s="9" t="s">
        <v>237</v>
      </c>
      <c r="J335" s="9">
        <f>VLOOKUP(I335,{"Excellent",4;"Poor",1;"Good",3;"OK",2},2,0)</f>
        <v>2</v>
      </c>
      <c r="O335" s="9">
        <v>-110</v>
      </c>
      <c r="P335" s="9">
        <f t="shared" si="21"/>
        <v>-78.888888888888886</v>
      </c>
      <c r="X335" s="9">
        <f t="shared" si="22"/>
        <v>194.26111111111109</v>
      </c>
    </row>
    <row r="336" spans="1:24" x14ac:dyDescent="0.25">
      <c r="A336" s="9" t="s">
        <v>598</v>
      </c>
      <c r="B336" s="9" t="s">
        <v>254</v>
      </c>
      <c r="C336" s="9">
        <f>VLOOKUP(B336,{"iPhone",1;"Motorola",2;"Nokia",3;"Samsung",4;"Sony Erickson",5;"Sprint",6},2,0)</f>
        <v>5</v>
      </c>
      <c r="H336" s="9" t="s">
        <v>598</v>
      </c>
      <c r="I336" s="9" t="s">
        <v>242</v>
      </c>
      <c r="J336" s="9">
        <f>VLOOKUP(I336,{"Excellent",4;"Poor",1;"Good",3;"OK",2},2,0)</f>
        <v>1</v>
      </c>
      <c r="O336" s="9">
        <v>-111</v>
      </c>
      <c r="P336" s="9">
        <f t="shared" si="21"/>
        <v>-79.444444444444443</v>
      </c>
      <c r="X336" s="9">
        <f t="shared" si="22"/>
        <v>193.70555555555552</v>
      </c>
    </row>
    <row r="337" spans="1:24" x14ac:dyDescent="0.25">
      <c r="A337" s="9" t="s">
        <v>599</v>
      </c>
      <c r="B337" s="9" t="s">
        <v>236</v>
      </c>
      <c r="C337" s="9">
        <f>VLOOKUP(B337,{"iPhone",1;"Motorola",2;"Nokia",3;"Samsung",4;"Sony Erickson",5;"Sprint",6},2,0)</f>
        <v>1</v>
      </c>
      <c r="H337" s="9" t="s">
        <v>599</v>
      </c>
      <c r="I337" s="9" t="s">
        <v>242</v>
      </c>
      <c r="J337" s="9">
        <f>VLOOKUP(I337,{"Excellent",4;"Poor",1;"Good",3;"OK",2},2,0)</f>
        <v>1</v>
      </c>
      <c r="O337" s="9">
        <v>-112</v>
      </c>
      <c r="P337" s="9">
        <f t="shared" si="21"/>
        <v>-80</v>
      </c>
      <c r="X337" s="9">
        <f t="shared" si="22"/>
        <v>193.14999999999998</v>
      </c>
    </row>
    <row r="338" spans="1:24" x14ac:dyDescent="0.25">
      <c r="A338" s="9" t="s">
        <v>600</v>
      </c>
      <c r="B338" s="9" t="s">
        <v>247</v>
      </c>
      <c r="C338" s="9">
        <f>VLOOKUP(B338,{"iPhone",1;"Motorola",2;"Nokia",3;"Samsung",4;"Sony Erickson",5;"Sprint",6},2,0)</f>
        <v>4</v>
      </c>
      <c r="H338" s="9" t="s">
        <v>600</v>
      </c>
      <c r="I338" s="9" t="s">
        <v>243</v>
      </c>
      <c r="J338" s="9">
        <f>VLOOKUP(I338,{"Excellent",4;"Poor",1;"Good",3;"OK",2},2,0)</f>
        <v>3</v>
      </c>
      <c r="O338" s="9">
        <v>-113</v>
      </c>
      <c r="P338" s="9">
        <f t="shared" si="21"/>
        <v>-80.555555555555557</v>
      </c>
      <c r="X338" s="9">
        <f t="shared" si="22"/>
        <v>192.59444444444443</v>
      </c>
    </row>
    <row r="339" spans="1:24" x14ac:dyDescent="0.25">
      <c r="A339" s="9" t="s">
        <v>601</v>
      </c>
      <c r="B339" s="9" t="s">
        <v>236</v>
      </c>
      <c r="C339" s="9">
        <f>VLOOKUP(B339,{"iPhone",1;"Motorola",2;"Nokia",3;"Samsung",4;"Sony Erickson",5;"Sprint",6},2,0)</f>
        <v>1</v>
      </c>
      <c r="H339" s="9" t="s">
        <v>601</v>
      </c>
      <c r="I339" s="9" t="s">
        <v>237</v>
      </c>
      <c r="J339" s="9">
        <f>VLOOKUP(I339,{"Excellent",4;"Poor",1;"Good",3;"OK",2},2,0)</f>
        <v>2</v>
      </c>
      <c r="O339" s="9">
        <v>-114</v>
      </c>
      <c r="P339" s="9">
        <f t="shared" si="21"/>
        <v>-81.111111111111114</v>
      </c>
      <c r="X339" s="9">
        <f t="shared" si="22"/>
        <v>192.03888888888886</v>
      </c>
    </row>
    <row r="340" spans="1:24" x14ac:dyDescent="0.25">
      <c r="A340" s="9" t="s">
        <v>602</v>
      </c>
      <c r="B340" s="9" t="s">
        <v>236</v>
      </c>
      <c r="C340" s="9">
        <f>VLOOKUP(B340,{"iPhone",1;"Motorola",2;"Nokia",3;"Samsung",4;"Sony Erickson",5;"Sprint",6},2,0)</f>
        <v>1</v>
      </c>
      <c r="H340" s="9" t="s">
        <v>602</v>
      </c>
      <c r="I340" s="9" t="s">
        <v>237</v>
      </c>
      <c r="J340" s="9">
        <f>VLOOKUP(I340,{"Excellent",4;"Poor",1;"Good",3;"OK",2},2,0)</f>
        <v>2</v>
      </c>
      <c r="O340" s="9">
        <v>-115</v>
      </c>
      <c r="P340" s="9">
        <f t="shared" si="21"/>
        <v>-81.666666666666671</v>
      </c>
      <c r="X340" s="9">
        <f t="shared" si="22"/>
        <v>191.48333333333329</v>
      </c>
    </row>
    <row r="341" spans="1:24" x14ac:dyDescent="0.25">
      <c r="A341" s="9" t="s">
        <v>603</v>
      </c>
      <c r="B341" s="9" t="s">
        <v>248</v>
      </c>
      <c r="C341" s="9">
        <f>VLOOKUP(B341,{"iPhone",1;"Motorola",2;"Nokia",3;"Samsung",4;"Sony Erickson",5;"Sprint",6},2,0)</f>
        <v>3</v>
      </c>
      <c r="H341" s="9" t="s">
        <v>603</v>
      </c>
      <c r="I341" s="9" t="s">
        <v>238</v>
      </c>
      <c r="J341" s="9">
        <f>VLOOKUP(I341,{"Excellent",4;"Poor",1;"Good",3;"OK",2},2,0)</f>
        <v>4</v>
      </c>
      <c r="O341" s="9">
        <v>-116</v>
      </c>
      <c r="P341" s="9">
        <f t="shared" si="21"/>
        <v>-82.222222222222214</v>
      </c>
      <c r="X341" s="9">
        <f t="shared" si="22"/>
        <v>190.92777777777775</v>
      </c>
    </row>
    <row r="342" spans="1:24" x14ac:dyDescent="0.25">
      <c r="A342" s="9" t="s">
        <v>604</v>
      </c>
      <c r="B342" s="9" t="s">
        <v>235</v>
      </c>
      <c r="C342" s="9">
        <f>VLOOKUP(B342,{"iPhone",1;"Motorola",2;"Nokia",3;"Samsung",4;"Sony Erickson",5;"Sprint",6},2,0)</f>
        <v>2</v>
      </c>
      <c r="H342" s="9" t="s">
        <v>604</v>
      </c>
      <c r="I342" s="9" t="s">
        <v>238</v>
      </c>
      <c r="J342" s="9">
        <f>VLOOKUP(I342,{"Excellent",4;"Poor",1;"Good",3;"OK",2},2,0)</f>
        <v>4</v>
      </c>
      <c r="O342" s="9">
        <v>-117</v>
      </c>
      <c r="P342" s="9">
        <f t="shared" si="21"/>
        <v>-82.777777777777771</v>
      </c>
      <c r="X342" s="9">
        <f t="shared" si="22"/>
        <v>190.37222222222221</v>
      </c>
    </row>
    <row r="343" spans="1:24" x14ac:dyDescent="0.25">
      <c r="A343" s="9" t="s">
        <v>605</v>
      </c>
      <c r="B343" s="9" t="s">
        <v>248</v>
      </c>
      <c r="C343" s="9">
        <f>VLOOKUP(B343,{"iPhone",1;"Motorola",2;"Nokia",3;"Samsung",4;"Sony Erickson",5;"Sprint",6},2,0)</f>
        <v>3</v>
      </c>
      <c r="H343" s="9" t="s">
        <v>605</v>
      </c>
      <c r="I343" s="9" t="s">
        <v>243</v>
      </c>
      <c r="J343" s="9">
        <f>VLOOKUP(I343,{"Excellent",4;"Poor",1;"Good",3;"OK",2},2,0)</f>
        <v>3</v>
      </c>
      <c r="O343" s="9">
        <v>-118</v>
      </c>
      <c r="P343" s="9">
        <f t="shared" si="21"/>
        <v>-83.333333333333329</v>
      </c>
      <c r="X343" s="9">
        <f t="shared" si="22"/>
        <v>189.81666666666666</v>
      </c>
    </row>
    <row r="344" spans="1:24" x14ac:dyDescent="0.25">
      <c r="A344" s="9" t="s">
        <v>606</v>
      </c>
      <c r="B344" s="9" t="s">
        <v>248</v>
      </c>
      <c r="C344" s="9">
        <f>VLOOKUP(B344,{"iPhone",1;"Motorola",2;"Nokia",3;"Samsung",4;"Sony Erickson",5;"Sprint",6},2,0)</f>
        <v>3</v>
      </c>
      <c r="H344" s="9" t="s">
        <v>606</v>
      </c>
      <c r="I344" s="9" t="s">
        <v>242</v>
      </c>
      <c r="J344" s="9">
        <f>VLOOKUP(I344,{"Excellent",4;"Poor",1;"Good",3;"OK",2},2,0)</f>
        <v>1</v>
      </c>
      <c r="O344" s="9">
        <v>-119</v>
      </c>
      <c r="P344" s="9">
        <f t="shared" si="21"/>
        <v>-83.888888888888886</v>
      </c>
      <c r="X344" s="9">
        <f t="shared" si="22"/>
        <v>189.26111111111109</v>
      </c>
    </row>
    <row r="345" spans="1:24" x14ac:dyDescent="0.25">
      <c r="A345" s="9" t="s">
        <v>607</v>
      </c>
      <c r="B345" s="9" t="s">
        <v>247</v>
      </c>
      <c r="C345" s="9">
        <f>VLOOKUP(B345,{"iPhone",1;"Motorola",2;"Nokia",3;"Samsung",4;"Sony Erickson",5;"Sprint",6},2,0)</f>
        <v>4</v>
      </c>
      <c r="H345" s="9" t="s">
        <v>607</v>
      </c>
      <c r="I345" s="9" t="s">
        <v>238</v>
      </c>
      <c r="J345" s="9">
        <f>VLOOKUP(I345,{"Excellent",4;"Poor",1;"Good",3;"OK",2},2,0)</f>
        <v>4</v>
      </c>
      <c r="O345" s="9">
        <v>-120</v>
      </c>
      <c r="P345" s="9">
        <f t="shared" si="21"/>
        <v>-84.444444444444443</v>
      </c>
      <c r="X345" s="9">
        <f t="shared" si="22"/>
        <v>188.70555555555552</v>
      </c>
    </row>
    <row r="346" spans="1:24" x14ac:dyDescent="0.25">
      <c r="A346" s="9" t="s">
        <v>608</v>
      </c>
      <c r="B346" s="9" t="s">
        <v>236</v>
      </c>
      <c r="C346" s="9">
        <f>VLOOKUP(B346,{"iPhone",1;"Motorola",2;"Nokia",3;"Samsung",4;"Sony Erickson",5;"Sprint",6},2,0)</f>
        <v>1</v>
      </c>
      <c r="H346" s="9" t="s">
        <v>608</v>
      </c>
      <c r="I346" s="9" t="s">
        <v>243</v>
      </c>
      <c r="J346" s="9">
        <f>VLOOKUP(I346,{"Excellent",4;"Poor",1;"Good",3;"OK",2},2,0)</f>
        <v>3</v>
      </c>
      <c r="O346" s="9">
        <v>-121</v>
      </c>
      <c r="P346" s="9">
        <f t="shared" si="21"/>
        <v>-85</v>
      </c>
      <c r="X346" s="9">
        <f t="shared" si="22"/>
        <v>188.14999999999998</v>
      </c>
    </row>
    <row r="347" spans="1:24" x14ac:dyDescent="0.25">
      <c r="A347" s="9" t="s">
        <v>609</v>
      </c>
      <c r="B347" s="9" t="s">
        <v>236</v>
      </c>
      <c r="C347" s="9">
        <f>VLOOKUP(B347,{"iPhone",1;"Motorola",2;"Nokia",3;"Samsung",4;"Sony Erickson",5;"Sprint",6},2,0)</f>
        <v>1</v>
      </c>
      <c r="H347" s="9" t="s">
        <v>609</v>
      </c>
      <c r="I347" s="9" t="s">
        <v>243</v>
      </c>
      <c r="J347" s="9">
        <f>VLOOKUP(I347,{"Excellent",4;"Poor",1;"Good",3;"OK",2},2,0)</f>
        <v>3</v>
      </c>
      <c r="O347" s="9">
        <v>-122</v>
      </c>
      <c r="P347" s="9">
        <f t="shared" si="21"/>
        <v>-85.555555555555557</v>
      </c>
      <c r="X347" s="9">
        <f t="shared" si="22"/>
        <v>187.59444444444443</v>
      </c>
    </row>
    <row r="348" spans="1:24" x14ac:dyDescent="0.25">
      <c r="A348" s="9" t="s">
        <v>610</v>
      </c>
      <c r="B348" s="9" t="s">
        <v>258</v>
      </c>
      <c r="C348" s="9">
        <f>VLOOKUP(B348,{"iPhone",1;"Motorola",2;"Nokia",3;"Samsung",4;"Sony Erickson",5;"Sprint",6},2,0)</f>
        <v>6</v>
      </c>
      <c r="H348" s="9" t="s">
        <v>610</v>
      </c>
      <c r="I348" s="9" t="s">
        <v>237</v>
      </c>
      <c r="J348" s="9">
        <f>VLOOKUP(I348,{"Excellent",4;"Poor",1;"Good",3;"OK",2},2,0)</f>
        <v>2</v>
      </c>
      <c r="O348" s="9">
        <v>-123</v>
      </c>
      <c r="P348" s="9">
        <f t="shared" si="21"/>
        <v>-86.111111111111114</v>
      </c>
      <c r="X348" s="9">
        <f t="shared" si="22"/>
        <v>187.03888888888886</v>
      </c>
    </row>
    <row r="349" spans="1:24" x14ac:dyDescent="0.25">
      <c r="A349" s="9" t="s">
        <v>611</v>
      </c>
      <c r="B349" s="9" t="s">
        <v>248</v>
      </c>
      <c r="C349" s="9">
        <f>VLOOKUP(B349,{"iPhone",1;"Motorola",2;"Nokia",3;"Samsung",4;"Sony Erickson",5;"Sprint",6},2,0)</f>
        <v>3</v>
      </c>
      <c r="H349" s="9" t="s">
        <v>611</v>
      </c>
      <c r="I349" s="9" t="s">
        <v>238</v>
      </c>
      <c r="J349" s="9">
        <f>VLOOKUP(I349,{"Excellent",4;"Poor",1;"Good",3;"OK",2},2,0)</f>
        <v>4</v>
      </c>
      <c r="O349" s="9">
        <v>-124</v>
      </c>
      <c r="P349" s="9">
        <f t="shared" si="21"/>
        <v>-86.666666666666671</v>
      </c>
      <c r="X349" s="9">
        <f t="shared" si="22"/>
        <v>186.48333333333329</v>
      </c>
    </row>
    <row r="350" spans="1:24" x14ac:dyDescent="0.25">
      <c r="A350" s="9" t="s">
        <v>612</v>
      </c>
      <c r="B350" s="9" t="s">
        <v>258</v>
      </c>
      <c r="C350" s="9">
        <f>VLOOKUP(B350,{"iPhone",1;"Motorola",2;"Nokia",3;"Samsung",4;"Sony Erickson",5;"Sprint",6},2,0)</f>
        <v>6</v>
      </c>
      <c r="H350" s="9" t="s">
        <v>612</v>
      </c>
      <c r="I350" s="9" t="s">
        <v>242</v>
      </c>
      <c r="J350" s="9">
        <f>VLOOKUP(I350,{"Excellent",4;"Poor",1;"Good",3;"OK",2},2,0)</f>
        <v>1</v>
      </c>
      <c r="O350" s="9">
        <v>-125</v>
      </c>
      <c r="P350" s="9">
        <f t="shared" si="21"/>
        <v>-87.222222222222214</v>
      </c>
      <c r="X350" s="9">
        <f t="shared" si="22"/>
        <v>185.92777777777775</v>
      </c>
    </row>
    <row r="351" spans="1:24" x14ac:dyDescent="0.25">
      <c r="A351" s="9" t="s">
        <v>613</v>
      </c>
      <c r="B351" s="9" t="s">
        <v>254</v>
      </c>
      <c r="C351" s="9">
        <f>VLOOKUP(B351,{"iPhone",1;"Motorola",2;"Nokia",3;"Samsung",4;"Sony Erickson",5;"Sprint",6},2,0)</f>
        <v>5</v>
      </c>
      <c r="H351" s="9" t="s">
        <v>613</v>
      </c>
      <c r="I351" s="9" t="s">
        <v>242</v>
      </c>
      <c r="J351" s="9">
        <f>VLOOKUP(I351,{"Excellent",4;"Poor",1;"Good",3;"OK",2},2,0)</f>
        <v>1</v>
      </c>
      <c r="O351" s="9">
        <v>-126</v>
      </c>
      <c r="P351" s="9">
        <f t="shared" si="21"/>
        <v>-87.777777777777771</v>
      </c>
      <c r="X351" s="9">
        <f t="shared" si="22"/>
        <v>185.37222222222221</v>
      </c>
    </row>
    <row r="352" spans="1:24" x14ac:dyDescent="0.25">
      <c r="A352" s="9" t="s">
        <v>614</v>
      </c>
      <c r="B352" s="9" t="s">
        <v>235</v>
      </c>
      <c r="C352" s="9">
        <f>VLOOKUP(B352,{"iPhone",1;"Motorola",2;"Nokia",3;"Samsung",4;"Sony Erickson",5;"Sprint",6},2,0)</f>
        <v>2</v>
      </c>
      <c r="H352" s="9" t="s">
        <v>614</v>
      </c>
      <c r="I352" s="9" t="s">
        <v>237</v>
      </c>
      <c r="J352" s="9">
        <f>VLOOKUP(I352,{"Excellent",4;"Poor",1;"Good",3;"OK",2},2,0)</f>
        <v>2</v>
      </c>
      <c r="O352" s="9">
        <v>-127</v>
      </c>
      <c r="P352" s="9">
        <f t="shared" si="21"/>
        <v>-88.333333333333329</v>
      </c>
      <c r="X352" s="9">
        <f t="shared" si="22"/>
        <v>184.81666666666666</v>
      </c>
    </row>
    <row r="353" spans="1:24" x14ac:dyDescent="0.25">
      <c r="A353" s="9" t="s">
        <v>615</v>
      </c>
      <c r="B353" s="9" t="s">
        <v>236</v>
      </c>
      <c r="C353" s="9">
        <f>VLOOKUP(B353,{"iPhone",1;"Motorola",2;"Nokia",3;"Samsung",4;"Sony Erickson",5;"Sprint",6},2,0)</f>
        <v>1</v>
      </c>
      <c r="H353" s="9" t="s">
        <v>615</v>
      </c>
      <c r="I353" s="9" t="s">
        <v>237</v>
      </c>
      <c r="J353" s="9">
        <f>VLOOKUP(I353,{"Excellent",4;"Poor",1;"Good",3;"OK",2},2,0)</f>
        <v>2</v>
      </c>
      <c r="O353" s="9">
        <v>-128</v>
      </c>
      <c r="P353" s="9">
        <f t="shared" si="21"/>
        <v>-88.888888888888886</v>
      </c>
      <c r="X353" s="9">
        <f t="shared" si="22"/>
        <v>184.26111111111109</v>
      </c>
    </row>
    <row r="354" spans="1:24" x14ac:dyDescent="0.25">
      <c r="A354" s="9" t="s">
        <v>616</v>
      </c>
      <c r="B354" s="9" t="s">
        <v>258</v>
      </c>
      <c r="C354" s="9">
        <f>VLOOKUP(B354,{"iPhone",1;"Motorola",2;"Nokia",3;"Samsung",4;"Sony Erickson",5;"Sprint",6},2,0)</f>
        <v>6</v>
      </c>
      <c r="H354" s="9" t="s">
        <v>616</v>
      </c>
      <c r="I354" s="9" t="s">
        <v>242</v>
      </c>
      <c r="J354" s="9">
        <f>VLOOKUP(I354,{"Excellent",4;"Poor",1;"Good",3;"OK",2},2,0)</f>
        <v>1</v>
      </c>
      <c r="O354" s="9">
        <v>-129</v>
      </c>
      <c r="P354" s="9">
        <f t="shared" si="21"/>
        <v>-89.444444444444443</v>
      </c>
      <c r="X354" s="9">
        <f t="shared" si="22"/>
        <v>183.70555555555552</v>
      </c>
    </row>
    <row r="355" spans="1:24" x14ac:dyDescent="0.25">
      <c r="A355" s="9" t="s">
        <v>617</v>
      </c>
      <c r="B355" s="9" t="s">
        <v>254</v>
      </c>
      <c r="C355" s="9">
        <f>VLOOKUP(B355,{"iPhone",1;"Motorola",2;"Nokia",3;"Samsung",4;"Sony Erickson",5;"Sprint",6},2,0)</f>
        <v>5</v>
      </c>
      <c r="H355" s="9" t="s">
        <v>617</v>
      </c>
      <c r="I355" s="9" t="s">
        <v>237</v>
      </c>
      <c r="J355" s="9">
        <f>VLOOKUP(I355,{"Excellent",4;"Poor",1;"Good",3;"OK",2},2,0)</f>
        <v>2</v>
      </c>
      <c r="O355" s="9">
        <v>-130</v>
      </c>
      <c r="P355" s="9">
        <f t="shared" si="21"/>
        <v>-90</v>
      </c>
      <c r="X355" s="9">
        <f t="shared" si="22"/>
        <v>183.14999999999998</v>
      </c>
    </row>
    <row r="356" spans="1:24" x14ac:dyDescent="0.25">
      <c r="A356" s="9" t="s">
        <v>618</v>
      </c>
      <c r="B356" s="9" t="s">
        <v>236</v>
      </c>
      <c r="C356" s="9">
        <f>VLOOKUP(B356,{"iPhone",1;"Motorola",2;"Nokia",3;"Samsung",4;"Sony Erickson",5;"Sprint",6},2,0)</f>
        <v>1</v>
      </c>
      <c r="H356" s="9" t="s">
        <v>618</v>
      </c>
      <c r="I356" s="9" t="s">
        <v>242</v>
      </c>
      <c r="J356" s="9">
        <f>VLOOKUP(I356,{"Excellent",4;"Poor",1;"Good",3;"OK",2},2,0)</f>
        <v>1</v>
      </c>
      <c r="O356" s="9">
        <v>-131</v>
      </c>
      <c r="P356" s="9">
        <f t="shared" si="21"/>
        <v>-90.555555555555557</v>
      </c>
      <c r="X356" s="9">
        <f t="shared" si="22"/>
        <v>182.59444444444443</v>
      </c>
    </row>
    <row r="357" spans="1:24" x14ac:dyDescent="0.25">
      <c r="A357" s="9" t="s">
        <v>619</v>
      </c>
      <c r="B357" s="9" t="s">
        <v>236</v>
      </c>
      <c r="C357" s="9">
        <f>VLOOKUP(B357,{"iPhone",1;"Motorola",2;"Nokia",3;"Samsung",4;"Sony Erickson",5;"Sprint",6},2,0)</f>
        <v>1</v>
      </c>
      <c r="H357" s="9" t="s">
        <v>619</v>
      </c>
      <c r="I357" s="9" t="s">
        <v>237</v>
      </c>
      <c r="J357" s="9">
        <f>VLOOKUP(I357,{"Excellent",4;"Poor",1;"Good",3;"OK",2},2,0)</f>
        <v>2</v>
      </c>
      <c r="O357" s="9">
        <v>-132</v>
      </c>
      <c r="P357" s="9">
        <f t="shared" si="21"/>
        <v>-91.111111111111114</v>
      </c>
      <c r="X357" s="9">
        <f t="shared" si="22"/>
        <v>182.03888888888886</v>
      </c>
    </row>
    <row r="358" spans="1:24" x14ac:dyDescent="0.25">
      <c r="A358" s="9" t="s">
        <v>620</v>
      </c>
      <c r="B358" s="9" t="s">
        <v>235</v>
      </c>
      <c r="C358" s="9">
        <f>VLOOKUP(B358,{"iPhone",1;"Motorola",2;"Nokia",3;"Samsung",4;"Sony Erickson",5;"Sprint",6},2,0)</f>
        <v>2</v>
      </c>
      <c r="H358" s="9" t="s">
        <v>620</v>
      </c>
      <c r="I358" s="9" t="s">
        <v>237</v>
      </c>
      <c r="J358" s="9">
        <f>VLOOKUP(I358,{"Excellent",4;"Poor",1;"Good",3;"OK",2},2,0)</f>
        <v>2</v>
      </c>
      <c r="O358" s="9">
        <v>-133</v>
      </c>
      <c r="P358" s="9">
        <f t="shared" si="21"/>
        <v>-91.666666666666671</v>
      </c>
      <c r="X358" s="9">
        <f t="shared" si="22"/>
        <v>181.48333333333329</v>
      </c>
    </row>
    <row r="359" spans="1:24" x14ac:dyDescent="0.25">
      <c r="A359" s="9" t="s">
        <v>621</v>
      </c>
      <c r="B359" s="9" t="s">
        <v>235</v>
      </c>
      <c r="C359" s="9">
        <f>VLOOKUP(B359,{"iPhone",1;"Motorola",2;"Nokia",3;"Samsung",4;"Sony Erickson",5;"Sprint",6},2,0)</f>
        <v>2</v>
      </c>
      <c r="H359" s="9" t="s">
        <v>621</v>
      </c>
      <c r="I359" s="9" t="s">
        <v>237</v>
      </c>
      <c r="J359" s="9">
        <f>VLOOKUP(I359,{"Excellent",4;"Poor",1;"Good",3;"OK",2},2,0)</f>
        <v>2</v>
      </c>
      <c r="O359" s="9">
        <v>-134</v>
      </c>
      <c r="P359" s="9">
        <f t="shared" si="21"/>
        <v>-92.222222222222214</v>
      </c>
      <c r="X359" s="9">
        <f t="shared" si="22"/>
        <v>180.92777777777775</v>
      </c>
    </row>
    <row r="360" spans="1:24" x14ac:dyDescent="0.25">
      <c r="A360" s="9" t="s">
        <v>622</v>
      </c>
      <c r="B360" s="9" t="s">
        <v>247</v>
      </c>
      <c r="C360" s="9">
        <f>VLOOKUP(B360,{"iPhone",1;"Motorola",2;"Nokia",3;"Samsung",4;"Sony Erickson",5;"Sprint",6},2,0)</f>
        <v>4</v>
      </c>
      <c r="H360" s="9" t="s">
        <v>622</v>
      </c>
      <c r="I360" s="9" t="s">
        <v>238</v>
      </c>
      <c r="J360" s="9">
        <f>VLOOKUP(I360,{"Excellent",4;"Poor",1;"Good",3;"OK",2},2,0)</f>
        <v>4</v>
      </c>
      <c r="O360" s="9">
        <v>-135</v>
      </c>
      <c r="P360" s="9">
        <f t="shared" si="21"/>
        <v>-92.777777777777771</v>
      </c>
      <c r="X360" s="9">
        <f t="shared" si="22"/>
        <v>180.37222222222221</v>
      </c>
    </row>
    <row r="361" spans="1:24" x14ac:dyDescent="0.25">
      <c r="A361" s="9" t="s">
        <v>623</v>
      </c>
      <c r="B361" s="9" t="s">
        <v>248</v>
      </c>
      <c r="C361" s="9">
        <f>VLOOKUP(B361,{"iPhone",1;"Motorola",2;"Nokia",3;"Samsung",4;"Sony Erickson",5;"Sprint",6},2,0)</f>
        <v>3</v>
      </c>
      <c r="H361" s="9" t="s">
        <v>623</v>
      </c>
      <c r="I361" s="9" t="s">
        <v>237</v>
      </c>
      <c r="J361" s="9">
        <f>VLOOKUP(I361,{"Excellent",4;"Poor",1;"Good",3;"OK",2},2,0)</f>
        <v>2</v>
      </c>
      <c r="O361" s="9">
        <v>-136</v>
      </c>
      <c r="P361" s="9">
        <f t="shared" si="21"/>
        <v>-93.333333333333329</v>
      </c>
      <c r="X361" s="9">
        <f t="shared" si="22"/>
        <v>179.81666666666666</v>
      </c>
    </row>
    <row r="362" spans="1:24" x14ac:dyDescent="0.25">
      <c r="A362" s="9" t="s">
        <v>624</v>
      </c>
      <c r="B362" s="9" t="s">
        <v>236</v>
      </c>
      <c r="C362" s="9">
        <f>VLOOKUP(B362,{"iPhone",1;"Motorola",2;"Nokia",3;"Samsung",4;"Sony Erickson",5;"Sprint",6},2,0)</f>
        <v>1</v>
      </c>
      <c r="H362" s="9" t="s">
        <v>624</v>
      </c>
      <c r="I362" s="9" t="s">
        <v>242</v>
      </c>
      <c r="J362" s="9">
        <f>VLOOKUP(I362,{"Excellent",4;"Poor",1;"Good",3;"OK",2},2,0)</f>
        <v>1</v>
      </c>
      <c r="O362" s="9">
        <v>-137</v>
      </c>
      <c r="P362" s="9">
        <f t="shared" si="21"/>
        <v>-93.888888888888886</v>
      </c>
      <c r="X362" s="9">
        <f t="shared" si="22"/>
        <v>179.26111111111109</v>
      </c>
    </row>
    <row r="363" spans="1:24" x14ac:dyDescent="0.25">
      <c r="A363" s="9" t="s">
        <v>625</v>
      </c>
      <c r="B363" s="9" t="s">
        <v>258</v>
      </c>
      <c r="C363" s="9">
        <f>VLOOKUP(B363,{"iPhone",1;"Motorola",2;"Nokia",3;"Samsung",4;"Sony Erickson",5;"Sprint",6},2,0)</f>
        <v>6</v>
      </c>
      <c r="H363" s="9" t="s">
        <v>625</v>
      </c>
      <c r="I363" s="9" t="s">
        <v>242</v>
      </c>
      <c r="J363" s="9">
        <f>VLOOKUP(I363,{"Excellent",4;"Poor",1;"Good",3;"OK",2},2,0)</f>
        <v>1</v>
      </c>
      <c r="O363" s="9">
        <v>-138</v>
      </c>
      <c r="P363" s="9">
        <f t="shared" si="21"/>
        <v>-94.444444444444443</v>
      </c>
      <c r="X363" s="9">
        <f t="shared" si="22"/>
        <v>178.70555555555552</v>
      </c>
    </row>
    <row r="364" spans="1:24" x14ac:dyDescent="0.25">
      <c r="A364" s="9" t="s">
        <v>626</v>
      </c>
      <c r="B364" s="9" t="s">
        <v>258</v>
      </c>
      <c r="C364" s="9">
        <f>VLOOKUP(B364,{"iPhone",1;"Motorola",2;"Nokia",3;"Samsung",4;"Sony Erickson",5;"Sprint",6},2,0)</f>
        <v>6</v>
      </c>
      <c r="H364" s="9" t="s">
        <v>626</v>
      </c>
      <c r="I364" s="9" t="s">
        <v>238</v>
      </c>
      <c r="J364" s="9">
        <f>VLOOKUP(I364,{"Excellent",4;"Poor",1;"Good",3;"OK",2},2,0)</f>
        <v>4</v>
      </c>
      <c r="O364" s="9">
        <v>-139</v>
      </c>
      <c r="P364" s="9">
        <f t="shared" si="21"/>
        <v>-95</v>
      </c>
      <c r="X364" s="9">
        <f t="shared" si="22"/>
        <v>178.14999999999998</v>
      </c>
    </row>
    <row r="365" spans="1:24" x14ac:dyDescent="0.25">
      <c r="A365" s="9" t="s">
        <v>627</v>
      </c>
      <c r="B365" s="9" t="s">
        <v>236</v>
      </c>
      <c r="C365" s="9">
        <f>VLOOKUP(B365,{"iPhone",1;"Motorola",2;"Nokia",3;"Samsung",4;"Sony Erickson",5;"Sprint",6},2,0)</f>
        <v>1</v>
      </c>
      <c r="H365" s="9" t="s">
        <v>627</v>
      </c>
      <c r="I365" s="9" t="s">
        <v>242</v>
      </c>
      <c r="J365" s="9">
        <f>VLOOKUP(I365,{"Excellent",4;"Poor",1;"Good",3;"OK",2},2,0)</f>
        <v>1</v>
      </c>
      <c r="O365" s="9">
        <v>-140</v>
      </c>
      <c r="P365" s="9">
        <f t="shared" si="21"/>
        <v>-95.555555555555557</v>
      </c>
      <c r="X365" s="9">
        <f t="shared" si="22"/>
        <v>177.59444444444443</v>
      </c>
    </row>
    <row r="366" spans="1:24" x14ac:dyDescent="0.25">
      <c r="A366" s="9" t="s">
        <v>628</v>
      </c>
      <c r="B366" s="9" t="s">
        <v>254</v>
      </c>
      <c r="C366" s="9">
        <f>VLOOKUP(B366,{"iPhone",1;"Motorola",2;"Nokia",3;"Samsung",4;"Sony Erickson",5;"Sprint",6},2,0)</f>
        <v>5</v>
      </c>
      <c r="H366" s="9" t="s">
        <v>628</v>
      </c>
      <c r="I366" s="9" t="s">
        <v>237</v>
      </c>
      <c r="J366" s="9">
        <f>VLOOKUP(I366,{"Excellent",4;"Poor",1;"Good",3;"OK",2},2,0)</f>
        <v>2</v>
      </c>
      <c r="O366" s="9">
        <v>-141</v>
      </c>
      <c r="P366" s="9">
        <f t="shared" si="21"/>
        <v>-96.111111111111114</v>
      </c>
      <c r="X366" s="9">
        <f t="shared" si="22"/>
        <v>177.03888888888886</v>
      </c>
    </row>
    <row r="367" spans="1:24" x14ac:dyDescent="0.25">
      <c r="A367" s="9" t="s">
        <v>629</v>
      </c>
      <c r="B367" s="9" t="s">
        <v>248</v>
      </c>
      <c r="C367" s="9">
        <f>VLOOKUP(B367,{"iPhone",1;"Motorola",2;"Nokia",3;"Samsung",4;"Sony Erickson",5;"Sprint",6},2,0)</f>
        <v>3</v>
      </c>
      <c r="H367" s="9" t="s">
        <v>629</v>
      </c>
      <c r="I367" s="9" t="s">
        <v>242</v>
      </c>
      <c r="J367" s="9">
        <f>VLOOKUP(I367,{"Excellent",4;"Poor",1;"Good",3;"OK",2},2,0)</f>
        <v>1</v>
      </c>
      <c r="O367" s="9">
        <v>-142</v>
      </c>
      <c r="P367" s="9">
        <f t="shared" si="21"/>
        <v>-96.666666666666657</v>
      </c>
      <c r="X367" s="9">
        <f t="shared" si="22"/>
        <v>176.48333333333332</v>
      </c>
    </row>
    <row r="368" spans="1:24" x14ac:dyDescent="0.25">
      <c r="A368" s="9" t="s">
        <v>630</v>
      </c>
      <c r="B368" s="9" t="s">
        <v>248</v>
      </c>
      <c r="C368" s="9">
        <f>VLOOKUP(B368,{"iPhone",1;"Motorola",2;"Nokia",3;"Samsung",4;"Sony Erickson",5;"Sprint",6},2,0)</f>
        <v>3</v>
      </c>
      <c r="H368" s="9" t="s">
        <v>630</v>
      </c>
      <c r="I368" s="9" t="s">
        <v>237</v>
      </c>
      <c r="J368" s="9">
        <f>VLOOKUP(I368,{"Excellent",4;"Poor",1;"Good",3;"OK",2},2,0)</f>
        <v>2</v>
      </c>
      <c r="O368" s="9">
        <v>-143</v>
      </c>
      <c r="P368" s="9">
        <f t="shared" si="21"/>
        <v>-97.222222222222214</v>
      </c>
      <c r="X368" s="9">
        <f t="shared" si="22"/>
        <v>175.92777777777775</v>
      </c>
    </row>
    <row r="369" spans="1:24" x14ac:dyDescent="0.25">
      <c r="A369" s="9" t="s">
        <v>631</v>
      </c>
      <c r="B369" s="9" t="s">
        <v>235</v>
      </c>
      <c r="C369" s="9">
        <f>VLOOKUP(B369,{"iPhone",1;"Motorola",2;"Nokia",3;"Samsung",4;"Sony Erickson",5;"Sprint",6},2,0)</f>
        <v>2</v>
      </c>
      <c r="H369" s="9" t="s">
        <v>631</v>
      </c>
      <c r="I369" s="9" t="s">
        <v>238</v>
      </c>
      <c r="J369" s="9">
        <f>VLOOKUP(I369,{"Excellent",4;"Poor",1;"Good",3;"OK",2},2,0)</f>
        <v>4</v>
      </c>
      <c r="O369" s="9">
        <v>-144</v>
      </c>
      <c r="P369" s="9">
        <f t="shared" si="21"/>
        <v>-97.777777777777771</v>
      </c>
      <c r="X369" s="9">
        <f t="shared" si="22"/>
        <v>175.37222222222221</v>
      </c>
    </row>
    <row r="370" spans="1:24" x14ac:dyDescent="0.25">
      <c r="A370" s="9" t="s">
        <v>632</v>
      </c>
      <c r="B370" s="9" t="s">
        <v>254</v>
      </c>
      <c r="C370" s="9">
        <f>VLOOKUP(B370,{"iPhone",1;"Motorola",2;"Nokia",3;"Samsung",4;"Sony Erickson",5;"Sprint",6},2,0)</f>
        <v>5</v>
      </c>
      <c r="H370" s="9" t="s">
        <v>632</v>
      </c>
      <c r="I370" s="9" t="s">
        <v>237</v>
      </c>
      <c r="J370" s="9">
        <f>VLOOKUP(I370,{"Excellent",4;"Poor",1;"Good",3;"OK",2},2,0)</f>
        <v>2</v>
      </c>
      <c r="O370" s="9">
        <v>-145</v>
      </c>
      <c r="P370" s="9">
        <f t="shared" si="21"/>
        <v>-98.333333333333329</v>
      </c>
      <c r="X370" s="9">
        <f t="shared" si="22"/>
        <v>174.81666666666666</v>
      </c>
    </row>
    <row r="371" spans="1:24" x14ac:dyDescent="0.25">
      <c r="A371" s="9" t="s">
        <v>633</v>
      </c>
      <c r="B371" s="9" t="s">
        <v>248</v>
      </c>
      <c r="C371" s="9">
        <f>VLOOKUP(B371,{"iPhone",1;"Motorola",2;"Nokia",3;"Samsung",4;"Sony Erickson",5;"Sprint",6},2,0)</f>
        <v>3</v>
      </c>
      <c r="H371" s="9" t="s">
        <v>633</v>
      </c>
      <c r="I371" s="9" t="s">
        <v>238</v>
      </c>
      <c r="J371" s="9">
        <f>VLOOKUP(I371,{"Excellent",4;"Poor",1;"Good",3;"OK",2},2,0)</f>
        <v>4</v>
      </c>
      <c r="O371" s="9">
        <v>-146</v>
      </c>
      <c r="P371" s="9">
        <f t="shared" si="21"/>
        <v>-98.888888888888886</v>
      </c>
      <c r="X371" s="9">
        <f t="shared" si="22"/>
        <v>174.26111111111109</v>
      </c>
    </row>
    <row r="372" spans="1:24" x14ac:dyDescent="0.25">
      <c r="A372" s="9" t="s">
        <v>634</v>
      </c>
      <c r="B372" s="9" t="s">
        <v>236</v>
      </c>
      <c r="C372" s="9">
        <f>VLOOKUP(B372,{"iPhone",1;"Motorola",2;"Nokia",3;"Samsung",4;"Sony Erickson",5;"Sprint",6},2,0)</f>
        <v>1</v>
      </c>
      <c r="H372" s="9" t="s">
        <v>634</v>
      </c>
      <c r="I372" s="9" t="s">
        <v>242</v>
      </c>
      <c r="J372" s="9">
        <f>VLOOKUP(I372,{"Excellent",4;"Poor",1;"Good",3;"OK",2},2,0)</f>
        <v>1</v>
      </c>
      <c r="O372" s="9">
        <v>-147</v>
      </c>
      <c r="P372" s="9">
        <f t="shared" si="21"/>
        <v>-99.444444444444443</v>
      </c>
      <c r="X372" s="9">
        <f t="shared" si="22"/>
        <v>173.70555555555552</v>
      </c>
    </row>
    <row r="373" spans="1:24" x14ac:dyDescent="0.25">
      <c r="A373" s="9" t="s">
        <v>635</v>
      </c>
      <c r="B373" s="9" t="s">
        <v>254</v>
      </c>
      <c r="C373" s="9">
        <f>VLOOKUP(B373,{"iPhone",1;"Motorola",2;"Nokia",3;"Samsung",4;"Sony Erickson",5;"Sprint",6},2,0)</f>
        <v>5</v>
      </c>
      <c r="H373" s="9" t="s">
        <v>635</v>
      </c>
      <c r="I373" s="9" t="s">
        <v>237</v>
      </c>
      <c r="J373" s="9">
        <f>VLOOKUP(I373,{"Excellent",4;"Poor",1;"Good",3;"OK",2},2,0)</f>
        <v>2</v>
      </c>
      <c r="O373" s="9">
        <v>-148</v>
      </c>
      <c r="P373" s="9">
        <f t="shared" si="21"/>
        <v>-100</v>
      </c>
      <c r="X373" s="9">
        <f t="shared" si="22"/>
        <v>173.14999999999998</v>
      </c>
    </row>
    <row r="374" spans="1:24" x14ac:dyDescent="0.25">
      <c r="A374" s="9" t="s">
        <v>636</v>
      </c>
      <c r="B374" s="9" t="s">
        <v>248</v>
      </c>
      <c r="C374" s="9">
        <f>VLOOKUP(B374,{"iPhone",1;"Motorola",2;"Nokia",3;"Samsung",4;"Sony Erickson",5;"Sprint",6},2,0)</f>
        <v>3</v>
      </c>
      <c r="H374" s="9" t="s">
        <v>636</v>
      </c>
      <c r="I374" s="9" t="s">
        <v>242</v>
      </c>
      <c r="J374" s="9">
        <f>VLOOKUP(I374,{"Excellent",4;"Poor",1;"Good",3;"OK",2},2,0)</f>
        <v>1</v>
      </c>
      <c r="O374" s="9">
        <v>-149</v>
      </c>
      <c r="P374" s="9">
        <f t="shared" si="21"/>
        <v>-100.55555555555556</v>
      </c>
      <c r="X374" s="9">
        <f t="shared" si="22"/>
        <v>172.59444444444443</v>
      </c>
    </row>
    <row r="375" spans="1:24" x14ac:dyDescent="0.25">
      <c r="A375" s="9" t="s">
        <v>637</v>
      </c>
      <c r="B375" s="9" t="s">
        <v>247</v>
      </c>
      <c r="C375" s="9">
        <f>VLOOKUP(B375,{"iPhone",1;"Motorola",2;"Nokia",3;"Samsung",4;"Sony Erickson",5;"Sprint",6},2,0)</f>
        <v>4</v>
      </c>
      <c r="H375" s="9" t="s">
        <v>637</v>
      </c>
      <c r="I375" s="9" t="s">
        <v>242</v>
      </c>
      <c r="J375" s="9">
        <f>VLOOKUP(I375,{"Excellent",4;"Poor",1;"Good",3;"OK",2},2,0)</f>
        <v>1</v>
      </c>
      <c r="O375" s="9">
        <v>-150</v>
      </c>
      <c r="P375" s="9">
        <f t="shared" si="21"/>
        <v>-101.11111111111111</v>
      </c>
      <c r="X375" s="9">
        <f t="shared" si="22"/>
        <v>172.03888888888886</v>
      </c>
    </row>
    <row r="376" spans="1:24" x14ac:dyDescent="0.25">
      <c r="A376" s="9" t="s">
        <v>638</v>
      </c>
      <c r="B376" s="9" t="s">
        <v>236</v>
      </c>
      <c r="C376" s="9">
        <f>VLOOKUP(B376,{"iPhone",1;"Motorola",2;"Nokia",3;"Samsung",4;"Sony Erickson",5;"Sprint",6},2,0)</f>
        <v>1</v>
      </c>
      <c r="H376" s="9" t="s">
        <v>638</v>
      </c>
      <c r="I376" s="9" t="s">
        <v>243</v>
      </c>
      <c r="J376" s="9">
        <f>VLOOKUP(I376,{"Excellent",4;"Poor",1;"Good",3;"OK",2},2,0)</f>
        <v>3</v>
      </c>
      <c r="O376" s="9">
        <v>-151</v>
      </c>
      <c r="P376" s="9">
        <f t="shared" si="21"/>
        <v>-101.66666666666666</v>
      </c>
      <c r="X376" s="9">
        <f t="shared" si="22"/>
        <v>171.48333333333332</v>
      </c>
    </row>
    <row r="377" spans="1:24" x14ac:dyDescent="0.25">
      <c r="A377" s="9" t="s">
        <v>639</v>
      </c>
      <c r="B377" s="9" t="s">
        <v>235</v>
      </c>
      <c r="C377" s="9">
        <f>VLOOKUP(B377,{"iPhone",1;"Motorola",2;"Nokia",3;"Samsung",4;"Sony Erickson",5;"Sprint",6},2,0)</f>
        <v>2</v>
      </c>
      <c r="H377" s="9" t="s">
        <v>639</v>
      </c>
      <c r="I377" s="9" t="s">
        <v>242</v>
      </c>
      <c r="J377" s="9">
        <f>VLOOKUP(I377,{"Excellent",4;"Poor",1;"Good",3;"OK",2},2,0)</f>
        <v>1</v>
      </c>
      <c r="O377" s="9">
        <v>-152</v>
      </c>
      <c r="P377" s="9">
        <f t="shared" si="21"/>
        <v>-102.22222222222221</v>
      </c>
      <c r="X377" s="9">
        <f t="shared" si="22"/>
        <v>170.92777777777775</v>
      </c>
    </row>
    <row r="378" spans="1:24" x14ac:dyDescent="0.25">
      <c r="A378" s="9" t="s">
        <v>640</v>
      </c>
      <c r="B378" s="9" t="s">
        <v>236</v>
      </c>
      <c r="C378" s="9">
        <f>VLOOKUP(B378,{"iPhone",1;"Motorola",2;"Nokia",3;"Samsung",4;"Sony Erickson",5;"Sprint",6},2,0)</f>
        <v>1</v>
      </c>
      <c r="H378" s="9" t="s">
        <v>640</v>
      </c>
      <c r="I378" s="9" t="s">
        <v>242</v>
      </c>
      <c r="J378" s="9">
        <f>VLOOKUP(I378,{"Excellent",4;"Poor",1;"Good",3;"OK",2},2,0)</f>
        <v>1</v>
      </c>
      <c r="O378" s="9">
        <v>-153</v>
      </c>
      <c r="P378" s="9">
        <f t="shared" si="21"/>
        <v>-102.77777777777777</v>
      </c>
      <c r="X378" s="9">
        <f t="shared" si="22"/>
        <v>170.37222222222221</v>
      </c>
    </row>
    <row r="379" spans="1:24" x14ac:dyDescent="0.25">
      <c r="A379" s="9" t="s">
        <v>641</v>
      </c>
      <c r="B379" s="9" t="s">
        <v>258</v>
      </c>
      <c r="C379" s="9">
        <f>VLOOKUP(B379,{"iPhone",1;"Motorola",2;"Nokia",3;"Samsung",4;"Sony Erickson",5;"Sprint",6},2,0)</f>
        <v>6</v>
      </c>
      <c r="H379" s="9" t="s">
        <v>641</v>
      </c>
      <c r="I379" s="9" t="s">
        <v>243</v>
      </c>
      <c r="J379" s="9">
        <f>VLOOKUP(I379,{"Excellent",4;"Poor",1;"Good",3;"OK",2},2,0)</f>
        <v>3</v>
      </c>
      <c r="O379" s="9">
        <v>-154</v>
      </c>
      <c r="P379" s="9">
        <f t="shared" si="21"/>
        <v>-103.33333333333333</v>
      </c>
      <c r="X379" s="9">
        <f t="shared" si="22"/>
        <v>169.81666666666666</v>
      </c>
    </row>
    <row r="380" spans="1:24" x14ac:dyDescent="0.25">
      <c r="A380" s="9" t="s">
        <v>642</v>
      </c>
      <c r="B380" s="9" t="s">
        <v>248</v>
      </c>
      <c r="C380" s="9">
        <f>VLOOKUP(B380,{"iPhone",1;"Motorola",2;"Nokia",3;"Samsung",4;"Sony Erickson",5;"Sprint",6},2,0)</f>
        <v>3</v>
      </c>
      <c r="H380" s="9" t="s">
        <v>642</v>
      </c>
      <c r="I380" s="9" t="s">
        <v>237</v>
      </c>
      <c r="J380" s="9">
        <f>VLOOKUP(I380,{"Excellent",4;"Poor",1;"Good",3;"OK",2},2,0)</f>
        <v>2</v>
      </c>
      <c r="O380" s="9">
        <v>-155</v>
      </c>
      <c r="P380" s="9">
        <f t="shared" si="21"/>
        <v>-103.88888888888889</v>
      </c>
      <c r="X380" s="9">
        <f t="shared" si="22"/>
        <v>169.26111111111109</v>
      </c>
    </row>
    <row r="381" spans="1:24" x14ac:dyDescent="0.25">
      <c r="A381" s="9" t="s">
        <v>643</v>
      </c>
      <c r="B381" s="9" t="s">
        <v>254</v>
      </c>
      <c r="C381" s="9">
        <f>VLOOKUP(B381,{"iPhone",1;"Motorola",2;"Nokia",3;"Samsung",4;"Sony Erickson",5;"Sprint",6},2,0)</f>
        <v>5</v>
      </c>
      <c r="H381" s="9" t="s">
        <v>643</v>
      </c>
      <c r="I381" s="9" t="s">
        <v>242</v>
      </c>
      <c r="J381" s="9">
        <f>VLOOKUP(I381,{"Excellent",4;"Poor",1;"Good",3;"OK",2},2,0)</f>
        <v>1</v>
      </c>
      <c r="O381" s="9">
        <v>-156</v>
      </c>
      <c r="P381" s="9">
        <f t="shared" si="21"/>
        <v>-104.44444444444444</v>
      </c>
      <c r="X381" s="9">
        <f t="shared" si="22"/>
        <v>168.70555555555552</v>
      </c>
    </row>
    <row r="382" spans="1:24" x14ac:dyDescent="0.25">
      <c r="A382" s="9" t="s">
        <v>644</v>
      </c>
      <c r="B382" s="9" t="s">
        <v>258</v>
      </c>
      <c r="C382" s="9">
        <f>VLOOKUP(B382,{"iPhone",1;"Motorola",2;"Nokia",3;"Samsung",4;"Sony Erickson",5;"Sprint",6},2,0)</f>
        <v>6</v>
      </c>
      <c r="H382" s="9" t="s">
        <v>644</v>
      </c>
      <c r="I382" s="9" t="s">
        <v>242</v>
      </c>
      <c r="J382" s="9">
        <f>VLOOKUP(I382,{"Excellent",4;"Poor",1;"Good",3;"OK",2},2,0)</f>
        <v>1</v>
      </c>
      <c r="O382" s="9">
        <v>-157</v>
      </c>
      <c r="P382" s="9">
        <f t="shared" si="21"/>
        <v>-105</v>
      </c>
      <c r="X382" s="9">
        <f t="shared" si="22"/>
        <v>168.14999999999998</v>
      </c>
    </row>
    <row r="383" spans="1:24" x14ac:dyDescent="0.25">
      <c r="A383" s="9" t="s">
        <v>645</v>
      </c>
      <c r="B383" s="9" t="s">
        <v>247</v>
      </c>
      <c r="C383" s="9">
        <f>VLOOKUP(B383,{"iPhone",1;"Motorola",2;"Nokia",3;"Samsung",4;"Sony Erickson",5;"Sprint",6},2,0)</f>
        <v>4</v>
      </c>
      <c r="H383" s="9" t="s">
        <v>645</v>
      </c>
      <c r="I383" s="9" t="s">
        <v>237</v>
      </c>
      <c r="J383" s="9">
        <f>VLOOKUP(I383,{"Excellent",4;"Poor",1;"Good",3;"OK",2},2,0)</f>
        <v>2</v>
      </c>
      <c r="O383" s="9">
        <v>-158</v>
      </c>
      <c r="P383" s="9">
        <f t="shared" si="21"/>
        <v>-105.55555555555556</v>
      </c>
      <c r="X383" s="9">
        <f t="shared" si="22"/>
        <v>167.59444444444443</v>
      </c>
    </row>
    <row r="384" spans="1:24" x14ac:dyDescent="0.25">
      <c r="A384" s="9" t="s">
        <v>646</v>
      </c>
      <c r="B384" s="9" t="s">
        <v>247</v>
      </c>
      <c r="C384" s="9">
        <f>VLOOKUP(B384,{"iPhone",1;"Motorola",2;"Nokia",3;"Samsung",4;"Sony Erickson",5;"Sprint",6},2,0)</f>
        <v>4</v>
      </c>
      <c r="H384" s="9" t="s">
        <v>646</v>
      </c>
      <c r="I384" s="9" t="s">
        <v>242</v>
      </c>
      <c r="J384" s="9">
        <f>VLOOKUP(I384,{"Excellent",4;"Poor",1;"Good",3;"OK",2},2,0)</f>
        <v>1</v>
      </c>
      <c r="O384" s="9">
        <v>-159</v>
      </c>
      <c r="P384" s="9">
        <f t="shared" si="21"/>
        <v>-106.11111111111111</v>
      </c>
      <c r="X384" s="9">
        <f t="shared" si="22"/>
        <v>167.03888888888886</v>
      </c>
    </row>
    <row r="385" spans="1:24" x14ac:dyDescent="0.25">
      <c r="A385" s="9" t="s">
        <v>647</v>
      </c>
      <c r="B385" s="9" t="s">
        <v>258</v>
      </c>
      <c r="C385" s="9">
        <f>VLOOKUP(B385,{"iPhone",1;"Motorola",2;"Nokia",3;"Samsung",4;"Sony Erickson",5;"Sprint",6},2,0)</f>
        <v>6</v>
      </c>
      <c r="H385" s="9" t="s">
        <v>647</v>
      </c>
      <c r="I385" s="9" t="s">
        <v>243</v>
      </c>
      <c r="J385" s="9">
        <f>VLOOKUP(I385,{"Excellent",4;"Poor",1;"Good",3;"OK",2},2,0)</f>
        <v>3</v>
      </c>
      <c r="O385" s="9">
        <v>-160</v>
      </c>
      <c r="P385" s="9">
        <f t="shared" si="21"/>
        <v>-106.66666666666666</v>
      </c>
      <c r="X385" s="9">
        <f t="shared" si="22"/>
        <v>166.48333333333332</v>
      </c>
    </row>
    <row r="386" spans="1:24" x14ac:dyDescent="0.25">
      <c r="A386" s="9" t="s">
        <v>648</v>
      </c>
      <c r="B386" s="9" t="s">
        <v>236</v>
      </c>
      <c r="C386" s="9">
        <f>VLOOKUP(B386,{"iPhone",1;"Motorola",2;"Nokia",3;"Samsung",4;"Sony Erickson",5;"Sprint",6},2,0)</f>
        <v>1</v>
      </c>
      <c r="H386" s="9" t="s">
        <v>648</v>
      </c>
      <c r="I386" s="9" t="s">
        <v>242</v>
      </c>
      <c r="J386" s="9">
        <f>VLOOKUP(I386,{"Excellent",4;"Poor",1;"Good",3;"OK",2},2,0)</f>
        <v>1</v>
      </c>
      <c r="O386" s="9">
        <v>-161</v>
      </c>
      <c r="P386" s="9">
        <f t="shared" si="21"/>
        <v>-107.22222222222221</v>
      </c>
      <c r="X386" s="9">
        <f t="shared" si="22"/>
        <v>165.92777777777775</v>
      </c>
    </row>
    <row r="387" spans="1:24" x14ac:dyDescent="0.25">
      <c r="A387" s="9" t="s">
        <v>649</v>
      </c>
      <c r="B387" s="9" t="s">
        <v>236</v>
      </c>
      <c r="C387" s="9">
        <f>VLOOKUP(B387,{"iPhone",1;"Motorola",2;"Nokia",3;"Samsung",4;"Sony Erickson",5;"Sprint",6},2,0)</f>
        <v>1</v>
      </c>
      <c r="H387" s="9" t="s">
        <v>649</v>
      </c>
      <c r="I387" s="9" t="s">
        <v>242</v>
      </c>
      <c r="J387" s="9">
        <f>VLOOKUP(I387,{"Excellent",4;"Poor",1;"Good",3;"OK",2},2,0)</f>
        <v>1</v>
      </c>
      <c r="O387" s="9">
        <v>-162</v>
      </c>
      <c r="P387" s="9">
        <f t="shared" si="21"/>
        <v>-107.77777777777777</v>
      </c>
      <c r="X387" s="9">
        <f t="shared" si="22"/>
        <v>165.37222222222221</v>
      </c>
    </row>
    <row r="388" spans="1:24" x14ac:dyDescent="0.25">
      <c r="A388" s="9" t="s">
        <v>650</v>
      </c>
      <c r="B388" s="9" t="s">
        <v>236</v>
      </c>
      <c r="C388" s="9">
        <f>VLOOKUP(B388,{"iPhone",1;"Motorola",2;"Nokia",3;"Samsung",4;"Sony Erickson",5;"Sprint",6},2,0)</f>
        <v>1</v>
      </c>
      <c r="H388" s="9" t="s">
        <v>650</v>
      </c>
      <c r="I388" s="9" t="s">
        <v>237</v>
      </c>
      <c r="J388" s="9">
        <f>VLOOKUP(I388,{"Excellent",4;"Poor",1;"Good",3;"OK",2},2,0)</f>
        <v>2</v>
      </c>
      <c r="O388" s="9">
        <v>-163</v>
      </c>
      <c r="P388" s="9">
        <f t="shared" si="21"/>
        <v>-108.33333333333333</v>
      </c>
      <c r="X388" s="9">
        <f t="shared" si="22"/>
        <v>164.81666666666666</v>
      </c>
    </row>
    <row r="389" spans="1:24" x14ac:dyDescent="0.25">
      <c r="A389" s="9" t="s">
        <v>651</v>
      </c>
      <c r="B389" s="9" t="s">
        <v>236</v>
      </c>
      <c r="C389" s="9">
        <f>VLOOKUP(B389,{"iPhone",1;"Motorola",2;"Nokia",3;"Samsung",4;"Sony Erickson",5;"Sprint",6},2,0)</f>
        <v>1</v>
      </c>
      <c r="H389" s="9" t="s">
        <v>651</v>
      </c>
      <c r="I389" s="9" t="s">
        <v>238</v>
      </c>
      <c r="J389" s="9">
        <f>VLOOKUP(I389,{"Excellent",4;"Poor",1;"Good",3;"OK",2},2,0)</f>
        <v>4</v>
      </c>
      <c r="O389" s="9">
        <v>-164</v>
      </c>
      <c r="P389" s="9">
        <f t="shared" ref="P389:P452" si="23">CONVERT(O389,"F","C")</f>
        <v>-108.88888888888889</v>
      </c>
      <c r="X389" s="9">
        <f t="shared" si="22"/>
        <v>164.26111111111109</v>
      </c>
    </row>
    <row r="390" spans="1:24" x14ac:dyDescent="0.25">
      <c r="O390" s="9">
        <v>-165</v>
      </c>
      <c r="P390" s="9">
        <f t="shared" si="23"/>
        <v>-109.44444444444444</v>
      </c>
      <c r="X390" s="9">
        <f t="shared" ref="X390:X453" si="24">CONVERT(O390,"F","K")</f>
        <v>163.70555555555552</v>
      </c>
    </row>
    <row r="391" spans="1:24" x14ac:dyDescent="0.25">
      <c r="O391" s="9">
        <v>-166</v>
      </c>
      <c r="P391" s="9">
        <f t="shared" si="23"/>
        <v>-110</v>
      </c>
      <c r="X391" s="9">
        <f t="shared" si="24"/>
        <v>163.14999999999998</v>
      </c>
    </row>
    <row r="392" spans="1:24" x14ac:dyDescent="0.25">
      <c r="O392" s="9">
        <v>-167</v>
      </c>
      <c r="P392" s="9">
        <f t="shared" si="23"/>
        <v>-110.55555555555556</v>
      </c>
      <c r="X392" s="9">
        <f t="shared" si="24"/>
        <v>162.59444444444443</v>
      </c>
    </row>
    <row r="393" spans="1:24" x14ac:dyDescent="0.25">
      <c r="O393" s="9">
        <v>-168</v>
      </c>
      <c r="P393" s="9">
        <f t="shared" si="23"/>
        <v>-111.11111111111111</v>
      </c>
      <c r="X393" s="9">
        <f t="shared" si="24"/>
        <v>162.03888888888886</v>
      </c>
    </row>
    <row r="394" spans="1:24" x14ac:dyDescent="0.25">
      <c r="O394" s="9">
        <v>-169</v>
      </c>
      <c r="P394" s="9">
        <f t="shared" si="23"/>
        <v>-111.66666666666666</v>
      </c>
      <c r="X394" s="9">
        <f t="shared" si="24"/>
        <v>161.48333333333332</v>
      </c>
    </row>
    <row r="395" spans="1:24" x14ac:dyDescent="0.25">
      <c r="O395" s="9">
        <v>-170</v>
      </c>
      <c r="P395" s="9">
        <f t="shared" si="23"/>
        <v>-112.22222222222221</v>
      </c>
      <c r="X395" s="9">
        <f t="shared" si="24"/>
        <v>160.92777777777775</v>
      </c>
    </row>
    <row r="396" spans="1:24" x14ac:dyDescent="0.25">
      <c r="O396" s="9">
        <v>-171</v>
      </c>
      <c r="P396" s="9">
        <f t="shared" si="23"/>
        <v>-112.77777777777777</v>
      </c>
      <c r="X396" s="9">
        <f t="shared" si="24"/>
        <v>160.37222222222221</v>
      </c>
    </row>
    <row r="397" spans="1:24" x14ac:dyDescent="0.25">
      <c r="O397" s="9">
        <v>-172</v>
      </c>
      <c r="P397" s="9">
        <f t="shared" si="23"/>
        <v>-113.33333333333333</v>
      </c>
      <c r="X397" s="9">
        <f t="shared" si="24"/>
        <v>159.81666666666666</v>
      </c>
    </row>
    <row r="398" spans="1:24" x14ac:dyDescent="0.25">
      <c r="O398" s="9">
        <v>-173</v>
      </c>
      <c r="P398" s="9">
        <f t="shared" si="23"/>
        <v>-113.88888888888889</v>
      </c>
      <c r="X398" s="9">
        <f t="shared" si="24"/>
        <v>159.26111111111109</v>
      </c>
    </row>
    <row r="399" spans="1:24" x14ac:dyDescent="0.25">
      <c r="O399" s="9">
        <v>-174</v>
      </c>
      <c r="P399" s="9">
        <f t="shared" si="23"/>
        <v>-114.44444444444444</v>
      </c>
      <c r="X399" s="9">
        <f t="shared" si="24"/>
        <v>158.70555555555552</v>
      </c>
    </row>
    <row r="400" spans="1:24" x14ac:dyDescent="0.25">
      <c r="O400" s="9">
        <v>-175</v>
      </c>
      <c r="P400" s="9">
        <f t="shared" si="23"/>
        <v>-115</v>
      </c>
      <c r="X400" s="9">
        <f t="shared" si="24"/>
        <v>158.14999999999998</v>
      </c>
    </row>
    <row r="401" spans="15:24" x14ac:dyDescent="0.25">
      <c r="O401" s="9">
        <v>-176</v>
      </c>
      <c r="P401" s="9">
        <f t="shared" si="23"/>
        <v>-115.55555555555556</v>
      </c>
      <c r="X401" s="9">
        <f t="shared" si="24"/>
        <v>157.59444444444443</v>
      </c>
    </row>
    <row r="402" spans="15:24" x14ac:dyDescent="0.25">
      <c r="O402" s="9">
        <v>-177</v>
      </c>
      <c r="P402" s="9">
        <f t="shared" si="23"/>
        <v>-116.11111111111111</v>
      </c>
      <c r="X402" s="9">
        <f t="shared" si="24"/>
        <v>157.03888888888886</v>
      </c>
    </row>
    <row r="403" spans="15:24" x14ac:dyDescent="0.25">
      <c r="O403" s="9">
        <v>-178</v>
      </c>
      <c r="P403" s="9">
        <f t="shared" si="23"/>
        <v>-116.66666666666666</v>
      </c>
      <c r="X403" s="9">
        <f t="shared" si="24"/>
        <v>156.48333333333332</v>
      </c>
    </row>
    <row r="404" spans="15:24" x14ac:dyDescent="0.25">
      <c r="O404" s="9">
        <v>-179</v>
      </c>
      <c r="P404" s="9">
        <f t="shared" si="23"/>
        <v>-117.22222222222221</v>
      </c>
      <c r="X404" s="9">
        <f t="shared" si="24"/>
        <v>155.92777777777775</v>
      </c>
    </row>
    <row r="405" spans="15:24" x14ac:dyDescent="0.25">
      <c r="O405" s="9">
        <v>-180</v>
      </c>
      <c r="P405" s="9">
        <f t="shared" si="23"/>
        <v>-117.77777777777777</v>
      </c>
      <c r="X405" s="9">
        <f t="shared" si="24"/>
        <v>155.37222222222221</v>
      </c>
    </row>
    <row r="406" spans="15:24" x14ac:dyDescent="0.25">
      <c r="O406" s="9">
        <v>-181</v>
      </c>
      <c r="P406" s="9">
        <f t="shared" si="23"/>
        <v>-118.33333333333333</v>
      </c>
      <c r="X406" s="9">
        <f t="shared" si="24"/>
        <v>154.81666666666666</v>
      </c>
    </row>
    <row r="407" spans="15:24" x14ac:dyDescent="0.25">
      <c r="O407" s="9">
        <v>-182</v>
      </c>
      <c r="P407" s="9">
        <f t="shared" si="23"/>
        <v>-118.88888888888889</v>
      </c>
      <c r="X407" s="9">
        <f t="shared" si="24"/>
        <v>154.26111111111109</v>
      </c>
    </row>
    <row r="408" spans="15:24" x14ac:dyDescent="0.25">
      <c r="O408" s="9">
        <v>-183</v>
      </c>
      <c r="P408" s="9">
        <f t="shared" si="23"/>
        <v>-119.44444444444444</v>
      </c>
      <c r="X408" s="9">
        <f t="shared" si="24"/>
        <v>153.70555555555552</v>
      </c>
    </row>
    <row r="409" spans="15:24" x14ac:dyDescent="0.25">
      <c r="O409" s="9">
        <v>-184</v>
      </c>
      <c r="P409" s="9">
        <f t="shared" si="23"/>
        <v>-120</v>
      </c>
      <c r="X409" s="9">
        <f t="shared" si="24"/>
        <v>153.14999999999998</v>
      </c>
    </row>
    <row r="410" spans="15:24" x14ac:dyDescent="0.25">
      <c r="O410" s="9">
        <v>-185</v>
      </c>
      <c r="P410" s="9">
        <f t="shared" si="23"/>
        <v>-120.55555555555556</v>
      </c>
      <c r="X410" s="9">
        <f t="shared" si="24"/>
        <v>152.59444444444443</v>
      </c>
    </row>
    <row r="411" spans="15:24" x14ac:dyDescent="0.25">
      <c r="O411" s="9">
        <v>-186</v>
      </c>
      <c r="P411" s="9">
        <f t="shared" si="23"/>
        <v>-121.11111111111111</v>
      </c>
      <c r="X411" s="9">
        <f t="shared" si="24"/>
        <v>152.03888888888886</v>
      </c>
    </row>
    <row r="412" spans="15:24" x14ac:dyDescent="0.25">
      <c r="O412" s="9">
        <v>-187</v>
      </c>
      <c r="P412" s="9">
        <f t="shared" si="23"/>
        <v>-121.66666666666666</v>
      </c>
      <c r="X412" s="9">
        <f t="shared" si="24"/>
        <v>151.48333333333332</v>
      </c>
    </row>
    <row r="413" spans="15:24" x14ac:dyDescent="0.25">
      <c r="O413" s="9">
        <v>-188</v>
      </c>
      <c r="P413" s="9">
        <f t="shared" si="23"/>
        <v>-122.22222222222221</v>
      </c>
      <c r="X413" s="9">
        <f t="shared" si="24"/>
        <v>150.92777777777775</v>
      </c>
    </row>
    <row r="414" spans="15:24" x14ac:dyDescent="0.25">
      <c r="O414" s="9">
        <v>-189</v>
      </c>
      <c r="P414" s="9">
        <f t="shared" si="23"/>
        <v>-122.77777777777777</v>
      </c>
      <c r="X414" s="9">
        <f t="shared" si="24"/>
        <v>150.37222222222221</v>
      </c>
    </row>
    <row r="415" spans="15:24" x14ac:dyDescent="0.25">
      <c r="O415" s="9">
        <v>-190</v>
      </c>
      <c r="P415" s="9">
        <f t="shared" si="23"/>
        <v>-123.33333333333333</v>
      </c>
      <c r="X415" s="9">
        <f t="shared" si="24"/>
        <v>149.81666666666666</v>
      </c>
    </row>
    <row r="416" spans="15:24" x14ac:dyDescent="0.25">
      <c r="O416" s="9">
        <v>-191</v>
      </c>
      <c r="P416" s="9">
        <f t="shared" si="23"/>
        <v>-123.88888888888889</v>
      </c>
      <c r="X416" s="9">
        <f t="shared" si="24"/>
        <v>149.26111111111109</v>
      </c>
    </row>
    <row r="417" spans="15:24" x14ac:dyDescent="0.25">
      <c r="O417" s="9">
        <v>-192</v>
      </c>
      <c r="P417" s="9">
        <f t="shared" si="23"/>
        <v>-124.44444444444444</v>
      </c>
      <c r="X417" s="9">
        <f t="shared" si="24"/>
        <v>148.70555555555552</v>
      </c>
    </row>
    <row r="418" spans="15:24" x14ac:dyDescent="0.25">
      <c r="O418" s="9">
        <v>-193</v>
      </c>
      <c r="P418" s="9">
        <f t="shared" si="23"/>
        <v>-125</v>
      </c>
      <c r="X418" s="9">
        <f t="shared" si="24"/>
        <v>148.14999999999998</v>
      </c>
    </row>
    <row r="419" spans="15:24" x14ac:dyDescent="0.25">
      <c r="O419" s="9">
        <v>-194</v>
      </c>
      <c r="P419" s="9">
        <f t="shared" si="23"/>
        <v>-125.55555555555556</v>
      </c>
      <c r="X419" s="9">
        <f t="shared" si="24"/>
        <v>147.59444444444443</v>
      </c>
    </row>
    <row r="420" spans="15:24" x14ac:dyDescent="0.25">
      <c r="O420" s="9">
        <v>-195</v>
      </c>
      <c r="P420" s="9">
        <f t="shared" si="23"/>
        <v>-126.11111111111111</v>
      </c>
      <c r="X420" s="9">
        <f t="shared" si="24"/>
        <v>147.03888888888886</v>
      </c>
    </row>
    <row r="421" spans="15:24" x14ac:dyDescent="0.25">
      <c r="O421" s="9">
        <v>-196</v>
      </c>
      <c r="P421" s="9">
        <f t="shared" si="23"/>
        <v>-126.66666666666666</v>
      </c>
      <c r="X421" s="9">
        <f t="shared" si="24"/>
        <v>146.48333333333332</v>
      </c>
    </row>
    <row r="422" spans="15:24" x14ac:dyDescent="0.25">
      <c r="O422" s="9">
        <v>-197</v>
      </c>
      <c r="P422" s="9">
        <f t="shared" si="23"/>
        <v>-127.22222222222221</v>
      </c>
      <c r="X422" s="9">
        <f t="shared" si="24"/>
        <v>145.92777777777775</v>
      </c>
    </row>
    <row r="423" spans="15:24" x14ac:dyDescent="0.25">
      <c r="O423" s="9">
        <v>-198</v>
      </c>
      <c r="P423" s="9">
        <f t="shared" si="23"/>
        <v>-127.77777777777777</v>
      </c>
      <c r="X423" s="9">
        <f t="shared" si="24"/>
        <v>145.37222222222221</v>
      </c>
    </row>
    <row r="424" spans="15:24" x14ac:dyDescent="0.25">
      <c r="O424" s="9">
        <v>-199</v>
      </c>
      <c r="P424" s="9">
        <f t="shared" si="23"/>
        <v>-128.33333333333334</v>
      </c>
      <c r="X424" s="9">
        <f t="shared" si="24"/>
        <v>144.81666666666663</v>
      </c>
    </row>
    <row r="425" spans="15:24" x14ac:dyDescent="0.25">
      <c r="O425" s="9">
        <v>-200</v>
      </c>
      <c r="P425" s="9">
        <f t="shared" si="23"/>
        <v>-128.88888888888889</v>
      </c>
      <c r="X425" s="9">
        <f t="shared" si="24"/>
        <v>144.26111111111109</v>
      </c>
    </row>
    <row r="426" spans="15:24" x14ac:dyDescent="0.25">
      <c r="O426" s="9">
        <v>-201</v>
      </c>
      <c r="P426" s="9">
        <f t="shared" si="23"/>
        <v>-129.44444444444443</v>
      </c>
      <c r="X426" s="9">
        <f t="shared" si="24"/>
        <v>143.70555555555555</v>
      </c>
    </row>
    <row r="427" spans="15:24" x14ac:dyDescent="0.25">
      <c r="O427" s="9">
        <v>-202</v>
      </c>
      <c r="P427" s="9">
        <f t="shared" si="23"/>
        <v>-130</v>
      </c>
      <c r="X427" s="9">
        <f t="shared" si="24"/>
        <v>143.14999999999998</v>
      </c>
    </row>
    <row r="428" spans="15:24" x14ac:dyDescent="0.25">
      <c r="O428" s="9">
        <v>-203</v>
      </c>
      <c r="P428" s="9">
        <f t="shared" si="23"/>
        <v>-130.55555555555554</v>
      </c>
      <c r="X428" s="9">
        <f t="shared" si="24"/>
        <v>142.59444444444443</v>
      </c>
    </row>
    <row r="429" spans="15:24" x14ac:dyDescent="0.25">
      <c r="O429" s="9">
        <v>-204</v>
      </c>
      <c r="P429" s="9">
        <f t="shared" si="23"/>
        <v>-131.11111111111111</v>
      </c>
      <c r="X429" s="9">
        <f t="shared" si="24"/>
        <v>142.03888888888886</v>
      </c>
    </row>
    <row r="430" spans="15:24" x14ac:dyDescent="0.25">
      <c r="O430" s="9">
        <v>-205</v>
      </c>
      <c r="P430" s="9">
        <f t="shared" si="23"/>
        <v>-131.66666666666666</v>
      </c>
      <c r="X430" s="9">
        <f t="shared" si="24"/>
        <v>141.48333333333332</v>
      </c>
    </row>
    <row r="431" spans="15:24" x14ac:dyDescent="0.25">
      <c r="O431" s="9">
        <v>-206</v>
      </c>
      <c r="P431" s="9">
        <f t="shared" si="23"/>
        <v>-132.22222222222223</v>
      </c>
      <c r="X431" s="9">
        <f t="shared" si="24"/>
        <v>140.92777777777775</v>
      </c>
    </row>
    <row r="432" spans="15:24" x14ac:dyDescent="0.25">
      <c r="O432" s="9">
        <v>-207</v>
      </c>
      <c r="P432" s="9">
        <f t="shared" si="23"/>
        <v>-132.77777777777777</v>
      </c>
      <c r="X432" s="9">
        <f t="shared" si="24"/>
        <v>140.37222222222221</v>
      </c>
    </row>
    <row r="433" spans="15:24" x14ac:dyDescent="0.25">
      <c r="O433" s="9">
        <v>-208</v>
      </c>
      <c r="P433" s="9">
        <f t="shared" si="23"/>
        <v>-133.33333333333334</v>
      </c>
      <c r="X433" s="9">
        <f t="shared" si="24"/>
        <v>139.81666666666663</v>
      </c>
    </row>
    <row r="434" spans="15:24" x14ac:dyDescent="0.25">
      <c r="O434" s="9">
        <v>-209</v>
      </c>
      <c r="P434" s="9">
        <f t="shared" si="23"/>
        <v>-133.88888888888889</v>
      </c>
      <c r="X434" s="9">
        <f t="shared" si="24"/>
        <v>139.26111111111109</v>
      </c>
    </row>
    <row r="435" spans="15:24" x14ac:dyDescent="0.25">
      <c r="O435" s="9">
        <v>-210</v>
      </c>
      <c r="P435" s="9">
        <f t="shared" si="23"/>
        <v>-134.44444444444443</v>
      </c>
      <c r="X435" s="9">
        <f t="shared" si="24"/>
        <v>138.70555555555555</v>
      </c>
    </row>
    <row r="436" spans="15:24" x14ac:dyDescent="0.25">
      <c r="O436" s="9">
        <v>-211</v>
      </c>
      <c r="P436" s="9">
        <f t="shared" si="23"/>
        <v>-135</v>
      </c>
      <c r="X436" s="9">
        <f t="shared" si="24"/>
        <v>138.14999999999998</v>
      </c>
    </row>
    <row r="437" spans="15:24" x14ac:dyDescent="0.25">
      <c r="O437" s="9">
        <v>-212</v>
      </c>
      <c r="P437" s="9">
        <f t="shared" si="23"/>
        <v>-135.55555555555554</v>
      </c>
      <c r="X437" s="9">
        <f t="shared" si="24"/>
        <v>137.59444444444443</v>
      </c>
    </row>
    <row r="438" spans="15:24" x14ac:dyDescent="0.25">
      <c r="O438" s="9">
        <v>-213</v>
      </c>
      <c r="P438" s="9">
        <f t="shared" si="23"/>
        <v>-136.11111111111111</v>
      </c>
      <c r="X438" s="9">
        <f t="shared" si="24"/>
        <v>137.03888888888886</v>
      </c>
    </row>
    <row r="439" spans="15:24" x14ac:dyDescent="0.25">
      <c r="O439" s="9">
        <v>-214</v>
      </c>
      <c r="P439" s="9">
        <f t="shared" si="23"/>
        <v>-136.66666666666666</v>
      </c>
      <c r="X439" s="9">
        <f t="shared" si="24"/>
        <v>136.48333333333332</v>
      </c>
    </row>
    <row r="440" spans="15:24" x14ac:dyDescent="0.25">
      <c r="O440" s="9">
        <v>-215</v>
      </c>
      <c r="P440" s="9">
        <f t="shared" si="23"/>
        <v>-137.22222222222223</v>
      </c>
      <c r="X440" s="9">
        <f t="shared" si="24"/>
        <v>135.92777777777775</v>
      </c>
    </row>
    <row r="441" spans="15:24" x14ac:dyDescent="0.25">
      <c r="O441" s="9">
        <v>-216</v>
      </c>
      <c r="P441" s="9">
        <f t="shared" si="23"/>
        <v>-137.77777777777777</v>
      </c>
      <c r="X441" s="9">
        <f t="shared" si="24"/>
        <v>135.37222222222221</v>
      </c>
    </row>
    <row r="442" spans="15:24" x14ac:dyDescent="0.25">
      <c r="O442" s="9">
        <v>-217</v>
      </c>
      <c r="P442" s="9">
        <f t="shared" si="23"/>
        <v>-138.33333333333334</v>
      </c>
      <c r="X442" s="9">
        <f t="shared" si="24"/>
        <v>134.81666666666663</v>
      </c>
    </row>
    <row r="443" spans="15:24" x14ac:dyDescent="0.25">
      <c r="O443" s="9">
        <v>-218</v>
      </c>
      <c r="P443" s="9">
        <f t="shared" si="23"/>
        <v>-138.88888888888889</v>
      </c>
      <c r="X443" s="9">
        <f t="shared" si="24"/>
        <v>134.26111111111109</v>
      </c>
    </row>
    <row r="444" spans="15:24" x14ac:dyDescent="0.25">
      <c r="O444" s="9">
        <v>-219</v>
      </c>
      <c r="P444" s="9">
        <f t="shared" si="23"/>
        <v>-139.44444444444443</v>
      </c>
      <c r="X444" s="9">
        <f t="shared" si="24"/>
        <v>133.70555555555555</v>
      </c>
    </row>
    <row r="445" spans="15:24" x14ac:dyDescent="0.25">
      <c r="O445" s="9">
        <v>-220</v>
      </c>
      <c r="P445" s="9">
        <f t="shared" si="23"/>
        <v>-140</v>
      </c>
      <c r="X445" s="9">
        <f t="shared" si="24"/>
        <v>133.14999999999998</v>
      </c>
    </row>
    <row r="446" spans="15:24" x14ac:dyDescent="0.25">
      <c r="O446" s="9">
        <v>-221</v>
      </c>
      <c r="P446" s="9">
        <f t="shared" si="23"/>
        <v>-140.55555555555554</v>
      </c>
      <c r="X446" s="9">
        <f t="shared" si="24"/>
        <v>132.59444444444443</v>
      </c>
    </row>
    <row r="447" spans="15:24" x14ac:dyDescent="0.25">
      <c r="O447" s="9">
        <v>-222</v>
      </c>
      <c r="P447" s="9">
        <f t="shared" si="23"/>
        <v>-141.11111111111111</v>
      </c>
      <c r="X447" s="9">
        <f t="shared" si="24"/>
        <v>132.03888888888886</v>
      </c>
    </row>
    <row r="448" spans="15:24" x14ac:dyDescent="0.25">
      <c r="O448" s="9">
        <v>-223</v>
      </c>
      <c r="P448" s="9">
        <f t="shared" si="23"/>
        <v>-141.66666666666666</v>
      </c>
      <c r="X448" s="9">
        <f t="shared" si="24"/>
        <v>131.48333333333332</v>
      </c>
    </row>
    <row r="449" spans="15:24" x14ac:dyDescent="0.25">
      <c r="O449" s="9">
        <v>-224</v>
      </c>
      <c r="P449" s="9">
        <f t="shared" si="23"/>
        <v>-142.22222222222223</v>
      </c>
      <c r="X449" s="9">
        <f t="shared" si="24"/>
        <v>130.92777777777775</v>
      </c>
    </row>
    <row r="450" spans="15:24" x14ac:dyDescent="0.25">
      <c r="O450" s="9">
        <v>-225</v>
      </c>
      <c r="P450" s="9">
        <f t="shared" si="23"/>
        <v>-142.77777777777777</v>
      </c>
      <c r="X450" s="9">
        <f t="shared" si="24"/>
        <v>130.37222222222221</v>
      </c>
    </row>
    <row r="451" spans="15:24" x14ac:dyDescent="0.25">
      <c r="O451" s="9">
        <v>-226</v>
      </c>
      <c r="P451" s="9">
        <f t="shared" si="23"/>
        <v>-143.33333333333334</v>
      </c>
      <c r="X451" s="9">
        <f t="shared" si="24"/>
        <v>129.81666666666663</v>
      </c>
    </row>
    <row r="452" spans="15:24" x14ac:dyDescent="0.25">
      <c r="O452" s="9">
        <v>-227</v>
      </c>
      <c r="P452" s="9">
        <f t="shared" si="23"/>
        <v>-143.88888888888889</v>
      </c>
      <c r="X452" s="9">
        <f t="shared" si="24"/>
        <v>129.26111111111109</v>
      </c>
    </row>
    <row r="453" spans="15:24" x14ac:dyDescent="0.25">
      <c r="O453" s="9">
        <v>-228</v>
      </c>
      <c r="P453" s="9">
        <f t="shared" ref="P453:P516" si="25">CONVERT(O453,"F","C")</f>
        <v>-144.44444444444443</v>
      </c>
      <c r="X453" s="9">
        <f t="shared" si="24"/>
        <v>128.70555555555555</v>
      </c>
    </row>
    <row r="454" spans="15:24" x14ac:dyDescent="0.25">
      <c r="O454" s="9">
        <v>-229</v>
      </c>
      <c r="P454" s="9">
        <f t="shared" si="25"/>
        <v>-145</v>
      </c>
      <c r="X454" s="9">
        <f t="shared" ref="X454:X517" si="26">CONVERT(O454,"F","K")</f>
        <v>128.14999999999998</v>
      </c>
    </row>
    <row r="455" spans="15:24" x14ac:dyDescent="0.25">
      <c r="O455" s="9">
        <v>-230</v>
      </c>
      <c r="P455" s="9">
        <f t="shared" si="25"/>
        <v>-145.55555555555554</v>
      </c>
      <c r="X455" s="9">
        <f t="shared" si="26"/>
        <v>127.59444444444443</v>
      </c>
    </row>
    <row r="456" spans="15:24" x14ac:dyDescent="0.25">
      <c r="O456" s="9">
        <v>-231</v>
      </c>
      <c r="P456" s="9">
        <f t="shared" si="25"/>
        <v>-146.11111111111111</v>
      </c>
      <c r="X456" s="9">
        <f t="shared" si="26"/>
        <v>127.03888888888886</v>
      </c>
    </row>
    <row r="457" spans="15:24" x14ac:dyDescent="0.25">
      <c r="O457" s="9">
        <v>-232</v>
      </c>
      <c r="P457" s="9">
        <f t="shared" si="25"/>
        <v>-146.66666666666666</v>
      </c>
      <c r="X457" s="9">
        <f t="shared" si="26"/>
        <v>126.48333333333332</v>
      </c>
    </row>
    <row r="458" spans="15:24" x14ac:dyDescent="0.25">
      <c r="O458" s="9">
        <v>-233</v>
      </c>
      <c r="P458" s="9">
        <f t="shared" si="25"/>
        <v>-147.22222222222223</v>
      </c>
      <c r="X458" s="9">
        <f t="shared" si="26"/>
        <v>125.92777777777775</v>
      </c>
    </row>
    <row r="459" spans="15:24" x14ac:dyDescent="0.25">
      <c r="O459" s="9">
        <v>-234</v>
      </c>
      <c r="P459" s="9">
        <f t="shared" si="25"/>
        <v>-147.77777777777777</v>
      </c>
      <c r="X459" s="9">
        <f t="shared" si="26"/>
        <v>125.37222222222221</v>
      </c>
    </row>
    <row r="460" spans="15:24" x14ac:dyDescent="0.25">
      <c r="O460" s="9">
        <v>-235</v>
      </c>
      <c r="P460" s="9">
        <f t="shared" si="25"/>
        <v>-148.33333333333334</v>
      </c>
      <c r="X460" s="9">
        <f t="shared" si="26"/>
        <v>124.81666666666663</v>
      </c>
    </row>
    <row r="461" spans="15:24" x14ac:dyDescent="0.25">
      <c r="O461" s="9">
        <v>-236</v>
      </c>
      <c r="P461" s="9">
        <f t="shared" si="25"/>
        <v>-148.88888888888889</v>
      </c>
      <c r="X461" s="9">
        <f t="shared" si="26"/>
        <v>124.26111111111109</v>
      </c>
    </row>
    <row r="462" spans="15:24" x14ac:dyDescent="0.25">
      <c r="O462" s="9">
        <v>-237</v>
      </c>
      <c r="P462" s="9">
        <f t="shared" si="25"/>
        <v>-149.44444444444443</v>
      </c>
      <c r="X462" s="9">
        <f t="shared" si="26"/>
        <v>123.70555555555555</v>
      </c>
    </row>
    <row r="463" spans="15:24" x14ac:dyDescent="0.25">
      <c r="O463" s="9">
        <v>-238</v>
      </c>
      <c r="P463" s="9">
        <f t="shared" si="25"/>
        <v>-150</v>
      </c>
      <c r="X463" s="9">
        <f t="shared" si="26"/>
        <v>123.14999999999998</v>
      </c>
    </row>
    <row r="464" spans="15:24" x14ac:dyDescent="0.25">
      <c r="O464" s="9">
        <v>-239</v>
      </c>
      <c r="P464" s="9">
        <f t="shared" si="25"/>
        <v>-150.55555555555554</v>
      </c>
      <c r="X464" s="9">
        <f t="shared" si="26"/>
        <v>122.59444444444443</v>
      </c>
    </row>
    <row r="465" spans="15:24" x14ac:dyDescent="0.25">
      <c r="O465" s="9">
        <v>-240</v>
      </c>
      <c r="P465" s="9">
        <f t="shared" si="25"/>
        <v>-151.11111111111111</v>
      </c>
      <c r="X465" s="9">
        <f t="shared" si="26"/>
        <v>122.03888888888886</v>
      </c>
    </row>
    <row r="466" spans="15:24" x14ac:dyDescent="0.25">
      <c r="O466" s="9">
        <v>-241</v>
      </c>
      <c r="P466" s="9">
        <f t="shared" si="25"/>
        <v>-151.66666666666666</v>
      </c>
      <c r="X466" s="9">
        <f t="shared" si="26"/>
        <v>121.48333333333332</v>
      </c>
    </row>
    <row r="467" spans="15:24" x14ac:dyDescent="0.25">
      <c r="O467" s="9">
        <v>-242</v>
      </c>
      <c r="P467" s="9">
        <f t="shared" si="25"/>
        <v>-152.22222222222223</v>
      </c>
      <c r="X467" s="9">
        <f t="shared" si="26"/>
        <v>120.92777777777775</v>
      </c>
    </row>
    <row r="468" spans="15:24" x14ac:dyDescent="0.25">
      <c r="O468" s="9">
        <v>-243</v>
      </c>
      <c r="P468" s="9">
        <f t="shared" si="25"/>
        <v>-152.77777777777777</v>
      </c>
      <c r="X468" s="9">
        <f t="shared" si="26"/>
        <v>120.37222222222221</v>
      </c>
    </row>
    <row r="469" spans="15:24" x14ac:dyDescent="0.25">
      <c r="O469" s="9">
        <v>-244</v>
      </c>
      <c r="P469" s="9">
        <f t="shared" si="25"/>
        <v>-153.33333333333334</v>
      </c>
      <c r="X469" s="9">
        <f t="shared" si="26"/>
        <v>119.81666666666663</v>
      </c>
    </row>
    <row r="470" spans="15:24" x14ac:dyDescent="0.25">
      <c r="O470" s="9">
        <v>-245</v>
      </c>
      <c r="P470" s="9">
        <f t="shared" si="25"/>
        <v>-153.88888888888889</v>
      </c>
      <c r="X470" s="9">
        <f t="shared" si="26"/>
        <v>119.26111111111109</v>
      </c>
    </row>
    <row r="471" spans="15:24" x14ac:dyDescent="0.25">
      <c r="O471" s="9">
        <v>-246</v>
      </c>
      <c r="P471" s="9">
        <f t="shared" si="25"/>
        <v>-154.44444444444443</v>
      </c>
      <c r="X471" s="9">
        <f t="shared" si="26"/>
        <v>118.70555555555555</v>
      </c>
    </row>
    <row r="472" spans="15:24" x14ac:dyDescent="0.25">
      <c r="O472" s="9">
        <v>-247</v>
      </c>
      <c r="P472" s="9">
        <f t="shared" si="25"/>
        <v>-155</v>
      </c>
      <c r="X472" s="9">
        <f t="shared" si="26"/>
        <v>118.14999999999998</v>
      </c>
    </row>
    <row r="473" spans="15:24" x14ac:dyDescent="0.25">
      <c r="O473" s="9">
        <v>-248</v>
      </c>
      <c r="P473" s="9">
        <f t="shared" si="25"/>
        <v>-155.55555555555554</v>
      </c>
      <c r="X473" s="9">
        <f t="shared" si="26"/>
        <v>117.59444444444443</v>
      </c>
    </row>
    <row r="474" spans="15:24" x14ac:dyDescent="0.25">
      <c r="O474" s="9">
        <v>-249</v>
      </c>
      <c r="P474" s="9">
        <f t="shared" si="25"/>
        <v>-156.11111111111111</v>
      </c>
      <c r="X474" s="9">
        <f t="shared" si="26"/>
        <v>117.03888888888886</v>
      </c>
    </row>
    <row r="475" spans="15:24" x14ac:dyDescent="0.25">
      <c r="O475" s="9">
        <v>-250</v>
      </c>
      <c r="P475" s="9">
        <f t="shared" si="25"/>
        <v>-156.66666666666666</v>
      </c>
      <c r="X475" s="9">
        <f t="shared" si="26"/>
        <v>116.48333333333332</v>
      </c>
    </row>
    <row r="476" spans="15:24" x14ac:dyDescent="0.25">
      <c r="O476" s="9">
        <v>-251</v>
      </c>
      <c r="P476" s="9">
        <f t="shared" si="25"/>
        <v>-157.22222222222223</v>
      </c>
      <c r="X476" s="9">
        <f t="shared" si="26"/>
        <v>115.92777777777775</v>
      </c>
    </row>
    <row r="477" spans="15:24" x14ac:dyDescent="0.25">
      <c r="O477" s="9">
        <v>-252</v>
      </c>
      <c r="P477" s="9">
        <f t="shared" si="25"/>
        <v>-157.77777777777777</v>
      </c>
      <c r="X477" s="9">
        <f t="shared" si="26"/>
        <v>115.37222222222221</v>
      </c>
    </row>
    <row r="478" spans="15:24" x14ac:dyDescent="0.25">
      <c r="O478" s="9">
        <v>-253</v>
      </c>
      <c r="P478" s="9">
        <f t="shared" si="25"/>
        <v>-158.33333333333334</v>
      </c>
      <c r="X478" s="9">
        <f t="shared" si="26"/>
        <v>114.81666666666663</v>
      </c>
    </row>
    <row r="479" spans="15:24" x14ac:dyDescent="0.25">
      <c r="O479" s="9">
        <v>-254</v>
      </c>
      <c r="P479" s="9">
        <f t="shared" si="25"/>
        <v>-158.88888888888889</v>
      </c>
      <c r="X479" s="9">
        <f t="shared" si="26"/>
        <v>114.26111111111109</v>
      </c>
    </row>
    <row r="480" spans="15:24" x14ac:dyDescent="0.25">
      <c r="O480" s="9">
        <v>-255</v>
      </c>
      <c r="P480" s="9">
        <f t="shared" si="25"/>
        <v>-159.44444444444443</v>
      </c>
      <c r="X480" s="9">
        <f t="shared" si="26"/>
        <v>113.70555555555555</v>
      </c>
    </row>
    <row r="481" spans="15:24" x14ac:dyDescent="0.25">
      <c r="O481" s="9">
        <v>-256</v>
      </c>
      <c r="P481" s="9">
        <f t="shared" si="25"/>
        <v>-160</v>
      </c>
      <c r="X481" s="9">
        <f t="shared" si="26"/>
        <v>113.14999999999998</v>
      </c>
    </row>
    <row r="482" spans="15:24" x14ac:dyDescent="0.25">
      <c r="O482" s="9">
        <v>-257</v>
      </c>
      <c r="P482" s="9">
        <f t="shared" si="25"/>
        <v>-160.55555555555554</v>
      </c>
      <c r="X482" s="9">
        <f t="shared" si="26"/>
        <v>112.59444444444443</v>
      </c>
    </row>
    <row r="483" spans="15:24" x14ac:dyDescent="0.25">
      <c r="O483" s="9">
        <v>-258</v>
      </c>
      <c r="P483" s="9">
        <f t="shared" si="25"/>
        <v>-161.11111111111111</v>
      </c>
      <c r="X483" s="9">
        <f t="shared" si="26"/>
        <v>112.03888888888886</v>
      </c>
    </row>
    <row r="484" spans="15:24" x14ac:dyDescent="0.25">
      <c r="O484" s="9">
        <v>-259</v>
      </c>
      <c r="P484" s="9">
        <f t="shared" si="25"/>
        <v>-161.66666666666666</v>
      </c>
      <c r="X484" s="9">
        <f t="shared" si="26"/>
        <v>111.48333333333332</v>
      </c>
    </row>
    <row r="485" spans="15:24" x14ac:dyDescent="0.25">
      <c r="O485" s="9">
        <v>-260</v>
      </c>
      <c r="P485" s="9">
        <f t="shared" si="25"/>
        <v>-162.22222222222223</v>
      </c>
      <c r="X485" s="9">
        <f t="shared" si="26"/>
        <v>110.92777777777775</v>
      </c>
    </row>
    <row r="486" spans="15:24" x14ac:dyDescent="0.25">
      <c r="O486" s="9">
        <v>-261</v>
      </c>
      <c r="P486" s="9">
        <f t="shared" si="25"/>
        <v>-162.77777777777777</v>
      </c>
      <c r="X486" s="9">
        <f t="shared" si="26"/>
        <v>110.37222222222221</v>
      </c>
    </row>
    <row r="487" spans="15:24" x14ac:dyDescent="0.25">
      <c r="O487" s="9">
        <v>-262</v>
      </c>
      <c r="P487" s="9">
        <f t="shared" si="25"/>
        <v>-163.33333333333334</v>
      </c>
      <c r="X487" s="9">
        <f t="shared" si="26"/>
        <v>109.81666666666663</v>
      </c>
    </row>
    <row r="488" spans="15:24" x14ac:dyDescent="0.25">
      <c r="O488" s="9">
        <v>-263</v>
      </c>
      <c r="P488" s="9">
        <f t="shared" si="25"/>
        <v>-163.88888888888889</v>
      </c>
      <c r="X488" s="9">
        <f t="shared" si="26"/>
        <v>109.26111111111109</v>
      </c>
    </row>
    <row r="489" spans="15:24" x14ac:dyDescent="0.25">
      <c r="O489" s="9">
        <v>-264</v>
      </c>
      <c r="P489" s="9">
        <f t="shared" si="25"/>
        <v>-164.44444444444443</v>
      </c>
      <c r="X489" s="9">
        <f t="shared" si="26"/>
        <v>108.70555555555555</v>
      </c>
    </row>
    <row r="490" spans="15:24" x14ac:dyDescent="0.25">
      <c r="O490" s="9">
        <v>-265</v>
      </c>
      <c r="P490" s="9">
        <f t="shared" si="25"/>
        <v>-165</v>
      </c>
      <c r="X490" s="9">
        <f t="shared" si="26"/>
        <v>108.14999999999998</v>
      </c>
    </row>
    <row r="491" spans="15:24" x14ac:dyDescent="0.25">
      <c r="O491" s="9">
        <v>-266</v>
      </c>
      <c r="P491" s="9">
        <f t="shared" si="25"/>
        <v>-165.55555555555554</v>
      </c>
      <c r="X491" s="9">
        <f t="shared" si="26"/>
        <v>107.59444444444443</v>
      </c>
    </row>
    <row r="492" spans="15:24" x14ac:dyDescent="0.25">
      <c r="O492" s="9">
        <v>-267</v>
      </c>
      <c r="P492" s="9">
        <f t="shared" si="25"/>
        <v>-166.11111111111111</v>
      </c>
      <c r="X492" s="9">
        <f t="shared" si="26"/>
        <v>107.03888888888886</v>
      </c>
    </row>
    <row r="493" spans="15:24" x14ac:dyDescent="0.25">
      <c r="O493" s="9">
        <v>-268</v>
      </c>
      <c r="P493" s="9">
        <f t="shared" si="25"/>
        <v>-166.66666666666666</v>
      </c>
      <c r="X493" s="9">
        <f t="shared" si="26"/>
        <v>106.48333333333332</v>
      </c>
    </row>
    <row r="494" spans="15:24" x14ac:dyDescent="0.25">
      <c r="O494" s="9">
        <v>-269</v>
      </c>
      <c r="P494" s="9">
        <f t="shared" si="25"/>
        <v>-167.22222222222223</v>
      </c>
      <c r="X494" s="9">
        <f t="shared" si="26"/>
        <v>105.92777777777775</v>
      </c>
    </row>
    <row r="495" spans="15:24" x14ac:dyDescent="0.25">
      <c r="O495" s="9">
        <v>-270</v>
      </c>
      <c r="P495" s="9">
        <f t="shared" si="25"/>
        <v>-167.77777777777777</v>
      </c>
      <c r="X495" s="9">
        <f t="shared" si="26"/>
        <v>105.37222222222221</v>
      </c>
    </row>
    <row r="496" spans="15:24" x14ac:dyDescent="0.25">
      <c r="O496" s="9">
        <v>-271</v>
      </c>
      <c r="P496" s="9">
        <f t="shared" si="25"/>
        <v>-168.33333333333334</v>
      </c>
      <c r="X496" s="9">
        <f t="shared" si="26"/>
        <v>104.81666666666663</v>
      </c>
    </row>
    <row r="497" spans="15:24" x14ac:dyDescent="0.25">
      <c r="O497" s="9">
        <v>-272</v>
      </c>
      <c r="P497" s="9">
        <f t="shared" si="25"/>
        <v>-168.88888888888889</v>
      </c>
      <c r="X497" s="9">
        <f t="shared" si="26"/>
        <v>104.26111111111109</v>
      </c>
    </row>
    <row r="498" spans="15:24" x14ac:dyDescent="0.25">
      <c r="O498" s="9">
        <v>-273</v>
      </c>
      <c r="P498" s="9">
        <f t="shared" si="25"/>
        <v>-169.44444444444443</v>
      </c>
      <c r="X498" s="9">
        <f t="shared" si="26"/>
        <v>103.70555555555555</v>
      </c>
    </row>
    <row r="499" spans="15:24" x14ac:dyDescent="0.25">
      <c r="O499" s="9">
        <v>-274</v>
      </c>
      <c r="P499" s="9">
        <f t="shared" si="25"/>
        <v>-170</v>
      </c>
      <c r="X499" s="9">
        <f t="shared" si="26"/>
        <v>103.14999999999998</v>
      </c>
    </row>
    <row r="500" spans="15:24" x14ac:dyDescent="0.25">
      <c r="O500" s="9">
        <v>-275</v>
      </c>
      <c r="P500" s="9">
        <f t="shared" si="25"/>
        <v>-170.55555555555554</v>
      </c>
      <c r="X500" s="9">
        <f t="shared" si="26"/>
        <v>102.59444444444443</v>
      </c>
    </row>
    <row r="501" spans="15:24" x14ac:dyDescent="0.25">
      <c r="O501" s="9">
        <v>-276</v>
      </c>
      <c r="P501" s="9">
        <f t="shared" si="25"/>
        <v>-171.11111111111111</v>
      </c>
      <c r="X501" s="9">
        <f t="shared" si="26"/>
        <v>102.03888888888886</v>
      </c>
    </row>
    <row r="502" spans="15:24" x14ac:dyDescent="0.25">
      <c r="O502" s="9">
        <v>-277</v>
      </c>
      <c r="P502" s="9">
        <f t="shared" si="25"/>
        <v>-171.66666666666666</v>
      </c>
      <c r="X502" s="9">
        <f t="shared" si="26"/>
        <v>101.48333333333332</v>
      </c>
    </row>
    <row r="503" spans="15:24" x14ac:dyDescent="0.25">
      <c r="O503" s="9">
        <v>-278</v>
      </c>
      <c r="P503" s="9">
        <f t="shared" si="25"/>
        <v>-172.22222222222223</v>
      </c>
      <c r="X503" s="9">
        <f t="shared" si="26"/>
        <v>100.92777777777775</v>
      </c>
    </row>
    <row r="504" spans="15:24" x14ac:dyDescent="0.25">
      <c r="O504" s="9">
        <v>-279</v>
      </c>
      <c r="P504" s="9">
        <f t="shared" si="25"/>
        <v>-172.77777777777777</v>
      </c>
      <c r="X504" s="9">
        <f t="shared" si="26"/>
        <v>100.37222222222221</v>
      </c>
    </row>
    <row r="505" spans="15:24" x14ac:dyDescent="0.25">
      <c r="O505" s="9">
        <v>-280</v>
      </c>
      <c r="P505" s="9">
        <f t="shared" si="25"/>
        <v>-173.33333333333334</v>
      </c>
      <c r="X505" s="9">
        <f t="shared" si="26"/>
        <v>99.816666666666634</v>
      </c>
    </row>
    <row r="506" spans="15:24" x14ac:dyDescent="0.25">
      <c r="O506" s="9">
        <v>-281</v>
      </c>
      <c r="P506" s="9">
        <f t="shared" si="25"/>
        <v>-173.88888888888889</v>
      </c>
      <c r="X506" s="9">
        <f t="shared" si="26"/>
        <v>99.261111111111092</v>
      </c>
    </row>
    <row r="507" spans="15:24" x14ac:dyDescent="0.25">
      <c r="O507" s="9">
        <v>-282</v>
      </c>
      <c r="P507" s="9">
        <f t="shared" si="25"/>
        <v>-174.44444444444443</v>
      </c>
      <c r="X507" s="9">
        <f t="shared" si="26"/>
        <v>98.705555555555549</v>
      </c>
    </row>
    <row r="508" spans="15:24" x14ac:dyDescent="0.25">
      <c r="O508" s="9">
        <v>-283</v>
      </c>
      <c r="P508" s="9">
        <f t="shared" si="25"/>
        <v>-175</v>
      </c>
      <c r="X508" s="9">
        <f t="shared" si="26"/>
        <v>98.149999999999977</v>
      </c>
    </row>
    <row r="509" spans="15:24" x14ac:dyDescent="0.25">
      <c r="O509" s="9">
        <v>-284</v>
      </c>
      <c r="P509" s="9">
        <f t="shared" si="25"/>
        <v>-175.55555555555554</v>
      </c>
      <c r="X509" s="9">
        <f t="shared" si="26"/>
        <v>97.594444444444434</v>
      </c>
    </row>
    <row r="510" spans="15:24" x14ac:dyDescent="0.25">
      <c r="O510" s="9">
        <v>-285</v>
      </c>
      <c r="P510" s="9">
        <f t="shared" si="25"/>
        <v>-176.11111111111111</v>
      </c>
      <c r="X510" s="9">
        <f t="shared" si="26"/>
        <v>97.038888888888863</v>
      </c>
    </row>
    <row r="511" spans="15:24" x14ac:dyDescent="0.25">
      <c r="O511" s="9">
        <v>-286</v>
      </c>
      <c r="P511" s="9">
        <f t="shared" si="25"/>
        <v>-176.66666666666666</v>
      </c>
      <c r="X511" s="9">
        <f t="shared" si="26"/>
        <v>96.48333333333332</v>
      </c>
    </row>
    <row r="512" spans="15:24" x14ac:dyDescent="0.25">
      <c r="O512" s="9">
        <v>-287</v>
      </c>
      <c r="P512" s="9">
        <f t="shared" si="25"/>
        <v>-177.22222222222223</v>
      </c>
      <c r="X512" s="9">
        <f t="shared" si="26"/>
        <v>95.927777777777749</v>
      </c>
    </row>
    <row r="513" spans="15:24" x14ac:dyDescent="0.25">
      <c r="O513" s="9">
        <v>-288</v>
      </c>
      <c r="P513" s="9">
        <f t="shared" si="25"/>
        <v>-177.77777777777777</v>
      </c>
      <c r="X513" s="9">
        <f t="shared" si="26"/>
        <v>95.372222222222206</v>
      </c>
    </row>
    <row r="514" spans="15:24" x14ac:dyDescent="0.25">
      <c r="O514" s="9">
        <v>-289</v>
      </c>
      <c r="P514" s="9">
        <f t="shared" si="25"/>
        <v>-178.33333333333334</v>
      </c>
      <c r="X514" s="9">
        <f t="shared" si="26"/>
        <v>94.816666666666634</v>
      </c>
    </row>
    <row r="515" spans="15:24" x14ac:dyDescent="0.25">
      <c r="O515" s="9">
        <v>-290</v>
      </c>
      <c r="P515" s="9">
        <f t="shared" si="25"/>
        <v>-178.88888888888889</v>
      </c>
      <c r="X515" s="9">
        <f t="shared" si="26"/>
        <v>94.261111111111092</v>
      </c>
    </row>
    <row r="516" spans="15:24" x14ac:dyDescent="0.25">
      <c r="O516" s="9">
        <v>-291</v>
      </c>
      <c r="P516" s="9">
        <f t="shared" si="25"/>
        <v>-179.44444444444443</v>
      </c>
      <c r="X516" s="9">
        <f t="shared" si="26"/>
        <v>93.705555555555549</v>
      </c>
    </row>
    <row r="517" spans="15:24" x14ac:dyDescent="0.25">
      <c r="O517" s="9">
        <v>-292</v>
      </c>
      <c r="P517" s="9">
        <f t="shared" ref="P517:P580" si="27">CONVERT(O517,"F","C")</f>
        <v>-180</v>
      </c>
      <c r="X517" s="9">
        <f t="shared" si="26"/>
        <v>93.149999999999977</v>
      </c>
    </row>
    <row r="518" spans="15:24" x14ac:dyDescent="0.25">
      <c r="O518" s="9">
        <v>-293</v>
      </c>
      <c r="P518" s="9">
        <f t="shared" si="27"/>
        <v>-180.55555555555554</v>
      </c>
      <c r="X518" s="9">
        <f t="shared" ref="X518:X581" si="28">CONVERT(O518,"F","K")</f>
        <v>92.594444444444434</v>
      </c>
    </row>
    <row r="519" spans="15:24" x14ac:dyDescent="0.25">
      <c r="O519" s="9">
        <v>-294</v>
      </c>
      <c r="P519" s="9">
        <f t="shared" si="27"/>
        <v>-181.11111111111111</v>
      </c>
      <c r="X519" s="9">
        <f t="shared" si="28"/>
        <v>92.038888888888863</v>
      </c>
    </row>
    <row r="520" spans="15:24" x14ac:dyDescent="0.25">
      <c r="O520" s="9">
        <v>-295</v>
      </c>
      <c r="P520" s="9">
        <f t="shared" si="27"/>
        <v>-181.66666666666666</v>
      </c>
      <c r="X520" s="9">
        <f t="shared" si="28"/>
        <v>91.48333333333332</v>
      </c>
    </row>
    <row r="521" spans="15:24" x14ac:dyDescent="0.25">
      <c r="O521" s="9">
        <v>-296</v>
      </c>
      <c r="P521" s="9">
        <f t="shared" si="27"/>
        <v>-182.22222222222223</v>
      </c>
      <c r="X521" s="9">
        <f t="shared" si="28"/>
        <v>90.927777777777749</v>
      </c>
    </row>
    <row r="522" spans="15:24" x14ac:dyDescent="0.25">
      <c r="O522" s="9">
        <v>-297</v>
      </c>
      <c r="P522" s="9">
        <f t="shared" si="27"/>
        <v>-182.77777777777777</v>
      </c>
      <c r="X522" s="9">
        <f t="shared" si="28"/>
        <v>90.372222222222206</v>
      </c>
    </row>
    <row r="523" spans="15:24" x14ac:dyDescent="0.25">
      <c r="O523" s="9">
        <v>-298</v>
      </c>
      <c r="P523" s="9">
        <f t="shared" si="27"/>
        <v>-183.33333333333334</v>
      </c>
      <c r="X523" s="9">
        <f t="shared" si="28"/>
        <v>89.816666666666634</v>
      </c>
    </row>
    <row r="524" spans="15:24" x14ac:dyDescent="0.25">
      <c r="O524" s="9">
        <v>-299</v>
      </c>
      <c r="P524" s="9">
        <f t="shared" si="27"/>
        <v>-183.88888888888889</v>
      </c>
      <c r="X524" s="9">
        <f t="shared" si="28"/>
        <v>89.261111111111092</v>
      </c>
    </row>
    <row r="525" spans="15:24" x14ac:dyDescent="0.25">
      <c r="O525" s="9">
        <v>-300</v>
      </c>
      <c r="P525" s="9">
        <f t="shared" si="27"/>
        <v>-184.44444444444443</v>
      </c>
      <c r="X525" s="9">
        <f t="shared" si="28"/>
        <v>88.705555555555549</v>
      </c>
    </row>
    <row r="526" spans="15:24" x14ac:dyDescent="0.25">
      <c r="O526" s="9">
        <v>-301</v>
      </c>
      <c r="P526" s="9">
        <f t="shared" si="27"/>
        <v>-185</v>
      </c>
      <c r="X526" s="9">
        <f t="shared" si="28"/>
        <v>88.149999999999977</v>
      </c>
    </row>
    <row r="527" spans="15:24" x14ac:dyDescent="0.25">
      <c r="O527" s="9">
        <v>-302</v>
      </c>
      <c r="P527" s="9">
        <f t="shared" si="27"/>
        <v>-185.55555555555554</v>
      </c>
      <c r="X527" s="9">
        <f t="shared" si="28"/>
        <v>87.594444444444434</v>
      </c>
    </row>
    <row r="528" spans="15:24" x14ac:dyDescent="0.25">
      <c r="O528" s="9">
        <v>-303</v>
      </c>
      <c r="P528" s="9">
        <f t="shared" si="27"/>
        <v>-186.11111111111111</v>
      </c>
      <c r="X528" s="9">
        <f t="shared" si="28"/>
        <v>87.038888888888863</v>
      </c>
    </row>
    <row r="529" spans="15:24" x14ac:dyDescent="0.25">
      <c r="O529" s="9">
        <v>-304</v>
      </c>
      <c r="P529" s="9">
        <f t="shared" si="27"/>
        <v>-186.66666666666666</v>
      </c>
      <c r="X529" s="9">
        <f t="shared" si="28"/>
        <v>86.48333333333332</v>
      </c>
    </row>
    <row r="530" spans="15:24" x14ac:dyDescent="0.25">
      <c r="O530" s="9">
        <v>-305</v>
      </c>
      <c r="P530" s="9">
        <f t="shared" si="27"/>
        <v>-187.22222222222223</v>
      </c>
      <c r="X530" s="9">
        <f t="shared" si="28"/>
        <v>85.927777777777749</v>
      </c>
    </row>
    <row r="531" spans="15:24" x14ac:dyDescent="0.25">
      <c r="O531" s="9">
        <v>-306</v>
      </c>
      <c r="P531" s="9">
        <f t="shared" si="27"/>
        <v>-187.77777777777777</v>
      </c>
      <c r="X531" s="9">
        <f t="shared" si="28"/>
        <v>85.372222222222206</v>
      </c>
    </row>
    <row r="532" spans="15:24" x14ac:dyDescent="0.25">
      <c r="O532" s="9">
        <v>-307</v>
      </c>
      <c r="P532" s="9">
        <f t="shared" si="27"/>
        <v>-188.33333333333334</v>
      </c>
      <c r="X532" s="9">
        <f t="shared" si="28"/>
        <v>84.816666666666634</v>
      </c>
    </row>
    <row r="533" spans="15:24" x14ac:dyDescent="0.25">
      <c r="O533" s="9">
        <v>-308</v>
      </c>
      <c r="P533" s="9">
        <f t="shared" si="27"/>
        <v>-188.88888888888889</v>
      </c>
      <c r="X533" s="9">
        <f t="shared" si="28"/>
        <v>84.261111111111092</v>
      </c>
    </row>
    <row r="534" spans="15:24" x14ac:dyDescent="0.25">
      <c r="O534" s="9">
        <v>-309</v>
      </c>
      <c r="P534" s="9">
        <f t="shared" si="27"/>
        <v>-189.44444444444443</v>
      </c>
      <c r="X534" s="9">
        <f t="shared" si="28"/>
        <v>83.705555555555549</v>
      </c>
    </row>
    <row r="535" spans="15:24" x14ac:dyDescent="0.25">
      <c r="O535" s="9">
        <v>-310</v>
      </c>
      <c r="P535" s="9">
        <f t="shared" si="27"/>
        <v>-190</v>
      </c>
      <c r="X535" s="9">
        <f t="shared" si="28"/>
        <v>83.149999999999977</v>
      </c>
    </row>
    <row r="536" spans="15:24" x14ac:dyDescent="0.25">
      <c r="O536" s="9">
        <v>-311</v>
      </c>
      <c r="P536" s="9">
        <f t="shared" si="27"/>
        <v>-190.55555555555554</v>
      </c>
      <c r="X536" s="9">
        <f t="shared" si="28"/>
        <v>82.594444444444434</v>
      </c>
    </row>
    <row r="537" spans="15:24" x14ac:dyDescent="0.25">
      <c r="O537" s="9">
        <v>-312</v>
      </c>
      <c r="P537" s="9">
        <f t="shared" si="27"/>
        <v>-191.11111111111111</v>
      </c>
      <c r="X537" s="9">
        <f t="shared" si="28"/>
        <v>82.038888888888863</v>
      </c>
    </row>
    <row r="538" spans="15:24" x14ac:dyDescent="0.25">
      <c r="O538" s="9">
        <v>-313</v>
      </c>
      <c r="P538" s="9">
        <f t="shared" si="27"/>
        <v>-191.66666666666666</v>
      </c>
      <c r="X538" s="9">
        <f t="shared" si="28"/>
        <v>81.48333333333332</v>
      </c>
    </row>
    <row r="539" spans="15:24" x14ac:dyDescent="0.25">
      <c r="O539" s="9">
        <v>-314</v>
      </c>
      <c r="P539" s="9">
        <f t="shared" si="27"/>
        <v>-192.22222222222223</v>
      </c>
      <c r="X539" s="9">
        <f t="shared" si="28"/>
        <v>80.927777777777749</v>
      </c>
    </row>
    <row r="540" spans="15:24" x14ac:dyDescent="0.25">
      <c r="O540" s="9">
        <v>-315</v>
      </c>
      <c r="P540" s="9">
        <f t="shared" si="27"/>
        <v>-192.77777777777777</v>
      </c>
      <c r="X540" s="9">
        <f t="shared" si="28"/>
        <v>80.372222222222206</v>
      </c>
    </row>
    <row r="541" spans="15:24" x14ac:dyDescent="0.25">
      <c r="O541" s="9">
        <v>-316</v>
      </c>
      <c r="P541" s="9">
        <f t="shared" si="27"/>
        <v>-193.33333333333331</v>
      </c>
      <c r="X541" s="9">
        <f t="shared" si="28"/>
        <v>79.816666666666663</v>
      </c>
    </row>
    <row r="542" spans="15:24" x14ac:dyDescent="0.25">
      <c r="O542" s="9">
        <v>-317</v>
      </c>
      <c r="P542" s="9">
        <f t="shared" si="27"/>
        <v>-193.88888888888889</v>
      </c>
      <c r="X542" s="9">
        <f t="shared" si="28"/>
        <v>79.261111111111092</v>
      </c>
    </row>
    <row r="543" spans="15:24" x14ac:dyDescent="0.25">
      <c r="O543" s="9">
        <v>-318</v>
      </c>
      <c r="P543" s="9">
        <f t="shared" si="27"/>
        <v>-194.44444444444443</v>
      </c>
      <c r="X543" s="9">
        <f t="shared" si="28"/>
        <v>78.705555555555549</v>
      </c>
    </row>
    <row r="544" spans="15:24" x14ac:dyDescent="0.25">
      <c r="O544" s="9">
        <v>-319</v>
      </c>
      <c r="P544" s="9">
        <f t="shared" si="27"/>
        <v>-195</v>
      </c>
      <c r="X544" s="9">
        <f t="shared" si="28"/>
        <v>78.149999999999977</v>
      </c>
    </row>
    <row r="545" spans="15:24" x14ac:dyDescent="0.25">
      <c r="O545" s="9">
        <v>-320</v>
      </c>
      <c r="P545" s="9">
        <f t="shared" si="27"/>
        <v>-195.55555555555554</v>
      </c>
      <c r="X545" s="9">
        <f t="shared" si="28"/>
        <v>77.594444444444434</v>
      </c>
    </row>
    <row r="546" spans="15:24" x14ac:dyDescent="0.25">
      <c r="O546" s="9">
        <v>-321</v>
      </c>
      <c r="P546" s="9">
        <f t="shared" si="27"/>
        <v>-196.11111111111111</v>
      </c>
      <c r="X546" s="9">
        <f t="shared" si="28"/>
        <v>77.038888888888863</v>
      </c>
    </row>
    <row r="547" spans="15:24" x14ac:dyDescent="0.25">
      <c r="O547" s="9">
        <v>-322</v>
      </c>
      <c r="P547" s="9">
        <f t="shared" si="27"/>
        <v>-196.66666666666666</v>
      </c>
      <c r="X547" s="9">
        <f t="shared" si="28"/>
        <v>76.48333333333332</v>
      </c>
    </row>
    <row r="548" spans="15:24" x14ac:dyDescent="0.25">
      <c r="O548" s="9">
        <v>-323</v>
      </c>
      <c r="P548" s="9">
        <f t="shared" si="27"/>
        <v>-197.22222222222223</v>
      </c>
      <c r="X548" s="9">
        <f t="shared" si="28"/>
        <v>75.927777777777749</v>
      </c>
    </row>
    <row r="549" spans="15:24" x14ac:dyDescent="0.25">
      <c r="O549" s="9">
        <v>-324</v>
      </c>
      <c r="P549" s="9">
        <f t="shared" si="27"/>
        <v>-197.77777777777777</v>
      </c>
      <c r="X549" s="9">
        <f t="shared" si="28"/>
        <v>75.372222222222206</v>
      </c>
    </row>
    <row r="550" spans="15:24" x14ac:dyDescent="0.25">
      <c r="O550" s="9">
        <v>-325</v>
      </c>
      <c r="P550" s="9">
        <f t="shared" si="27"/>
        <v>-198.33333333333331</v>
      </c>
      <c r="X550" s="9">
        <f t="shared" si="28"/>
        <v>74.816666666666663</v>
      </c>
    </row>
    <row r="551" spans="15:24" x14ac:dyDescent="0.25">
      <c r="O551" s="9">
        <v>-326</v>
      </c>
      <c r="P551" s="9">
        <f t="shared" si="27"/>
        <v>-198.88888888888889</v>
      </c>
      <c r="X551" s="9">
        <f t="shared" si="28"/>
        <v>74.261111111111092</v>
      </c>
    </row>
    <row r="552" spans="15:24" x14ac:dyDescent="0.25">
      <c r="O552" s="9">
        <v>-327</v>
      </c>
      <c r="P552" s="9">
        <f t="shared" si="27"/>
        <v>-199.44444444444443</v>
      </c>
      <c r="X552" s="9">
        <f t="shared" si="28"/>
        <v>73.705555555555549</v>
      </c>
    </row>
    <row r="553" spans="15:24" x14ac:dyDescent="0.25">
      <c r="O553" s="9">
        <v>-328</v>
      </c>
      <c r="P553" s="9">
        <f t="shared" si="27"/>
        <v>-200</v>
      </c>
      <c r="X553" s="9">
        <f t="shared" si="28"/>
        <v>73.149999999999977</v>
      </c>
    </row>
    <row r="554" spans="15:24" x14ac:dyDescent="0.25">
      <c r="O554" s="9">
        <v>-329</v>
      </c>
      <c r="P554" s="9">
        <f t="shared" si="27"/>
        <v>-200.55555555555554</v>
      </c>
      <c r="X554" s="9">
        <f t="shared" si="28"/>
        <v>72.594444444444434</v>
      </c>
    </row>
    <row r="555" spans="15:24" x14ac:dyDescent="0.25">
      <c r="O555" s="9">
        <v>-330</v>
      </c>
      <c r="P555" s="9">
        <f t="shared" si="27"/>
        <v>-201.11111111111111</v>
      </c>
      <c r="X555" s="9">
        <f t="shared" si="28"/>
        <v>72.038888888888863</v>
      </c>
    </row>
    <row r="556" spans="15:24" x14ac:dyDescent="0.25">
      <c r="O556" s="9">
        <v>-331</v>
      </c>
      <c r="P556" s="9">
        <f t="shared" si="27"/>
        <v>-201.66666666666666</v>
      </c>
      <c r="X556" s="9">
        <f t="shared" si="28"/>
        <v>71.48333333333332</v>
      </c>
    </row>
    <row r="557" spans="15:24" x14ac:dyDescent="0.25">
      <c r="O557" s="9">
        <v>-332</v>
      </c>
      <c r="P557" s="9">
        <f t="shared" si="27"/>
        <v>-202.22222222222223</v>
      </c>
      <c r="X557" s="9">
        <f t="shared" si="28"/>
        <v>70.927777777777749</v>
      </c>
    </row>
    <row r="558" spans="15:24" x14ac:dyDescent="0.25">
      <c r="O558" s="9">
        <v>-333</v>
      </c>
      <c r="P558" s="9">
        <f t="shared" si="27"/>
        <v>-202.77777777777777</v>
      </c>
      <c r="X558" s="9">
        <f t="shared" si="28"/>
        <v>70.372222222222206</v>
      </c>
    </row>
    <row r="559" spans="15:24" x14ac:dyDescent="0.25">
      <c r="O559" s="9">
        <v>-334</v>
      </c>
      <c r="P559" s="9">
        <f t="shared" si="27"/>
        <v>-203.33333333333331</v>
      </c>
      <c r="X559" s="9">
        <f t="shared" si="28"/>
        <v>69.816666666666663</v>
      </c>
    </row>
    <row r="560" spans="15:24" x14ac:dyDescent="0.25">
      <c r="O560" s="9">
        <v>-335</v>
      </c>
      <c r="P560" s="9">
        <f t="shared" si="27"/>
        <v>-203.88888888888889</v>
      </c>
      <c r="X560" s="9">
        <f t="shared" si="28"/>
        <v>69.261111111111092</v>
      </c>
    </row>
    <row r="561" spans="15:24" x14ac:dyDescent="0.25">
      <c r="O561" s="9">
        <v>-336</v>
      </c>
      <c r="P561" s="9">
        <f t="shared" si="27"/>
        <v>-204.44444444444443</v>
      </c>
      <c r="X561" s="9">
        <f t="shared" si="28"/>
        <v>68.705555555555549</v>
      </c>
    </row>
    <row r="562" spans="15:24" x14ac:dyDescent="0.25">
      <c r="O562" s="9">
        <v>-337</v>
      </c>
      <c r="P562" s="9">
        <f t="shared" si="27"/>
        <v>-205</v>
      </c>
      <c r="X562" s="9">
        <f t="shared" si="28"/>
        <v>68.149999999999977</v>
      </c>
    </row>
    <row r="563" spans="15:24" x14ac:dyDescent="0.25">
      <c r="O563" s="9">
        <v>-338</v>
      </c>
      <c r="P563" s="9">
        <f t="shared" si="27"/>
        <v>-205.55555555555554</v>
      </c>
      <c r="X563" s="9">
        <f t="shared" si="28"/>
        <v>67.594444444444434</v>
      </c>
    </row>
    <row r="564" spans="15:24" x14ac:dyDescent="0.25">
      <c r="O564" s="9">
        <v>-339</v>
      </c>
      <c r="P564" s="9">
        <f t="shared" si="27"/>
        <v>-206.11111111111111</v>
      </c>
      <c r="X564" s="9">
        <f t="shared" si="28"/>
        <v>67.038888888888863</v>
      </c>
    </row>
    <row r="565" spans="15:24" x14ac:dyDescent="0.25">
      <c r="O565" s="9">
        <v>-340</v>
      </c>
      <c r="P565" s="9">
        <f t="shared" si="27"/>
        <v>-206.66666666666666</v>
      </c>
      <c r="X565" s="9">
        <f t="shared" si="28"/>
        <v>66.48333333333332</v>
      </c>
    </row>
    <row r="566" spans="15:24" x14ac:dyDescent="0.25">
      <c r="O566" s="9">
        <v>-341</v>
      </c>
      <c r="P566" s="9">
        <f t="shared" si="27"/>
        <v>-207.22222222222223</v>
      </c>
      <c r="X566" s="9">
        <f t="shared" si="28"/>
        <v>65.927777777777749</v>
      </c>
    </row>
    <row r="567" spans="15:24" x14ac:dyDescent="0.25">
      <c r="O567" s="9">
        <v>-342</v>
      </c>
      <c r="P567" s="9">
        <f t="shared" si="27"/>
        <v>-207.77777777777777</v>
      </c>
      <c r="X567" s="9">
        <f t="shared" si="28"/>
        <v>65.372222222222206</v>
      </c>
    </row>
    <row r="568" spans="15:24" x14ac:dyDescent="0.25">
      <c r="O568" s="9">
        <v>-343</v>
      </c>
      <c r="P568" s="9">
        <f t="shared" si="27"/>
        <v>-208.33333333333331</v>
      </c>
      <c r="X568" s="9">
        <f t="shared" si="28"/>
        <v>64.816666666666663</v>
      </c>
    </row>
    <row r="569" spans="15:24" x14ac:dyDescent="0.25">
      <c r="O569" s="9">
        <v>-344</v>
      </c>
      <c r="P569" s="9">
        <f t="shared" si="27"/>
        <v>-208.88888888888889</v>
      </c>
      <c r="X569" s="9">
        <f t="shared" si="28"/>
        <v>64.261111111111092</v>
      </c>
    </row>
    <row r="570" spans="15:24" x14ac:dyDescent="0.25">
      <c r="O570" s="9">
        <v>-345</v>
      </c>
      <c r="P570" s="9">
        <f t="shared" si="27"/>
        <v>-209.44444444444443</v>
      </c>
      <c r="X570" s="9">
        <f t="shared" si="28"/>
        <v>63.705555555555549</v>
      </c>
    </row>
    <row r="571" spans="15:24" x14ac:dyDescent="0.25">
      <c r="O571" s="9">
        <v>-346</v>
      </c>
      <c r="P571" s="9">
        <f t="shared" si="27"/>
        <v>-210</v>
      </c>
      <c r="X571" s="9">
        <f t="shared" si="28"/>
        <v>63.149999999999977</v>
      </c>
    </row>
    <row r="572" spans="15:24" x14ac:dyDescent="0.25">
      <c r="O572" s="9">
        <v>-347</v>
      </c>
      <c r="P572" s="9">
        <f t="shared" si="27"/>
        <v>-210.55555555555554</v>
      </c>
      <c r="X572" s="9">
        <f t="shared" si="28"/>
        <v>62.594444444444434</v>
      </c>
    </row>
    <row r="573" spans="15:24" x14ac:dyDescent="0.25">
      <c r="O573" s="9">
        <v>-348</v>
      </c>
      <c r="P573" s="9">
        <f t="shared" si="27"/>
        <v>-211.11111111111111</v>
      </c>
      <c r="X573" s="9">
        <f t="shared" si="28"/>
        <v>62.038888888888863</v>
      </c>
    </row>
    <row r="574" spans="15:24" x14ac:dyDescent="0.25">
      <c r="O574" s="9">
        <v>-349</v>
      </c>
      <c r="P574" s="9">
        <f t="shared" si="27"/>
        <v>-211.66666666666666</v>
      </c>
      <c r="X574" s="9">
        <f t="shared" si="28"/>
        <v>61.48333333333332</v>
      </c>
    </row>
    <row r="575" spans="15:24" x14ac:dyDescent="0.25">
      <c r="O575" s="9">
        <v>-350</v>
      </c>
      <c r="P575" s="9">
        <f t="shared" si="27"/>
        <v>-212.22222222222223</v>
      </c>
      <c r="X575" s="9">
        <f t="shared" si="28"/>
        <v>60.927777777777749</v>
      </c>
    </row>
    <row r="576" spans="15:24" x14ac:dyDescent="0.25">
      <c r="O576" s="9">
        <v>-351</v>
      </c>
      <c r="P576" s="9">
        <f t="shared" si="27"/>
        <v>-212.77777777777777</v>
      </c>
      <c r="X576" s="9">
        <f t="shared" si="28"/>
        <v>60.372222222222206</v>
      </c>
    </row>
    <row r="577" spans="15:24" x14ac:dyDescent="0.25">
      <c r="O577" s="9">
        <v>-352</v>
      </c>
      <c r="P577" s="9">
        <f t="shared" si="27"/>
        <v>-213.33333333333331</v>
      </c>
      <c r="X577" s="9">
        <f t="shared" si="28"/>
        <v>59.816666666666663</v>
      </c>
    </row>
    <row r="578" spans="15:24" x14ac:dyDescent="0.25">
      <c r="O578" s="9">
        <v>-353</v>
      </c>
      <c r="P578" s="9">
        <f t="shared" si="27"/>
        <v>-213.88888888888889</v>
      </c>
      <c r="X578" s="9">
        <f t="shared" si="28"/>
        <v>59.261111111111092</v>
      </c>
    </row>
    <row r="579" spans="15:24" x14ac:dyDescent="0.25">
      <c r="O579" s="9">
        <v>-354</v>
      </c>
      <c r="P579" s="9">
        <f t="shared" si="27"/>
        <v>-214.44444444444443</v>
      </c>
      <c r="X579" s="9">
        <f t="shared" si="28"/>
        <v>58.705555555555549</v>
      </c>
    </row>
    <row r="580" spans="15:24" x14ac:dyDescent="0.25">
      <c r="O580" s="9">
        <v>-355</v>
      </c>
      <c r="P580" s="9">
        <f t="shared" si="27"/>
        <v>-215</v>
      </c>
      <c r="X580" s="9">
        <f t="shared" si="28"/>
        <v>58.149999999999977</v>
      </c>
    </row>
    <row r="581" spans="15:24" x14ac:dyDescent="0.25">
      <c r="O581" s="9">
        <v>-356</v>
      </c>
      <c r="P581" s="9">
        <f t="shared" ref="P581:P644" si="29">CONVERT(O581,"F","C")</f>
        <v>-215.55555555555554</v>
      </c>
      <c r="X581" s="9">
        <f t="shared" si="28"/>
        <v>57.594444444444434</v>
      </c>
    </row>
    <row r="582" spans="15:24" x14ac:dyDescent="0.25">
      <c r="O582" s="9">
        <v>-357</v>
      </c>
      <c r="P582" s="9">
        <f t="shared" si="29"/>
        <v>-216.11111111111111</v>
      </c>
      <c r="X582" s="9">
        <f t="shared" ref="X582:X645" si="30">CONVERT(O582,"F","K")</f>
        <v>57.038888888888863</v>
      </c>
    </row>
    <row r="583" spans="15:24" x14ac:dyDescent="0.25">
      <c r="O583" s="9">
        <v>-358</v>
      </c>
      <c r="P583" s="9">
        <f t="shared" si="29"/>
        <v>-216.66666666666666</v>
      </c>
      <c r="X583" s="9">
        <f t="shared" si="30"/>
        <v>56.48333333333332</v>
      </c>
    </row>
    <row r="584" spans="15:24" x14ac:dyDescent="0.25">
      <c r="O584" s="9">
        <v>-359</v>
      </c>
      <c r="P584" s="9">
        <f t="shared" si="29"/>
        <v>-217.22222222222223</v>
      </c>
      <c r="X584" s="9">
        <f t="shared" si="30"/>
        <v>55.927777777777749</v>
      </c>
    </row>
    <row r="585" spans="15:24" x14ac:dyDescent="0.25">
      <c r="O585" s="9">
        <v>-360</v>
      </c>
      <c r="P585" s="9">
        <f t="shared" si="29"/>
        <v>-217.77777777777777</v>
      </c>
      <c r="X585" s="9">
        <f t="shared" si="30"/>
        <v>55.372222222222206</v>
      </c>
    </row>
    <row r="586" spans="15:24" x14ac:dyDescent="0.25">
      <c r="O586" s="9">
        <v>-361</v>
      </c>
      <c r="P586" s="9">
        <f t="shared" si="29"/>
        <v>-218.33333333333331</v>
      </c>
      <c r="X586" s="9">
        <f t="shared" si="30"/>
        <v>54.816666666666663</v>
      </c>
    </row>
    <row r="587" spans="15:24" x14ac:dyDescent="0.25">
      <c r="O587" s="9">
        <v>-362</v>
      </c>
      <c r="P587" s="9">
        <f t="shared" si="29"/>
        <v>-218.88888888888889</v>
      </c>
      <c r="X587" s="9">
        <f t="shared" si="30"/>
        <v>54.261111111111092</v>
      </c>
    </row>
    <row r="588" spans="15:24" x14ac:dyDescent="0.25">
      <c r="O588" s="9">
        <v>-363</v>
      </c>
      <c r="P588" s="9">
        <f t="shared" si="29"/>
        <v>-219.44444444444443</v>
      </c>
      <c r="X588" s="9">
        <f t="shared" si="30"/>
        <v>53.705555555555549</v>
      </c>
    </row>
    <row r="589" spans="15:24" x14ac:dyDescent="0.25">
      <c r="O589" s="9">
        <v>-364</v>
      </c>
      <c r="P589" s="9">
        <f t="shared" si="29"/>
        <v>-220</v>
      </c>
      <c r="X589" s="9">
        <f t="shared" si="30"/>
        <v>53.149999999999977</v>
      </c>
    </row>
    <row r="590" spans="15:24" x14ac:dyDescent="0.25">
      <c r="O590" s="9">
        <v>-365</v>
      </c>
      <c r="P590" s="9">
        <f t="shared" si="29"/>
        <v>-220.55555555555554</v>
      </c>
      <c r="X590" s="9">
        <f t="shared" si="30"/>
        <v>52.594444444444434</v>
      </c>
    </row>
    <row r="591" spans="15:24" x14ac:dyDescent="0.25">
      <c r="O591" s="9">
        <v>-366</v>
      </c>
      <c r="P591" s="9">
        <f t="shared" si="29"/>
        <v>-221.11111111111111</v>
      </c>
      <c r="X591" s="9">
        <f t="shared" si="30"/>
        <v>52.038888888888863</v>
      </c>
    </row>
    <row r="592" spans="15:24" x14ac:dyDescent="0.25">
      <c r="O592" s="9">
        <v>-367</v>
      </c>
      <c r="P592" s="9">
        <f t="shared" si="29"/>
        <v>-221.66666666666666</v>
      </c>
      <c r="X592" s="9">
        <f t="shared" si="30"/>
        <v>51.48333333333332</v>
      </c>
    </row>
    <row r="593" spans="15:24" x14ac:dyDescent="0.25">
      <c r="O593" s="9">
        <v>-368</v>
      </c>
      <c r="P593" s="9">
        <f t="shared" si="29"/>
        <v>-222.22222222222223</v>
      </c>
      <c r="X593" s="9">
        <f t="shared" si="30"/>
        <v>50.927777777777749</v>
      </c>
    </row>
    <row r="594" spans="15:24" x14ac:dyDescent="0.25">
      <c r="O594" s="9">
        <v>-369</v>
      </c>
      <c r="P594" s="9">
        <f t="shared" si="29"/>
        <v>-222.77777777777777</v>
      </c>
      <c r="X594" s="9">
        <f t="shared" si="30"/>
        <v>50.372222222222206</v>
      </c>
    </row>
    <row r="595" spans="15:24" x14ac:dyDescent="0.25">
      <c r="O595" s="9">
        <v>-370</v>
      </c>
      <c r="P595" s="9">
        <f t="shared" si="29"/>
        <v>-223.33333333333331</v>
      </c>
      <c r="X595" s="9">
        <f t="shared" si="30"/>
        <v>49.816666666666663</v>
      </c>
    </row>
    <row r="596" spans="15:24" x14ac:dyDescent="0.25">
      <c r="O596" s="9">
        <v>-371</v>
      </c>
      <c r="P596" s="9">
        <f t="shared" si="29"/>
        <v>-223.88888888888889</v>
      </c>
      <c r="X596" s="9">
        <f t="shared" si="30"/>
        <v>49.261111111111092</v>
      </c>
    </row>
    <row r="597" spans="15:24" x14ac:dyDescent="0.25">
      <c r="O597" s="9">
        <v>-372</v>
      </c>
      <c r="P597" s="9">
        <f t="shared" si="29"/>
        <v>-224.44444444444443</v>
      </c>
      <c r="X597" s="9">
        <f t="shared" si="30"/>
        <v>48.705555555555549</v>
      </c>
    </row>
    <row r="598" spans="15:24" x14ac:dyDescent="0.25">
      <c r="O598" s="9">
        <v>-373</v>
      </c>
      <c r="P598" s="9">
        <f t="shared" si="29"/>
        <v>-225</v>
      </c>
      <c r="X598" s="9">
        <f t="shared" si="30"/>
        <v>48.149999999999977</v>
      </c>
    </row>
    <row r="599" spans="15:24" x14ac:dyDescent="0.25">
      <c r="O599" s="9">
        <v>-374</v>
      </c>
      <c r="P599" s="9">
        <f t="shared" si="29"/>
        <v>-225.55555555555554</v>
      </c>
      <c r="X599" s="9">
        <f t="shared" si="30"/>
        <v>47.594444444444434</v>
      </c>
    </row>
    <row r="600" spans="15:24" x14ac:dyDescent="0.25">
      <c r="O600" s="9">
        <v>-375</v>
      </c>
      <c r="P600" s="9">
        <f t="shared" si="29"/>
        <v>-226.11111111111111</v>
      </c>
      <c r="X600" s="9">
        <f t="shared" si="30"/>
        <v>47.038888888888863</v>
      </c>
    </row>
    <row r="601" spans="15:24" x14ac:dyDescent="0.25">
      <c r="O601" s="9">
        <v>-376</v>
      </c>
      <c r="P601" s="9">
        <f t="shared" si="29"/>
        <v>-226.66666666666666</v>
      </c>
      <c r="X601" s="9">
        <f t="shared" si="30"/>
        <v>46.48333333333332</v>
      </c>
    </row>
    <row r="602" spans="15:24" x14ac:dyDescent="0.25">
      <c r="O602" s="9">
        <v>-377</v>
      </c>
      <c r="P602" s="9">
        <f t="shared" si="29"/>
        <v>-227.22222222222223</v>
      </c>
      <c r="X602" s="9">
        <f t="shared" si="30"/>
        <v>45.927777777777749</v>
      </c>
    </row>
    <row r="603" spans="15:24" x14ac:dyDescent="0.25">
      <c r="O603" s="9">
        <v>-378</v>
      </c>
      <c r="P603" s="9">
        <f t="shared" si="29"/>
        <v>-227.77777777777777</v>
      </c>
      <c r="X603" s="9">
        <f t="shared" si="30"/>
        <v>45.372222222222206</v>
      </c>
    </row>
    <row r="604" spans="15:24" x14ac:dyDescent="0.25">
      <c r="O604" s="9">
        <v>-379</v>
      </c>
      <c r="P604" s="9">
        <f t="shared" si="29"/>
        <v>-228.33333333333331</v>
      </c>
      <c r="X604" s="9">
        <f t="shared" si="30"/>
        <v>44.816666666666663</v>
      </c>
    </row>
    <row r="605" spans="15:24" x14ac:dyDescent="0.25">
      <c r="O605" s="9">
        <v>-380</v>
      </c>
      <c r="P605" s="9">
        <f t="shared" si="29"/>
        <v>-228.88888888888889</v>
      </c>
      <c r="X605" s="9">
        <f t="shared" si="30"/>
        <v>44.261111111111092</v>
      </c>
    </row>
    <row r="606" spans="15:24" x14ac:dyDescent="0.25">
      <c r="O606" s="9">
        <v>-381</v>
      </c>
      <c r="P606" s="9">
        <f t="shared" si="29"/>
        <v>-229.44444444444443</v>
      </c>
      <c r="X606" s="9">
        <f t="shared" si="30"/>
        <v>43.705555555555549</v>
      </c>
    </row>
    <row r="607" spans="15:24" x14ac:dyDescent="0.25">
      <c r="O607" s="9">
        <v>-382</v>
      </c>
      <c r="P607" s="9">
        <f t="shared" si="29"/>
        <v>-230</v>
      </c>
      <c r="X607" s="9">
        <f t="shared" si="30"/>
        <v>43.149999999999977</v>
      </c>
    </row>
    <row r="608" spans="15:24" x14ac:dyDescent="0.25">
      <c r="O608" s="9">
        <v>-383</v>
      </c>
      <c r="P608" s="9">
        <f t="shared" si="29"/>
        <v>-230.55555555555554</v>
      </c>
      <c r="X608" s="9">
        <f t="shared" si="30"/>
        <v>42.594444444444434</v>
      </c>
    </row>
    <row r="609" spans="15:24" x14ac:dyDescent="0.25">
      <c r="O609" s="9">
        <v>-384</v>
      </c>
      <c r="P609" s="9">
        <f t="shared" si="29"/>
        <v>-231.11111111111111</v>
      </c>
      <c r="X609" s="9">
        <f t="shared" si="30"/>
        <v>42.038888888888863</v>
      </c>
    </row>
    <row r="610" spans="15:24" x14ac:dyDescent="0.25">
      <c r="O610" s="9">
        <v>-385</v>
      </c>
      <c r="P610" s="9">
        <f t="shared" si="29"/>
        <v>-231.66666666666666</v>
      </c>
      <c r="X610" s="9">
        <f t="shared" si="30"/>
        <v>41.48333333333332</v>
      </c>
    </row>
    <row r="611" spans="15:24" x14ac:dyDescent="0.25">
      <c r="O611" s="9">
        <v>-386</v>
      </c>
      <c r="P611" s="9">
        <f t="shared" si="29"/>
        <v>-232.22222222222223</v>
      </c>
      <c r="X611" s="9">
        <f t="shared" si="30"/>
        <v>40.927777777777749</v>
      </c>
    </row>
    <row r="612" spans="15:24" x14ac:dyDescent="0.25">
      <c r="O612" s="9">
        <v>-387</v>
      </c>
      <c r="P612" s="9">
        <f t="shared" si="29"/>
        <v>-232.77777777777777</v>
      </c>
      <c r="X612" s="9">
        <f t="shared" si="30"/>
        <v>40.372222222222206</v>
      </c>
    </row>
    <row r="613" spans="15:24" x14ac:dyDescent="0.25">
      <c r="O613" s="9">
        <v>-388</v>
      </c>
      <c r="P613" s="9">
        <f t="shared" si="29"/>
        <v>-233.33333333333331</v>
      </c>
      <c r="X613" s="9">
        <f t="shared" si="30"/>
        <v>39.816666666666663</v>
      </c>
    </row>
    <row r="614" spans="15:24" x14ac:dyDescent="0.25">
      <c r="O614" s="9">
        <v>-389</v>
      </c>
      <c r="P614" s="9">
        <f t="shared" si="29"/>
        <v>-233.88888888888889</v>
      </c>
      <c r="X614" s="9">
        <f t="shared" si="30"/>
        <v>39.261111111111092</v>
      </c>
    </row>
    <row r="615" spans="15:24" x14ac:dyDescent="0.25">
      <c r="O615" s="9">
        <v>-390</v>
      </c>
      <c r="P615" s="9">
        <f t="shared" si="29"/>
        <v>-234.44444444444443</v>
      </c>
      <c r="X615" s="9">
        <f t="shared" si="30"/>
        <v>38.705555555555549</v>
      </c>
    </row>
    <row r="616" spans="15:24" x14ac:dyDescent="0.25">
      <c r="O616" s="9">
        <v>-391</v>
      </c>
      <c r="P616" s="9">
        <f t="shared" si="29"/>
        <v>-235</v>
      </c>
      <c r="X616" s="9">
        <f t="shared" si="30"/>
        <v>38.149999999999977</v>
      </c>
    </row>
    <row r="617" spans="15:24" x14ac:dyDescent="0.25">
      <c r="O617" s="9">
        <v>-392</v>
      </c>
      <c r="P617" s="9">
        <f t="shared" si="29"/>
        <v>-235.55555555555554</v>
      </c>
      <c r="X617" s="9">
        <f t="shared" si="30"/>
        <v>37.594444444444434</v>
      </c>
    </row>
    <row r="618" spans="15:24" x14ac:dyDescent="0.25">
      <c r="O618" s="9">
        <v>-393</v>
      </c>
      <c r="P618" s="9">
        <f t="shared" si="29"/>
        <v>-236.11111111111111</v>
      </c>
      <c r="X618" s="9">
        <f t="shared" si="30"/>
        <v>37.038888888888863</v>
      </c>
    </row>
    <row r="619" spans="15:24" x14ac:dyDescent="0.25">
      <c r="O619" s="9">
        <v>-394</v>
      </c>
      <c r="P619" s="9">
        <f t="shared" si="29"/>
        <v>-236.66666666666666</v>
      </c>
      <c r="X619" s="9">
        <f t="shared" si="30"/>
        <v>36.48333333333332</v>
      </c>
    </row>
    <row r="620" spans="15:24" x14ac:dyDescent="0.25">
      <c r="O620" s="9">
        <v>-395</v>
      </c>
      <c r="P620" s="9">
        <f t="shared" si="29"/>
        <v>-237.22222222222223</v>
      </c>
      <c r="X620" s="9">
        <f t="shared" si="30"/>
        <v>35.927777777777749</v>
      </c>
    </row>
    <row r="621" spans="15:24" x14ac:dyDescent="0.25">
      <c r="O621" s="9">
        <v>-396</v>
      </c>
      <c r="P621" s="9">
        <f t="shared" si="29"/>
        <v>-237.77777777777777</v>
      </c>
      <c r="X621" s="9">
        <f t="shared" si="30"/>
        <v>35.372222222222206</v>
      </c>
    </row>
    <row r="622" spans="15:24" x14ac:dyDescent="0.25">
      <c r="O622" s="9">
        <v>-397</v>
      </c>
      <c r="P622" s="9">
        <f t="shared" si="29"/>
        <v>-238.33333333333331</v>
      </c>
      <c r="X622" s="9">
        <f t="shared" si="30"/>
        <v>34.816666666666663</v>
      </c>
    </row>
    <row r="623" spans="15:24" x14ac:dyDescent="0.25">
      <c r="O623" s="9">
        <v>-398</v>
      </c>
      <c r="P623" s="9">
        <f t="shared" si="29"/>
        <v>-238.88888888888889</v>
      </c>
      <c r="X623" s="9">
        <f t="shared" si="30"/>
        <v>34.261111111111092</v>
      </c>
    </row>
    <row r="624" spans="15:24" x14ac:dyDescent="0.25">
      <c r="O624" s="9">
        <v>-399</v>
      </c>
      <c r="P624" s="9">
        <f t="shared" si="29"/>
        <v>-239.44444444444443</v>
      </c>
      <c r="X624" s="9">
        <f t="shared" si="30"/>
        <v>33.705555555555549</v>
      </c>
    </row>
    <row r="625" spans="15:24" x14ac:dyDescent="0.25">
      <c r="O625" s="9">
        <v>-400</v>
      </c>
      <c r="P625" s="9">
        <f t="shared" si="29"/>
        <v>-240</v>
      </c>
      <c r="X625" s="9">
        <f t="shared" si="30"/>
        <v>33.149999999999977</v>
      </c>
    </row>
    <row r="626" spans="15:24" x14ac:dyDescent="0.25">
      <c r="O626" s="9">
        <v>-401</v>
      </c>
      <c r="P626" s="9">
        <f t="shared" si="29"/>
        <v>-240.55555555555554</v>
      </c>
      <c r="X626" s="9">
        <f t="shared" si="30"/>
        <v>32.594444444444434</v>
      </c>
    </row>
    <row r="627" spans="15:24" x14ac:dyDescent="0.25">
      <c r="O627" s="9">
        <v>-402</v>
      </c>
      <c r="P627" s="9">
        <f t="shared" si="29"/>
        <v>-241.11111111111111</v>
      </c>
      <c r="X627" s="9">
        <f t="shared" si="30"/>
        <v>32.038888888888863</v>
      </c>
    </row>
    <row r="628" spans="15:24" x14ac:dyDescent="0.25">
      <c r="O628" s="9">
        <v>-403</v>
      </c>
      <c r="P628" s="9">
        <f t="shared" si="29"/>
        <v>-241.66666666666666</v>
      </c>
      <c r="X628" s="9">
        <f t="shared" si="30"/>
        <v>31.48333333333332</v>
      </c>
    </row>
    <row r="629" spans="15:24" x14ac:dyDescent="0.25">
      <c r="O629" s="9">
        <v>-404</v>
      </c>
      <c r="P629" s="9">
        <f t="shared" si="29"/>
        <v>-242.22222222222223</v>
      </c>
      <c r="X629" s="9">
        <f t="shared" si="30"/>
        <v>30.927777777777749</v>
      </c>
    </row>
    <row r="630" spans="15:24" x14ac:dyDescent="0.25">
      <c r="O630" s="9">
        <v>-405</v>
      </c>
      <c r="P630" s="9">
        <f t="shared" si="29"/>
        <v>-242.77777777777777</v>
      </c>
      <c r="X630" s="9">
        <f t="shared" si="30"/>
        <v>30.372222222222206</v>
      </c>
    </row>
    <row r="631" spans="15:24" x14ac:dyDescent="0.25">
      <c r="O631" s="9">
        <v>-406</v>
      </c>
      <c r="P631" s="9">
        <f t="shared" si="29"/>
        <v>-243.33333333333331</v>
      </c>
      <c r="X631" s="9">
        <f t="shared" si="30"/>
        <v>29.816666666666663</v>
      </c>
    </row>
    <row r="632" spans="15:24" x14ac:dyDescent="0.25">
      <c r="O632" s="9">
        <v>-407</v>
      </c>
      <c r="P632" s="9">
        <f t="shared" si="29"/>
        <v>-243.88888888888889</v>
      </c>
      <c r="X632" s="9">
        <f t="shared" si="30"/>
        <v>29.261111111111092</v>
      </c>
    </row>
    <row r="633" spans="15:24" x14ac:dyDescent="0.25">
      <c r="O633" s="9">
        <v>-408</v>
      </c>
      <c r="P633" s="9">
        <f t="shared" si="29"/>
        <v>-244.44444444444443</v>
      </c>
      <c r="X633" s="9">
        <f t="shared" si="30"/>
        <v>28.705555555555549</v>
      </c>
    </row>
    <row r="634" spans="15:24" x14ac:dyDescent="0.25">
      <c r="O634" s="9">
        <v>-409</v>
      </c>
      <c r="P634" s="9">
        <f t="shared" si="29"/>
        <v>-245</v>
      </c>
      <c r="X634" s="9">
        <f t="shared" si="30"/>
        <v>28.149999999999977</v>
      </c>
    </row>
    <row r="635" spans="15:24" x14ac:dyDescent="0.25">
      <c r="O635" s="9">
        <v>-410</v>
      </c>
      <c r="P635" s="9">
        <f t="shared" si="29"/>
        <v>-245.55555555555554</v>
      </c>
      <c r="X635" s="9">
        <f t="shared" si="30"/>
        <v>27.594444444444434</v>
      </c>
    </row>
    <row r="636" spans="15:24" x14ac:dyDescent="0.25">
      <c r="O636" s="9">
        <v>-411</v>
      </c>
      <c r="P636" s="9">
        <f t="shared" si="29"/>
        <v>-246.11111111111111</v>
      </c>
      <c r="X636" s="9">
        <f t="shared" si="30"/>
        <v>27.038888888888863</v>
      </c>
    </row>
    <row r="637" spans="15:24" x14ac:dyDescent="0.25">
      <c r="O637" s="9">
        <v>-412</v>
      </c>
      <c r="P637" s="9">
        <f t="shared" si="29"/>
        <v>-246.66666666666666</v>
      </c>
      <c r="X637" s="9">
        <f t="shared" si="30"/>
        <v>26.48333333333332</v>
      </c>
    </row>
    <row r="638" spans="15:24" x14ac:dyDescent="0.25">
      <c r="O638" s="9">
        <v>-413</v>
      </c>
      <c r="P638" s="9">
        <f t="shared" si="29"/>
        <v>-247.22222222222223</v>
      </c>
      <c r="X638" s="9">
        <f t="shared" si="30"/>
        <v>25.927777777777749</v>
      </c>
    </row>
    <row r="639" spans="15:24" x14ac:dyDescent="0.25">
      <c r="O639" s="9">
        <v>-414</v>
      </c>
      <c r="P639" s="9">
        <f t="shared" si="29"/>
        <v>-247.77777777777777</v>
      </c>
      <c r="X639" s="9">
        <f t="shared" si="30"/>
        <v>25.372222222222206</v>
      </c>
    </row>
    <row r="640" spans="15:24" x14ac:dyDescent="0.25">
      <c r="O640" s="9">
        <v>-415</v>
      </c>
      <c r="P640" s="9">
        <f t="shared" si="29"/>
        <v>-248.33333333333331</v>
      </c>
      <c r="X640" s="9">
        <f t="shared" si="30"/>
        <v>24.816666666666663</v>
      </c>
    </row>
    <row r="641" spans="15:24" x14ac:dyDescent="0.25">
      <c r="O641" s="9">
        <v>-416</v>
      </c>
      <c r="P641" s="9">
        <f t="shared" si="29"/>
        <v>-248.88888888888889</v>
      </c>
      <c r="X641" s="9">
        <f t="shared" si="30"/>
        <v>24.261111111111092</v>
      </c>
    </row>
    <row r="642" spans="15:24" x14ac:dyDescent="0.25">
      <c r="O642" s="9">
        <v>-417</v>
      </c>
      <c r="P642" s="9">
        <f t="shared" si="29"/>
        <v>-249.44444444444443</v>
      </c>
      <c r="X642" s="9">
        <f t="shared" si="30"/>
        <v>23.705555555555549</v>
      </c>
    </row>
    <row r="643" spans="15:24" x14ac:dyDescent="0.25">
      <c r="O643" s="9">
        <v>-418</v>
      </c>
      <c r="P643" s="9">
        <f t="shared" si="29"/>
        <v>-250</v>
      </c>
      <c r="X643" s="9">
        <f t="shared" si="30"/>
        <v>23.149999999999977</v>
      </c>
    </row>
    <row r="644" spans="15:24" x14ac:dyDescent="0.25">
      <c r="O644" s="9">
        <v>-419</v>
      </c>
      <c r="P644" s="9">
        <f t="shared" si="29"/>
        <v>-250.55555555555554</v>
      </c>
      <c r="X644" s="9">
        <f t="shared" si="30"/>
        <v>22.594444444444434</v>
      </c>
    </row>
    <row r="645" spans="15:24" x14ac:dyDescent="0.25">
      <c r="O645" s="9">
        <v>-420</v>
      </c>
      <c r="P645" s="9">
        <f t="shared" ref="P645:P685" si="31">CONVERT(O645,"F","C")</f>
        <v>-251.11111111111111</v>
      </c>
      <c r="X645" s="9">
        <f t="shared" si="30"/>
        <v>22.038888888888863</v>
      </c>
    </row>
    <row r="646" spans="15:24" x14ac:dyDescent="0.25">
      <c r="O646" s="9">
        <v>-421</v>
      </c>
      <c r="P646" s="9">
        <f t="shared" si="31"/>
        <v>-251.66666666666666</v>
      </c>
      <c r="X646" s="9">
        <f t="shared" ref="X646:X685" si="32">CONVERT(O646,"F","K")</f>
        <v>21.48333333333332</v>
      </c>
    </row>
    <row r="647" spans="15:24" x14ac:dyDescent="0.25">
      <c r="O647" s="9">
        <v>-422</v>
      </c>
      <c r="P647" s="9">
        <f t="shared" si="31"/>
        <v>-252.22222222222223</v>
      </c>
      <c r="X647" s="9">
        <f t="shared" si="32"/>
        <v>20.927777777777749</v>
      </c>
    </row>
    <row r="648" spans="15:24" x14ac:dyDescent="0.25">
      <c r="O648" s="9">
        <v>-423</v>
      </c>
      <c r="P648" s="9">
        <f t="shared" si="31"/>
        <v>-252.77777777777777</v>
      </c>
      <c r="X648" s="9">
        <f t="shared" si="32"/>
        <v>20.372222222222206</v>
      </c>
    </row>
    <row r="649" spans="15:24" x14ac:dyDescent="0.25">
      <c r="O649" s="9">
        <v>-424</v>
      </c>
      <c r="P649" s="9">
        <f t="shared" si="31"/>
        <v>-253.33333333333331</v>
      </c>
      <c r="X649" s="9">
        <f t="shared" si="32"/>
        <v>19.816666666666663</v>
      </c>
    </row>
    <row r="650" spans="15:24" x14ac:dyDescent="0.25">
      <c r="O650" s="9">
        <v>-425</v>
      </c>
      <c r="P650" s="9">
        <f t="shared" si="31"/>
        <v>-253.88888888888889</v>
      </c>
      <c r="X650" s="9">
        <f t="shared" si="32"/>
        <v>19.261111111111092</v>
      </c>
    </row>
    <row r="651" spans="15:24" x14ac:dyDescent="0.25">
      <c r="O651" s="9">
        <v>-426</v>
      </c>
      <c r="P651" s="9">
        <f t="shared" si="31"/>
        <v>-254.44444444444443</v>
      </c>
      <c r="X651" s="9">
        <f t="shared" si="32"/>
        <v>18.705555555555549</v>
      </c>
    </row>
    <row r="652" spans="15:24" x14ac:dyDescent="0.25">
      <c r="O652" s="9">
        <v>-427</v>
      </c>
      <c r="P652" s="9">
        <f t="shared" si="31"/>
        <v>-255</v>
      </c>
      <c r="X652" s="9">
        <f t="shared" si="32"/>
        <v>18.149999999999977</v>
      </c>
    </row>
    <row r="653" spans="15:24" x14ac:dyDescent="0.25">
      <c r="O653" s="9">
        <v>-428</v>
      </c>
      <c r="P653" s="9">
        <f t="shared" si="31"/>
        <v>-255.55555555555554</v>
      </c>
      <c r="X653" s="9">
        <f t="shared" si="32"/>
        <v>17.594444444444434</v>
      </c>
    </row>
    <row r="654" spans="15:24" x14ac:dyDescent="0.25">
      <c r="O654" s="9">
        <v>-429</v>
      </c>
      <c r="P654" s="9">
        <f t="shared" si="31"/>
        <v>-256.11111111111109</v>
      </c>
      <c r="X654" s="9">
        <f t="shared" si="32"/>
        <v>17.038888888888891</v>
      </c>
    </row>
    <row r="655" spans="15:24" x14ac:dyDescent="0.25">
      <c r="O655" s="9">
        <v>-430</v>
      </c>
      <c r="P655" s="9">
        <f t="shared" si="31"/>
        <v>-256.66666666666669</v>
      </c>
      <c r="X655" s="9">
        <f t="shared" si="32"/>
        <v>16.483333333333292</v>
      </c>
    </row>
    <row r="656" spans="15:24" x14ac:dyDescent="0.25">
      <c r="O656" s="9">
        <v>-431</v>
      </c>
      <c r="P656" s="9">
        <f t="shared" si="31"/>
        <v>-257.22222222222223</v>
      </c>
      <c r="X656" s="9">
        <f t="shared" si="32"/>
        <v>15.927777777777749</v>
      </c>
    </row>
    <row r="657" spans="15:24" x14ac:dyDescent="0.25">
      <c r="O657" s="9">
        <v>-432</v>
      </c>
      <c r="P657" s="9">
        <f t="shared" si="31"/>
        <v>-257.77777777777777</v>
      </c>
      <c r="X657" s="9">
        <f t="shared" si="32"/>
        <v>15.372222222222206</v>
      </c>
    </row>
    <row r="658" spans="15:24" x14ac:dyDescent="0.25">
      <c r="O658" s="9">
        <v>-433</v>
      </c>
      <c r="P658" s="9">
        <f t="shared" si="31"/>
        <v>-258.33333333333331</v>
      </c>
      <c r="X658" s="9">
        <f t="shared" si="32"/>
        <v>14.816666666666663</v>
      </c>
    </row>
    <row r="659" spans="15:24" x14ac:dyDescent="0.25">
      <c r="O659" s="9">
        <v>-434</v>
      </c>
      <c r="P659" s="9">
        <f t="shared" si="31"/>
        <v>-258.88888888888886</v>
      </c>
      <c r="X659" s="9">
        <f t="shared" si="32"/>
        <v>14.26111111111112</v>
      </c>
    </row>
    <row r="660" spans="15:24" x14ac:dyDescent="0.25">
      <c r="O660" s="9">
        <v>-435</v>
      </c>
      <c r="P660" s="9">
        <f t="shared" si="31"/>
        <v>-259.44444444444446</v>
      </c>
      <c r="X660" s="9">
        <f t="shared" si="32"/>
        <v>13.70555555555552</v>
      </c>
    </row>
    <row r="661" spans="15:24" x14ac:dyDescent="0.25">
      <c r="O661" s="9">
        <v>-436</v>
      </c>
      <c r="P661" s="9">
        <f t="shared" si="31"/>
        <v>-260</v>
      </c>
      <c r="X661" s="9">
        <f t="shared" si="32"/>
        <v>13.149999999999977</v>
      </c>
    </row>
    <row r="662" spans="15:24" x14ac:dyDescent="0.25">
      <c r="O662" s="9">
        <v>-437</v>
      </c>
      <c r="P662" s="9">
        <f t="shared" si="31"/>
        <v>-260.55555555555554</v>
      </c>
      <c r="X662" s="9">
        <f t="shared" si="32"/>
        <v>12.594444444444434</v>
      </c>
    </row>
    <row r="663" spans="15:24" x14ac:dyDescent="0.25">
      <c r="O663" s="9">
        <v>-438</v>
      </c>
      <c r="P663" s="9">
        <f t="shared" si="31"/>
        <v>-261.11111111111109</v>
      </c>
      <c r="X663" s="9">
        <f t="shared" si="32"/>
        <v>12.038888888888891</v>
      </c>
    </row>
    <row r="664" spans="15:24" x14ac:dyDescent="0.25">
      <c r="O664" s="9">
        <v>-439</v>
      </c>
      <c r="P664" s="9">
        <f t="shared" si="31"/>
        <v>-261.66666666666669</v>
      </c>
      <c r="X664" s="9">
        <f t="shared" si="32"/>
        <v>11.483333333333292</v>
      </c>
    </row>
    <row r="665" spans="15:24" x14ac:dyDescent="0.25">
      <c r="O665" s="9">
        <v>-440</v>
      </c>
      <c r="P665" s="9">
        <f t="shared" si="31"/>
        <v>-262.22222222222223</v>
      </c>
      <c r="X665" s="9">
        <f t="shared" si="32"/>
        <v>10.927777777777749</v>
      </c>
    </row>
    <row r="666" spans="15:24" x14ac:dyDescent="0.25">
      <c r="O666" s="9">
        <v>-441</v>
      </c>
      <c r="P666" s="9">
        <f t="shared" si="31"/>
        <v>-262.77777777777777</v>
      </c>
      <c r="X666" s="9">
        <f t="shared" si="32"/>
        <v>10.372222222222206</v>
      </c>
    </row>
    <row r="667" spans="15:24" x14ac:dyDescent="0.25">
      <c r="O667" s="9">
        <v>-442</v>
      </c>
      <c r="P667" s="9">
        <f t="shared" si="31"/>
        <v>-263.33333333333331</v>
      </c>
      <c r="X667" s="9">
        <f t="shared" si="32"/>
        <v>9.8166666666666629</v>
      </c>
    </row>
    <row r="668" spans="15:24" x14ac:dyDescent="0.25">
      <c r="O668" s="9">
        <v>-443</v>
      </c>
      <c r="P668" s="9">
        <f t="shared" si="31"/>
        <v>-263.88888888888886</v>
      </c>
      <c r="X668" s="9">
        <f t="shared" si="32"/>
        <v>9.26111111111112</v>
      </c>
    </row>
    <row r="669" spans="15:24" x14ac:dyDescent="0.25">
      <c r="O669" s="9">
        <v>-444</v>
      </c>
      <c r="P669" s="9">
        <f t="shared" si="31"/>
        <v>-264.44444444444446</v>
      </c>
      <c r="X669" s="9">
        <f t="shared" si="32"/>
        <v>8.7055555555555202</v>
      </c>
    </row>
    <row r="670" spans="15:24" x14ac:dyDescent="0.25">
      <c r="O670" s="9">
        <v>-445</v>
      </c>
      <c r="P670" s="9">
        <f t="shared" si="31"/>
        <v>-265</v>
      </c>
      <c r="X670" s="9">
        <f t="shared" si="32"/>
        <v>8.1499999999999773</v>
      </c>
    </row>
    <row r="671" spans="15:24" x14ac:dyDescent="0.25">
      <c r="O671" s="9">
        <v>-446</v>
      </c>
      <c r="P671" s="9">
        <f t="shared" si="31"/>
        <v>-265.55555555555554</v>
      </c>
      <c r="X671" s="9">
        <f t="shared" si="32"/>
        <v>7.5944444444444343</v>
      </c>
    </row>
    <row r="672" spans="15:24" x14ac:dyDescent="0.25">
      <c r="O672" s="9">
        <v>-447</v>
      </c>
      <c r="P672" s="9">
        <f t="shared" si="31"/>
        <v>-266.11111111111109</v>
      </c>
      <c r="X672" s="9">
        <f t="shared" si="32"/>
        <v>7.0388888888888914</v>
      </c>
    </row>
    <row r="673" spans="15:24" x14ac:dyDescent="0.25">
      <c r="O673" s="9">
        <v>-448</v>
      </c>
      <c r="P673" s="9">
        <f t="shared" si="31"/>
        <v>-266.66666666666669</v>
      </c>
      <c r="X673" s="9">
        <f t="shared" si="32"/>
        <v>6.4833333333332916</v>
      </c>
    </row>
    <row r="674" spans="15:24" x14ac:dyDescent="0.25">
      <c r="O674" s="9">
        <v>-449</v>
      </c>
      <c r="P674" s="9">
        <f t="shared" si="31"/>
        <v>-267.22222222222223</v>
      </c>
      <c r="X674" s="9">
        <f t="shared" si="32"/>
        <v>5.9277777777777487</v>
      </c>
    </row>
    <row r="675" spans="15:24" x14ac:dyDescent="0.25">
      <c r="O675" s="9">
        <v>-450</v>
      </c>
      <c r="P675" s="9">
        <f t="shared" si="31"/>
        <v>-267.77777777777777</v>
      </c>
      <c r="X675" s="9">
        <f t="shared" si="32"/>
        <v>5.3722222222222058</v>
      </c>
    </row>
    <row r="676" spans="15:24" x14ac:dyDescent="0.25">
      <c r="O676" s="9">
        <v>-451</v>
      </c>
      <c r="P676" s="9">
        <f t="shared" si="31"/>
        <v>-268.33333333333331</v>
      </c>
      <c r="X676" s="9">
        <f t="shared" si="32"/>
        <v>4.8166666666666629</v>
      </c>
    </row>
    <row r="677" spans="15:24" x14ac:dyDescent="0.25">
      <c r="O677" s="9">
        <v>-452</v>
      </c>
      <c r="P677" s="9">
        <f t="shared" si="31"/>
        <v>-268.88888888888886</v>
      </c>
      <c r="X677" s="9">
        <f t="shared" si="32"/>
        <v>4.26111111111112</v>
      </c>
    </row>
    <row r="678" spans="15:24" x14ac:dyDescent="0.25">
      <c r="O678" s="9">
        <v>-453</v>
      </c>
      <c r="P678" s="9">
        <f t="shared" si="31"/>
        <v>-269.44444444444446</v>
      </c>
      <c r="X678" s="9">
        <f t="shared" si="32"/>
        <v>3.7055555555555202</v>
      </c>
    </row>
    <row r="679" spans="15:24" x14ac:dyDescent="0.25">
      <c r="O679" s="9">
        <v>-454</v>
      </c>
      <c r="P679" s="9">
        <f t="shared" si="31"/>
        <v>-270</v>
      </c>
      <c r="X679" s="9">
        <f t="shared" si="32"/>
        <v>3.1499999999999773</v>
      </c>
    </row>
    <row r="680" spans="15:24" x14ac:dyDescent="0.25">
      <c r="O680" s="9">
        <v>-455</v>
      </c>
      <c r="P680" s="9">
        <f t="shared" si="31"/>
        <v>-270.55555555555554</v>
      </c>
      <c r="X680" s="9">
        <f t="shared" si="32"/>
        <v>2.5944444444444343</v>
      </c>
    </row>
    <row r="681" spans="15:24" x14ac:dyDescent="0.25">
      <c r="O681" s="9">
        <v>-456</v>
      </c>
      <c r="P681" s="9">
        <f t="shared" si="31"/>
        <v>-271.11111111111109</v>
      </c>
      <c r="X681" s="9">
        <f t="shared" si="32"/>
        <v>2.0388888888888914</v>
      </c>
    </row>
    <row r="682" spans="15:24" x14ac:dyDescent="0.25">
      <c r="O682" s="9">
        <v>-457</v>
      </c>
      <c r="P682" s="9">
        <f t="shared" si="31"/>
        <v>-271.66666666666669</v>
      </c>
      <c r="X682" s="9">
        <f t="shared" si="32"/>
        <v>1.4833333333332916</v>
      </c>
    </row>
    <row r="683" spans="15:24" x14ac:dyDescent="0.25">
      <c r="O683" s="9">
        <v>-458</v>
      </c>
      <c r="P683" s="9">
        <f t="shared" si="31"/>
        <v>-272.22222222222223</v>
      </c>
      <c r="X683" s="9">
        <f t="shared" si="32"/>
        <v>0.92777777777774872</v>
      </c>
    </row>
    <row r="684" spans="15:24" x14ac:dyDescent="0.25">
      <c r="O684" s="9">
        <v>-459</v>
      </c>
      <c r="P684" s="9">
        <f t="shared" si="31"/>
        <v>-272.77777777777777</v>
      </c>
      <c r="X684" s="9">
        <f t="shared" si="32"/>
        <v>0.3722222222222058</v>
      </c>
    </row>
    <row r="685" spans="15:24" x14ac:dyDescent="0.25">
      <c r="O685" s="9">
        <f>CONVERT(0,"K","F")</f>
        <v>-459.66999999999996</v>
      </c>
      <c r="P685" s="9">
        <f t="shared" si="31"/>
        <v>-273.14999999999998</v>
      </c>
      <c r="X685" s="9">
        <f t="shared" si="32"/>
        <v>0</v>
      </c>
    </row>
  </sheetData>
  <mergeCells count="8">
    <mergeCell ref="U21:V23"/>
    <mergeCell ref="AC21:AD23"/>
    <mergeCell ref="B1:F1"/>
    <mergeCell ref="I1:M1"/>
    <mergeCell ref="P1:V1"/>
    <mergeCell ref="Y1:AB1"/>
    <mergeCell ref="U18:V20"/>
    <mergeCell ref="AC18:AD20"/>
  </mergeCells>
  <conditionalFormatting sqref="O5:P685">
    <cfRule type="expression" dxfId="1" priority="2">
      <formula>O5=0</formula>
    </cfRule>
  </conditionalFormatting>
  <conditionalFormatting sqref="X5:X685">
    <cfRule type="expression" dxfId="0" priority="1">
      <formula>X5=0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00FF"/>
  </sheetPr>
  <dimension ref="A1:M23"/>
  <sheetViews>
    <sheetView zoomScaleNormal="100" workbookViewId="0">
      <selection activeCell="D5" sqref="D5"/>
    </sheetView>
  </sheetViews>
  <sheetFormatPr defaultRowHeight="15" x14ac:dyDescent="0.25"/>
  <cols>
    <col min="1" max="1" width="23" bestFit="1" customWidth="1"/>
    <col min="2" max="2" width="11.85546875" bestFit="1" customWidth="1"/>
    <col min="3" max="3" width="11.5703125" bestFit="1" customWidth="1"/>
    <col min="4" max="4" width="22.140625" bestFit="1" customWidth="1"/>
    <col min="5" max="5" width="14.5703125" bestFit="1" customWidth="1"/>
    <col min="6" max="6" width="19" bestFit="1" customWidth="1"/>
    <col min="7" max="7" width="12.85546875" bestFit="1" customWidth="1"/>
    <col min="8" max="8" width="23" bestFit="1" customWidth="1"/>
    <col min="9" max="9" width="17.140625" bestFit="1" customWidth="1"/>
    <col min="10" max="10" width="9.7109375" bestFit="1" customWidth="1"/>
    <col min="11" max="11" width="9.5703125" bestFit="1" customWidth="1"/>
    <col min="12" max="12" width="19" bestFit="1" customWidth="1"/>
    <col min="13" max="13" width="9.5703125" bestFit="1" customWidth="1"/>
  </cols>
  <sheetData>
    <row r="1" spans="1:13" x14ac:dyDescent="0.25">
      <c r="A1" s="94" t="s">
        <v>765</v>
      </c>
      <c r="B1" s="95"/>
      <c r="C1" s="95"/>
      <c r="D1" s="96"/>
    </row>
    <row r="2" spans="1:13" x14ac:dyDescent="0.25">
      <c r="A2" s="91" t="s">
        <v>680</v>
      </c>
      <c r="B2" s="92"/>
      <c r="C2" s="92"/>
      <c r="D2" s="93"/>
    </row>
    <row r="4" spans="1:13" ht="30" x14ac:dyDescent="0.25">
      <c r="A4" s="42" t="s">
        <v>764</v>
      </c>
      <c r="B4" s="42" t="s">
        <v>737</v>
      </c>
      <c r="C4" s="42" t="s">
        <v>743</v>
      </c>
      <c r="D4" s="42" t="s">
        <v>745</v>
      </c>
      <c r="E4" s="42" t="s">
        <v>746</v>
      </c>
      <c r="F4" s="42" t="s">
        <v>750</v>
      </c>
      <c r="G4" s="42" t="s">
        <v>751</v>
      </c>
      <c r="H4" s="42" t="s">
        <v>755</v>
      </c>
      <c r="I4" s="42" t="s">
        <v>756</v>
      </c>
      <c r="J4" s="42" t="s">
        <v>760</v>
      </c>
      <c r="K4" s="42" t="s">
        <v>761</v>
      </c>
      <c r="L4" s="42" t="s">
        <v>762</v>
      </c>
      <c r="M4" s="42" t="s">
        <v>763</v>
      </c>
    </row>
    <row r="5" spans="1:13" x14ac:dyDescent="0.25">
      <c r="A5" s="9" t="s">
        <v>733</v>
      </c>
      <c r="B5" s="9" t="s">
        <v>738</v>
      </c>
      <c r="C5" s="87">
        <v>51564</v>
      </c>
      <c r="D5" s="9">
        <v>0.2</v>
      </c>
      <c r="E5" s="9" t="s">
        <v>747</v>
      </c>
      <c r="F5" s="9">
        <v>0.57999999999999996</v>
      </c>
      <c r="G5" s="9" t="s">
        <v>752</v>
      </c>
      <c r="H5" s="9">
        <v>0.23</v>
      </c>
      <c r="I5" s="9" t="s">
        <v>757</v>
      </c>
      <c r="J5" s="9">
        <v>19</v>
      </c>
      <c r="K5" s="9">
        <v>27.17</v>
      </c>
      <c r="L5" s="9">
        <v>1.34</v>
      </c>
      <c r="M5" s="9">
        <v>5.1100000000000003</v>
      </c>
    </row>
    <row r="6" spans="1:13" x14ac:dyDescent="0.25">
      <c r="A6" s="9" t="s">
        <v>734</v>
      </c>
      <c r="B6" s="9" t="s">
        <v>739</v>
      </c>
      <c r="C6" s="87">
        <v>8348</v>
      </c>
      <c r="D6" s="9">
        <v>0.59</v>
      </c>
      <c r="E6" s="9" t="s">
        <v>748</v>
      </c>
      <c r="F6" s="9">
        <v>0.82</v>
      </c>
      <c r="G6" s="9" t="s">
        <v>753</v>
      </c>
      <c r="H6" s="9">
        <v>0.44</v>
      </c>
      <c r="I6" s="9" t="s">
        <v>758</v>
      </c>
      <c r="J6" s="9">
        <v>1.08</v>
      </c>
      <c r="K6" s="9">
        <v>74.17</v>
      </c>
      <c r="L6" s="9">
        <v>1.3</v>
      </c>
      <c r="M6" s="9">
        <v>19.510000000000002</v>
      </c>
    </row>
    <row r="7" spans="1:13" x14ac:dyDescent="0.25">
      <c r="A7" s="9" t="s">
        <v>735</v>
      </c>
      <c r="B7" s="9" t="s">
        <v>741</v>
      </c>
      <c r="C7" s="87">
        <v>12200</v>
      </c>
      <c r="D7" s="9">
        <v>0.01</v>
      </c>
      <c r="E7" s="9" t="s">
        <v>749</v>
      </c>
      <c r="F7" s="9">
        <v>0.72</v>
      </c>
      <c r="G7" s="9" t="s">
        <v>754</v>
      </c>
      <c r="H7" s="9">
        <v>0.06</v>
      </c>
      <c r="I7" s="9" t="s">
        <v>759</v>
      </c>
      <c r="J7" s="9">
        <v>7.48</v>
      </c>
      <c r="K7" s="9">
        <v>6.8</v>
      </c>
      <c r="L7" s="9">
        <v>5.63</v>
      </c>
      <c r="M7" s="9">
        <v>10.41</v>
      </c>
    </row>
    <row r="8" spans="1:13" x14ac:dyDescent="0.25">
      <c r="A8" s="9" t="s">
        <v>736</v>
      </c>
      <c r="B8" s="9" t="s">
        <v>742</v>
      </c>
      <c r="C8" s="9" t="s">
        <v>744</v>
      </c>
      <c r="D8" s="9">
        <v>0.56000000000000005</v>
      </c>
      <c r="E8" s="9" t="s">
        <v>747</v>
      </c>
      <c r="F8" s="9">
        <v>0.57999999999999996</v>
      </c>
      <c r="G8" s="9" t="s">
        <v>752</v>
      </c>
      <c r="H8" s="9">
        <v>0.25</v>
      </c>
      <c r="I8" s="9" t="s">
        <v>740</v>
      </c>
      <c r="J8" s="9">
        <v>19</v>
      </c>
      <c r="K8" s="9">
        <v>21.44</v>
      </c>
      <c r="L8" s="9">
        <v>1.34</v>
      </c>
      <c r="M8" s="9">
        <v>5.0599999999999996</v>
      </c>
    </row>
    <row r="10" spans="1:13" x14ac:dyDescent="0.25">
      <c r="B10" s="42" t="s">
        <v>764</v>
      </c>
    </row>
    <row r="11" spans="1:13" x14ac:dyDescent="0.25">
      <c r="B11" s="88" t="s">
        <v>733</v>
      </c>
      <c r="C11" s="88" t="s">
        <v>734</v>
      </c>
      <c r="D11" s="88" t="s">
        <v>735</v>
      </c>
      <c r="E11" s="88" t="s">
        <v>736</v>
      </c>
    </row>
    <row r="12" spans="1:13" x14ac:dyDescent="0.25">
      <c r="A12" s="42" t="s">
        <v>737</v>
      </c>
      <c r="B12" s="9" t="s">
        <v>738</v>
      </c>
      <c r="C12" s="9" t="s">
        <v>739</v>
      </c>
      <c r="D12" s="9" t="s">
        <v>741</v>
      </c>
      <c r="E12" s="9" t="s">
        <v>742</v>
      </c>
    </row>
    <row r="13" spans="1:13" x14ac:dyDescent="0.25">
      <c r="A13" s="42" t="s">
        <v>743</v>
      </c>
      <c r="B13" s="87">
        <v>51564</v>
      </c>
      <c r="C13" s="87">
        <v>8348</v>
      </c>
      <c r="D13" s="87">
        <v>12200</v>
      </c>
      <c r="E13" s="9" t="s">
        <v>744</v>
      </c>
    </row>
    <row r="14" spans="1:13" x14ac:dyDescent="0.25">
      <c r="A14" s="42" t="s">
        <v>745</v>
      </c>
      <c r="B14" s="9">
        <v>0.2</v>
      </c>
      <c r="C14" s="9">
        <v>0.59</v>
      </c>
      <c r="D14" s="9">
        <v>0.01</v>
      </c>
      <c r="E14" s="9">
        <v>0.56000000000000005</v>
      </c>
    </row>
    <row r="15" spans="1:13" x14ac:dyDescent="0.25">
      <c r="A15" s="42" t="s">
        <v>746</v>
      </c>
      <c r="B15" s="9" t="s">
        <v>747</v>
      </c>
      <c r="C15" s="9" t="s">
        <v>748</v>
      </c>
      <c r="D15" s="9" t="s">
        <v>749</v>
      </c>
      <c r="E15" s="9" t="s">
        <v>747</v>
      </c>
    </row>
    <row r="16" spans="1:13" x14ac:dyDescent="0.25">
      <c r="A16" s="42" t="s">
        <v>750</v>
      </c>
      <c r="B16" s="9">
        <v>0.57999999999999996</v>
      </c>
      <c r="C16" s="9">
        <v>0.82</v>
      </c>
      <c r="D16" s="9">
        <v>0.72</v>
      </c>
      <c r="E16" s="9">
        <v>0.57999999999999996</v>
      </c>
    </row>
    <row r="17" spans="1:5" x14ac:dyDescent="0.25">
      <c r="A17" s="42" t="s">
        <v>751</v>
      </c>
      <c r="B17" s="9" t="s">
        <v>752</v>
      </c>
      <c r="C17" s="9" t="s">
        <v>753</v>
      </c>
      <c r="D17" s="9" t="s">
        <v>754</v>
      </c>
      <c r="E17" s="9" t="s">
        <v>752</v>
      </c>
    </row>
    <row r="18" spans="1:5" x14ac:dyDescent="0.25">
      <c r="A18" s="42" t="s">
        <v>755</v>
      </c>
      <c r="B18" s="9">
        <v>0.23</v>
      </c>
      <c r="C18" s="9">
        <v>0.44</v>
      </c>
      <c r="D18" s="9">
        <v>0.06</v>
      </c>
      <c r="E18" s="9">
        <v>0.25</v>
      </c>
    </row>
    <row r="19" spans="1:5" x14ac:dyDescent="0.25">
      <c r="A19" s="42" t="s">
        <v>756</v>
      </c>
      <c r="B19" s="9" t="s">
        <v>757</v>
      </c>
      <c r="C19" s="9" t="s">
        <v>758</v>
      </c>
      <c r="D19" s="9" t="s">
        <v>759</v>
      </c>
      <c r="E19" s="9" t="s">
        <v>740</v>
      </c>
    </row>
    <row r="20" spans="1:5" x14ac:dyDescent="0.25">
      <c r="A20" s="42" t="s">
        <v>760</v>
      </c>
      <c r="B20" s="9">
        <v>19</v>
      </c>
      <c r="C20" s="9">
        <v>1.08</v>
      </c>
      <c r="D20" s="9">
        <v>7.48</v>
      </c>
      <c r="E20" s="9">
        <v>19</v>
      </c>
    </row>
    <row r="21" spans="1:5" x14ac:dyDescent="0.25">
      <c r="A21" s="42" t="s">
        <v>761</v>
      </c>
      <c r="B21" s="9">
        <v>27.17</v>
      </c>
      <c r="C21" s="9">
        <v>74.17</v>
      </c>
      <c r="D21" s="9">
        <v>6.8</v>
      </c>
      <c r="E21" s="9">
        <v>21.44</v>
      </c>
    </row>
    <row r="22" spans="1:5" x14ac:dyDescent="0.25">
      <c r="A22" s="42" t="s">
        <v>762</v>
      </c>
      <c r="B22" s="9">
        <v>1.34</v>
      </c>
      <c r="C22" s="9">
        <v>1.3</v>
      </c>
      <c r="D22" s="9">
        <v>5.63</v>
      </c>
      <c r="E22" s="9">
        <v>1.34</v>
      </c>
    </row>
    <row r="23" spans="1:5" x14ac:dyDescent="0.25">
      <c r="A23" s="42" t="s">
        <v>763</v>
      </c>
      <c r="B23" s="9">
        <v>5.1100000000000003</v>
      </c>
      <c r="C23" s="9">
        <v>19.510000000000002</v>
      </c>
      <c r="D23" s="9">
        <v>10.41</v>
      </c>
      <c r="E23" s="9">
        <v>5.0599999999999996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J4708"/>
  <sheetViews>
    <sheetView zoomScale="115" zoomScaleNormal="115" workbookViewId="0">
      <selection activeCell="A9" sqref="A9"/>
    </sheetView>
  </sheetViews>
  <sheetFormatPr defaultRowHeight="15" x14ac:dyDescent="0.25"/>
  <cols>
    <col min="1" max="1" width="12.7109375" customWidth="1"/>
    <col min="4" max="4" width="10.7109375" style="17" bestFit="1" customWidth="1"/>
    <col min="5" max="10" width="9.140625" style="17"/>
  </cols>
  <sheetData>
    <row r="1" spans="1:10" x14ac:dyDescent="0.25">
      <c r="A1" s="94" t="s">
        <v>766</v>
      </c>
      <c r="B1" s="95"/>
      <c r="C1" s="95"/>
      <c r="D1" s="96"/>
    </row>
    <row r="2" spans="1:10" x14ac:dyDescent="0.25">
      <c r="A2" s="91" t="s">
        <v>682</v>
      </c>
      <c r="B2" s="92"/>
      <c r="C2" s="92"/>
      <c r="D2" s="93"/>
    </row>
    <row r="3" spans="1:10" x14ac:dyDescent="0.25">
      <c r="A3" s="91" t="s">
        <v>683</v>
      </c>
      <c r="B3" s="92"/>
      <c r="C3" s="92"/>
      <c r="D3" s="93"/>
    </row>
    <row r="5" spans="1:10" s="17" customFormat="1" x14ac:dyDescent="0.25">
      <c r="A5" s="17" t="s">
        <v>776</v>
      </c>
    </row>
    <row r="6" spans="1:10" s="17" customFormat="1" x14ac:dyDescent="0.25"/>
    <row r="7" spans="1:10" x14ac:dyDescent="0.25">
      <c r="A7" s="89" t="s">
        <v>767</v>
      </c>
      <c r="B7" s="89" t="s">
        <v>768</v>
      </c>
      <c r="C7" s="17"/>
      <c r="F7"/>
      <c r="G7"/>
      <c r="H7"/>
      <c r="I7"/>
      <c r="J7"/>
    </row>
    <row r="8" spans="1:10" x14ac:dyDescent="0.25">
      <c r="A8" s="90">
        <v>35167</v>
      </c>
      <c r="B8" s="17">
        <v>1.38</v>
      </c>
      <c r="C8" s="17"/>
      <c r="F8"/>
      <c r="G8"/>
      <c r="H8"/>
      <c r="I8"/>
      <c r="J8"/>
    </row>
    <row r="9" spans="1:10" x14ac:dyDescent="0.25">
      <c r="A9" s="90">
        <v>35170</v>
      </c>
      <c r="B9" s="17">
        <v>1.34</v>
      </c>
      <c r="C9" s="17"/>
      <c r="F9"/>
      <c r="G9"/>
      <c r="H9"/>
      <c r="I9"/>
      <c r="J9"/>
    </row>
    <row r="10" spans="1:10" x14ac:dyDescent="0.25">
      <c r="A10" s="90">
        <v>35171</v>
      </c>
      <c r="B10" s="17">
        <v>1.2</v>
      </c>
      <c r="C10" s="17"/>
      <c r="F10"/>
      <c r="G10"/>
      <c r="H10"/>
      <c r="I10"/>
      <c r="J10"/>
    </row>
    <row r="11" spans="1:10" x14ac:dyDescent="0.25">
      <c r="A11" s="90">
        <v>35172</v>
      </c>
      <c r="B11" s="17">
        <v>1.1200000000000001</v>
      </c>
      <c r="C11" s="17"/>
      <c r="F11"/>
      <c r="G11"/>
      <c r="H11"/>
      <c r="I11"/>
      <c r="J11"/>
    </row>
    <row r="12" spans="1:10" x14ac:dyDescent="0.25">
      <c r="A12" s="90">
        <v>35173</v>
      </c>
      <c r="B12" s="17">
        <v>1.22</v>
      </c>
      <c r="C12" s="17"/>
      <c r="F12"/>
      <c r="G12"/>
      <c r="H12"/>
      <c r="I12"/>
      <c r="J12"/>
    </row>
    <row r="13" spans="1:10" x14ac:dyDescent="0.25">
      <c r="A13" s="90">
        <v>35174</v>
      </c>
      <c r="B13" s="17">
        <v>1.2</v>
      </c>
      <c r="C13" s="17"/>
      <c r="F13"/>
      <c r="G13"/>
      <c r="H13"/>
      <c r="I13"/>
      <c r="J13"/>
    </row>
    <row r="14" spans="1:10" x14ac:dyDescent="0.25">
      <c r="A14" s="90">
        <v>35177</v>
      </c>
      <c r="B14" s="17">
        <v>1.18</v>
      </c>
      <c r="C14" s="17"/>
      <c r="F14"/>
      <c r="G14"/>
      <c r="H14"/>
      <c r="I14"/>
      <c r="J14"/>
    </row>
    <row r="15" spans="1:10" x14ac:dyDescent="0.25">
      <c r="A15" s="90">
        <v>35178</v>
      </c>
      <c r="B15" s="17">
        <v>1.17</v>
      </c>
      <c r="C15" s="17"/>
      <c r="F15"/>
      <c r="G15"/>
      <c r="H15"/>
      <c r="I15"/>
      <c r="J15"/>
    </row>
    <row r="16" spans="1:10" x14ac:dyDescent="0.25">
      <c r="A16" s="90">
        <v>35179</v>
      </c>
      <c r="B16" s="17">
        <v>1.21</v>
      </c>
      <c r="C16" s="17"/>
      <c r="F16"/>
      <c r="G16"/>
      <c r="H16"/>
      <c r="I16"/>
      <c r="J16"/>
    </row>
    <row r="17" spans="1:10" x14ac:dyDescent="0.25">
      <c r="A17" s="90">
        <v>35180</v>
      </c>
      <c r="B17" s="17">
        <v>1.3</v>
      </c>
      <c r="C17" s="17"/>
      <c r="F17"/>
      <c r="G17"/>
      <c r="H17"/>
      <c r="I17"/>
      <c r="J17"/>
    </row>
    <row r="18" spans="1:10" x14ac:dyDescent="0.25">
      <c r="A18" s="90">
        <v>35181</v>
      </c>
      <c r="B18" s="17">
        <v>1.32</v>
      </c>
      <c r="C18" s="17"/>
      <c r="F18"/>
      <c r="G18"/>
      <c r="H18"/>
      <c r="I18"/>
      <c r="J18"/>
    </row>
    <row r="19" spans="1:10" x14ac:dyDescent="0.25">
      <c r="A19" s="90">
        <v>35184</v>
      </c>
      <c r="B19" s="17">
        <v>1.29</v>
      </c>
      <c r="C19" s="17"/>
      <c r="F19"/>
      <c r="G19"/>
      <c r="H19"/>
      <c r="I19"/>
      <c r="J19"/>
    </row>
    <row r="20" spans="1:10" x14ac:dyDescent="0.25">
      <c r="A20" s="90">
        <v>35185</v>
      </c>
      <c r="B20" s="17">
        <v>1.24</v>
      </c>
      <c r="C20" s="17"/>
      <c r="F20"/>
      <c r="G20"/>
      <c r="H20"/>
      <c r="I20"/>
      <c r="J20"/>
    </row>
    <row r="21" spans="1:10" x14ac:dyDescent="0.25">
      <c r="A21" s="90">
        <v>35186</v>
      </c>
      <c r="B21" s="17">
        <v>1.32</v>
      </c>
      <c r="C21" s="17"/>
      <c r="F21"/>
      <c r="G21"/>
      <c r="H21"/>
      <c r="I21"/>
      <c r="J21"/>
    </row>
    <row r="22" spans="1:10" x14ac:dyDescent="0.25">
      <c r="A22" s="90">
        <v>35187</v>
      </c>
      <c r="B22" s="17">
        <v>1.37</v>
      </c>
      <c r="C22" s="17"/>
      <c r="F22"/>
      <c r="G22"/>
      <c r="H22"/>
      <c r="I22"/>
      <c r="J22"/>
    </row>
    <row r="23" spans="1:10" x14ac:dyDescent="0.25">
      <c r="A23" s="90">
        <v>35188</v>
      </c>
      <c r="B23" s="17">
        <v>1.33</v>
      </c>
      <c r="C23" s="17"/>
      <c r="F23"/>
      <c r="G23"/>
      <c r="H23"/>
      <c r="I23"/>
      <c r="J23"/>
    </row>
    <row r="24" spans="1:10" x14ac:dyDescent="0.25">
      <c r="A24" s="90">
        <v>35191</v>
      </c>
      <c r="B24" s="17">
        <v>1.26</v>
      </c>
      <c r="C24" s="17"/>
      <c r="F24"/>
      <c r="G24"/>
      <c r="H24"/>
      <c r="I24"/>
      <c r="J24"/>
    </row>
    <row r="25" spans="1:10" x14ac:dyDescent="0.25">
      <c r="A25" s="90">
        <v>35192</v>
      </c>
      <c r="B25" s="17">
        <v>1.27</v>
      </c>
      <c r="C25" s="17"/>
      <c r="F25"/>
      <c r="G25"/>
      <c r="H25"/>
      <c r="I25"/>
      <c r="J25"/>
    </row>
    <row r="26" spans="1:10" x14ac:dyDescent="0.25">
      <c r="A26" s="90">
        <v>35193</v>
      </c>
      <c r="B26" s="17">
        <v>1.26</v>
      </c>
      <c r="C26" s="17"/>
      <c r="F26"/>
      <c r="G26"/>
      <c r="H26"/>
      <c r="I26"/>
      <c r="J26"/>
    </row>
    <row r="27" spans="1:10" x14ac:dyDescent="0.25">
      <c r="A27" s="90">
        <v>35194</v>
      </c>
      <c r="B27" s="17">
        <v>1.28</v>
      </c>
      <c r="C27" s="17"/>
      <c r="F27"/>
      <c r="G27"/>
      <c r="H27"/>
      <c r="I27"/>
      <c r="J27"/>
    </row>
    <row r="28" spans="1:10" x14ac:dyDescent="0.25">
      <c r="A28" s="90">
        <v>35195</v>
      </c>
      <c r="B28" s="17">
        <v>1.3</v>
      </c>
      <c r="C28" s="17"/>
      <c r="F28"/>
      <c r="G28"/>
      <c r="H28"/>
      <c r="I28"/>
      <c r="J28"/>
    </row>
    <row r="29" spans="1:10" x14ac:dyDescent="0.25">
      <c r="A29" s="90">
        <v>35198</v>
      </c>
      <c r="B29" s="17">
        <v>1.26</v>
      </c>
      <c r="C29" s="17"/>
      <c r="F29"/>
      <c r="G29"/>
      <c r="H29"/>
      <c r="I29"/>
      <c r="J29"/>
    </row>
    <row r="30" spans="1:10" x14ac:dyDescent="0.25">
      <c r="A30" s="90">
        <v>35199</v>
      </c>
      <c r="B30" s="17">
        <v>1.23</v>
      </c>
      <c r="C30" s="17"/>
      <c r="F30"/>
      <c r="G30"/>
      <c r="H30"/>
      <c r="I30"/>
      <c r="J30"/>
    </row>
    <row r="31" spans="1:10" x14ac:dyDescent="0.25">
      <c r="A31" s="90">
        <v>35200</v>
      </c>
      <c r="B31" s="17">
        <v>1.26</v>
      </c>
      <c r="C31" s="17"/>
      <c r="F31"/>
      <c r="G31"/>
      <c r="H31"/>
      <c r="I31"/>
      <c r="J31"/>
    </row>
    <row r="32" spans="1:10" x14ac:dyDescent="0.25">
      <c r="A32" s="90">
        <v>35201</v>
      </c>
      <c r="B32" s="17">
        <v>1.26</v>
      </c>
      <c r="C32" s="17"/>
      <c r="F32"/>
      <c r="G32"/>
      <c r="H32"/>
      <c r="I32"/>
      <c r="J32"/>
    </row>
    <row r="33" spans="1:10" x14ac:dyDescent="0.25">
      <c r="A33" s="90">
        <v>35202</v>
      </c>
      <c r="B33" s="17">
        <v>1.25</v>
      </c>
      <c r="C33" s="17"/>
      <c r="F33"/>
      <c r="G33"/>
      <c r="H33"/>
      <c r="I33"/>
      <c r="J33"/>
    </row>
    <row r="34" spans="1:10" x14ac:dyDescent="0.25">
      <c r="A34" s="90">
        <v>35205</v>
      </c>
      <c r="B34" s="17">
        <v>1.21</v>
      </c>
      <c r="C34" s="17"/>
      <c r="F34"/>
      <c r="G34"/>
      <c r="H34"/>
      <c r="I34"/>
      <c r="J34"/>
    </row>
    <row r="35" spans="1:10" x14ac:dyDescent="0.25">
      <c r="A35" s="90">
        <v>35206</v>
      </c>
      <c r="B35" s="17">
        <v>1.17</v>
      </c>
      <c r="C35" s="17"/>
      <c r="F35"/>
      <c r="G35"/>
      <c r="H35"/>
      <c r="I35"/>
      <c r="J35"/>
    </row>
    <row r="36" spans="1:10" x14ac:dyDescent="0.25">
      <c r="A36" s="90">
        <v>35207</v>
      </c>
      <c r="B36" s="17">
        <v>1.1499999999999999</v>
      </c>
      <c r="C36" s="17"/>
      <c r="F36"/>
      <c r="G36"/>
      <c r="H36"/>
      <c r="I36"/>
      <c r="J36"/>
    </row>
    <row r="37" spans="1:10" x14ac:dyDescent="0.25">
      <c r="A37" s="90">
        <v>35208</v>
      </c>
      <c r="B37" s="17">
        <v>1.23</v>
      </c>
      <c r="C37" s="17"/>
      <c r="F37"/>
      <c r="G37"/>
      <c r="H37"/>
      <c r="I37"/>
      <c r="J37"/>
    </row>
    <row r="38" spans="1:10" x14ac:dyDescent="0.25">
      <c r="A38" s="90">
        <v>35209</v>
      </c>
      <c r="B38" s="17">
        <v>1.23</v>
      </c>
      <c r="C38" s="17"/>
      <c r="F38"/>
      <c r="G38"/>
      <c r="H38"/>
      <c r="I38"/>
      <c r="J38"/>
    </row>
    <row r="39" spans="1:10" x14ac:dyDescent="0.25">
      <c r="A39" s="90">
        <v>35213</v>
      </c>
      <c r="B39" s="17">
        <v>1.21</v>
      </c>
      <c r="C39" s="17"/>
      <c r="F39"/>
      <c r="G39"/>
      <c r="H39"/>
      <c r="I39"/>
      <c r="J39"/>
    </row>
    <row r="40" spans="1:10" x14ac:dyDescent="0.25">
      <c r="A40" s="90">
        <v>35214</v>
      </c>
      <c r="B40" s="17">
        <v>1.1499999999999999</v>
      </c>
      <c r="C40" s="17"/>
      <c r="F40"/>
      <c r="G40"/>
      <c r="H40"/>
      <c r="I40"/>
      <c r="J40"/>
    </row>
    <row r="41" spans="1:10" x14ac:dyDescent="0.25">
      <c r="A41" s="90">
        <v>35215</v>
      </c>
      <c r="B41" s="17">
        <v>1.18</v>
      </c>
      <c r="C41" s="17"/>
      <c r="F41"/>
      <c r="G41"/>
      <c r="H41"/>
      <c r="I41"/>
      <c r="J41"/>
    </row>
    <row r="42" spans="1:10" x14ac:dyDescent="0.25">
      <c r="A42" s="90">
        <v>35216</v>
      </c>
      <c r="B42" s="17">
        <v>1.17</v>
      </c>
      <c r="C42" s="17"/>
      <c r="F42"/>
      <c r="G42"/>
      <c r="H42"/>
      <c r="I42"/>
      <c r="J42"/>
    </row>
    <row r="43" spans="1:10" x14ac:dyDescent="0.25">
      <c r="A43" s="90">
        <v>35219</v>
      </c>
      <c r="B43" s="17">
        <v>1.1399999999999999</v>
      </c>
      <c r="C43" s="17"/>
      <c r="F43"/>
      <c r="G43"/>
      <c r="H43"/>
      <c r="I43"/>
      <c r="J43"/>
    </row>
    <row r="44" spans="1:10" x14ac:dyDescent="0.25">
      <c r="A44" s="90">
        <v>35220</v>
      </c>
      <c r="B44" s="17">
        <v>1.1299999999999999</v>
      </c>
      <c r="C44" s="17"/>
      <c r="F44"/>
      <c r="G44"/>
      <c r="H44"/>
      <c r="I44"/>
      <c r="J44"/>
    </row>
    <row r="45" spans="1:10" x14ac:dyDescent="0.25">
      <c r="A45" s="90">
        <v>35221</v>
      </c>
      <c r="B45" s="17">
        <v>1.1299999999999999</v>
      </c>
      <c r="C45" s="17"/>
      <c r="F45"/>
      <c r="G45"/>
      <c r="H45"/>
      <c r="I45"/>
      <c r="J45"/>
    </row>
    <row r="46" spans="1:10" x14ac:dyDescent="0.25">
      <c r="A46" s="90">
        <v>35222</v>
      </c>
      <c r="B46" s="17">
        <v>1.1599999999999999</v>
      </c>
      <c r="C46" s="17"/>
      <c r="F46"/>
      <c r="G46"/>
      <c r="H46"/>
      <c r="I46"/>
      <c r="J46"/>
    </row>
    <row r="47" spans="1:10" x14ac:dyDescent="0.25">
      <c r="A47" s="90">
        <v>35223</v>
      </c>
      <c r="B47" s="17">
        <v>1.1200000000000001</v>
      </c>
      <c r="C47" s="17"/>
      <c r="F47"/>
      <c r="G47"/>
      <c r="H47"/>
      <c r="I47"/>
      <c r="J47"/>
    </row>
    <row r="48" spans="1:10" x14ac:dyDescent="0.25">
      <c r="A48" s="90">
        <v>35226</v>
      </c>
      <c r="B48" s="17">
        <v>1.1000000000000001</v>
      </c>
      <c r="C48" s="17"/>
      <c r="F48"/>
      <c r="G48"/>
      <c r="H48"/>
      <c r="I48"/>
      <c r="J48"/>
    </row>
    <row r="49" spans="1:10" x14ac:dyDescent="0.25">
      <c r="A49" s="90">
        <v>35227</v>
      </c>
      <c r="B49" s="17">
        <v>1.06</v>
      </c>
      <c r="C49" s="17"/>
      <c r="F49"/>
      <c r="G49"/>
      <c r="H49"/>
      <c r="I49"/>
      <c r="J49"/>
    </row>
    <row r="50" spans="1:10" x14ac:dyDescent="0.25">
      <c r="A50" s="90">
        <v>35228</v>
      </c>
      <c r="B50" s="17">
        <v>1.08</v>
      </c>
      <c r="C50" s="17"/>
      <c r="F50"/>
      <c r="G50"/>
      <c r="H50"/>
      <c r="I50"/>
      <c r="J50"/>
    </row>
    <row r="51" spans="1:10" x14ac:dyDescent="0.25">
      <c r="A51" s="90">
        <v>35229</v>
      </c>
      <c r="B51" s="17">
        <v>1.06</v>
      </c>
      <c r="C51" s="17"/>
      <c r="F51"/>
      <c r="G51"/>
      <c r="H51"/>
      <c r="I51"/>
      <c r="J51"/>
    </row>
    <row r="52" spans="1:10" x14ac:dyDescent="0.25">
      <c r="A52" s="90">
        <v>35230</v>
      </c>
      <c r="B52" s="17">
        <v>1.03</v>
      </c>
      <c r="C52" s="17"/>
      <c r="F52"/>
      <c r="G52"/>
      <c r="H52"/>
      <c r="I52"/>
      <c r="J52"/>
    </row>
    <row r="53" spans="1:10" x14ac:dyDescent="0.25">
      <c r="A53" s="90">
        <v>35233</v>
      </c>
      <c r="B53" s="17">
        <v>0.96</v>
      </c>
      <c r="C53" s="17"/>
      <c r="F53"/>
      <c r="G53"/>
      <c r="H53"/>
      <c r="I53"/>
      <c r="J53"/>
    </row>
    <row r="54" spans="1:10" x14ac:dyDescent="0.25">
      <c r="A54" s="90">
        <v>35234</v>
      </c>
      <c r="B54" s="17">
        <v>0.85</v>
      </c>
      <c r="C54" s="17"/>
      <c r="F54"/>
      <c r="G54"/>
      <c r="H54"/>
      <c r="I54"/>
      <c r="J54"/>
    </row>
    <row r="55" spans="1:10" x14ac:dyDescent="0.25">
      <c r="A55" s="90">
        <v>35235</v>
      </c>
      <c r="B55" s="17">
        <v>0.86</v>
      </c>
      <c r="C55" s="17"/>
      <c r="F55"/>
      <c r="G55"/>
      <c r="H55"/>
      <c r="I55"/>
      <c r="J55"/>
    </row>
    <row r="56" spans="1:10" x14ac:dyDescent="0.25">
      <c r="A56" s="90">
        <v>35236</v>
      </c>
      <c r="B56" s="17">
        <v>0.91</v>
      </c>
      <c r="C56" s="17"/>
      <c r="F56"/>
      <c r="G56"/>
      <c r="H56"/>
      <c r="I56"/>
      <c r="J56"/>
    </row>
    <row r="57" spans="1:10" x14ac:dyDescent="0.25">
      <c r="A57" s="90">
        <v>35237</v>
      </c>
      <c r="B57" s="17">
        <v>0.93</v>
      </c>
      <c r="C57" s="17"/>
      <c r="F57"/>
      <c r="G57"/>
      <c r="H57"/>
      <c r="I57"/>
      <c r="J57"/>
    </row>
    <row r="58" spans="1:10" x14ac:dyDescent="0.25">
      <c r="A58" s="90">
        <v>35240</v>
      </c>
      <c r="B58" s="17">
        <v>0.91</v>
      </c>
      <c r="C58" s="17"/>
      <c r="F58"/>
      <c r="G58"/>
      <c r="H58"/>
      <c r="I58"/>
      <c r="J58"/>
    </row>
    <row r="59" spans="1:10" x14ac:dyDescent="0.25">
      <c r="A59" s="90">
        <v>35241</v>
      </c>
      <c r="B59" s="17">
        <v>0.91</v>
      </c>
      <c r="C59" s="17"/>
      <c r="F59"/>
      <c r="G59"/>
      <c r="H59"/>
      <c r="I59"/>
      <c r="J59"/>
    </row>
    <row r="60" spans="1:10" x14ac:dyDescent="0.25">
      <c r="A60" s="90">
        <v>35242</v>
      </c>
      <c r="B60" s="17">
        <v>0.88</v>
      </c>
      <c r="C60" s="17"/>
      <c r="F60"/>
      <c r="G60"/>
      <c r="H60"/>
      <c r="I60"/>
      <c r="J60"/>
    </row>
    <row r="61" spans="1:10" x14ac:dyDescent="0.25">
      <c r="A61" s="90">
        <v>35243</v>
      </c>
      <c r="B61" s="17">
        <v>0.76</v>
      </c>
      <c r="C61" s="17"/>
      <c r="F61"/>
      <c r="G61"/>
      <c r="H61"/>
      <c r="I61"/>
      <c r="J61"/>
    </row>
    <row r="62" spans="1:10" x14ac:dyDescent="0.25">
      <c r="A62" s="90">
        <v>35244</v>
      </c>
      <c r="B62" s="17">
        <v>0.88</v>
      </c>
      <c r="C62" s="17"/>
      <c r="F62"/>
      <c r="G62"/>
      <c r="H62"/>
      <c r="I62"/>
      <c r="J62"/>
    </row>
    <row r="63" spans="1:10" x14ac:dyDescent="0.25">
      <c r="A63" s="90">
        <v>35247</v>
      </c>
      <c r="B63" s="17">
        <v>0.91</v>
      </c>
      <c r="C63" s="17"/>
      <c r="F63"/>
      <c r="G63"/>
      <c r="H63"/>
      <c r="I63"/>
      <c r="J63"/>
    </row>
    <row r="64" spans="1:10" x14ac:dyDescent="0.25">
      <c r="A64" s="90">
        <v>35248</v>
      </c>
      <c r="B64" s="17">
        <v>0.89</v>
      </c>
      <c r="C64" s="17"/>
      <c r="F64"/>
      <c r="G64"/>
      <c r="H64"/>
      <c r="I64"/>
      <c r="J64"/>
    </row>
    <row r="65" spans="1:10" x14ac:dyDescent="0.25">
      <c r="A65" s="90">
        <v>35249</v>
      </c>
      <c r="B65" s="17">
        <v>0.88</v>
      </c>
      <c r="C65" s="17"/>
      <c r="F65"/>
      <c r="G65"/>
      <c r="H65"/>
      <c r="I65"/>
      <c r="J65"/>
    </row>
    <row r="66" spans="1:10" x14ac:dyDescent="0.25">
      <c r="A66" s="90">
        <v>35251</v>
      </c>
      <c r="B66" s="17">
        <v>0.83</v>
      </c>
      <c r="C66" s="17"/>
      <c r="F66"/>
      <c r="G66"/>
      <c r="H66"/>
      <c r="I66"/>
      <c r="J66"/>
    </row>
    <row r="67" spans="1:10" x14ac:dyDescent="0.25">
      <c r="A67" s="90">
        <v>35254</v>
      </c>
      <c r="B67" s="17">
        <v>0.83</v>
      </c>
      <c r="C67" s="17"/>
      <c r="F67"/>
      <c r="G67"/>
      <c r="H67"/>
      <c r="I67"/>
      <c r="J67"/>
    </row>
    <row r="68" spans="1:10" x14ac:dyDescent="0.25">
      <c r="A68" s="90">
        <v>35255</v>
      </c>
      <c r="B68" s="17">
        <v>0.77</v>
      </c>
      <c r="C68" s="17"/>
      <c r="F68"/>
      <c r="G68"/>
      <c r="H68"/>
      <c r="I68"/>
      <c r="J68"/>
    </row>
    <row r="69" spans="1:10" x14ac:dyDescent="0.25">
      <c r="A69" s="90">
        <v>35256</v>
      </c>
      <c r="B69" s="17">
        <v>0.68</v>
      </c>
      <c r="C69" s="17"/>
      <c r="F69"/>
      <c r="G69"/>
      <c r="H69"/>
      <c r="I69"/>
      <c r="J69"/>
    </row>
    <row r="70" spans="1:10" x14ac:dyDescent="0.25">
      <c r="A70" s="90">
        <v>35257</v>
      </c>
      <c r="B70" s="17">
        <v>0.72</v>
      </c>
      <c r="C70" s="17"/>
      <c r="F70"/>
      <c r="G70"/>
      <c r="H70"/>
      <c r="I70"/>
      <c r="J70"/>
    </row>
    <row r="71" spans="1:10" x14ac:dyDescent="0.25">
      <c r="A71" s="90">
        <v>35258</v>
      </c>
      <c r="B71" s="17">
        <v>0.73</v>
      </c>
      <c r="C71" s="17"/>
      <c r="F71"/>
      <c r="G71"/>
      <c r="H71"/>
      <c r="I71"/>
      <c r="J71"/>
    </row>
    <row r="72" spans="1:10" x14ac:dyDescent="0.25">
      <c r="A72" s="90">
        <v>35261</v>
      </c>
      <c r="B72" s="17">
        <v>0.74</v>
      </c>
      <c r="C72" s="17"/>
      <c r="F72"/>
      <c r="G72"/>
      <c r="H72"/>
      <c r="I72"/>
      <c r="J72"/>
    </row>
    <row r="73" spans="1:10" x14ac:dyDescent="0.25">
      <c r="A73" s="90">
        <v>35262</v>
      </c>
      <c r="B73" s="17">
        <v>0.75</v>
      </c>
      <c r="C73" s="17"/>
      <c r="F73"/>
      <c r="G73"/>
      <c r="H73"/>
      <c r="I73"/>
      <c r="J73"/>
    </row>
    <row r="74" spans="1:10" x14ac:dyDescent="0.25">
      <c r="A74" s="90">
        <v>35263</v>
      </c>
      <c r="B74" s="17">
        <v>0.8</v>
      </c>
      <c r="C74" s="17"/>
      <c r="F74"/>
      <c r="G74"/>
      <c r="H74"/>
      <c r="I74"/>
      <c r="J74"/>
    </row>
    <row r="75" spans="1:10" x14ac:dyDescent="0.25">
      <c r="A75" s="90">
        <v>35264</v>
      </c>
      <c r="B75" s="17">
        <v>0.8</v>
      </c>
      <c r="C75" s="17"/>
      <c r="F75"/>
      <c r="G75"/>
      <c r="H75"/>
      <c r="I75"/>
      <c r="J75"/>
    </row>
    <row r="76" spans="1:10" x14ac:dyDescent="0.25">
      <c r="A76" s="90">
        <v>35265</v>
      </c>
      <c r="B76" s="17">
        <v>0.79</v>
      </c>
      <c r="C76" s="17"/>
      <c r="F76"/>
      <c r="G76"/>
      <c r="H76"/>
      <c r="I76"/>
      <c r="J76"/>
    </row>
    <row r="77" spans="1:10" x14ac:dyDescent="0.25">
      <c r="A77" s="90">
        <v>35268</v>
      </c>
      <c r="B77" s="17">
        <v>0.75</v>
      </c>
      <c r="C77" s="17"/>
      <c r="F77"/>
      <c r="G77"/>
      <c r="H77"/>
      <c r="I77"/>
      <c r="J77"/>
    </row>
    <row r="78" spans="1:10" x14ac:dyDescent="0.25">
      <c r="A78" s="90">
        <v>35269</v>
      </c>
      <c r="B78" s="17">
        <v>0.68</v>
      </c>
      <c r="C78" s="17"/>
      <c r="F78"/>
      <c r="G78"/>
      <c r="H78"/>
      <c r="I78"/>
      <c r="J78"/>
    </row>
    <row r="79" spans="1:10" x14ac:dyDescent="0.25">
      <c r="A79" s="90">
        <v>35270</v>
      </c>
      <c r="B79" s="17">
        <v>0.66</v>
      </c>
      <c r="C79" s="17"/>
      <c r="F79"/>
      <c r="G79"/>
      <c r="H79"/>
      <c r="I79"/>
      <c r="J79"/>
    </row>
    <row r="80" spans="1:10" x14ac:dyDescent="0.25">
      <c r="A80" s="90">
        <v>35271</v>
      </c>
      <c r="B80" s="17">
        <v>0.68</v>
      </c>
      <c r="C80" s="17"/>
      <c r="F80"/>
      <c r="G80"/>
      <c r="H80"/>
      <c r="I80"/>
      <c r="J80"/>
    </row>
    <row r="81" spans="1:10" x14ac:dyDescent="0.25">
      <c r="A81" s="90">
        <v>35272</v>
      </c>
      <c r="B81" s="17">
        <v>0.69</v>
      </c>
      <c r="C81" s="17"/>
      <c r="F81"/>
      <c r="G81"/>
      <c r="H81"/>
      <c r="I81"/>
      <c r="J81"/>
    </row>
    <row r="82" spans="1:10" x14ac:dyDescent="0.25">
      <c r="A82" s="90">
        <v>35275</v>
      </c>
      <c r="B82" s="17">
        <v>0.67</v>
      </c>
      <c r="C82" s="17"/>
      <c r="F82"/>
      <c r="G82"/>
      <c r="H82"/>
      <c r="I82"/>
      <c r="J82"/>
    </row>
    <row r="83" spans="1:10" x14ac:dyDescent="0.25">
      <c r="A83" s="90">
        <v>35276</v>
      </c>
      <c r="B83" s="17">
        <v>0.71</v>
      </c>
      <c r="C83" s="17"/>
      <c r="F83"/>
      <c r="G83"/>
      <c r="H83"/>
      <c r="I83"/>
      <c r="J83"/>
    </row>
    <row r="84" spans="1:10" x14ac:dyDescent="0.25">
      <c r="A84" s="90">
        <v>35277</v>
      </c>
      <c r="B84" s="17">
        <v>0.75</v>
      </c>
      <c r="C84" s="17"/>
      <c r="F84"/>
      <c r="G84"/>
      <c r="H84"/>
      <c r="I84"/>
      <c r="J84"/>
    </row>
    <row r="85" spans="1:10" x14ac:dyDescent="0.25">
      <c r="A85" s="90">
        <v>35278</v>
      </c>
      <c r="B85" s="17">
        <v>0.79</v>
      </c>
      <c r="C85" s="17"/>
      <c r="F85"/>
      <c r="G85"/>
      <c r="H85"/>
      <c r="I85"/>
      <c r="J85"/>
    </row>
    <row r="86" spans="1:10" x14ac:dyDescent="0.25">
      <c r="A86" s="90">
        <v>35279</v>
      </c>
      <c r="B86" s="17">
        <v>0.79</v>
      </c>
      <c r="C86" s="17"/>
      <c r="F86"/>
      <c r="G86"/>
      <c r="H86"/>
      <c r="I86"/>
      <c r="J86"/>
    </row>
    <row r="87" spans="1:10" x14ac:dyDescent="0.25">
      <c r="A87" s="90">
        <v>35282</v>
      </c>
      <c r="B87" s="17">
        <v>0.79</v>
      </c>
      <c r="C87" s="17"/>
      <c r="F87"/>
      <c r="G87"/>
      <c r="H87"/>
      <c r="I87"/>
      <c r="J87"/>
    </row>
    <row r="88" spans="1:10" x14ac:dyDescent="0.25">
      <c r="A88" s="90">
        <v>35283</v>
      </c>
      <c r="B88" s="17">
        <v>0.76</v>
      </c>
      <c r="C88" s="17"/>
      <c r="F88"/>
      <c r="G88"/>
      <c r="H88"/>
      <c r="I88"/>
      <c r="J88"/>
    </row>
    <row r="89" spans="1:10" x14ac:dyDescent="0.25">
      <c r="A89" s="90">
        <v>35284</v>
      </c>
      <c r="B89" s="17">
        <v>0.75</v>
      </c>
      <c r="C89" s="17"/>
      <c r="F89"/>
      <c r="G89"/>
      <c r="H89"/>
      <c r="I89"/>
      <c r="J89"/>
    </row>
    <row r="90" spans="1:10" x14ac:dyDescent="0.25">
      <c r="A90" s="90">
        <v>35285</v>
      </c>
      <c r="B90" s="17">
        <v>0.77</v>
      </c>
      <c r="C90" s="17"/>
      <c r="F90"/>
      <c r="G90"/>
      <c r="H90"/>
      <c r="I90"/>
      <c r="J90"/>
    </row>
    <row r="91" spans="1:10" x14ac:dyDescent="0.25">
      <c r="A91" s="90">
        <v>35286</v>
      </c>
      <c r="B91" s="17">
        <v>0.74</v>
      </c>
      <c r="C91" s="17"/>
      <c r="F91"/>
      <c r="G91"/>
      <c r="H91"/>
      <c r="I91"/>
      <c r="J91"/>
    </row>
    <row r="92" spans="1:10" x14ac:dyDescent="0.25">
      <c r="A92" s="90">
        <v>35289</v>
      </c>
      <c r="B92" s="17">
        <v>0.72</v>
      </c>
      <c r="C92" s="17"/>
      <c r="F92"/>
      <c r="G92"/>
      <c r="H92"/>
      <c r="I92"/>
      <c r="J92"/>
    </row>
    <row r="93" spans="1:10" x14ac:dyDescent="0.25">
      <c r="A93" s="90">
        <v>35290</v>
      </c>
      <c r="B93" s="17">
        <v>0.83</v>
      </c>
      <c r="C93" s="17"/>
      <c r="F93"/>
      <c r="G93"/>
      <c r="H93"/>
      <c r="I93"/>
      <c r="J93"/>
    </row>
    <row r="94" spans="1:10" x14ac:dyDescent="0.25">
      <c r="A94" s="90">
        <v>35291</v>
      </c>
      <c r="B94" s="17">
        <v>0.85</v>
      </c>
      <c r="C94" s="17"/>
      <c r="F94"/>
      <c r="G94"/>
      <c r="H94"/>
      <c r="I94"/>
      <c r="J94"/>
    </row>
    <row r="95" spans="1:10" x14ac:dyDescent="0.25">
      <c r="A95" s="90">
        <v>35292</v>
      </c>
      <c r="B95" s="17">
        <v>0.83</v>
      </c>
      <c r="C95" s="17"/>
      <c r="F95"/>
      <c r="G95"/>
      <c r="H95"/>
      <c r="I95"/>
      <c r="J95"/>
    </row>
    <row r="96" spans="1:10" x14ac:dyDescent="0.25">
      <c r="A96" s="90">
        <v>35293</v>
      </c>
      <c r="B96" s="17">
        <v>0.81</v>
      </c>
      <c r="C96" s="17"/>
      <c r="F96"/>
      <c r="G96"/>
      <c r="H96"/>
      <c r="I96"/>
      <c r="J96"/>
    </row>
    <row r="97" spans="1:10" x14ac:dyDescent="0.25">
      <c r="A97" s="90">
        <v>35296</v>
      </c>
      <c r="B97" s="17">
        <v>0.82</v>
      </c>
      <c r="C97" s="17"/>
      <c r="F97"/>
      <c r="G97"/>
      <c r="H97"/>
      <c r="I97"/>
      <c r="J97"/>
    </row>
    <row r="98" spans="1:10" x14ac:dyDescent="0.25">
      <c r="A98" s="90">
        <v>35297</v>
      </c>
      <c r="B98" s="17">
        <v>0.8</v>
      </c>
      <c r="C98" s="17"/>
      <c r="F98"/>
      <c r="G98"/>
      <c r="H98"/>
      <c r="I98"/>
      <c r="J98"/>
    </row>
    <row r="99" spans="1:10" x14ac:dyDescent="0.25">
      <c r="A99" s="90">
        <v>35298</v>
      </c>
      <c r="B99" s="17">
        <v>0.78</v>
      </c>
      <c r="C99" s="17"/>
      <c r="F99"/>
      <c r="G99"/>
      <c r="H99"/>
      <c r="I99"/>
      <c r="J99"/>
    </row>
    <row r="100" spans="1:10" x14ac:dyDescent="0.25">
      <c r="A100" s="90">
        <v>35299</v>
      </c>
      <c r="B100" s="17">
        <v>0.83</v>
      </c>
      <c r="C100" s="17"/>
      <c r="F100"/>
      <c r="G100"/>
      <c r="H100"/>
      <c r="I100"/>
      <c r="J100"/>
    </row>
    <row r="101" spans="1:10" x14ac:dyDescent="0.25">
      <c r="A101" s="90">
        <v>35300</v>
      </c>
      <c r="B101" s="17">
        <v>0.82</v>
      </c>
      <c r="C101" s="17"/>
      <c r="F101"/>
      <c r="G101"/>
      <c r="H101"/>
      <c r="I101"/>
      <c r="J101"/>
    </row>
    <row r="102" spans="1:10" x14ac:dyDescent="0.25">
      <c r="A102" s="90">
        <v>35303</v>
      </c>
      <c r="B102" s="17">
        <v>0.82</v>
      </c>
      <c r="C102" s="17"/>
      <c r="F102"/>
      <c r="G102"/>
      <c r="H102"/>
      <c r="I102"/>
      <c r="J102"/>
    </row>
    <row r="103" spans="1:10" x14ac:dyDescent="0.25">
      <c r="A103" s="90">
        <v>35304</v>
      </c>
      <c r="B103" s="17">
        <v>0.84</v>
      </c>
      <c r="C103" s="17"/>
      <c r="F103"/>
      <c r="G103"/>
      <c r="H103"/>
      <c r="I103"/>
      <c r="J103"/>
    </row>
    <row r="104" spans="1:10" x14ac:dyDescent="0.25">
      <c r="A104" s="90">
        <v>35305</v>
      </c>
      <c r="B104" s="17">
        <v>0.88</v>
      </c>
      <c r="C104" s="17"/>
      <c r="F104"/>
      <c r="G104"/>
      <c r="H104"/>
      <c r="I104"/>
      <c r="J104"/>
    </row>
    <row r="105" spans="1:10" x14ac:dyDescent="0.25">
      <c r="A105" s="90">
        <v>35306</v>
      </c>
      <c r="B105" s="17">
        <v>0.82</v>
      </c>
      <c r="C105" s="17"/>
      <c r="F105"/>
      <c r="G105"/>
      <c r="H105"/>
      <c r="I105"/>
      <c r="J105"/>
    </row>
    <row r="106" spans="1:10" x14ac:dyDescent="0.25">
      <c r="A106" s="90">
        <v>35307</v>
      </c>
      <c r="B106" s="17">
        <v>0.82</v>
      </c>
      <c r="C106" s="17"/>
      <c r="F106"/>
      <c r="G106"/>
      <c r="H106"/>
      <c r="I106"/>
      <c r="J106"/>
    </row>
    <row r="107" spans="1:10" x14ac:dyDescent="0.25">
      <c r="A107" s="90">
        <v>35311</v>
      </c>
      <c r="B107" s="17">
        <v>0.79</v>
      </c>
      <c r="C107" s="17"/>
      <c r="F107"/>
      <c r="G107"/>
      <c r="H107"/>
      <c r="I107"/>
      <c r="J107"/>
    </row>
    <row r="108" spans="1:10" x14ac:dyDescent="0.25">
      <c r="A108" s="90">
        <v>35312</v>
      </c>
      <c r="B108" s="17">
        <v>0.79</v>
      </c>
      <c r="C108" s="17"/>
      <c r="F108"/>
      <c r="G108"/>
      <c r="H108"/>
      <c r="I108"/>
      <c r="J108"/>
    </row>
    <row r="109" spans="1:10" x14ac:dyDescent="0.25">
      <c r="A109" s="90">
        <v>35313</v>
      </c>
      <c r="B109" s="17">
        <v>0.77</v>
      </c>
      <c r="C109" s="17"/>
      <c r="F109"/>
      <c r="G109"/>
      <c r="H109"/>
      <c r="I109"/>
      <c r="J109"/>
    </row>
    <row r="110" spans="1:10" x14ac:dyDescent="0.25">
      <c r="A110" s="90">
        <v>35314</v>
      </c>
      <c r="B110" s="17">
        <v>0.77</v>
      </c>
      <c r="C110" s="17"/>
      <c r="F110"/>
      <c r="G110"/>
      <c r="H110"/>
      <c r="I110"/>
      <c r="J110"/>
    </row>
    <row r="111" spans="1:10" x14ac:dyDescent="0.25">
      <c r="A111" s="90">
        <v>35317</v>
      </c>
      <c r="B111" s="17">
        <v>0.78</v>
      </c>
      <c r="C111" s="17"/>
      <c r="F111"/>
      <c r="G111"/>
      <c r="H111"/>
      <c r="I111"/>
      <c r="J111"/>
    </row>
    <row r="112" spans="1:10" x14ac:dyDescent="0.25">
      <c r="A112" s="90">
        <v>35318</v>
      </c>
      <c r="B112" s="17">
        <v>0.77</v>
      </c>
      <c r="C112" s="17"/>
      <c r="F112"/>
      <c r="G112"/>
      <c r="H112"/>
      <c r="I112"/>
      <c r="J112"/>
    </row>
    <row r="113" spans="1:10" x14ac:dyDescent="0.25">
      <c r="A113" s="90">
        <v>35319</v>
      </c>
      <c r="B113" s="17">
        <v>0.79</v>
      </c>
      <c r="C113" s="17"/>
      <c r="F113"/>
      <c r="G113"/>
      <c r="H113"/>
      <c r="I113"/>
      <c r="J113"/>
    </row>
    <row r="114" spans="1:10" x14ac:dyDescent="0.25">
      <c r="A114" s="90">
        <v>35320</v>
      </c>
      <c r="B114" s="17">
        <v>0.81</v>
      </c>
      <c r="C114" s="17"/>
      <c r="F114"/>
      <c r="G114"/>
      <c r="H114"/>
      <c r="I114"/>
      <c r="J114"/>
    </row>
    <row r="115" spans="1:10" x14ac:dyDescent="0.25">
      <c r="A115" s="90">
        <v>35321</v>
      </c>
      <c r="B115" s="17">
        <v>0.86</v>
      </c>
      <c r="C115" s="17"/>
      <c r="F115"/>
      <c r="G115"/>
      <c r="H115"/>
      <c r="I115"/>
      <c r="J115"/>
    </row>
    <row r="116" spans="1:10" x14ac:dyDescent="0.25">
      <c r="A116" s="90">
        <v>35324</v>
      </c>
      <c r="B116" s="17">
        <v>0.86</v>
      </c>
      <c r="C116" s="17"/>
      <c r="F116"/>
      <c r="G116"/>
      <c r="H116"/>
      <c r="I116"/>
      <c r="J116"/>
    </row>
    <row r="117" spans="1:10" x14ac:dyDescent="0.25">
      <c r="A117" s="90">
        <v>35325</v>
      </c>
      <c r="B117" s="17">
        <v>0.9</v>
      </c>
      <c r="C117" s="17"/>
      <c r="F117"/>
      <c r="G117"/>
      <c r="H117"/>
      <c r="I117"/>
      <c r="J117"/>
    </row>
    <row r="118" spans="1:10" x14ac:dyDescent="0.25">
      <c r="A118" s="90">
        <v>35326</v>
      </c>
      <c r="B118" s="17">
        <v>0.86</v>
      </c>
      <c r="C118" s="17"/>
      <c r="F118"/>
      <c r="G118"/>
      <c r="H118"/>
      <c r="I118"/>
      <c r="J118"/>
    </row>
    <row r="119" spans="1:10" x14ac:dyDescent="0.25">
      <c r="A119" s="90">
        <v>35327</v>
      </c>
      <c r="B119" s="17">
        <v>0.9</v>
      </c>
      <c r="C119" s="17"/>
      <c r="F119"/>
      <c r="G119"/>
      <c r="H119"/>
      <c r="I119"/>
      <c r="J119"/>
    </row>
    <row r="120" spans="1:10" x14ac:dyDescent="0.25">
      <c r="A120" s="90">
        <v>35328</v>
      </c>
      <c r="B120" s="17">
        <v>1</v>
      </c>
      <c r="C120" s="17"/>
      <c r="F120"/>
      <c r="G120"/>
      <c r="H120"/>
      <c r="I120"/>
      <c r="J120"/>
    </row>
    <row r="121" spans="1:10" x14ac:dyDescent="0.25">
      <c r="A121" s="90">
        <v>35331</v>
      </c>
      <c r="B121" s="17">
        <v>0.99</v>
      </c>
      <c r="C121" s="17"/>
      <c r="F121"/>
      <c r="G121"/>
      <c r="H121"/>
      <c r="I121"/>
      <c r="J121"/>
    </row>
    <row r="122" spans="1:10" x14ac:dyDescent="0.25">
      <c r="A122" s="90">
        <v>35332</v>
      </c>
      <c r="B122" s="17">
        <v>0.95</v>
      </c>
      <c r="C122" s="17"/>
      <c r="F122"/>
      <c r="G122"/>
      <c r="H122"/>
      <c r="I122"/>
      <c r="J122"/>
    </row>
    <row r="123" spans="1:10" x14ac:dyDescent="0.25">
      <c r="A123" s="90">
        <v>35333</v>
      </c>
      <c r="B123" s="17">
        <v>0.91</v>
      </c>
      <c r="C123" s="17"/>
      <c r="F123"/>
      <c r="G123"/>
      <c r="H123"/>
      <c r="I123"/>
      <c r="J123"/>
    </row>
    <row r="124" spans="1:10" x14ac:dyDescent="0.25">
      <c r="A124" s="90">
        <v>35334</v>
      </c>
      <c r="B124" s="17">
        <v>0.91</v>
      </c>
      <c r="C124" s="17"/>
      <c r="F124"/>
      <c r="G124"/>
      <c r="H124"/>
      <c r="I124"/>
      <c r="J124"/>
    </row>
    <row r="125" spans="1:10" x14ac:dyDescent="0.25">
      <c r="A125" s="90">
        <v>35335</v>
      </c>
      <c r="B125" s="17">
        <v>0.91</v>
      </c>
      <c r="C125" s="17"/>
      <c r="F125"/>
      <c r="G125"/>
      <c r="H125"/>
      <c r="I125"/>
      <c r="J125"/>
    </row>
    <row r="126" spans="1:10" x14ac:dyDescent="0.25">
      <c r="A126" s="90">
        <v>35338</v>
      </c>
      <c r="B126" s="17">
        <v>0.89</v>
      </c>
      <c r="C126" s="17"/>
      <c r="F126"/>
      <c r="G126"/>
      <c r="H126"/>
      <c r="I126"/>
      <c r="J126"/>
    </row>
    <row r="127" spans="1:10" x14ac:dyDescent="0.25">
      <c r="A127" s="90">
        <v>35339</v>
      </c>
      <c r="B127" s="17">
        <v>0.82</v>
      </c>
      <c r="C127" s="17"/>
      <c r="F127"/>
      <c r="G127"/>
      <c r="H127"/>
      <c r="I127"/>
      <c r="J127"/>
    </row>
    <row r="128" spans="1:10" x14ac:dyDescent="0.25">
      <c r="A128" s="90">
        <v>35340</v>
      </c>
      <c r="B128" s="17">
        <v>0.91</v>
      </c>
      <c r="C128" s="17"/>
      <c r="F128"/>
      <c r="G128"/>
      <c r="H128"/>
      <c r="I128"/>
      <c r="J128"/>
    </row>
    <row r="129" spans="1:10" x14ac:dyDescent="0.25">
      <c r="A129" s="90">
        <v>35341</v>
      </c>
      <c r="B129" s="17">
        <v>0.94</v>
      </c>
      <c r="C129" s="17"/>
      <c r="F129"/>
      <c r="G129"/>
      <c r="H129"/>
      <c r="I129"/>
      <c r="J129"/>
    </row>
    <row r="130" spans="1:10" x14ac:dyDescent="0.25">
      <c r="A130" s="90">
        <v>35342</v>
      </c>
      <c r="B130" s="17">
        <v>0.92</v>
      </c>
      <c r="C130" s="17"/>
      <c r="F130"/>
      <c r="G130"/>
      <c r="H130"/>
      <c r="I130"/>
      <c r="J130"/>
    </row>
    <row r="131" spans="1:10" x14ac:dyDescent="0.25">
      <c r="A131" s="90">
        <v>35345</v>
      </c>
      <c r="B131" s="17">
        <v>0.93</v>
      </c>
      <c r="C131" s="17"/>
      <c r="F131"/>
      <c r="G131"/>
      <c r="H131"/>
      <c r="I131"/>
      <c r="J131"/>
    </row>
    <row r="132" spans="1:10" x14ac:dyDescent="0.25">
      <c r="A132" s="90">
        <v>35346</v>
      </c>
      <c r="B132" s="17">
        <v>0.87</v>
      </c>
      <c r="C132" s="17"/>
      <c r="F132"/>
      <c r="G132"/>
      <c r="H132"/>
      <c r="I132"/>
      <c r="J132"/>
    </row>
    <row r="133" spans="1:10" x14ac:dyDescent="0.25">
      <c r="A133" s="90">
        <v>35347</v>
      </c>
      <c r="B133" s="17">
        <v>0.94</v>
      </c>
      <c r="C133" s="17"/>
      <c r="F133"/>
      <c r="G133"/>
      <c r="H133"/>
      <c r="I133"/>
      <c r="J133"/>
    </row>
    <row r="134" spans="1:10" x14ac:dyDescent="0.25">
      <c r="A134" s="90">
        <v>35348</v>
      </c>
      <c r="B134" s="17">
        <v>0.85</v>
      </c>
      <c r="C134" s="17"/>
      <c r="F134"/>
      <c r="G134"/>
      <c r="H134"/>
      <c r="I134"/>
      <c r="J134"/>
    </row>
    <row r="135" spans="1:10" x14ac:dyDescent="0.25">
      <c r="A135" s="90">
        <v>35349</v>
      </c>
      <c r="B135" s="17">
        <v>0.86</v>
      </c>
      <c r="C135" s="17"/>
      <c r="F135"/>
      <c r="G135"/>
      <c r="H135"/>
      <c r="I135"/>
      <c r="J135"/>
    </row>
    <row r="136" spans="1:10" x14ac:dyDescent="0.25">
      <c r="A136" s="90">
        <v>35352</v>
      </c>
      <c r="B136" s="17">
        <v>0.9</v>
      </c>
      <c r="C136" s="17"/>
      <c r="F136"/>
      <c r="G136"/>
      <c r="H136"/>
      <c r="I136"/>
      <c r="J136"/>
    </row>
    <row r="137" spans="1:10" x14ac:dyDescent="0.25">
      <c r="A137" s="90">
        <v>35353</v>
      </c>
      <c r="B137" s="17">
        <v>0.9</v>
      </c>
      <c r="C137" s="17"/>
      <c r="F137"/>
      <c r="G137"/>
      <c r="H137"/>
      <c r="I137"/>
      <c r="J137"/>
    </row>
    <row r="138" spans="1:10" x14ac:dyDescent="0.25">
      <c r="A138" s="90">
        <v>35354</v>
      </c>
      <c r="B138" s="17">
        <v>0.88</v>
      </c>
      <c r="C138" s="17"/>
      <c r="F138"/>
      <c r="G138"/>
      <c r="H138"/>
      <c r="I138"/>
      <c r="J138"/>
    </row>
    <row r="139" spans="1:10" x14ac:dyDescent="0.25">
      <c r="A139" s="90">
        <v>35355</v>
      </c>
      <c r="B139" s="17">
        <v>0.92</v>
      </c>
      <c r="C139" s="17"/>
      <c r="F139"/>
      <c r="G139"/>
      <c r="H139"/>
      <c r="I139"/>
      <c r="J139"/>
    </row>
    <row r="140" spans="1:10" x14ac:dyDescent="0.25">
      <c r="A140" s="90">
        <v>35356</v>
      </c>
      <c r="B140" s="17">
        <v>0.92</v>
      </c>
      <c r="C140" s="17"/>
      <c r="F140"/>
      <c r="G140"/>
      <c r="H140"/>
      <c r="I140"/>
      <c r="J140"/>
    </row>
    <row r="141" spans="1:10" x14ac:dyDescent="0.25">
      <c r="A141" s="90">
        <v>35359</v>
      </c>
      <c r="B141" s="17">
        <v>0.91</v>
      </c>
      <c r="C141" s="17"/>
      <c r="F141"/>
      <c r="G141"/>
      <c r="H141"/>
      <c r="I141"/>
      <c r="J141"/>
    </row>
    <row r="142" spans="1:10" x14ac:dyDescent="0.25">
      <c r="A142" s="90">
        <v>35360</v>
      </c>
      <c r="B142" s="17">
        <v>0.89</v>
      </c>
      <c r="C142" s="17"/>
      <c r="F142"/>
      <c r="G142"/>
      <c r="H142"/>
      <c r="I142"/>
      <c r="J142"/>
    </row>
    <row r="143" spans="1:10" x14ac:dyDescent="0.25">
      <c r="A143" s="90">
        <v>35361</v>
      </c>
      <c r="B143" s="17">
        <v>0.88</v>
      </c>
      <c r="C143" s="17"/>
      <c r="F143"/>
      <c r="G143"/>
      <c r="H143"/>
      <c r="I143"/>
      <c r="J143"/>
    </row>
    <row r="144" spans="1:10" x14ac:dyDescent="0.25">
      <c r="A144" s="90">
        <v>35362</v>
      </c>
      <c r="B144" s="17">
        <v>0.87</v>
      </c>
      <c r="C144" s="17"/>
      <c r="F144"/>
      <c r="G144"/>
      <c r="H144"/>
      <c r="I144"/>
      <c r="J144"/>
    </row>
    <row r="145" spans="1:10" x14ac:dyDescent="0.25">
      <c r="A145" s="90">
        <v>35363</v>
      </c>
      <c r="B145" s="17">
        <v>0.85</v>
      </c>
      <c r="C145" s="17"/>
      <c r="F145"/>
      <c r="G145"/>
      <c r="H145"/>
      <c r="I145"/>
      <c r="J145"/>
    </row>
    <row r="146" spans="1:10" x14ac:dyDescent="0.25">
      <c r="A146" s="90">
        <v>35366</v>
      </c>
      <c r="B146" s="17">
        <v>0.86</v>
      </c>
      <c r="C146" s="17"/>
      <c r="F146"/>
      <c r="G146"/>
      <c r="H146"/>
      <c r="I146"/>
      <c r="J146"/>
    </row>
    <row r="147" spans="1:10" x14ac:dyDescent="0.25">
      <c r="A147" s="90">
        <v>35367</v>
      </c>
      <c r="B147" s="17">
        <v>0.85</v>
      </c>
      <c r="C147" s="17"/>
      <c r="F147"/>
      <c r="G147"/>
      <c r="H147"/>
      <c r="I147"/>
      <c r="J147"/>
    </row>
    <row r="148" spans="1:10" x14ac:dyDescent="0.25">
      <c r="A148" s="90">
        <v>35368</v>
      </c>
      <c r="B148" s="17">
        <v>0.84</v>
      </c>
      <c r="C148" s="17"/>
      <c r="F148"/>
      <c r="G148"/>
      <c r="H148"/>
      <c r="I148"/>
      <c r="J148"/>
    </row>
    <row r="149" spans="1:10" x14ac:dyDescent="0.25">
      <c r="A149" s="90">
        <v>35369</v>
      </c>
      <c r="B149" s="17">
        <v>0.82</v>
      </c>
      <c r="C149" s="17"/>
      <c r="F149"/>
      <c r="G149"/>
      <c r="H149"/>
      <c r="I149"/>
      <c r="J149"/>
    </row>
    <row r="150" spans="1:10" x14ac:dyDescent="0.25">
      <c r="A150" s="90">
        <v>35370</v>
      </c>
      <c r="B150" s="17">
        <v>0.81</v>
      </c>
      <c r="C150" s="17"/>
      <c r="F150"/>
      <c r="G150"/>
      <c r="H150"/>
      <c r="I150"/>
      <c r="J150"/>
    </row>
    <row r="151" spans="1:10" x14ac:dyDescent="0.25">
      <c r="A151" s="90">
        <v>35373</v>
      </c>
      <c r="B151" s="17">
        <v>0.79</v>
      </c>
      <c r="C151" s="17"/>
      <c r="F151"/>
      <c r="G151"/>
      <c r="H151"/>
      <c r="I151"/>
      <c r="J151"/>
    </row>
    <row r="152" spans="1:10" x14ac:dyDescent="0.25">
      <c r="A152" s="90">
        <v>35374</v>
      </c>
      <c r="B152" s="17">
        <v>0.76</v>
      </c>
      <c r="C152" s="17"/>
      <c r="F152"/>
      <c r="G152"/>
      <c r="H152"/>
      <c r="I152"/>
      <c r="J152"/>
    </row>
    <row r="153" spans="1:10" x14ac:dyDescent="0.25">
      <c r="A153" s="90">
        <v>35375</v>
      </c>
      <c r="B153" s="17">
        <v>0.75</v>
      </c>
      <c r="C153" s="17"/>
      <c r="F153"/>
      <c r="G153"/>
      <c r="H153"/>
      <c r="I153"/>
      <c r="J153"/>
    </row>
    <row r="154" spans="1:10" x14ac:dyDescent="0.25">
      <c r="A154" s="90">
        <v>35376</v>
      </c>
      <c r="B154" s="17">
        <v>0.76</v>
      </c>
      <c r="C154" s="17"/>
      <c r="F154"/>
      <c r="G154"/>
      <c r="H154"/>
      <c r="I154"/>
      <c r="J154"/>
    </row>
    <row r="155" spans="1:10" x14ac:dyDescent="0.25">
      <c r="A155" s="90">
        <v>35377</v>
      </c>
      <c r="B155" s="17">
        <v>0.81</v>
      </c>
      <c r="C155" s="17"/>
      <c r="F155"/>
      <c r="G155"/>
      <c r="H155"/>
      <c r="I155"/>
      <c r="J155"/>
    </row>
    <row r="156" spans="1:10" x14ac:dyDescent="0.25">
      <c r="A156" s="90">
        <v>35380</v>
      </c>
      <c r="B156" s="17">
        <v>0.84</v>
      </c>
      <c r="C156" s="17"/>
      <c r="F156"/>
      <c r="G156"/>
      <c r="H156"/>
      <c r="I156"/>
      <c r="J156"/>
    </row>
    <row r="157" spans="1:10" x14ac:dyDescent="0.25">
      <c r="A157" s="90">
        <v>35381</v>
      </c>
      <c r="B157" s="17">
        <v>0.82</v>
      </c>
      <c r="C157" s="17"/>
      <c r="F157"/>
      <c r="G157"/>
      <c r="H157"/>
      <c r="I157"/>
      <c r="J157"/>
    </row>
    <row r="158" spans="1:10" x14ac:dyDescent="0.25">
      <c r="A158" s="90">
        <v>35382</v>
      </c>
      <c r="B158" s="17">
        <v>0.79</v>
      </c>
      <c r="C158" s="17"/>
      <c r="F158"/>
      <c r="G158"/>
      <c r="H158"/>
      <c r="I158"/>
      <c r="J158"/>
    </row>
    <row r="159" spans="1:10" x14ac:dyDescent="0.25">
      <c r="A159" s="90">
        <v>35383</v>
      </c>
      <c r="B159" s="17">
        <v>0.76</v>
      </c>
      <c r="C159" s="17"/>
      <c r="F159"/>
      <c r="G159"/>
      <c r="H159"/>
      <c r="I159"/>
      <c r="J159"/>
    </row>
    <row r="160" spans="1:10" x14ac:dyDescent="0.25">
      <c r="A160" s="90">
        <v>35384</v>
      </c>
      <c r="B160" s="17">
        <v>0.77</v>
      </c>
      <c r="C160" s="17"/>
      <c r="F160"/>
      <c r="G160"/>
      <c r="H160"/>
      <c r="I160"/>
      <c r="J160"/>
    </row>
    <row r="161" spans="1:10" x14ac:dyDescent="0.25">
      <c r="A161" s="90">
        <v>35387</v>
      </c>
      <c r="B161" s="17">
        <v>0.76</v>
      </c>
      <c r="C161" s="17"/>
      <c r="F161"/>
      <c r="G161"/>
      <c r="H161"/>
      <c r="I161"/>
      <c r="J161"/>
    </row>
    <row r="162" spans="1:10" x14ac:dyDescent="0.25">
      <c r="A162" s="90">
        <v>35388</v>
      </c>
      <c r="B162" s="17">
        <v>0.74</v>
      </c>
      <c r="C162" s="17"/>
      <c r="F162"/>
      <c r="G162"/>
      <c r="H162"/>
      <c r="I162"/>
      <c r="J162"/>
    </row>
    <row r="163" spans="1:10" x14ac:dyDescent="0.25">
      <c r="A163" s="90">
        <v>35389</v>
      </c>
      <c r="B163" s="17">
        <v>0.74</v>
      </c>
      <c r="C163" s="17"/>
      <c r="F163"/>
      <c r="G163"/>
      <c r="H163"/>
      <c r="I163"/>
      <c r="J163"/>
    </row>
    <row r="164" spans="1:10" x14ac:dyDescent="0.25">
      <c r="A164" s="90">
        <v>35390</v>
      </c>
      <c r="B164" s="17">
        <v>0.72</v>
      </c>
      <c r="C164" s="17"/>
      <c r="F164"/>
      <c r="G164"/>
      <c r="H164"/>
      <c r="I164"/>
      <c r="J164"/>
    </row>
    <row r="165" spans="1:10" x14ac:dyDescent="0.25">
      <c r="A165" s="90">
        <v>35391</v>
      </c>
      <c r="B165" s="17">
        <v>0.73</v>
      </c>
      <c r="C165" s="17"/>
      <c r="F165"/>
      <c r="G165"/>
      <c r="H165"/>
      <c r="I165"/>
      <c r="J165"/>
    </row>
    <row r="166" spans="1:10" x14ac:dyDescent="0.25">
      <c r="A166" s="90">
        <v>35394</v>
      </c>
      <c r="B166" s="17">
        <v>0.8</v>
      </c>
      <c r="C166" s="17"/>
      <c r="F166"/>
      <c r="G166"/>
      <c r="H166"/>
      <c r="I166"/>
      <c r="J166"/>
    </row>
    <row r="167" spans="1:10" x14ac:dyDescent="0.25">
      <c r="A167" s="90">
        <v>35395</v>
      </c>
      <c r="B167" s="17">
        <v>0.79</v>
      </c>
      <c r="C167" s="17"/>
      <c r="F167"/>
      <c r="G167"/>
      <c r="H167"/>
      <c r="I167"/>
      <c r="J167"/>
    </row>
    <row r="168" spans="1:10" x14ac:dyDescent="0.25">
      <c r="A168" s="90">
        <v>35396</v>
      </c>
      <c r="B168" s="17">
        <v>0.77</v>
      </c>
      <c r="C168" s="17"/>
      <c r="F168"/>
      <c r="G168"/>
      <c r="H168"/>
      <c r="I168"/>
      <c r="J168"/>
    </row>
    <row r="169" spans="1:10" x14ac:dyDescent="0.25">
      <c r="A169" s="90">
        <v>35398</v>
      </c>
      <c r="B169" s="17">
        <v>0.8</v>
      </c>
      <c r="C169" s="17"/>
      <c r="F169"/>
      <c r="G169"/>
      <c r="H169"/>
      <c r="I169"/>
      <c r="J169"/>
    </row>
    <row r="170" spans="1:10" x14ac:dyDescent="0.25">
      <c r="A170" s="90">
        <v>35401</v>
      </c>
      <c r="B170" s="17">
        <v>0.79</v>
      </c>
      <c r="C170" s="17"/>
      <c r="F170"/>
      <c r="G170"/>
      <c r="H170"/>
      <c r="I170"/>
      <c r="J170"/>
    </row>
    <row r="171" spans="1:10" x14ac:dyDescent="0.25">
      <c r="A171" s="90">
        <v>35402</v>
      </c>
      <c r="B171" s="17">
        <v>0.83</v>
      </c>
      <c r="C171" s="17"/>
      <c r="F171"/>
      <c r="G171"/>
      <c r="H171"/>
      <c r="I171"/>
      <c r="J171"/>
    </row>
    <row r="172" spans="1:10" x14ac:dyDescent="0.25">
      <c r="A172" s="90">
        <v>35403</v>
      </c>
      <c r="B172" s="17">
        <v>0.82</v>
      </c>
      <c r="C172" s="17"/>
      <c r="F172"/>
      <c r="G172"/>
      <c r="H172"/>
      <c r="I172"/>
      <c r="J172"/>
    </row>
    <row r="173" spans="1:10" x14ac:dyDescent="0.25">
      <c r="A173" s="90">
        <v>35404</v>
      </c>
      <c r="B173" s="17">
        <v>0.89</v>
      </c>
      <c r="C173" s="17"/>
      <c r="F173"/>
      <c r="G173"/>
      <c r="H173"/>
      <c r="I173"/>
      <c r="J173"/>
    </row>
    <row r="174" spans="1:10" x14ac:dyDescent="0.25">
      <c r="A174" s="90">
        <v>35405</v>
      </c>
      <c r="B174" s="17">
        <v>0.85</v>
      </c>
      <c r="C174" s="17"/>
      <c r="F174"/>
      <c r="G174"/>
      <c r="H174"/>
      <c r="I174"/>
      <c r="J174"/>
    </row>
    <row r="175" spans="1:10" x14ac:dyDescent="0.25">
      <c r="A175" s="90">
        <v>35408</v>
      </c>
      <c r="B175" s="17">
        <v>0.89</v>
      </c>
      <c r="C175" s="17"/>
      <c r="F175"/>
      <c r="G175"/>
      <c r="H175"/>
      <c r="I175"/>
      <c r="J175"/>
    </row>
    <row r="176" spans="1:10" x14ac:dyDescent="0.25">
      <c r="A176" s="90">
        <v>35409</v>
      </c>
      <c r="B176" s="17">
        <v>0.84</v>
      </c>
      <c r="C176" s="17"/>
      <c r="F176"/>
      <c r="G176"/>
      <c r="H176"/>
      <c r="I176"/>
      <c r="J176"/>
    </row>
    <row r="177" spans="1:10" x14ac:dyDescent="0.25">
      <c r="A177" s="90">
        <v>35410</v>
      </c>
      <c r="B177" s="17">
        <v>0.81</v>
      </c>
      <c r="C177" s="17"/>
      <c r="F177"/>
      <c r="G177"/>
      <c r="H177"/>
      <c r="I177"/>
      <c r="J177"/>
    </row>
    <row r="178" spans="1:10" x14ac:dyDescent="0.25">
      <c r="A178" s="90">
        <v>35411</v>
      </c>
      <c r="B178" s="17">
        <v>0.83</v>
      </c>
      <c r="C178" s="17"/>
      <c r="F178"/>
      <c r="G178"/>
      <c r="H178"/>
      <c r="I178"/>
      <c r="J178"/>
    </row>
    <row r="179" spans="1:10" x14ac:dyDescent="0.25">
      <c r="A179" s="90">
        <v>35412</v>
      </c>
      <c r="B179" s="17">
        <v>0.83</v>
      </c>
      <c r="C179" s="17"/>
      <c r="F179"/>
      <c r="G179"/>
      <c r="H179"/>
      <c r="I179"/>
      <c r="J179"/>
    </row>
    <row r="180" spans="1:10" x14ac:dyDescent="0.25">
      <c r="A180" s="90">
        <v>35415</v>
      </c>
      <c r="B180" s="17">
        <v>0.78</v>
      </c>
      <c r="C180" s="17"/>
      <c r="F180"/>
      <c r="G180"/>
      <c r="H180"/>
      <c r="I180"/>
      <c r="J180"/>
    </row>
    <row r="181" spans="1:10" x14ac:dyDescent="0.25">
      <c r="A181" s="90">
        <v>35416</v>
      </c>
      <c r="B181" s="17">
        <v>0.76</v>
      </c>
      <c r="C181" s="17"/>
      <c r="F181"/>
      <c r="G181"/>
      <c r="H181"/>
      <c r="I181"/>
      <c r="J181"/>
    </row>
    <row r="182" spans="1:10" x14ac:dyDescent="0.25">
      <c r="A182" s="90">
        <v>35417</v>
      </c>
      <c r="B182" s="17">
        <v>0.77</v>
      </c>
      <c r="C182" s="17"/>
      <c r="F182"/>
      <c r="G182"/>
      <c r="H182"/>
      <c r="I182"/>
      <c r="J182"/>
    </row>
    <row r="183" spans="1:10" x14ac:dyDescent="0.25">
      <c r="A183" s="90">
        <v>35418</v>
      </c>
      <c r="B183" s="17">
        <v>0.75</v>
      </c>
      <c r="C183" s="17"/>
      <c r="F183"/>
      <c r="G183"/>
      <c r="H183"/>
      <c r="I183"/>
      <c r="J183"/>
    </row>
    <row r="184" spans="1:10" x14ac:dyDescent="0.25">
      <c r="A184" s="90">
        <v>35419</v>
      </c>
      <c r="B184" s="17">
        <v>0.71</v>
      </c>
      <c r="C184" s="17"/>
      <c r="F184"/>
      <c r="G184"/>
      <c r="H184"/>
      <c r="I184"/>
      <c r="J184"/>
    </row>
    <row r="185" spans="1:10" x14ac:dyDescent="0.25">
      <c r="A185" s="90">
        <v>35422</v>
      </c>
      <c r="B185" s="17">
        <v>0.75</v>
      </c>
      <c r="C185" s="17"/>
      <c r="F185"/>
      <c r="G185"/>
      <c r="H185"/>
      <c r="I185"/>
      <c r="J185"/>
    </row>
    <row r="186" spans="1:10" x14ac:dyDescent="0.25">
      <c r="A186" s="90">
        <v>35423</v>
      </c>
      <c r="B186" s="17">
        <v>0.76</v>
      </c>
      <c r="C186" s="17"/>
      <c r="F186"/>
      <c r="G186"/>
      <c r="H186"/>
      <c r="I186"/>
      <c r="J186"/>
    </row>
    <row r="187" spans="1:10" x14ac:dyDescent="0.25">
      <c r="A187" s="90">
        <v>35425</v>
      </c>
      <c r="B187" s="17">
        <v>0.74</v>
      </c>
      <c r="C187" s="17"/>
      <c r="F187"/>
      <c r="G187"/>
      <c r="H187"/>
      <c r="I187"/>
      <c r="J187"/>
    </row>
    <row r="188" spans="1:10" x14ac:dyDescent="0.25">
      <c r="A188" s="90">
        <v>35426</v>
      </c>
      <c r="B188" s="17">
        <v>0.76</v>
      </c>
      <c r="C188" s="17"/>
      <c r="F188"/>
      <c r="G188"/>
      <c r="H188"/>
      <c r="I188"/>
      <c r="J188"/>
    </row>
    <row r="189" spans="1:10" x14ac:dyDescent="0.25">
      <c r="A189" s="90">
        <v>35429</v>
      </c>
      <c r="B189" s="17">
        <v>0.75</v>
      </c>
      <c r="C189" s="17"/>
      <c r="F189"/>
      <c r="G189"/>
      <c r="H189"/>
      <c r="I189"/>
      <c r="J189"/>
    </row>
    <row r="190" spans="1:10" x14ac:dyDescent="0.25">
      <c r="A190" s="90">
        <v>35430</v>
      </c>
      <c r="B190" s="17">
        <v>0.71</v>
      </c>
      <c r="C190" s="17"/>
      <c r="F190"/>
      <c r="G190"/>
      <c r="H190"/>
      <c r="I190"/>
      <c r="J190"/>
    </row>
    <row r="191" spans="1:10" x14ac:dyDescent="0.25">
      <c r="A191" s="90">
        <v>35432</v>
      </c>
      <c r="B191" s="17">
        <v>0.73</v>
      </c>
      <c r="C191" s="17"/>
      <c r="F191"/>
      <c r="G191"/>
      <c r="H191"/>
      <c r="I191"/>
      <c r="J191"/>
    </row>
    <row r="192" spans="1:10" x14ac:dyDescent="0.25">
      <c r="A192" s="90">
        <v>35433</v>
      </c>
      <c r="B192" s="17">
        <v>0.77</v>
      </c>
      <c r="C192" s="17"/>
      <c r="F192"/>
      <c r="G192"/>
      <c r="H192"/>
      <c r="I192"/>
      <c r="J192"/>
    </row>
    <row r="193" spans="1:10" x14ac:dyDescent="0.25">
      <c r="A193" s="90">
        <v>35436</v>
      </c>
      <c r="B193" s="17">
        <v>0.83</v>
      </c>
      <c r="C193" s="17"/>
      <c r="F193"/>
      <c r="G193"/>
      <c r="H193"/>
      <c r="I193"/>
      <c r="J193"/>
    </row>
    <row r="194" spans="1:10" x14ac:dyDescent="0.25">
      <c r="A194" s="90">
        <v>35437</v>
      </c>
      <c r="B194" s="17">
        <v>0.84</v>
      </c>
      <c r="C194" s="17"/>
      <c r="F194"/>
      <c r="G194"/>
      <c r="H194"/>
      <c r="I194"/>
      <c r="J194"/>
    </row>
    <row r="195" spans="1:10" x14ac:dyDescent="0.25">
      <c r="A195" s="90">
        <v>35438</v>
      </c>
      <c r="B195" s="17">
        <v>0.79</v>
      </c>
      <c r="C195" s="17"/>
      <c r="F195"/>
      <c r="G195"/>
      <c r="H195"/>
      <c r="I195"/>
      <c r="J195"/>
    </row>
    <row r="196" spans="1:10" x14ac:dyDescent="0.25">
      <c r="A196" s="90">
        <v>35439</v>
      </c>
      <c r="B196" s="17">
        <v>0.81</v>
      </c>
      <c r="C196" s="17"/>
      <c r="F196"/>
      <c r="G196"/>
      <c r="H196"/>
      <c r="I196"/>
      <c r="J196"/>
    </row>
    <row r="197" spans="1:10" x14ac:dyDescent="0.25">
      <c r="A197" s="90">
        <v>35440</v>
      </c>
      <c r="B197" s="17">
        <v>0.8</v>
      </c>
      <c r="C197" s="17"/>
      <c r="F197"/>
      <c r="G197"/>
      <c r="H197"/>
      <c r="I197"/>
      <c r="J197"/>
    </row>
    <row r="198" spans="1:10" x14ac:dyDescent="0.25">
      <c r="A198" s="90">
        <v>35443</v>
      </c>
      <c r="B198" s="17">
        <v>0.91</v>
      </c>
      <c r="C198" s="17"/>
      <c r="F198"/>
      <c r="G198"/>
      <c r="H198"/>
      <c r="I198"/>
      <c r="J198"/>
    </row>
    <row r="199" spans="1:10" x14ac:dyDescent="0.25">
      <c r="A199" s="90">
        <v>35444</v>
      </c>
      <c r="B199" s="17">
        <v>0.87</v>
      </c>
      <c r="C199" s="17"/>
      <c r="F199"/>
      <c r="G199"/>
      <c r="H199"/>
      <c r="I199"/>
      <c r="J199"/>
    </row>
    <row r="200" spans="1:10" x14ac:dyDescent="0.25">
      <c r="A200" s="90">
        <v>35445</v>
      </c>
      <c r="B200" s="17">
        <v>1.06</v>
      </c>
      <c r="C200" s="17"/>
      <c r="F200"/>
      <c r="G200"/>
      <c r="H200"/>
      <c r="I200"/>
      <c r="J200"/>
    </row>
    <row r="201" spans="1:10" x14ac:dyDescent="0.25">
      <c r="A201" s="90">
        <v>35446</v>
      </c>
      <c r="B201" s="17">
        <v>1.0900000000000001</v>
      </c>
      <c r="C201" s="17"/>
      <c r="F201"/>
      <c r="G201"/>
      <c r="H201"/>
      <c r="I201"/>
      <c r="J201"/>
    </row>
    <row r="202" spans="1:10" x14ac:dyDescent="0.25">
      <c r="A202" s="90">
        <v>35447</v>
      </c>
      <c r="B202" s="17">
        <v>1.1100000000000001</v>
      </c>
      <c r="C202" s="17"/>
      <c r="F202"/>
      <c r="G202"/>
      <c r="H202"/>
      <c r="I202"/>
      <c r="J202"/>
    </row>
    <row r="203" spans="1:10" x14ac:dyDescent="0.25">
      <c r="A203" s="90">
        <v>35450</v>
      </c>
      <c r="B203" s="17">
        <v>1.23</v>
      </c>
      <c r="C203" s="17"/>
      <c r="F203"/>
      <c r="G203"/>
      <c r="H203"/>
      <c r="I203"/>
      <c r="J203"/>
    </row>
    <row r="204" spans="1:10" x14ac:dyDescent="0.25">
      <c r="A204" s="90">
        <v>35451</v>
      </c>
      <c r="B204" s="17">
        <v>1.33</v>
      </c>
      <c r="C204" s="17"/>
      <c r="F204"/>
      <c r="G204"/>
      <c r="H204"/>
      <c r="I204"/>
      <c r="J204"/>
    </row>
    <row r="205" spans="1:10" x14ac:dyDescent="0.25">
      <c r="A205" s="90">
        <v>35452</v>
      </c>
      <c r="B205" s="17">
        <v>1.33</v>
      </c>
      <c r="C205" s="17"/>
      <c r="F205"/>
      <c r="G205"/>
      <c r="H205"/>
      <c r="I205"/>
      <c r="J205"/>
    </row>
    <row r="206" spans="1:10" x14ac:dyDescent="0.25">
      <c r="A206" s="90">
        <v>35453</v>
      </c>
      <c r="B206" s="17">
        <v>1.47</v>
      </c>
      <c r="C206" s="17"/>
      <c r="F206"/>
      <c r="G206"/>
      <c r="H206"/>
      <c r="I206"/>
      <c r="J206"/>
    </row>
    <row r="207" spans="1:10" x14ac:dyDescent="0.25">
      <c r="A207" s="90">
        <v>35454</v>
      </c>
      <c r="B207" s="17">
        <v>1.38</v>
      </c>
      <c r="C207" s="17"/>
      <c r="F207"/>
      <c r="G207"/>
      <c r="H207"/>
      <c r="I207"/>
      <c r="J207"/>
    </row>
    <row r="208" spans="1:10" x14ac:dyDescent="0.25">
      <c r="A208" s="90">
        <v>35457</v>
      </c>
      <c r="B208" s="17">
        <v>1.52</v>
      </c>
      <c r="C208" s="17"/>
      <c r="F208"/>
      <c r="G208"/>
      <c r="H208"/>
      <c r="I208"/>
      <c r="J208"/>
    </row>
    <row r="209" spans="1:10" x14ac:dyDescent="0.25">
      <c r="A209" s="90">
        <v>35458</v>
      </c>
      <c r="B209" s="17">
        <v>1.36</v>
      </c>
      <c r="C209" s="17"/>
      <c r="F209"/>
      <c r="G209"/>
      <c r="H209"/>
      <c r="I209"/>
      <c r="J209"/>
    </row>
    <row r="210" spans="1:10" x14ac:dyDescent="0.25">
      <c r="A210" s="90">
        <v>35459</v>
      </c>
      <c r="B210" s="17">
        <v>1.4</v>
      </c>
      <c r="C210" s="17"/>
      <c r="F210"/>
      <c r="G210"/>
      <c r="H210"/>
      <c r="I210"/>
      <c r="J210"/>
    </row>
    <row r="211" spans="1:10" x14ac:dyDescent="0.25">
      <c r="A211" s="90">
        <v>35460</v>
      </c>
      <c r="B211" s="17">
        <v>1.42</v>
      </c>
      <c r="C211" s="17"/>
      <c r="F211"/>
      <c r="G211"/>
      <c r="H211"/>
      <c r="I211"/>
      <c r="J211"/>
    </row>
    <row r="212" spans="1:10" x14ac:dyDescent="0.25">
      <c r="A212" s="90">
        <v>35461</v>
      </c>
      <c r="B212" s="17">
        <v>1.41</v>
      </c>
      <c r="C212" s="17"/>
      <c r="F212"/>
      <c r="G212"/>
      <c r="H212"/>
      <c r="I212"/>
      <c r="J212"/>
    </row>
    <row r="213" spans="1:10" x14ac:dyDescent="0.25">
      <c r="A213" s="90">
        <v>35464</v>
      </c>
      <c r="B213" s="17">
        <v>1.45</v>
      </c>
      <c r="C213" s="17"/>
      <c r="F213"/>
      <c r="G213"/>
      <c r="H213"/>
      <c r="I213"/>
      <c r="J213"/>
    </row>
    <row r="214" spans="1:10" x14ac:dyDescent="0.25">
      <c r="A214" s="90">
        <v>35465</v>
      </c>
      <c r="B214" s="17">
        <v>1.44</v>
      </c>
      <c r="C214" s="17"/>
      <c r="F214"/>
      <c r="G214"/>
      <c r="H214"/>
      <c r="I214"/>
      <c r="J214"/>
    </row>
    <row r="215" spans="1:10" x14ac:dyDescent="0.25">
      <c r="A215" s="90">
        <v>35466</v>
      </c>
      <c r="B215" s="17">
        <v>1.41</v>
      </c>
      <c r="C215" s="17"/>
      <c r="F215"/>
      <c r="G215"/>
      <c r="H215"/>
      <c r="I215"/>
      <c r="J215"/>
    </row>
    <row r="216" spans="1:10" x14ac:dyDescent="0.25">
      <c r="A216" s="90">
        <v>35467</v>
      </c>
      <c r="B216" s="17">
        <v>1.34</v>
      </c>
      <c r="C216" s="17"/>
      <c r="F216"/>
      <c r="G216"/>
      <c r="H216"/>
      <c r="I216"/>
      <c r="J216"/>
    </row>
    <row r="217" spans="1:10" x14ac:dyDescent="0.25">
      <c r="A217" s="90">
        <v>35468</v>
      </c>
      <c r="B217" s="17">
        <v>1.26</v>
      </c>
      <c r="C217" s="17"/>
      <c r="F217"/>
      <c r="G217"/>
      <c r="H217"/>
      <c r="I217"/>
      <c r="J217"/>
    </row>
    <row r="218" spans="1:10" x14ac:dyDescent="0.25">
      <c r="A218" s="90">
        <v>35471</v>
      </c>
      <c r="B218" s="17">
        <v>1.21</v>
      </c>
      <c r="C218" s="17"/>
      <c r="F218"/>
      <c r="G218"/>
      <c r="H218"/>
      <c r="I218"/>
      <c r="J218"/>
    </row>
    <row r="219" spans="1:10" x14ac:dyDescent="0.25">
      <c r="A219" s="90">
        <v>35472</v>
      </c>
      <c r="B219" s="17">
        <v>1.31</v>
      </c>
      <c r="C219" s="17"/>
      <c r="F219"/>
      <c r="G219"/>
      <c r="H219"/>
      <c r="I219"/>
      <c r="J219"/>
    </row>
    <row r="220" spans="1:10" x14ac:dyDescent="0.25">
      <c r="A220" s="90">
        <v>35473</v>
      </c>
      <c r="B220" s="17">
        <v>1.48</v>
      </c>
      <c r="C220" s="17"/>
      <c r="F220"/>
      <c r="G220"/>
      <c r="H220"/>
      <c r="I220"/>
      <c r="J220"/>
    </row>
    <row r="221" spans="1:10" x14ac:dyDescent="0.25">
      <c r="A221" s="90">
        <v>35474</v>
      </c>
      <c r="B221" s="17">
        <v>1.49</v>
      </c>
      <c r="C221" s="17"/>
      <c r="F221"/>
      <c r="G221"/>
      <c r="H221"/>
      <c r="I221"/>
      <c r="J221"/>
    </row>
    <row r="222" spans="1:10" x14ac:dyDescent="0.25">
      <c r="A222" s="90">
        <v>35475</v>
      </c>
      <c r="B222" s="17">
        <v>1.43</v>
      </c>
      <c r="C222" s="17"/>
      <c r="F222"/>
      <c r="G222"/>
      <c r="H222"/>
      <c r="I222"/>
      <c r="J222"/>
    </row>
    <row r="223" spans="1:10" x14ac:dyDescent="0.25">
      <c r="A223" s="90">
        <v>35479</v>
      </c>
      <c r="B223" s="17">
        <v>1.42</v>
      </c>
      <c r="C223" s="17"/>
      <c r="F223"/>
      <c r="G223"/>
      <c r="H223"/>
      <c r="I223"/>
      <c r="J223"/>
    </row>
    <row r="224" spans="1:10" x14ac:dyDescent="0.25">
      <c r="A224" s="90">
        <v>35480</v>
      </c>
      <c r="B224" s="17">
        <v>1.38</v>
      </c>
      <c r="C224" s="17"/>
      <c r="F224"/>
      <c r="G224"/>
      <c r="H224"/>
      <c r="I224"/>
      <c r="J224"/>
    </row>
    <row r="225" spans="1:10" x14ac:dyDescent="0.25">
      <c r="A225" s="90">
        <v>35481</v>
      </c>
      <c r="B225" s="17">
        <v>1.33</v>
      </c>
      <c r="C225" s="17"/>
      <c r="F225"/>
      <c r="G225"/>
      <c r="H225"/>
      <c r="I225"/>
      <c r="J225"/>
    </row>
    <row r="226" spans="1:10" x14ac:dyDescent="0.25">
      <c r="A226" s="90">
        <v>35482</v>
      </c>
      <c r="B226" s="17">
        <v>1.3</v>
      </c>
      <c r="C226" s="17"/>
      <c r="F226"/>
      <c r="G226"/>
      <c r="H226"/>
      <c r="I226"/>
      <c r="J226"/>
    </row>
    <row r="227" spans="1:10" x14ac:dyDescent="0.25">
      <c r="A227" s="90">
        <v>35485</v>
      </c>
      <c r="B227" s="17">
        <v>1.27</v>
      </c>
      <c r="C227" s="17"/>
      <c r="F227"/>
      <c r="G227"/>
      <c r="H227"/>
      <c r="I227"/>
      <c r="J227"/>
    </row>
    <row r="228" spans="1:10" x14ac:dyDescent="0.25">
      <c r="A228" s="90">
        <v>35486</v>
      </c>
      <c r="B228" s="17">
        <v>1.35</v>
      </c>
      <c r="C228" s="17"/>
      <c r="F228"/>
      <c r="G228"/>
      <c r="H228"/>
      <c r="I228"/>
      <c r="J228"/>
    </row>
    <row r="229" spans="1:10" x14ac:dyDescent="0.25">
      <c r="A229" s="90">
        <v>35487</v>
      </c>
      <c r="B229" s="17">
        <v>1.3</v>
      </c>
      <c r="C229" s="17"/>
      <c r="F229"/>
      <c r="G229"/>
      <c r="H229"/>
      <c r="I229"/>
      <c r="J229"/>
    </row>
    <row r="230" spans="1:10" x14ac:dyDescent="0.25">
      <c r="A230" s="90">
        <v>35488</v>
      </c>
      <c r="B230" s="17">
        <v>1.27</v>
      </c>
      <c r="C230" s="17"/>
      <c r="F230"/>
      <c r="G230"/>
      <c r="H230"/>
      <c r="I230"/>
      <c r="J230"/>
    </row>
    <row r="231" spans="1:10" x14ac:dyDescent="0.25">
      <c r="A231" s="90">
        <v>35489</v>
      </c>
      <c r="B231" s="17">
        <v>1.26</v>
      </c>
      <c r="C231" s="17"/>
      <c r="F231"/>
      <c r="G231"/>
      <c r="H231"/>
      <c r="I231"/>
      <c r="J231"/>
    </row>
    <row r="232" spans="1:10" x14ac:dyDescent="0.25">
      <c r="A232" s="90">
        <v>35492</v>
      </c>
      <c r="B232" s="17">
        <v>1.25</v>
      </c>
      <c r="C232" s="17"/>
      <c r="F232"/>
      <c r="G232"/>
      <c r="H232"/>
      <c r="I232"/>
      <c r="J232"/>
    </row>
    <row r="233" spans="1:10" x14ac:dyDescent="0.25">
      <c r="A233" s="90">
        <v>35493</v>
      </c>
      <c r="B233" s="17">
        <v>1.2</v>
      </c>
      <c r="C233" s="17"/>
      <c r="F233"/>
      <c r="G233"/>
      <c r="H233"/>
      <c r="I233"/>
      <c r="J233"/>
    </row>
    <row r="234" spans="1:10" x14ac:dyDescent="0.25">
      <c r="A234" s="90">
        <v>35494</v>
      </c>
      <c r="B234" s="17">
        <v>1.1200000000000001</v>
      </c>
      <c r="C234" s="17"/>
      <c r="F234"/>
      <c r="G234"/>
      <c r="H234"/>
      <c r="I234"/>
      <c r="J234"/>
    </row>
    <row r="235" spans="1:10" x14ac:dyDescent="0.25">
      <c r="A235" s="90">
        <v>35495</v>
      </c>
      <c r="B235" s="17">
        <v>1.0900000000000001</v>
      </c>
      <c r="C235" s="17"/>
      <c r="F235"/>
      <c r="G235"/>
      <c r="H235"/>
      <c r="I235"/>
      <c r="J235"/>
    </row>
    <row r="236" spans="1:10" x14ac:dyDescent="0.25">
      <c r="A236" s="90">
        <v>35496</v>
      </c>
      <c r="B236" s="17">
        <v>1.1399999999999999</v>
      </c>
      <c r="C236" s="17"/>
      <c r="F236"/>
      <c r="G236"/>
      <c r="H236"/>
      <c r="I236"/>
      <c r="J236"/>
    </row>
    <row r="237" spans="1:10" x14ac:dyDescent="0.25">
      <c r="A237" s="90">
        <v>35499</v>
      </c>
      <c r="B237" s="17">
        <v>1.1100000000000001</v>
      </c>
      <c r="C237" s="17"/>
      <c r="F237"/>
      <c r="G237"/>
      <c r="H237"/>
      <c r="I237"/>
      <c r="J237"/>
    </row>
    <row r="238" spans="1:10" x14ac:dyDescent="0.25">
      <c r="A238" s="90">
        <v>35500</v>
      </c>
      <c r="B238" s="17">
        <v>1.08</v>
      </c>
      <c r="C238" s="17"/>
      <c r="F238"/>
      <c r="G238"/>
      <c r="H238"/>
      <c r="I238"/>
      <c r="J238"/>
    </row>
    <row r="239" spans="1:10" x14ac:dyDescent="0.25">
      <c r="A239" s="90">
        <v>35501</v>
      </c>
      <c r="B239" s="17">
        <v>1.07</v>
      </c>
      <c r="C239" s="17"/>
      <c r="F239"/>
      <c r="G239"/>
      <c r="H239"/>
      <c r="I239"/>
      <c r="J239"/>
    </row>
    <row r="240" spans="1:10" x14ac:dyDescent="0.25">
      <c r="A240" s="90">
        <v>35502</v>
      </c>
      <c r="B240" s="17">
        <v>0.95</v>
      </c>
      <c r="C240" s="17"/>
      <c r="F240"/>
      <c r="G240"/>
      <c r="H240"/>
      <c r="I240"/>
      <c r="J240"/>
    </row>
    <row r="241" spans="1:10" x14ac:dyDescent="0.25">
      <c r="A241" s="90">
        <v>35503</v>
      </c>
      <c r="B241" s="17">
        <v>1.05</v>
      </c>
      <c r="C241" s="17"/>
      <c r="F241"/>
      <c r="G241"/>
      <c r="H241"/>
      <c r="I241"/>
      <c r="J241"/>
    </row>
    <row r="242" spans="1:10" x14ac:dyDescent="0.25">
      <c r="A242" s="90">
        <v>35506</v>
      </c>
      <c r="B242" s="17">
        <v>0.96</v>
      </c>
      <c r="C242" s="17"/>
      <c r="F242"/>
      <c r="G242"/>
      <c r="H242"/>
      <c r="I242"/>
      <c r="J242"/>
    </row>
    <row r="243" spans="1:10" x14ac:dyDescent="0.25">
      <c r="A243" s="90">
        <v>35507</v>
      </c>
      <c r="B243" s="17">
        <v>0.94</v>
      </c>
      <c r="C243" s="17"/>
      <c r="F243"/>
      <c r="G243"/>
      <c r="H243"/>
      <c r="I243"/>
      <c r="J243"/>
    </row>
    <row r="244" spans="1:10" x14ac:dyDescent="0.25">
      <c r="A244" s="90">
        <v>35508</v>
      </c>
      <c r="B244" s="17">
        <v>1.03</v>
      </c>
      <c r="C244" s="17"/>
      <c r="F244"/>
      <c r="G244"/>
      <c r="H244"/>
      <c r="I244"/>
      <c r="J244"/>
    </row>
    <row r="245" spans="1:10" x14ac:dyDescent="0.25">
      <c r="A245" s="90">
        <v>35509</v>
      </c>
      <c r="B245" s="17">
        <v>1.21</v>
      </c>
      <c r="C245" s="17"/>
      <c r="F245"/>
      <c r="G245"/>
      <c r="H245"/>
      <c r="I245"/>
      <c r="J245"/>
    </row>
    <row r="246" spans="1:10" x14ac:dyDescent="0.25">
      <c r="A246" s="90">
        <v>35510</v>
      </c>
      <c r="B246" s="17">
        <v>1.2</v>
      </c>
      <c r="C246" s="17"/>
      <c r="F246"/>
      <c r="G246"/>
      <c r="H246"/>
      <c r="I246"/>
      <c r="J246"/>
    </row>
    <row r="247" spans="1:10" x14ac:dyDescent="0.25">
      <c r="A247" s="90">
        <v>35513</v>
      </c>
      <c r="B247" s="17">
        <v>1.2</v>
      </c>
      <c r="C247" s="17"/>
      <c r="F247"/>
      <c r="G247"/>
      <c r="H247"/>
      <c r="I247"/>
      <c r="J247"/>
    </row>
    <row r="248" spans="1:10" x14ac:dyDescent="0.25">
      <c r="A248" s="90">
        <v>35514</v>
      </c>
      <c r="B248" s="17">
        <v>1.17</v>
      </c>
      <c r="C248" s="17"/>
      <c r="F248"/>
      <c r="G248"/>
      <c r="H248"/>
      <c r="I248"/>
      <c r="J248"/>
    </row>
    <row r="249" spans="1:10" x14ac:dyDescent="0.25">
      <c r="A249" s="90">
        <v>35515</v>
      </c>
      <c r="B249" s="17">
        <v>1.23</v>
      </c>
      <c r="C249" s="17"/>
      <c r="F249"/>
      <c r="G249"/>
      <c r="H249"/>
      <c r="I249"/>
      <c r="J249"/>
    </row>
    <row r="250" spans="1:10" x14ac:dyDescent="0.25">
      <c r="A250" s="90">
        <v>35516</v>
      </c>
      <c r="B250" s="17">
        <v>1.19</v>
      </c>
      <c r="C250" s="17"/>
      <c r="F250"/>
      <c r="G250"/>
      <c r="H250"/>
      <c r="I250"/>
      <c r="J250"/>
    </row>
    <row r="251" spans="1:10" x14ac:dyDescent="0.25">
      <c r="A251" s="90">
        <v>35520</v>
      </c>
      <c r="B251" s="17">
        <v>1.17</v>
      </c>
      <c r="C251" s="17"/>
      <c r="F251"/>
      <c r="G251"/>
      <c r="H251"/>
      <c r="I251"/>
      <c r="J251"/>
    </row>
    <row r="252" spans="1:10" x14ac:dyDescent="0.25">
      <c r="A252" s="90">
        <v>35521</v>
      </c>
      <c r="B252" s="17">
        <v>1.23</v>
      </c>
      <c r="C252" s="17"/>
      <c r="F252"/>
      <c r="G252"/>
      <c r="H252"/>
      <c r="I252"/>
      <c r="J252"/>
    </row>
    <row r="253" spans="1:10" x14ac:dyDescent="0.25">
      <c r="A253" s="90">
        <v>35522</v>
      </c>
      <c r="B253" s="17">
        <v>1.25</v>
      </c>
      <c r="C253" s="17"/>
      <c r="F253"/>
      <c r="G253"/>
      <c r="H253"/>
      <c r="I253"/>
      <c r="J253"/>
    </row>
    <row r="254" spans="1:10" x14ac:dyDescent="0.25">
      <c r="A254" s="90">
        <v>35523</v>
      </c>
      <c r="B254" s="17">
        <v>1.22</v>
      </c>
      <c r="C254" s="17"/>
      <c r="F254"/>
      <c r="G254"/>
      <c r="H254"/>
      <c r="I254"/>
      <c r="J254"/>
    </row>
    <row r="255" spans="1:10" x14ac:dyDescent="0.25">
      <c r="A255" s="90">
        <v>35524</v>
      </c>
      <c r="B255" s="17">
        <v>1.32</v>
      </c>
      <c r="C255" s="17"/>
      <c r="F255"/>
      <c r="G255"/>
      <c r="H255"/>
      <c r="I255"/>
      <c r="J255"/>
    </row>
    <row r="256" spans="1:10" x14ac:dyDescent="0.25">
      <c r="A256" s="90">
        <v>35527</v>
      </c>
      <c r="B256" s="17">
        <v>1.4</v>
      </c>
      <c r="C256" s="17"/>
      <c r="F256"/>
      <c r="G256"/>
      <c r="H256"/>
      <c r="I256"/>
      <c r="J256"/>
    </row>
    <row r="257" spans="1:10" x14ac:dyDescent="0.25">
      <c r="A257" s="90">
        <v>35528</v>
      </c>
      <c r="B257" s="17">
        <v>1.39</v>
      </c>
      <c r="C257" s="17"/>
      <c r="F257"/>
      <c r="G257"/>
      <c r="H257"/>
      <c r="I257"/>
      <c r="J257"/>
    </row>
    <row r="258" spans="1:10" x14ac:dyDescent="0.25">
      <c r="A258" s="90">
        <v>35529</v>
      </c>
      <c r="B258" s="17">
        <v>1.43</v>
      </c>
      <c r="C258" s="17"/>
      <c r="F258"/>
      <c r="G258"/>
      <c r="H258"/>
      <c r="I258"/>
      <c r="J258"/>
    </row>
    <row r="259" spans="1:10" x14ac:dyDescent="0.25">
      <c r="A259" s="90">
        <v>35530</v>
      </c>
      <c r="B259" s="17">
        <v>1.36</v>
      </c>
      <c r="C259" s="17"/>
      <c r="F259"/>
      <c r="G259"/>
      <c r="H259"/>
      <c r="I259"/>
      <c r="J259"/>
    </row>
    <row r="260" spans="1:10" x14ac:dyDescent="0.25">
      <c r="A260" s="90">
        <v>35531</v>
      </c>
      <c r="B260" s="17">
        <v>1.43</v>
      </c>
      <c r="C260" s="17"/>
      <c r="F260"/>
      <c r="G260"/>
      <c r="H260"/>
      <c r="I260"/>
      <c r="J260"/>
    </row>
    <row r="261" spans="1:10" x14ac:dyDescent="0.25">
      <c r="A261" s="90">
        <v>35534</v>
      </c>
      <c r="B261" s="17">
        <v>1.37</v>
      </c>
      <c r="C261" s="17"/>
      <c r="F261"/>
      <c r="G261"/>
      <c r="H261"/>
      <c r="I261"/>
      <c r="J261"/>
    </row>
    <row r="262" spans="1:10" x14ac:dyDescent="0.25">
      <c r="A262" s="90">
        <v>35535</v>
      </c>
      <c r="B262" s="17">
        <v>1.3</v>
      </c>
      <c r="C262" s="17"/>
      <c r="F262"/>
      <c r="G262"/>
      <c r="H262"/>
      <c r="I262"/>
      <c r="J262"/>
    </row>
    <row r="263" spans="1:10" x14ac:dyDescent="0.25">
      <c r="A263" s="90">
        <v>35536</v>
      </c>
      <c r="B263" s="17">
        <v>1.3</v>
      </c>
      <c r="C263" s="17"/>
      <c r="F263"/>
      <c r="G263"/>
      <c r="H263"/>
      <c r="I263"/>
      <c r="J263"/>
    </row>
    <row r="264" spans="1:10" x14ac:dyDescent="0.25">
      <c r="A264" s="90">
        <v>35537</v>
      </c>
      <c r="B264" s="17">
        <v>1.35</v>
      </c>
      <c r="C264" s="17"/>
      <c r="F264"/>
      <c r="G264"/>
      <c r="H264"/>
      <c r="I264"/>
      <c r="J264"/>
    </row>
    <row r="265" spans="1:10" x14ac:dyDescent="0.25">
      <c r="A265" s="90">
        <v>35538</v>
      </c>
      <c r="B265" s="17">
        <v>1.29</v>
      </c>
      <c r="C265" s="17"/>
      <c r="F265"/>
      <c r="G265"/>
      <c r="H265"/>
      <c r="I265"/>
      <c r="J265"/>
    </row>
    <row r="266" spans="1:10" x14ac:dyDescent="0.25">
      <c r="A266" s="90">
        <v>35541</v>
      </c>
      <c r="B266" s="17">
        <v>1.18</v>
      </c>
      <c r="C266" s="17"/>
      <c r="F266"/>
      <c r="G266"/>
      <c r="H266"/>
      <c r="I266"/>
      <c r="J266"/>
    </row>
    <row r="267" spans="1:10" x14ac:dyDescent="0.25">
      <c r="A267" s="90">
        <v>35542</v>
      </c>
      <c r="B267" s="17">
        <v>1.1399999999999999</v>
      </c>
      <c r="C267" s="17"/>
      <c r="F267"/>
      <c r="G267"/>
      <c r="H267"/>
      <c r="I267"/>
      <c r="J267"/>
    </row>
    <row r="268" spans="1:10" x14ac:dyDescent="0.25">
      <c r="A268" s="90">
        <v>35543</v>
      </c>
      <c r="B268" s="17">
        <v>1.3</v>
      </c>
      <c r="C268" s="17"/>
      <c r="F268"/>
      <c r="G268"/>
      <c r="H268"/>
      <c r="I268"/>
      <c r="J268"/>
    </row>
    <row r="269" spans="1:10" x14ac:dyDescent="0.25">
      <c r="A269" s="90">
        <v>35544</v>
      </c>
      <c r="B269" s="17">
        <v>1.27</v>
      </c>
      <c r="C269" s="17"/>
      <c r="F269"/>
      <c r="G269"/>
      <c r="H269"/>
      <c r="I269"/>
      <c r="J269"/>
    </row>
    <row r="270" spans="1:10" x14ac:dyDescent="0.25">
      <c r="A270" s="90">
        <v>35545</v>
      </c>
      <c r="B270" s="17">
        <v>1.26</v>
      </c>
      <c r="C270" s="17"/>
      <c r="F270"/>
      <c r="G270"/>
      <c r="H270"/>
      <c r="I270"/>
      <c r="J270"/>
    </row>
    <row r="271" spans="1:10" x14ac:dyDescent="0.25">
      <c r="A271" s="90">
        <v>35548</v>
      </c>
      <c r="B271" s="17">
        <v>1.31</v>
      </c>
      <c r="C271" s="17"/>
      <c r="F271"/>
      <c r="G271"/>
      <c r="H271"/>
      <c r="I271"/>
      <c r="J271"/>
    </row>
    <row r="272" spans="1:10" x14ac:dyDescent="0.25">
      <c r="A272" s="90">
        <v>35549</v>
      </c>
      <c r="B272" s="17">
        <v>1.32</v>
      </c>
      <c r="C272" s="17"/>
      <c r="F272"/>
      <c r="G272"/>
      <c r="H272"/>
      <c r="I272"/>
      <c r="J272"/>
    </row>
    <row r="273" spans="1:10" x14ac:dyDescent="0.25">
      <c r="A273" s="90">
        <v>35550</v>
      </c>
      <c r="B273" s="17">
        <v>1.42</v>
      </c>
      <c r="C273" s="17"/>
      <c r="F273"/>
      <c r="G273"/>
      <c r="H273"/>
      <c r="I273"/>
      <c r="J273"/>
    </row>
    <row r="274" spans="1:10" x14ac:dyDescent="0.25">
      <c r="A274" s="90">
        <v>35551</v>
      </c>
      <c r="B274" s="17">
        <v>1.42</v>
      </c>
      <c r="C274" s="17"/>
      <c r="F274"/>
      <c r="G274"/>
      <c r="H274"/>
      <c r="I274"/>
      <c r="J274"/>
    </row>
    <row r="275" spans="1:10" x14ac:dyDescent="0.25">
      <c r="A275" s="90">
        <v>35552</v>
      </c>
      <c r="B275" s="17">
        <v>1.46</v>
      </c>
      <c r="C275" s="17"/>
      <c r="F275"/>
      <c r="G275"/>
      <c r="H275"/>
      <c r="I275"/>
      <c r="J275"/>
    </row>
    <row r="276" spans="1:10" x14ac:dyDescent="0.25">
      <c r="A276" s="90">
        <v>35555</v>
      </c>
      <c r="B276" s="17">
        <v>1.5</v>
      </c>
      <c r="C276" s="17"/>
      <c r="F276"/>
      <c r="G276"/>
      <c r="H276"/>
      <c r="I276"/>
      <c r="J276"/>
    </row>
    <row r="277" spans="1:10" x14ac:dyDescent="0.25">
      <c r="A277" s="90">
        <v>35556</v>
      </c>
      <c r="B277" s="17">
        <v>1.37</v>
      </c>
      <c r="C277" s="17"/>
      <c r="F277"/>
      <c r="G277"/>
      <c r="H277"/>
      <c r="I277"/>
      <c r="J277"/>
    </row>
    <row r="278" spans="1:10" x14ac:dyDescent="0.25">
      <c r="A278" s="90">
        <v>35557</v>
      </c>
      <c r="B278" s="17">
        <v>1.4</v>
      </c>
      <c r="C278" s="17"/>
      <c r="F278"/>
      <c r="G278"/>
      <c r="H278"/>
      <c r="I278"/>
      <c r="J278"/>
    </row>
    <row r="279" spans="1:10" x14ac:dyDescent="0.25">
      <c r="A279" s="90">
        <v>35558</v>
      </c>
      <c r="B279" s="17">
        <v>1.42</v>
      </c>
      <c r="C279" s="17"/>
      <c r="F279"/>
      <c r="G279"/>
      <c r="H279"/>
      <c r="I279"/>
      <c r="J279"/>
    </row>
    <row r="280" spans="1:10" x14ac:dyDescent="0.25">
      <c r="A280" s="90">
        <v>35559</v>
      </c>
      <c r="B280" s="17">
        <v>1.41</v>
      </c>
      <c r="C280" s="17"/>
      <c r="F280"/>
      <c r="G280"/>
      <c r="H280"/>
      <c r="I280"/>
      <c r="J280"/>
    </row>
    <row r="281" spans="1:10" x14ac:dyDescent="0.25">
      <c r="A281" s="90">
        <v>35562</v>
      </c>
      <c r="B281" s="17">
        <v>1.36</v>
      </c>
      <c r="C281" s="17"/>
      <c r="F281"/>
      <c r="G281"/>
      <c r="H281"/>
      <c r="I281"/>
      <c r="J281"/>
    </row>
    <row r="282" spans="1:10" x14ac:dyDescent="0.25">
      <c r="A282" s="90">
        <v>35563</v>
      </c>
      <c r="B282" s="17">
        <v>1.27</v>
      </c>
      <c r="C282" s="17"/>
      <c r="F282"/>
      <c r="G282"/>
      <c r="H282"/>
      <c r="I282"/>
      <c r="J282"/>
    </row>
    <row r="283" spans="1:10" x14ac:dyDescent="0.25">
      <c r="A283" s="90">
        <v>35564</v>
      </c>
      <c r="B283" s="17">
        <v>1.26</v>
      </c>
      <c r="C283" s="17"/>
      <c r="F283"/>
      <c r="G283"/>
      <c r="H283"/>
      <c r="I283"/>
      <c r="J283"/>
    </row>
    <row r="284" spans="1:10" x14ac:dyDescent="0.25">
      <c r="A284" s="90">
        <v>35565</v>
      </c>
      <c r="B284" s="17">
        <v>1.3</v>
      </c>
      <c r="C284" s="17"/>
      <c r="F284"/>
      <c r="G284"/>
      <c r="H284"/>
      <c r="I284"/>
      <c r="J284"/>
    </row>
    <row r="285" spans="1:10" x14ac:dyDescent="0.25">
      <c r="A285" s="90">
        <v>35566</v>
      </c>
      <c r="B285" s="17">
        <v>1.33</v>
      </c>
      <c r="C285" s="17"/>
      <c r="F285"/>
      <c r="G285"/>
      <c r="H285"/>
      <c r="I285"/>
      <c r="J285"/>
    </row>
    <row r="286" spans="1:10" x14ac:dyDescent="0.25">
      <c r="A286" s="90">
        <v>35569</v>
      </c>
      <c r="B286" s="17">
        <v>1.34</v>
      </c>
      <c r="C286" s="17"/>
      <c r="F286"/>
      <c r="G286"/>
      <c r="H286"/>
      <c r="I286"/>
      <c r="J286"/>
    </row>
    <row r="287" spans="1:10" x14ac:dyDescent="0.25">
      <c r="A287" s="90">
        <v>35570</v>
      </c>
      <c r="B287" s="17">
        <v>1.35</v>
      </c>
      <c r="C287" s="17"/>
      <c r="F287"/>
      <c r="G287"/>
      <c r="H287"/>
      <c r="I287"/>
      <c r="J287"/>
    </row>
    <row r="288" spans="1:10" x14ac:dyDescent="0.25">
      <c r="A288" s="90">
        <v>35571</v>
      </c>
      <c r="B288" s="17">
        <v>1.38</v>
      </c>
      <c r="C288" s="17"/>
      <c r="F288"/>
      <c r="G288"/>
      <c r="H288"/>
      <c r="I288"/>
      <c r="J288"/>
    </row>
    <row r="289" spans="1:10" x14ac:dyDescent="0.25">
      <c r="A289" s="90">
        <v>35572</v>
      </c>
      <c r="B289" s="17">
        <v>1.3</v>
      </c>
      <c r="C289" s="17"/>
      <c r="F289"/>
      <c r="G289"/>
      <c r="H289"/>
      <c r="I289"/>
      <c r="J289"/>
    </row>
    <row r="290" spans="1:10" x14ac:dyDescent="0.25">
      <c r="A290" s="90">
        <v>35573</v>
      </c>
      <c r="B290" s="17">
        <v>1.31</v>
      </c>
      <c r="C290" s="17"/>
      <c r="F290"/>
      <c r="G290"/>
      <c r="H290"/>
      <c r="I290"/>
      <c r="J290"/>
    </row>
    <row r="291" spans="1:10" x14ac:dyDescent="0.25">
      <c r="A291" s="90">
        <v>35577</v>
      </c>
      <c r="B291" s="17">
        <v>1.32</v>
      </c>
      <c r="C291" s="17"/>
      <c r="F291"/>
      <c r="G291"/>
      <c r="H291"/>
      <c r="I291"/>
      <c r="J291"/>
    </row>
    <row r="292" spans="1:10" x14ac:dyDescent="0.25">
      <c r="A292" s="90">
        <v>35578</v>
      </c>
      <c r="B292" s="17">
        <v>1.33</v>
      </c>
      <c r="C292" s="17"/>
      <c r="F292"/>
      <c r="G292"/>
      <c r="H292"/>
      <c r="I292"/>
      <c r="J292"/>
    </row>
    <row r="293" spans="1:10" x14ac:dyDescent="0.25">
      <c r="A293" s="90">
        <v>35579</v>
      </c>
      <c r="B293" s="17">
        <v>1.33</v>
      </c>
      <c r="C293" s="17"/>
      <c r="F293"/>
      <c r="G293"/>
      <c r="H293"/>
      <c r="I293"/>
      <c r="J293"/>
    </row>
    <row r="294" spans="1:10" x14ac:dyDescent="0.25">
      <c r="A294" s="90">
        <v>35580</v>
      </c>
      <c r="B294" s="17">
        <v>1.34</v>
      </c>
      <c r="C294" s="17"/>
      <c r="F294"/>
      <c r="G294"/>
      <c r="H294"/>
      <c r="I294"/>
      <c r="J294"/>
    </row>
    <row r="295" spans="1:10" x14ac:dyDescent="0.25">
      <c r="A295" s="90">
        <v>35583</v>
      </c>
      <c r="B295" s="17">
        <v>1.38</v>
      </c>
      <c r="C295" s="17"/>
      <c r="F295"/>
      <c r="G295"/>
      <c r="H295"/>
      <c r="I295"/>
      <c r="J295"/>
    </row>
    <row r="296" spans="1:10" x14ac:dyDescent="0.25">
      <c r="A296" s="90">
        <v>35584</v>
      </c>
      <c r="B296" s="17">
        <v>1.35</v>
      </c>
      <c r="C296" s="17"/>
      <c r="F296"/>
      <c r="G296"/>
      <c r="H296"/>
      <c r="I296"/>
      <c r="J296"/>
    </row>
    <row r="297" spans="1:10" x14ac:dyDescent="0.25">
      <c r="A297" s="90">
        <v>35585</v>
      </c>
      <c r="B297" s="17">
        <v>1.31</v>
      </c>
      <c r="C297" s="17"/>
      <c r="F297"/>
      <c r="G297"/>
      <c r="H297"/>
      <c r="I297"/>
      <c r="J297"/>
    </row>
    <row r="298" spans="1:10" x14ac:dyDescent="0.25">
      <c r="A298" s="90">
        <v>35586</v>
      </c>
      <c r="B298" s="17">
        <v>1.35</v>
      </c>
      <c r="C298" s="17"/>
      <c r="F298"/>
      <c r="G298"/>
      <c r="H298"/>
      <c r="I298"/>
      <c r="J298"/>
    </row>
    <row r="299" spans="1:10" x14ac:dyDescent="0.25">
      <c r="A299" s="90">
        <v>35587</v>
      </c>
      <c r="B299" s="17">
        <v>1.33</v>
      </c>
      <c r="C299" s="17"/>
      <c r="F299"/>
      <c r="G299"/>
      <c r="H299"/>
      <c r="I299"/>
      <c r="J299"/>
    </row>
    <row r="300" spans="1:10" x14ac:dyDescent="0.25">
      <c r="A300" s="90">
        <v>35590</v>
      </c>
      <c r="B300" s="17">
        <v>1.36</v>
      </c>
      <c r="C300" s="17"/>
      <c r="F300"/>
      <c r="G300"/>
      <c r="H300"/>
      <c r="I300"/>
      <c r="J300"/>
    </row>
    <row r="301" spans="1:10" x14ac:dyDescent="0.25">
      <c r="A301" s="90">
        <v>35591</v>
      </c>
      <c r="B301" s="17">
        <v>1.35</v>
      </c>
      <c r="C301" s="17"/>
      <c r="F301"/>
      <c r="G301"/>
      <c r="H301"/>
      <c r="I301"/>
      <c r="J301"/>
    </row>
    <row r="302" spans="1:10" x14ac:dyDescent="0.25">
      <c r="A302" s="90">
        <v>35592</v>
      </c>
      <c r="B302" s="17">
        <v>1.29</v>
      </c>
      <c r="C302" s="17"/>
      <c r="F302"/>
      <c r="G302"/>
      <c r="H302"/>
      <c r="I302"/>
      <c r="J302"/>
    </row>
    <row r="303" spans="1:10" x14ac:dyDescent="0.25">
      <c r="A303" s="90">
        <v>35593</v>
      </c>
      <c r="B303" s="17">
        <v>1.33</v>
      </c>
      <c r="C303" s="17"/>
      <c r="F303"/>
      <c r="G303"/>
      <c r="H303"/>
      <c r="I303"/>
      <c r="J303"/>
    </row>
    <row r="304" spans="1:10" x14ac:dyDescent="0.25">
      <c r="A304" s="90">
        <v>35594</v>
      </c>
      <c r="B304" s="17">
        <v>1.34</v>
      </c>
      <c r="C304" s="17"/>
      <c r="F304"/>
      <c r="G304"/>
      <c r="H304"/>
      <c r="I304"/>
      <c r="J304"/>
    </row>
    <row r="305" spans="1:10" x14ac:dyDescent="0.25">
      <c r="A305" s="90">
        <v>35597</v>
      </c>
      <c r="B305" s="17">
        <v>1.45</v>
      </c>
      <c r="C305" s="17"/>
      <c r="F305"/>
      <c r="G305"/>
      <c r="H305"/>
      <c r="I305"/>
      <c r="J305"/>
    </row>
    <row r="306" spans="1:10" x14ac:dyDescent="0.25">
      <c r="A306" s="90">
        <v>35598</v>
      </c>
      <c r="B306" s="17">
        <v>1.46</v>
      </c>
      <c r="C306" s="17"/>
      <c r="F306"/>
      <c r="G306"/>
      <c r="H306"/>
      <c r="I306"/>
      <c r="J306"/>
    </row>
    <row r="307" spans="1:10" x14ac:dyDescent="0.25">
      <c r="A307" s="90">
        <v>35599</v>
      </c>
      <c r="B307" s="17">
        <v>1.42</v>
      </c>
      <c r="C307" s="17"/>
      <c r="F307"/>
      <c r="G307"/>
      <c r="H307"/>
      <c r="I307"/>
      <c r="J307"/>
    </row>
    <row r="308" spans="1:10" x14ac:dyDescent="0.25">
      <c r="A308" s="90">
        <v>35600</v>
      </c>
      <c r="B308" s="17">
        <v>1.45</v>
      </c>
      <c r="C308" s="17"/>
      <c r="F308"/>
      <c r="G308"/>
      <c r="H308"/>
      <c r="I308"/>
      <c r="J308"/>
    </row>
    <row r="309" spans="1:10" x14ac:dyDescent="0.25">
      <c r="A309" s="90">
        <v>35601</v>
      </c>
      <c r="B309" s="17">
        <v>1.64</v>
      </c>
      <c r="C309" s="17"/>
      <c r="F309"/>
      <c r="G309"/>
      <c r="H309"/>
      <c r="I309"/>
      <c r="J309"/>
    </row>
    <row r="310" spans="1:10" x14ac:dyDescent="0.25">
      <c r="A310" s="90">
        <v>35604</v>
      </c>
      <c r="B310" s="17">
        <v>1.54</v>
      </c>
      <c r="C310" s="17"/>
      <c r="F310"/>
      <c r="G310"/>
      <c r="H310"/>
      <c r="I310"/>
      <c r="J310"/>
    </row>
    <row r="311" spans="1:10" x14ac:dyDescent="0.25">
      <c r="A311" s="90">
        <v>35605</v>
      </c>
      <c r="B311" s="17">
        <v>1.55</v>
      </c>
      <c r="C311" s="17"/>
      <c r="F311"/>
      <c r="G311"/>
      <c r="H311"/>
      <c r="I311"/>
      <c r="J311"/>
    </row>
    <row r="312" spans="1:10" x14ac:dyDescent="0.25">
      <c r="A312" s="90">
        <v>35606</v>
      </c>
      <c r="B312" s="17">
        <v>1.55</v>
      </c>
      <c r="C312" s="17"/>
      <c r="F312"/>
      <c r="G312"/>
      <c r="H312"/>
      <c r="I312"/>
      <c r="J312"/>
    </row>
    <row r="313" spans="1:10" x14ac:dyDescent="0.25">
      <c r="A313" s="90">
        <v>35607</v>
      </c>
      <c r="B313" s="17">
        <v>1.51</v>
      </c>
      <c r="C313" s="17"/>
      <c r="F313"/>
      <c r="G313"/>
      <c r="H313"/>
      <c r="I313"/>
      <c r="J313"/>
    </row>
    <row r="314" spans="1:10" x14ac:dyDescent="0.25">
      <c r="A314" s="90">
        <v>35608</v>
      </c>
      <c r="B314" s="17">
        <v>1.44</v>
      </c>
      <c r="C314" s="17"/>
      <c r="F314"/>
      <c r="G314"/>
      <c r="H314"/>
      <c r="I314"/>
      <c r="J314"/>
    </row>
    <row r="315" spans="1:10" x14ac:dyDescent="0.25">
      <c r="A315" s="90">
        <v>35611</v>
      </c>
      <c r="B315" s="17">
        <v>1.47</v>
      </c>
      <c r="C315" s="17"/>
      <c r="F315"/>
      <c r="G315"/>
      <c r="H315"/>
      <c r="I315"/>
      <c r="J315"/>
    </row>
    <row r="316" spans="1:10" x14ac:dyDescent="0.25">
      <c r="A316" s="90">
        <v>35612</v>
      </c>
      <c r="B316" s="17">
        <v>1.42</v>
      </c>
      <c r="C316" s="17"/>
      <c r="F316"/>
      <c r="G316"/>
      <c r="H316"/>
      <c r="I316"/>
      <c r="J316"/>
    </row>
    <row r="317" spans="1:10" x14ac:dyDescent="0.25">
      <c r="A317" s="90">
        <v>35613</v>
      </c>
      <c r="B317" s="17">
        <v>1.41</v>
      </c>
      <c r="C317" s="17"/>
      <c r="F317"/>
      <c r="G317"/>
      <c r="H317"/>
      <c r="I317"/>
      <c r="J317"/>
    </row>
    <row r="318" spans="1:10" x14ac:dyDescent="0.25">
      <c r="A318" s="90">
        <v>35614</v>
      </c>
      <c r="B318" s="17">
        <v>1.4</v>
      </c>
      <c r="C318" s="17"/>
      <c r="F318"/>
      <c r="G318"/>
      <c r="H318"/>
      <c r="I318"/>
      <c r="J318"/>
    </row>
    <row r="319" spans="1:10" x14ac:dyDescent="0.25">
      <c r="A319" s="90">
        <v>35618</v>
      </c>
      <c r="B319" s="17">
        <v>1.57</v>
      </c>
      <c r="C319" s="17"/>
      <c r="F319"/>
      <c r="G319"/>
      <c r="H319"/>
      <c r="I319"/>
      <c r="J319"/>
    </row>
    <row r="320" spans="1:10" x14ac:dyDescent="0.25">
      <c r="A320" s="90">
        <v>35619</v>
      </c>
      <c r="B320" s="17">
        <v>1.66</v>
      </c>
      <c r="C320" s="17"/>
      <c r="F320"/>
      <c r="G320"/>
      <c r="H320"/>
      <c r="I320"/>
      <c r="J320"/>
    </row>
    <row r="321" spans="1:10" x14ac:dyDescent="0.25">
      <c r="A321" s="90">
        <v>35620</v>
      </c>
      <c r="B321" s="17">
        <v>1.83</v>
      </c>
      <c r="C321" s="17"/>
      <c r="F321"/>
      <c r="G321"/>
      <c r="H321"/>
      <c r="I321"/>
      <c r="J321"/>
    </row>
    <row r="322" spans="1:10" x14ac:dyDescent="0.25">
      <c r="A322" s="90">
        <v>35621</v>
      </c>
      <c r="B322" s="17">
        <v>1.79</v>
      </c>
      <c r="C322" s="17"/>
      <c r="F322"/>
      <c r="G322"/>
      <c r="H322"/>
      <c r="I322"/>
      <c r="J322"/>
    </row>
    <row r="323" spans="1:10" x14ac:dyDescent="0.25">
      <c r="A323" s="90">
        <v>35622</v>
      </c>
      <c r="B323" s="17">
        <v>1.83</v>
      </c>
      <c r="C323" s="17"/>
      <c r="F323"/>
      <c r="G323"/>
      <c r="H323"/>
      <c r="I323"/>
      <c r="J323"/>
    </row>
    <row r="324" spans="1:10" x14ac:dyDescent="0.25">
      <c r="A324" s="90">
        <v>35625</v>
      </c>
      <c r="B324" s="17">
        <v>2.02</v>
      </c>
      <c r="C324" s="17"/>
      <c r="F324"/>
      <c r="G324"/>
      <c r="H324"/>
      <c r="I324"/>
      <c r="J324"/>
    </row>
    <row r="325" spans="1:10" x14ac:dyDescent="0.25">
      <c r="A325" s="90">
        <v>35626</v>
      </c>
      <c r="B325" s="17">
        <v>2.1</v>
      </c>
      <c r="C325" s="17"/>
      <c r="F325"/>
      <c r="G325"/>
      <c r="H325"/>
      <c r="I325"/>
      <c r="J325"/>
    </row>
    <row r="326" spans="1:10" x14ac:dyDescent="0.25">
      <c r="A326" s="90">
        <v>35627</v>
      </c>
      <c r="B326" s="17">
        <v>2.0499999999999998</v>
      </c>
      <c r="C326" s="17"/>
      <c r="F326"/>
      <c r="G326"/>
      <c r="H326"/>
      <c r="I326"/>
      <c r="J326"/>
    </row>
    <row r="327" spans="1:10" x14ac:dyDescent="0.25">
      <c r="A327" s="90">
        <v>35628</v>
      </c>
      <c r="B327" s="17">
        <v>1.95</v>
      </c>
      <c r="C327" s="17"/>
      <c r="F327"/>
      <c r="G327"/>
      <c r="H327"/>
      <c r="I327"/>
      <c r="J327"/>
    </row>
    <row r="328" spans="1:10" x14ac:dyDescent="0.25">
      <c r="A328" s="90">
        <v>35629</v>
      </c>
      <c r="B328" s="17">
        <v>1.95</v>
      </c>
      <c r="C328" s="17"/>
      <c r="F328"/>
      <c r="G328"/>
      <c r="H328"/>
      <c r="I328"/>
      <c r="J328"/>
    </row>
    <row r="329" spans="1:10" x14ac:dyDescent="0.25">
      <c r="A329" s="90">
        <v>35632</v>
      </c>
      <c r="B329" s="17">
        <v>2.0699999999999998</v>
      </c>
      <c r="C329" s="17"/>
      <c r="F329"/>
      <c r="G329"/>
      <c r="H329"/>
      <c r="I329"/>
      <c r="J329"/>
    </row>
    <row r="330" spans="1:10" x14ac:dyDescent="0.25">
      <c r="A330" s="90">
        <v>35633</v>
      </c>
      <c r="B330" s="17">
        <v>2.1</v>
      </c>
      <c r="C330" s="17"/>
      <c r="F330"/>
      <c r="G330"/>
      <c r="H330"/>
      <c r="I330"/>
      <c r="J330"/>
    </row>
    <row r="331" spans="1:10" x14ac:dyDescent="0.25">
      <c r="A331" s="90">
        <v>35634</v>
      </c>
      <c r="B331" s="17">
        <v>2.0499999999999998</v>
      </c>
      <c r="C331" s="17"/>
      <c r="F331"/>
      <c r="G331"/>
      <c r="H331"/>
      <c r="I331"/>
      <c r="J331"/>
    </row>
    <row r="332" spans="1:10" x14ac:dyDescent="0.25">
      <c r="A332" s="90">
        <v>35635</v>
      </c>
      <c r="B332" s="17">
        <v>1.98</v>
      </c>
      <c r="C332" s="17"/>
      <c r="F332"/>
      <c r="G332"/>
      <c r="H332"/>
      <c r="I332"/>
      <c r="J332"/>
    </row>
    <row r="333" spans="1:10" x14ac:dyDescent="0.25">
      <c r="A333" s="90">
        <v>35636</v>
      </c>
      <c r="B333" s="17">
        <v>1.99</v>
      </c>
      <c r="C333" s="17"/>
      <c r="F333"/>
      <c r="G333"/>
      <c r="H333"/>
      <c r="I333"/>
      <c r="J333"/>
    </row>
    <row r="334" spans="1:10" x14ac:dyDescent="0.25">
      <c r="A334" s="90">
        <v>35639</v>
      </c>
      <c r="B334" s="17">
        <v>1.98</v>
      </c>
      <c r="C334" s="17"/>
      <c r="F334"/>
      <c r="G334"/>
      <c r="H334"/>
      <c r="I334"/>
      <c r="J334"/>
    </row>
    <row r="335" spans="1:10" x14ac:dyDescent="0.25">
      <c r="A335" s="90">
        <v>35640</v>
      </c>
      <c r="B335" s="17">
        <v>2.0099999999999998</v>
      </c>
      <c r="C335" s="17"/>
      <c r="F335"/>
      <c r="G335"/>
      <c r="H335"/>
      <c r="I335"/>
      <c r="J335"/>
    </row>
    <row r="336" spans="1:10" x14ac:dyDescent="0.25">
      <c r="A336" s="90">
        <v>35641</v>
      </c>
      <c r="B336" s="17">
        <v>2.2799999999999998</v>
      </c>
      <c r="C336" s="17"/>
      <c r="F336"/>
      <c r="G336"/>
      <c r="H336"/>
      <c r="I336"/>
      <c r="J336"/>
    </row>
    <row r="337" spans="1:10" x14ac:dyDescent="0.25">
      <c r="A337" s="90">
        <v>35642</v>
      </c>
      <c r="B337" s="17">
        <v>2.35</v>
      </c>
      <c r="C337" s="17"/>
      <c r="F337"/>
      <c r="G337"/>
      <c r="H337"/>
      <c r="I337"/>
      <c r="J337"/>
    </row>
    <row r="338" spans="1:10" x14ac:dyDescent="0.25">
      <c r="A338" s="90">
        <v>35643</v>
      </c>
      <c r="B338" s="17">
        <v>2.2999999999999998</v>
      </c>
      <c r="C338" s="17"/>
      <c r="F338"/>
      <c r="G338"/>
      <c r="H338"/>
      <c r="I338"/>
      <c r="J338"/>
    </row>
    <row r="339" spans="1:10" x14ac:dyDescent="0.25">
      <c r="A339" s="90">
        <v>35646</v>
      </c>
      <c r="B339" s="17">
        <v>2.2200000000000002</v>
      </c>
      <c r="C339" s="17"/>
      <c r="F339"/>
      <c r="G339"/>
      <c r="H339"/>
      <c r="I339"/>
      <c r="J339"/>
    </row>
    <row r="340" spans="1:10" x14ac:dyDescent="0.25">
      <c r="A340" s="90">
        <v>35647</v>
      </c>
      <c r="B340" s="17">
        <v>2.27</v>
      </c>
      <c r="C340" s="17"/>
      <c r="F340"/>
      <c r="G340"/>
      <c r="H340"/>
      <c r="I340"/>
      <c r="J340"/>
    </row>
    <row r="341" spans="1:10" x14ac:dyDescent="0.25">
      <c r="A341" s="90">
        <v>35648</v>
      </c>
      <c r="B341" s="17">
        <v>2.29</v>
      </c>
      <c r="C341" s="17"/>
      <c r="F341"/>
      <c r="G341"/>
      <c r="H341"/>
      <c r="I341"/>
      <c r="J341"/>
    </row>
    <row r="342" spans="1:10" x14ac:dyDescent="0.25">
      <c r="A342" s="90">
        <v>35649</v>
      </c>
      <c r="B342" s="17">
        <v>2.2400000000000002</v>
      </c>
      <c r="C342" s="17"/>
      <c r="F342"/>
      <c r="G342"/>
      <c r="H342"/>
      <c r="I342"/>
      <c r="J342"/>
    </row>
    <row r="343" spans="1:10" x14ac:dyDescent="0.25">
      <c r="A343" s="90">
        <v>35650</v>
      </c>
      <c r="B343" s="17">
        <v>2.25</v>
      </c>
      <c r="C343" s="17"/>
      <c r="F343"/>
      <c r="G343"/>
      <c r="H343"/>
      <c r="I343"/>
      <c r="J343"/>
    </row>
    <row r="344" spans="1:10" x14ac:dyDescent="0.25">
      <c r="A344" s="90">
        <v>35653</v>
      </c>
      <c r="B344" s="17">
        <v>2.2200000000000002</v>
      </c>
      <c r="C344" s="17"/>
      <c r="F344"/>
      <c r="G344"/>
      <c r="H344"/>
      <c r="I344"/>
      <c r="J344"/>
    </row>
    <row r="345" spans="1:10" x14ac:dyDescent="0.25">
      <c r="A345" s="90">
        <v>35654</v>
      </c>
      <c r="B345" s="17">
        <v>2.12</v>
      </c>
      <c r="C345" s="17"/>
      <c r="F345"/>
      <c r="G345"/>
      <c r="H345"/>
      <c r="I345"/>
      <c r="J345"/>
    </row>
    <row r="346" spans="1:10" x14ac:dyDescent="0.25">
      <c r="A346" s="90">
        <v>35655</v>
      </c>
      <c r="B346" s="17">
        <v>2.1</v>
      </c>
      <c r="C346" s="17"/>
      <c r="F346"/>
      <c r="G346"/>
      <c r="H346"/>
      <c r="I346"/>
      <c r="J346"/>
    </row>
    <row r="347" spans="1:10" x14ac:dyDescent="0.25">
      <c r="A347" s="90">
        <v>35656</v>
      </c>
      <c r="B347" s="17">
        <v>2.0699999999999998</v>
      </c>
      <c r="C347" s="17"/>
      <c r="F347"/>
      <c r="G347"/>
      <c r="H347"/>
      <c r="I347"/>
      <c r="J347"/>
    </row>
    <row r="348" spans="1:10" x14ac:dyDescent="0.25">
      <c r="A348" s="90">
        <v>35657</v>
      </c>
      <c r="B348" s="17">
        <v>2.02</v>
      </c>
      <c r="C348" s="17"/>
      <c r="F348"/>
      <c r="G348"/>
      <c r="H348"/>
      <c r="I348"/>
      <c r="J348"/>
    </row>
    <row r="349" spans="1:10" x14ac:dyDescent="0.25">
      <c r="A349" s="90">
        <v>35660</v>
      </c>
      <c r="B349" s="17">
        <v>2.1800000000000002</v>
      </c>
      <c r="C349" s="17"/>
      <c r="F349"/>
      <c r="G349"/>
      <c r="H349"/>
      <c r="I349"/>
      <c r="J349"/>
    </row>
    <row r="350" spans="1:10" x14ac:dyDescent="0.25">
      <c r="A350" s="90">
        <v>35661</v>
      </c>
      <c r="B350" s="17">
        <v>2.2999999999999998</v>
      </c>
      <c r="C350" s="17"/>
      <c r="F350"/>
      <c r="G350"/>
      <c r="H350"/>
      <c r="I350"/>
      <c r="J350"/>
    </row>
    <row r="351" spans="1:10" x14ac:dyDescent="0.25">
      <c r="A351" s="90">
        <v>35662</v>
      </c>
      <c r="B351" s="17">
        <v>2.39</v>
      </c>
      <c r="C351" s="17"/>
      <c r="F351"/>
      <c r="G351"/>
      <c r="H351"/>
      <c r="I351"/>
      <c r="J351"/>
    </row>
    <row r="352" spans="1:10" x14ac:dyDescent="0.25">
      <c r="A352" s="90">
        <v>35663</v>
      </c>
      <c r="B352" s="17">
        <v>2.3199999999999998</v>
      </c>
      <c r="C352" s="17"/>
      <c r="F352"/>
      <c r="G352"/>
      <c r="H352"/>
      <c r="I352"/>
      <c r="J352"/>
    </row>
    <row r="353" spans="1:10" x14ac:dyDescent="0.25">
      <c r="A353" s="90">
        <v>35664</v>
      </c>
      <c r="B353" s="17">
        <v>2.3199999999999998</v>
      </c>
      <c r="C353" s="17"/>
      <c r="F353"/>
      <c r="G353"/>
      <c r="H353"/>
      <c r="I353"/>
      <c r="J353"/>
    </row>
    <row r="354" spans="1:10" x14ac:dyDescent="0.25">
      <c r="A354" s="90">
        <v>35667</v>
      </c>
      <c r="B354" s="17">
        <v>2.36</v>
      </c>
      <c r="C354" s="17"/>
      <c r="F354"/>
      <c r="G354"/>
      <c r="H354"/>
      <c r="I354"/>
      <c r="J354"/>
    </row>
    <row r="355" spans="1:10" x14ac:dyDescent="0.25">
      <c r="A355" s="90">
        <v>35668</v>
      </c>
      <c r="B355" s="17">
        <v>2.33</v>
      </c>
      <c r="C355" s="17"/>
      <c r="F355"/>
      <c r="G355"/>
      <c r="H355"/>
      <c r="I355"/>
      <c r="J355"/>
    </row>
    <row r="356" spans="1:10" x14ac:dyDescent="0.25">
      <c r="A356" s="90">
        <v>35669</v>
      </c>
      <c r="B356" s="17">
        <v>2.33</v>
      </c>
      <c r="C356" s="17"/>
      <c r="F356"/>
      <c r="G356"/>
      <c r="H356"/>
      <c r="I356"/>
      <c r="J356"/>
    </row>
    <row r="357" spans="1:10" x14ac:dyDescent="0.25">
      <c r="A357" s="90">
        <v>35670</v>
      </c>
      <c r="B357" s="17">
        <v>2.34</v>
      </c>
      <c r="C357" s="17"/>
      <c r="F357"/>
      <c r="G357"/>
      <c r="H357"/>
      <c r="I357"/>
      <c r="J357"/>
    </row>
    <row r="358" spans="1:10" x14ac:dyDescent="0.25">
      <c r="A358" s="90">
        <v>35671</v>
      </c>
      <c r="B358" s="17">
        <v>2.48</v>
      </c>
      <c r="C358" s="17"/>
      <c r="F358"/>
      <c r="G358"/>
      <c r="H358"/>
      <c r="I358"/>
      <c r="J358"/>
    </row>
    <row r="359" spans="1:10" x14ac:dyDescent="0.25">
      <c r="A359" s="90">
        <v>35675</v>
      </c>
      <c r="B359" s="17">
        <v>2.4900000000000002</v>
      </c>
      <c r="C359" s="17"/>
      <c r="F359"/>
      <c r="G359"/>
      <c r="H359"/>
      <c r="I359"/>
      <c r="J359"/>
    </row>
    <row r="360" spans="1:10" x14ac:dyDescent="0.25">
      <c r="A360" s="90">
        <v>35676</v>
      </c>
      <c r="B360" s="17">
        <v>2.54</v>
      </c>
      <c r="C360" s="17"/>
      <c r="F360"/>
      <c r="G360"/>
      <c r="H360"/>
      <c r="I360"/>
      <c r="J360"/>
    </row>
    <row r="361" spans="1:10" x14ac:dyDescent="0.25">
      <c r="A361" s="90">
        <v>35677</v>
      </c>
      <c r="B361" s="17">
        <v>2.61</v>
      </c>
      <c r="C361" s="17"/>
      <c r="F361"/>
      <c r="G361"/>
      <c r="H361"/>
      <c r="I361"/>
      <c r="J361"/>
    </row>
    <row r="362" spans="1:10" x14ac:dyDescent="0.25">
      <c r="A362" s="90">
        <v>35678</v>
      </c>
      <c r="B362" s="17">
        <v>2.84</v>
      </c>
      <c r="C362" s="17"/>
      <c r="F362"/>
      <c r="G362"/>
      <c r="H362"/>
      <c r="I362"/>
      <c r="J362"/>
    </row>
    <row r="363" spans="1:10" x14ac:dyDescent="0.25">
      <c r="A363" s="90">
        <v>35681</v>
      </c>
      <c r="B363" s="17">
        <v>2.95</v>
      </c>
      <c r="C363" s="17"/>
      <c r="F363"/>
      <c r="G363"/>
      <c r="H363"/>
      <c r="I363"/>
      <c r="J363"/>
    </row>
    <row r="364" spans="1:10" x14ac:dyDescent="0.25">
      <c r="A364" s="90">
        <v>35682</v>
      </c>
      <c r="B364" s="17">
        <v>3.15</v>
      </c>
      <c r="C364" s="17"/>
      <c r="F364"/>
      <c r="G364"/>
      <c r="H364"/>
      <c r="I364"/>
      <c r="J364"/>
    </row>
    <row r="365" spans="1:10" x14ac:dyDescent="0.25">
      <c r="A365" s="90">
        <v>35683</v>
      </c>
      <c r="B365" s="17">
        <v>3.33</v>
      </c>
      <c r="C365" s="17"/>
      <c r="F365"/>
      <c r="G365"/>
      <c r="H365"/>
      <c r="I365"/>
      <c r="J365"/>
    </row>
    <row r="366" spans="1:10" x14ac:dyDescent="0.25">
      <c r="A366" s="90">
        <v>35684</v>
      </c>
      <c r="B366" s="17">
        <v>3.46</v>
      </c>
      <c r="C366" s="17"/>
      <c r="F366"/>
      <c r="G366"/>
      <c r="H366"/>
      <c r="I366"/>
      <c r="J366"/>
    </row>
    <row r="367" spans="1:10" x14ac:dyDescent="0.25">
      <c r="A367" s="90">
        <v>35685</v>
      </c>
      <c r="B367" s="17">
        <v>3.37</v>
      </c>
      <c r="C367" s="17"/>
      <c r="F367"/>
      <c r="G367"/>
      <c r="H367"/>
      <c r="I367"/>
      <c r="J367"/>
    </row>
    <row r="368" spans="1:10" x14ac:dyDescent="0.25">
      <c r="A368" s="90">
        <v>35688</v>
      </c>
      <c r="B368" s="17">
        <v>3.01</v>
      </c>
      <c r="C368" s="17"/>
      <c r="F368"/>
      <c r="G368"/>
      <c r="H368"/>
      <c r="I368"/>
      <c r="J368"/>
    </row>
    <row r="369" spans="1:10" x14ac:dyDescent="0.25">
      <c r="A369" s="90">
        <v>35689</v>
      </c>
      <c r="B369" s="17">
        <v>3.2</v>
      </c>
      <c r="C369" s="17"/>
      <c r="F369"/>
      <c r="G369"/>
      <c r="H369"/>
      <c r="I369"/>
      <c r="J369"/>
    </row>
    <row r="370" spans="1:10" x14ac:dyDescent="0.25">
      <c r="A370" s="90">
        <v>35690</v>
      </c>
      <c r="B370" s="17">
        <v>3.05</v>
      </c>
      <c r="C370" s="17"/>
      <c r="F370"/>
      <c r="G370"/>
      <c r="H370"/>
      <c r="I370"/>
      <c r="J370"/>
    </row>
    <row r="371" spans="1:10" x14ac:dyDescent="0.25">
      <c r="A371" s="90">
        <v>35691</v>
      </c>
      <c r="B371" s="17">
        <v>3.11</v>
      </c>
      <c r="C371" s="17"/>
      <c r="F371"/>
      <c r="G371"/>
      <c r="H371"/>
      <c r="I371"/>
      <c r="J371"/>
    </row>
    <row r="372" spans="1:10" x14ac:dyDescent="0.25">
      <c r="A372" s="90">
        <v>35692</v>
      </c>
      <c r="B372" s="17">
        <v>3.21</v>
      </c>
      <c r="C372" s="17"/>
      <c r="F372"/>
      <c r="G372"/>
      <c r="H372"/>
      <c r="I372"/>
      <c r="J372"/>
    </row>
    <row r="373" spans="1:10" x14ac:dyDescent="0.25">
      <c r="A373" s="90">
        <v>35695</v>
      </c>
      <c r="B373" s="17">
        <v>3.35</v>
      </c>
      <c r="C373" s="17"/>
      <c r="F373"/>
      <c r="G373"/>
      <c r="H373"/>
      <c r="I373"/>
      <c r="J373"/>
    </row>
    <row r="374" spans="1:10" x14ac:dyDescent="0.25">
      <c r="A374" s="90">
        <v>35696</v>
      </c>
      <c r="B374" s="17">
        <v>3.17</v>
      </c>
      <c r="C374" s="17"/>
      <c r="F374"/>
      <c r="G374"/>
      <c r="H374"/>
      <c r="I374"/>
      <c r="J374"/>
    </row>
    <row r="375" spans="1:10" x14ac:dyDescent="0.25">
      <c r="A375" s="90">
        <v>35697</v>
      </c>
      <c r="B375" s="17">
        <v>3.22</v>
      </c>
      <c r="C375" s="17"/>
      <c r="F375"/>
      <c r="G375"/>
      <c r="H375"/>
      <c r="I375"/>
      <c r="J375"/>
    </row>
    <row r="376" spans="1:10" x14ac:dyDescent="0.25">
      <c r="A376" s="90">
        <v>35698</v>
      </c>
      <c r="B376" s="17">
        <v>3.13</v>
      </c>
      <c r="C376" s="17"/>
      <c r="F376"/>
      <c r="G376"/>
      <c r="H376"/>
      <c r="I376"/>
      <c r="J376"/>
    </row>
    <row r="377" spans="1:10" x14ac:dyDescent="0.25">
      <c r="A377" s="90">
        <v>35699</v>
      </c>
      <c r="B377" s="17">
        <v>3.14</v>
      </c>
      <c r="C377" s="17"/>
      <c r="F377"/>
      <c r="G377"/>
      <c r="H377"/>
      <c r="I377"/>
      <c r="J377"/>
    </row>
    <row r="378" spans="1:10" x14ac:dyDescent="0.25">
      <c r="A378" s="90">
        <v>35702</v>
      </c>
      <c r="B378" s="17">
        <v>3.17</v>
      </c>
      <c r="C378" s="17"/>
      <c r="F378"/>
      <c r="G378"/>
      <c r="H378"/>
      <c r="I378"/>
      <c r="J378"/>
    </row>
    <row r="379" spans="1:10" x14ac:dyDescent="0.25">
      <c r="A379" s="90">
        <v>35703</v>
      </c>
      <c r="B379" s="17">
        <v>3.13</v>
      </c>
      <c r="C379" s="17"/>
      <c r="F379"/>
      <c r="G379"/>
      <c r="H379"/>
      <c r="I379"/>
      <c r="J379"/>
    </row>
    <row r="380" spans="1:10" x14ac:dyDescent="0.25">
      <c r="A380" s="90">
        <v>35704</v>
      </c>
      <c r="B380" s="17">
        <v>3.2</v>
      </c>
      <c r="C380" s="17"/>
      <c r="F380"/>
      <c r="G380"/>
      <c r="H380"/>
      <c r="I380"/>
      <c r="J380"/>
    </row>
    <row r="381" spans="1:10" x14ac:dyDescent="0.25">
      <c r="A381" s="90">
        <v>35705</v>
      </c>
      <c r="B381" s="17">
        <v>3.44</v>
      </c>
      <c r="C381" s="17"/>
      <c r="F381"/>
      <c r="G381"/>
      <c r="H381"/>
      <c r="I381"/>
      <c r="J381"/>
    </row>
    <row r="382" spans="1:10" x14ac:dyDescent="0.25">
      <c r="A382" s="90">
        <v>35706</v>
      </c>
      <c r="B382" s="17">
        <v>3.45</v>
      </c>
      <c r="C382" s="17"/>
      <c r="F382"/>
      <c r="G382"/>
      <c r="H382"/>
      <c r="I382"/>
      <c r="J382"/>
    </row>
    <row r="383" spans="1:10" x14ac:dyDescent="0.25">
      <c r="A383" s="90">
        <v>35709</v>
      </c>
      <c r="B383" s="17">
        <v>3.64</v>
      </c>
      <c r="C383" s="17"/>
      <c r="F383"/>
      <c r="G383"/>
      <c r="H383"/>
      <c r="I383"/>
      <c r="J383"/>
    </row>
    <row r="384" spans="1:10" x14ac:dyDescent="0.25">
      <c r="A384" s="90">
        <v>35710</v>
      </c>
      <c r="B384" s="17">
        <v>3.48</v>
      </c>
      <c r="C384" s="17"/>
      <c r="F384"/>
      <c r="G384"/>
      <c r="H384"/>
      <c r="I384"/>
      <c r="J384"/>
    </row>
    <row r="385" spans="1:10" x14ac:dyDescent="0.25">
      <c r="A385" s="90">
        <v>35711</v>
      </c>
      <c r="B385" s="17">
        <v>3.55</v>
      </c>
      <c r="C385" s="17"/>
      <c r="F385"/>
      <c r="G385"/>
      <c r="H385"/>
      <c r="I385"/>
      <c r="J385"/>
    </row>
    <row r="386" spans="1:10" x14ac:dyDescent="0.25">
      <c r="A386" s="90">
        <v>35712</v>
      </c>
      <c r="B386" s="17">
        <v>3.47</v>
      </c>
      <c r="C386" s="17"/>
      <c r="F386"/>
      <c r="G386"/>
      <c r="H386"/>
      <c r="I386"/>
      <c r="J386"/>
    </row>
    <row r="387" spans="1:10" x14ac:dyDescent="0.25">
      <c r="A387" s="90">
        <v>35713</v>
      </c>
      <c r="B387" s="17">
        <v>3.3</v>
      </c>
      <c r="C387" s="17"/>
      <c r="F387"/>
      <c r="G387"/>
      <c r="H387"/>
      <c r="I387"/>
      <c r="J387"/>
    </row>
    <row r="388" spans="1:10" x14ac:dyDescent="0.25">
      <c r="A388" s="90">
        <v>35716</v>
      </c>
      <c r="B388" s="17">
        <v>3.2</v>
      </c>
      <c r="C388" s="17"/>
      <c r="F388"/>
      <c r="G388"/>
      <c r="H388"/>
      <c r="I388"/>
      <c r="J388"/>
    </row>
    <row r="389" spans="1:10" x14ac:dyDescent="0.25">
      <c r="A389" s="90">
        <v>35717</v>
      </c>
      <c r="B389" s="17">
        <v>3.19</v>
      </c>
      <c r="C389" s="17"/>
      <c r="F389"/>
      <c r="G389"/>
      <c r="H389"/>
      <c r="I389"/>
      <c r="J389"/>
    </row>
    <row r="390" spans="1:10" x14ac:dyDescent="0.25">
      <c r="A390" s="90">
        <v>35718</v>
      </c>
      <c r="B390" s="17">
        <v>3.22</v>
      </c>
      <c r="C390" s="17"/>
      <c r="F390"/>
      <c r="G390"/>
      <c r="H390"/>
      <c r="I390"/>
      <c r="J390"/>
    </row>
    <row r="391" spans="1:10" x14ac:dyDescent="0.25">
      <c r="A391" s="90">
        <v>35719</v>
      </c>
      <c r="B391" s="17">
        <v>3.04</v>
      </c>
      <c r="C391" s="17"/>
      <c r="F391"/>
      <c r="G391"/>
      <c r="H391"/>
      <c r="I391"/>
      <c r="J391"/>
    </row>
    <row r="392" spans="1:10" x14ac:dyDescent="0.25">
      <c r="A392" s="90">
        <v>35720</v>
      </c>
      <c r="B392" s="17">
        <v>3.03</v>
      </c>
      <c r="C392" s="17"/>
      <c r="F392"/>
      <c r="G392"/>
      <c r="H392"/>
      <c r="I392"/>
      <c r="J392"/>
    </row>
    <row r="393" spans="1:10" x14ac:dyDescent="0.25">
      <c r="A393" s="90">
        <v>35723</v>
      </c>
      <c r="B393" s="17">
        <v>3.05</v>
      </c>
      <c r="C393" s="17"/>
      <c r="F393"/>
      <c r="G393"/>
      <c r="H393"/>
      <c r="I393"/>
      <c r="J393"/>
    </row>
    <row r="394" spans="1:10" x14ac:dyDescent="0.25">
      <c r="A394" s="90">
        <v>35724</v>
      </c>
      <c r="B394" s="17">
        <v>3.2</v>
      </c>
      <c r="C394" s="17"/>
      <c r="F394"/>
      <c r="G394"/>
      <c r="H394"/>
      <c r="I394"/>
      <c r="J394"/>
    </row>
    <row r="395" spans="1:10" x14ac:dyDescent="0.25">
      <c r="A395" s="90">
        <v>35725</v>
      </c>
      <c r="B395" s="17">
        <v>3.31</v>
      </c>
      <c r="C395" s="17"/>
      <c r="F395"/>
      <c r="G395"/>
      <c r="H395"/>
      <c r="I395"/>
      <c r="J395"/>
    </row>
    <row r="396" spans="1:10" x14ac:dyDescent="0.25">
      <c r="A396" s="90">
        <v>35726</v>
      </c>
      <c r="B396" s="17">
        <v>3.16</v>
      </c>
      <c r="C396" s="17"/>
      <c r="F396"/>
      <c r="G396"/>
      <c r="H396"/>
      <c r="I396"/>
      <c r="J396"/>
    </row>
    <row r="397" spans="1:10" x14ac:dyDescent="0.25">
      <c r="A397" s="90">
        <v>35727</v>
      </c>
      <c r="B397" s="17">
        <v>2.97</v>
      </c>
      <c r="C397" s="17"/>
      <c r="F397"/>
      <c r="G397"/>
      <c r="H397"/>
      <c r="I397"/>
      <c r="J397"/>
    </row>
    <row r="398" spans="1:10" x14ac:dyDescent="0.25">
      <c r="A398" s="90">
        <v>35730</v>
      </c>
      <c r="B398" s="17">
        <v>2.38</v>
      </c>
      <c r="C398" s="17"/>
      <c r="F398"/>
      <c r="G398"/>
      <c r="H398"/>
      <c r="I398"/>
      <c r="J398"/>
    </row>
    <row r="399" spans="1:10" x14ac:dyDescent="0.25">
      <c r="A399" s="90">
        <v>35731</v>
      </c>
      <c r="B399" s="17">
        <v>2.7</v>
      </c>
      <c r="C399" s="17"/>
      <c r="F399"/>
      <c r="G399"/>
      <c r="H399"/>
      <c r="I399"/>
      <c r="J399"/>
    </row>
    <row r="400" spans="1:10" x14ac:dyDescent="0.25">
      <c r="A400" s="90">
        <v>35732</v>
      </c>
      <c r="B400" s="17">
        <v>2.58</v>
      </c>
      <c r="C400" s="17"/>
      <c r="F400"/>
      <c r="G400"/>
      <c r="H400"/>
      <c r="I400"/>
      <c r="J400"/>
    </row>
    <row r="401" spans="1:10" x14ac:dyDescent="0.25">
      <c r="A401" s="90">
        <v>35733</v>
      </c>
      <c r="B401" s="17">
        <v>2.61</v>
      </c>
      <c r="C401" s="17"/>
      <c r="F401"/>
      <c r="G401"/>
      <c r="H401"/>
      <c r="I401"/>
      <c r="J401"/>
    </row>
    <row r="402" spans="1:10" x14ac:dyDescent="0.25">
      <c r="A402" s="90">
        <v>35734</v>
      </c>
      <c r="B402" s="17">
        <v>2.74</v>
      </c>
      <c r="C402" s="17"/>
      <c r="F402"/>
      <c r="G402"/>
      <c r="H402"/>
      <c r="I402"/>
      <c r="J402"/>
    </row>
    <row r="403" spans="1:10" x14ac:dyDescent="0.25">
      <c r="A403" s="90">
        <v>35737</v>
      </c>
      <c r="B403" s="17">
        <v>2.88</v>
      </c>
      <c r="C403" s="17"/>
      <c r="F403"/>
      <c r="G403"/>
      <c r="H403"/>
      <c r="I403"/>
      <c r="J403"/>
    </row>
    <row r="404" spans="1:10" x14ac:dyDescent="0.25">
      <c r="A404" s="90">
        <v>35738</v>
      </c>
      <c r="B404" s="17">
        <v>3.19</v>
      </c>
      <c r="C404" s="17"/>
      <c r="F404"/>
      <c r="G404"/>
      <c r="H404"/>
      <c r="I404"/>
      <c r="J404"/>
    </row>
    <row r="405" spans="1:10" x14ac:dyDescent="0.25">
      <c r="A405" s="90">
        <v>35739</v>
      </c>
      <c r="B405" s="17">
        <v>3.35</v>
      </c>
      <c r="C405" s="17"/>
      <c r="F405"/>
      <c r="G405"/>
      <c r="H405"/>
      <c r="I405"/>
      <c r="J405"/>
    </row>
    <row r="406" spans="1:10" x14ac:dyDescent="0.25">
      <c r="A406" s="90">
        <v>35740</v>
      </c>
      <c r="B406" s="17">
        <v>3.3</v>
      </c>
      <c r="C406" s="17"/>
      <c r="F406"/>
      <c r="G406"/>
      <c r="H406"/>
      <c r="I406"/>
      <c r="J406"/>
    </row>
    <row r="407" spans="1:10" x14ac:dyDescent="0.25">
      <c r="A407" s="90">
        <v>35741</v>
      </c>
      <c r="B407" s="17">
        <v>3.09</v>
      </c>
      <c r="C407" s="17"/>
      <c r="F407"/>
      <c r="G407"/>
      <c r="H407"/>
      <c r="I407"/>
      <c r="J407"/>
    </row>
    <row r="408" spans="1:10" x14ac:dyDescent="0.25">
      <c r="A408" s="90">
        <v>35744</v>
      </c>
      <c r="B408" s="17">
        <v>3.04</v>
      </c>
      <c r="C408" s="17"/>
      <c r="F408"/>
      <c r="G408"/>
      <c r="H408"/>
      <c r="I408"/>
      <c r="J408"/>
    </row>
    <row r="409" spans="1:10" x14ac:dyDescent="0.25">
      <c r="A409" s="90">
        <v>35745</v>
      </c>
      <c r="B409" s="17">
        <v>2.88</v>
      </c>
      <c r="C409" s="17"/>
      <c r="F409"/>
      <c r="G409"/>
      <c r="H409"/>
      <c r="I409"/>
      <c r="J409"/>
    </row>
    <row r="410" spans="1:10" x14ac:dyDescent="0.25">
      <c r="A410" s="90">
        <v>35746</v>
      </c>
      <c r="B410" s="17">
        <v>2.72</v>
      </c>
      <c r="C410" s="17"/>
      <c r="F410"/>
      <c r="G410"/>
      <c r="H410"/>
      <c r="I410"/>
      <c r="J410"/>
    </row>
    <row r="411" spans="1:10" x14ac:dyDescent="0.25">
      <c r="A411" s="90">
        <v>35747</v>
      </c>
      <c r="B411" s="17">
        <v>2.86</v>
      </c>
      <c r="C411" s="17"/>
      <c r="F411"/>
      <c r="G411"/>
      <c r="H411"/>
      <c r="I411"/>
      <c r="J411"/>
    </row>
    <row r="412" spans="1:10" x14ac:dyDescent="0.25">
      <c r="A412" s="90">
        <v>35748</v>
      </c>
      <c r="B412" s="17">
        <v>2.99</v>
      </c>
      <c r="C412" s="17"/>
      <c r="F412"/>
      <c r="G412"/>
      <c r="H412"/>
      <c r="I412"/>
      <c r="J412"/>
    </row>
    <row r="413" spans="1:10" x14ac:dyDescent="0.25">
      <c r="A413" s="90">
        <v>35751</v>
      </c>
      <c r="B413" s="17">
        <v>3.25</v>
      </c>
      <c r="C413" s="17"/>
      <c r="F413"/>
      <c r="G413"/>
      <c r="H413"/>
      <c r="I413"/>
      <c r="J413"/>
    </row>
    <row r="414" spans="1:10" x14ac:dyDescent="0.25">
      <c r="A414" s="90">
        <v>35752</v>
      </c>
      <c r="B414" s="17">
        <v>3.23</v>
      </c>
      <c r="C414" s="17"/>
      <c r="F414"/>
      <c r="G414"/>
      <c r="H414"/>
      <c r="I414"/>
      <c r="J414"/>
    </row>
    <row r="415" spans="1:10" x14ac:dyDescent="0.25">
      <c r="A415" s="90">
        <v>35753</v>
      </c>
      <c r="B415" s="17">
        <v>3.16</v>
      </c>
      <c r="C415" s="17"/>
      <c r="F415"/>
      <c r="G415"/>
      <c r="H415"/>
      <c r="I415"/>
      <c r="J415"/>
    </row>
    <row r="416" spans="1:10" x14ac:dyDescent="0.25">
      <c r="A416" s="90">
        <v>35754</v>
      </c>
      <c r="B416" s="17">
        <v>3.35</v>
      </c>
      <c r="C416" s="17"/>
      <c r="F416"/>
      <c r="G416"/>
      <c r="H416"/>
      <c r="I416"/>
      <c r="J416"/>
    </row>
    <row r="417" spans="1:10" x14ac:dyDescent="0.25">
      <c r="A417" s="90">
        <v>35755</v>
      </c>
      <c r="B417" s="17">
        <v>3.3</v>
      </c>
      <c r="C417" s="17"/>
      <c r="F417"/>
      <c r="G417"/>
      <c r="H417"/>
      <c r="I417"/>
      <c r="J417"/>
    </row>
    <row r="418" spans="1:10" x14ac:dyDescent="0.25">
      <c r="A418" s="90">
        <v>35758</v>
      </c>
      <c r="B418" s="17">
        <v>3.03</v>
      </c>
      <c r="C418" s="17"/>
      <c r="F418"/>
      <c r="G418"/>
      <c r="H418"/>
      <c r="I418"/>
      <c r="J418"/>
    </row>
    <row r="419" spans="1:10" x14ac:dyDescent="0.25">
      <c r="A419" s="90">
        <v>35759</v>
      </c>
      <c r="B419" s="17">
        <v>3.18</v>
      </c>
      <c r="C419" s="17"/>
      <c r="F419"/>
      <c r="G419"/>
      <c r="H419"/>
      <c r="I419"/>
      <c r="J419"/>
    </row>
    <row r="420" spans="1:10" x14ac:dyDescent="0.25">
      <c r="A420" s="90">
        <v>35760</v>
      </c>
      <c r="B420" s="17">
        <v>3.18</v>
      </c>
      <c r="C420" s="17"/>
      <c r="F420"/>
      <c r="G420"/>
      <c r="H420"/>
      <c r="I420"/>
      <c r="J420"/>
    </row>
    <row r="421" spans="1:10" x14ac:dyDescent="0.25">
      <c r="A421" s="90">
        <v>35762</v>
      </c>
      <c r="B421" s="17">
        <v>3.2</v>
      </c>
      <c r="C421" s="17"/>
      <c r="F421"/>
      <c r="G421"/>
      <c r="H421"/>
      <c r="I421"/>
      <c r="J421"/>
    </row>
    <row r="422" spans="1:10" x14ac:dyDescent="0.25">
      <c r="A422" s="90">
        <v>35765</v>
      </c>
      <c r="B422" s="17">
        <v>3.38</v>
      </c>
      <c r="C422" s="17"/>
      <c r="F422"/>
      <c r="G422"/>
      <c r="H422"/>
      <c r="I422"/>
      <c r="J422"/>
    </row>
    <row r="423" spans="1:10" x14ac:dyDescent="0.25">
      <c r="A423" s="90">
        <v>35766</v>
      </c>
      <c r="B423" s="17">
        <v>3.31</v>
      </c>
      <c r="C423" s="17"/>
      <c r="F423"/>
      <c r="G423"/>
      <c r="H423"/>
      <c r="I423"/>
      <c r="J423"/>
    </row>
    <row r="424" spans="1:10" x14ac:dyDescent="0.25">
      <c r="A424" s="90">
        <v>35767</v>
      </c>
      <c r="B424" s="17">
        <v>3.37</v>
      </c>
      <c r="C424" s="17"/>
      <c r="F424"/>
      <c r="G424"/>
      <c r="H424"/>
      <c r="I424"/>
      <c r="J424"/>
    </row>
    <row r="425" spans="1:10" x14ac:dyDescent="0.25">
      <c r="A425" s="90">
        <v>35768</v>
      </c>
      <c r="B425" s="17">
        <v>3.36</v>
      </c>
      <c r="C425" s="17"/>
      <c r="F425"/>
      <c r="G425"/>
      <c r="H425"/>
      <c r="I425"/>
      <c r="J425"/>
    </row>
    <row r="426" spans="1:10" x14ac:dyDescent="0.25">
      <c r="A426" s="90">
        <v>35769</v>
      </c>
      <c r="B426" s="17">
        <v>3.52</v>
      </c>
      <c r="C426" s="17"/>
      <c r="F426"/>
      <c r="G426"/>
      <c r="H426"/>
      <c r="I426"/>
      <c r="J426"/>
    </row>
    <row r="427" spans="1:10" x14ac:dyDescent="0.25">
      <c r="A427" s="90">
        <v>35772</v>
      </c>
      <c r="B427" s="17">
        <v>3.73</v>
      </c>
      <c r="C427" s="17"/>
      <c r="F427"/>
      <c r="G427"/>
      <c r="H427"/>
      <c r="I427"/>
      <c r="J427"/>
    </row>
    <row r="428" spans="1:10" x14ac:dyDescent="0.25">
      <c r="A428" s="90">
        <v>35773</v>
      </c>
      <c r="B428" s="17">
        <v>3.71</v>
      </c>
      <c r="C428" s="17"/>
      <c r="F428"/>
      <c r="G428"/>
      <c r="H428"/>
      <c r="I428"/>
      <c r="J428"/>
    </row>
    <row r="429" spans="1:10" x14ac:dyDescent="0.25">
      <c r="A429" s="90">
        <v>35774</v>
      </c>
      <c r="B429" s="17">
        <v>3.68</v>
      </c>
      <c r="C429" s="17"/>
      <c r="F429"/>
      <c r="G429"/>
      <c r="H429"/>
      <c r="I429"/>
      <c r="J429"/>
    </row>
    <row r="430" spans="1:10" x14ac:dyDescent="0.25">
      <c r="A430" s="90">
        <v>35775</v>
      </c>
      <c r="B430" s="17">
        <v>3.66</v>
      </c>
      <c r="C430" s="17"/>
      <c r="F430"/>
      <c r="G430"/>
      <c r="H430"/>
      <c r="I430"/>
      <c r="J430"/>
    </row>
    <row r="431" spans="1:10" x14ac:dyDescent="0.25">
      <c r="A431" s="90">
        <v>35776</v>
      </c>
      <c r="B431" s="17">
        <v>3.72</v>
      </c>
      <c r="C431" s="17"/>
      <c r="F431"/>
      <c r="G431"/>
      <c r="H431"/>
      <c r="I431"/>
      <c r="J431"/>
    </row>
    <row r="432" spans="1:10" x14ac:dyDescent="0.25">
      <c r="A432" s="90">
        <v>35779</v>
      </c>
      <c r="B432" s="17">
        <v>3.62</v>
      </c>
      <c r="C432" s="17"/>
      <c r="F432"/>
      <c r="G432"/>
      <c r="H432"/>
      <c r="I432"/>
      <c r="J432"/>
    </row>
    <row r="433" spans="1:10" x14ac:dyDescent="0.25">
      <c r="A433" s="90">
        <v>35780</v>
      </c>
      <c r="B433" s="17">
        <v>3.77</v>
      </c>
      <c r="C433" s="17"/>
      <c r="F433"/>
      <c r="G433"/>
      <c r="H433"/>
      <c r="I433"/>
      <c r="J433"/>
    </row>
    <row r="434" spans="1:10" x14ac:dyDescent="0.25">
      <c r="A434" s="90">
        <v>35781</v>
      </c>
      <c r="B434" s="17">
        <v>3.72</v>
      </c>
      <c r="C434" s="17"/>
      <c r="F434"/>
      <c r="G434"/>
      <c r="H434"/>
      <c r="I434"/>
      <c r="J434"/>
    </row>
    <row r="435" spans="1:10" x14ac:dyDescent="0.25">
      <c r="A435" s="90">
        <v>35782</v>
      </c>
      <c r="B435" s="17">
        <v>3.63</v>
      </c>
      <c r="C435" s="17"/>
      <c r="F435"/>
      <c r="G435"/>
      <c r="H435"/>
      <c r="I435"/>
      <c r="J435"/>
    </row>
    <row r="436" spans="1:10" x14ac:dyDescent="0.25">
      <c r="A436" s="90">
        <v>35783</v>
      </c>
      <c r="B436" s="17">
        <v>3.87</v>
      </c>
      <c r="C436" s="17"/>
      <c r="F436"/>
      <c r="G436"/>
      <c r="H436"/>
      <c r="I436"/>
      <c r="J436"/>
    </row>
    <row r="437" spans="1:10" x14ac:dyDescent="0.25">
      <c r="A437" s="90">
        <v>35786</v>
      </c>
      <c r="B437" s="17">
        <v>4.03</v>
      </c>
      <c r="C437" s="17"/>
      <c r="F437"/>
      <c r="G437"/>
      <c r="H437"/>
      <c r="I437"/>
      <c r="J437"/>
    </row>
    <row r="438" spans="1:10" x14ac:dyDescent="0.25">
      <c r="A438" s="90">
        <v>35787</v>
      </c>
      <c r="B438" s="17">
        <v>4.07</v>
      </c>
      <c r="C438" s="17"/>
      <c r="F438"/>
      <c r="G438"/>
      <c r="H438"/>
      <c r="I438"/>
      <c r="J438"/>
    </row>
    <row r="439" spans="1:10" x14ac:dyDescent="0.25">
      <c r="A439" s="90">
        <v>35788</v>
      </c>
      <c r="B439" s="17">
        <v>4.03</v>
      </c>
      <c r="C439" s="17"/>
      <c r="F439"/>
      <c r="G439"/>
      <c r="H439"/>
      <c r="I439"/>
      <c r="J439"/>
    </row>
    <row r="440" spans="1:10" x14ac:dyDescent="0.25">
      <c r="A440" s="90">
        <v>35790</v>
      </c>
      <c r="B440" s="17">
        <v>4.13</v>
      </c>
      <c r="C440" s="17"/>
      <c r="F440"/>
      <c r="G440"/>
      <c r="H440"/>
      <c r="I440"/>
      <c r="J440"/>
    </row>
    <row r="441" spans="1:10" x14ac:dyDescent="0.25">
      <c r="A441" s="90">
        <v>35793</v>
      </c>
      <c r="B441" s="17">
        <v>4.3099999999999996</v>
      </c>
      <c r="C441" s="17"/>
      <c r="F441"/>
      <c r="G441"/>
      <c r="H441"/>
      <c r="I441"/>
      <c r="J441"/>
    </row>
    <row r="442" spans="1:10" x14ac:dyDescent="0.25">
      <c r="A442" s="90">
        <v>35794</v>
      </c>
      <c r="B442" s="17">
        <v>4.4400000000000004</v>
      </c>
      <c r="C442" s="17"/>
      <c r="F442"/>
      <c r="G442"/>
      <c r="H442"/>
      <c r="I442"/>
      <c r="J442"/>
    </row>
    <row r="443" spans="1:10" x14ac:dyDescent="0.25">
      <c r="A443" s="90">
        <v>35795</v>
      </c>
      <c r="B443" s="17">
        <v>4.33</v>
      </c>
      <c r="C443" s="17"/>
      <c r="F443"/>
      <c r="G443"/>
      <c r="H443"/>
      <c r="I443"/>
      <c r="J443"/>
    </row>
    <row r="444" spans="1:10" x14ac:dyDescent="0.25">
      <c r="A444" s="90">
        <v>35797</v>
      </c>
      <c r="B444" s="17">
        <v>4.1399999999999997</v>
      </c>
      <c r="C444" s="17"/>
      <c r="F444"/>
      <c r="G444"/>
      <c r="H444"/>
      <c r="I444"/>
      <c r="J444"/>
    </row>
    <row r="445" spans="1:10" x14ac:dyDescent="0.25">
      <c r="A445" s="90">
        <v>35800</v>
      </c>
      <c r="B445" s="17">
        <v>3.93</v>
      </c>
      <c r="C445" s="17"/>
      <c r="F445"/>
      <c r="G445"/>
      <c r="H445"/>
      <c r="I445"/>
      <c r="J445"/>
    </row>
    <row r="446" spans="1:10" x14ac:dyDescent="0.25">
      <c r="A446" s="90">
        <v>35801</v>
      </c>
      <c r="B446" s="17">
        <v>4</v>
      </c>
      <c r="C446" s="17"/>
      <c r="F446"/>
      <c r="G446"/>
      <c r="H446"/>
      <c r="I446"/>
      <c r="J446"/>
    </row>
    <row r="447" spans="1:10" x14ac:dyDescent="0.25">
      <c r="A447" s="90">
        <v>35802</v>
      </c>
      <c r="B447" s="17">
        <v>3.99</v>
      </c>
      <c r="C447" s="17"/>
      <c r="F447"/>
      <c r="G447"/>
      <c r="H447"/>
      <c r="I447"/>
      <c r="J447"/>
    </row>
    <row r="448" spans="1:10" x14ac:dyDescent="0.25">
      <c r="A448" s="90">
        <v>35803</v>
      </c>
      <c r="B448" s="17">
        <v>4.0199999999999996</v>
      </c>
      <c r="C448" s="17"/>
      <c r="F448"/>
      <c r="G448"/>
      <c r="H448"/>
      <c r="I448"/>
      <c r="J448"/>
    </row>
    <row r="449" spans="1:10" x14ac:dyDescent="0.25">
      <c r="A449" s="90">
        <v>35804</v>
      </c>
      <c r="B449" s="17">
        <v>3.87</v>
      </c>
      <c r="C449" s="17"/>
      <c r="F449"/>
      <c r="G449"/>
      <c r="H449"/>
      <c r="I449"/>
      <c r="J449"/>
    </row>
    <row r="450" spans="1:10" x14ac:dyDescent="0.25">
      <c r="A450" s="90">
        <v>35807</v>
      </c>
      <c r="B450" s="17">
        <v>3.91</v>
      </c>
      <c r="C450" s="17"/>
      <c r="F450"/>
      <c r="G450"/>
      <c r="H450"/>
      <c r="I450"/>
      <c r="J450"/>
    </row>
    <row r="451" spans="1:10" x14ac:dyDescent="0.25">
      <c r="A451" s="90">
        <v>35808</v>
      </c>
      <c r="B451" s="17">
        <v>4.1100000000000003</v>
      </c>
      <c r="C451" s="17"/>
      <c r="F451"/>
      <c r="G451"/>
      <c r="H451"/>
      <c r="I451"/>
      <c r="J451"/>
    </row>
    <row r="452" spans="1:10" x14ac:dyDescent="0.25">
      <c r="A452" s="90">
        <v>35809</v>
      </c>
      <c r="B452" s="17">
        <v>4.1900000000000004</v>
      </c>
      <c r="C452" s="17"/>
      <c r="F452"/>
      <c r="G452"/>
      <c r="H452"/>
      <c r="I452"/>
      <c r="J452"/>
    </row>
    <row r="453" spans="1:10" x14ac:dyDescent="0.25">
      <c r="A453" s="90">
        <v>35810</v>
      </c>
      <c r="B453" s="17">
        <v>4.08</v>
      </c>
      <c r="C453" s="17"/>
      <c r="F453"/>
      <c r="G453"/>
      <c r="H453"/>
      <c r="I453"/>
      <c r="J453"/>
    </row>
    <row r="454" spans="1:10" x14ac:dyDescent="0.25">
      <c r="A454" s="90">
        <v>35811</v>
      </c>
      <c r="B454" s="17">
        <v>4.08</v>
      </c>
      <c r="C454" s="17"/>
      <c r="F454"/>
      <c r="G454"/>
      <c r="H454"/>
      <c r="I454"/>
      <c r="J454"/>
    </row>
    <row r="455" spans="1:10" x14ac:dyDescent="0.25">
      <c r="A455" s="90">
        <v>35815</v>
      </c>
      <c r="B455" s="17">
        <v>4.03</v>
      </c>
      <c r="C455" s="17"/>
      <c r="F455"/>
      <c r="G455"/>
      <c r="H455"/>
      <c r="I455"/>
      <c r="J455"/>
    </row>
    <row r="456" spans="1:10" x14ac:dyDescent="0.25">
      <c r="A456" s="90">
        <v>35816</v>
      </c>
      <c r="B456" s="17">
        <v>3.99</v>
      </c>
      <c r="C456" s="17"/>
      <c r="F456"/>
      <c r="G456"/>
      <c r="H456"/>
      <c r="I456"/>
      <c r="J456"/>
    </row>
    <row r="457" spans="1:10" x14ac:dyDescent="0.25">
      <c r="A457" s="90">
        <v>35817</v>
      </c>
      <c r="B457" s="17">
        <v>3.89</v>
      </c>
      <c r="C457" s="17"/>
      <c r="F457"/>
      <c r="G457"/>
      <c r="H457"/>
      <c r="I457"/>
      <c r="J457"/>
    </row>
    <row r="458" spans="1:10" x14ac:dyDescent="0.25">
      <c r="A458" s="90">
        <v>35818</v>
      </c>
      <c r="B458" s="17">
        <v>3.86</v>
      </c>
      <c r="C458" s="17"/>
      <c r="F458"/>
      <c r="G458"/>
      <c r="H458"/>
      <c r="I458"/>
      <c r="J458"/>
    </row>
    <row r="459" spans="1:10" x14ac:dyDescent="0.25">
      <c r="A459" s="90">
        <v>35821</v>
      </c>
      <c r="B459" s="17">
        <v>3.74</v>
      </c>
      <c r="C459" s="17"/>
      <c r="F459"/>
      <c r="G459"/>
      <c r="H459"/>
      <c r="I459"/>
      <c r="J459"/>
    </row>
    <row r="460" spans="1:10" x14ac:dyDescent="0.25">
      <c r="A460" s="90">
        <v>35822</v>
      </c>
      <c r="B460" s="17">
        <v>3.75</v>
      </c>
      <c r="C460" s="17"/>
      <c r="F460"/>
      <c r="G460"/>
      <c r="H460"/>
      <c r="I460"/>
      <c r="J460"/>
    </row>
    <row r="461" spans="1:10" x14ac:dyDescent="0.25">
      <c r="A461" s="90">
        <v>35823</v>
      </c>
      <c r="B461" s="17">
        <v>3.63</v>
      </c>
      <c r="C461" s="17"/>
      <c r="F461"/>
      <c r="G461"/>
      <c r="H461"/>
      <c r="I461"/>
      <c r="J461"/>
    </row>
    <row r="462" spans="1:10" x14ac:dyDescent="0.25">
      <c r="A462" s="90">
        <v>35824</v>
      </c>
      <c r="B462" s="17">
        <v>3.87</v>
      </c>
      <c r="C462" s="17"/>
      <c r="F462"/>
      <c r="G462"/>
      <c r="H462"/>
      <c r="I462"/>
      <c r="J462"/>
    </row>
    <row r="463" spans="1:10" x14ac:dyDescent="0.25">
      <c r="A463" s="90">
        <v>35825</v>
      </c>
      <c r="B463" s="17">
        <v>3.96</v>
      </c>
      <c r="C463" s="17"/>
      <c r="F463"/>
      <c r="G463"/>
      <c r="H463"/>
      <c r="I463"/>
      <c r="J463"/>
    </row>
    <row r="464" spans="1:10" x14ac:dyDescent="0.25">
      <c r="A464" s="90">
        <v>35828</v>
      </c>
      <c r="B464" s="17">
        <v>4.12</v>
      </c>
      <c r="C464" s="17"/>
      <c r="F464"/>
      <c r="G464"/>
      <c r="H464"/>
      <c r="I464"/>
      <c r="J464"/>
    </row>
    <row r="465" spans="1:10" x14ac:dyDescent="0.25">
      <c r="A465" s="90">
        <v>35829</v>
      </c>
      <c r="B465" s="17">
        <v>4.05</v>
      </c>
      <c r="C465" s="17"/>
      <c r="F465"/>
      <c r="G465"/>
      <c r="H465"/>
      <c r="I465"/>
      <c r="J465"/>
    </row>
    <row r="466" spans="1:10" x14ac:dyDescent="0.25">
      <c r="A466" s="90">
        <v>35830</v>
      </c>
      <c r="B466" s="17">
        <v>3.98</v>
      </c>
      <c r="C466" s="17"/>
      <c r="F466"/>
      <c r="G466"/>
      <c r="H466"/>
      <c r="I466"/>
      <c r="J466"/>
    </row>
    <row r="467" spans="1:10" x14ac:dyDescent="0.25">
      <c r="A467" s="90">
        <v>35831</v>
      </c>
      <c r="B467" s="17">
        <v>3.89</v>
      </c>
      <c r="C467" s="17"/>
      <c r="F467"/>
      <c r="G467"/>
      <c r="H467"/>
      <c r="I467"/>
      <c r="J467"/>
    </row>
    <row r="468" spans="1:10" x14ac:dyDescent="0.25">
      <c r="A468" s="90">
        <v>35832</v>
      </c>
      <c r="B468" s="17">
        <v>4.0199999999999996</v>
      </c>
      <c r="C468" s="17"/>
      <c r="F468"/>
      <c r="G468"/>
      <c r="H468"/>
      <c r="I468"/>
      <c r="J468"/>
    </row>
    <row r="469" spans="1:10" x14ac:dyDescent="0.25">
      <c r="A469" s="90">
        <v>35835</v>
      </c>
      <c r="B469" s="17">
        <v>3.99</v>
      </c>
      <c r="C469" s="17"/>
      <c r="F469"/>
      <c r="G469"/>
      <c r="H469"/>
      <c r="I469"/>
      <c r="J469"/>
    </row>
    <row r="470" spans="1:10" x14ac:dyDescent="0.25">
      <c r="A470" s="90">
        <v>35836</v>
      </c>
      <c r="B470" s="17">
        <v>4.04</v>
      </c>
      <c r="C470" s="17"/>
      <c r="F470"/>
      <c r="G470"/>
      <c r="H470"/>
      <c r="I470"/>
      <c r="J470"/>
    </row>
    <row r="471" spans="1:10" x14ac:dyDescent="0.25">
      <c r="A471" s="90">
        <v>35837</v>
      </c>
      <c r="B471" s="17">
        <v>4.07</v>
      </c>
      <c r="C471" s="17"/>
      <c r="F471"/>
      <c r="G471"/>
      <c r="H471"/>
      <c r="I471"/>
      <c r="J471"/>
    </row>
    <row r="472" spans="1:10" x14ac:dyDescent="0.25">
      <c r="A472" s="90">
        <v>35838</v>
      </c>
      <c r="B472" s="17">
        <v>4.07</v>
      </c>
      <c r="C472" s="17"/>
      <c r="F472"/>
      <c r="G472"/>
      <c r="H472"/>
      <c r="I472"/>
      <c r="J472"/>
    </row>
    <row r="473" spans="1:10" x14ac:dyDescent="0.25">
      <c r="A473" s="90">
        <v>35839</v>
      </c>
      <c r="B473" s="17">
        <v>4.05</v>
      </c>
      <c r="C473" s="17"/>
      <c r="F473"/>
      <c r="G473"/>
      <c r="H473"/>
      <c r="I473"/>
      <c r="J473"/>
    </row>
    <row r="474" spans="1:10" x14ac:dyDescent="0.25">
      <c r="A474" s="90">
        <v>35843</v>
      </c>
      <c r="B474" s="17">
        <v>4.0199999999999996</v>
      </c>
      <c r="C474" s="17"/>
      <c r="F474"/>
      <c r="G474"/>
      <c r="H474"/>
      <c r="I474"/>
      <c r="J474"/>
    </row>
    <row r="475" spans="1:10" x14ac:dyDescent="0.25">
      <c r="A475" s="90">
        <v>35844</v>
      </c>
      <c r="B475" s="17">
        <v>3.97</v>
      </c>
      <c r="C475" s="17"/>
      <c r="F475"/>
      <c r="G475"/>
      <c r="H475"/>
      <c r="I475"/>
      <c r="J475"/>
    </row>
    <row r="476" spans="1:10" x14ac:dyDescent="0.25">
      <c r="A476" s="90">
        <v>35845</v>
      </c>
      <c r="B476" s="17">
        <v>4</v>
      </c>
      <c r="C476" s="17"/>
      <c r="F476"/>
      <c r="G476"/>
      <c r="H476"/>
      <c r="I476"/>
      <c r="J476"/>
    </row>
    <row r="477" spans="1:10" x14ac:dyDescent="0.25">
      <c r="A477" s="90">
        <v>35846</v>
      </c>
      <c r="B477" s="17">
        <v>4.01</v>
      </c>
      <c r="C477" s="17"/>
      <c r="F477"/>
      <c r="G477"/>
      <c r="H477"/>
      <c r="I477"/>
      <c r="J477"/>
    </row>
    <row r="478" spans="1:10" x14ac:dyDescent="0.25">
      <c r="A478" s="90">
        <v>35849</v>
      </c>
      <c r="B478" s="17">
        <v>3.96</v>
      </c>
      <c r="C478" s="17"/>
      <c r="F478"/>
      <c r="G478"/>
      <c r="H478"/>
      <c r="I478"/>
      <c r="J478"/>
    </row>
    <row r="479" spans="1:10" x14ac:dyDescent="0.25">
      <c r="A479" s="90">
        <v>35850</v>
      </c>
      <c r="B479" s="17">
        <v>3.85</v>
      </c>
      <c r="C479" s="17"/>
      <c r="F479"/>
      <c r="G479"/>
      <c r="H479"/>
      <c r="I479"/>
      <c r="J479"/>
    </row>
    <row r="480" spans="1:10" x14ac:dyDescent="0.25">
      <c r="A480" s="90">
        <v>35851</v>
      </c>
      <c r="B480" s="17">
        <v>3.86</v>
      </c>
      <c r="C480" s="17"/>
      <c r="F480"/>
      <c r="G480"/>
      <c r="H480"/>
      <c r="I480"/>
      <c r="J480"/>
    </row>
    <row r="481" spans="1:10" x14ac:dyDescent="0.25">
      <c r="A481" s="90">
        <v>35852</v>
      </c>
      <c r="B481" s="17">
        <v>4.26</v>
      </c>
      <c r="C481" s="17"/>
      <c r="F481"/>
      <c r="G481"/>
      <c r="H481"/>
      <c r="I481"/>
      <c r="J481"/>
    </row>
    <row r="482" spans="1:10" x14ac:dyDescent="0.25">
      <c r="A482" s="90">
        <v>35853</v>
      </c>
      <c r="B482" s="17">
        <v>4.57</v>
      </c>
      <c r="C482" s="17"/>
      <c r="F482"/>
      <c r="G482"/>
      <c r="H482"/>
      <c r="I482"/>
      <c r="J482"/>
    </row>
    <row r="483" spans="1:10" x14ac:dyDescent="0.25">
      <c r="A483" s="90">
        <v>35856</v>
      </c>
      <c r="B483" s="17">
        <v>4.57</v>
      </c>
      <c r="C483" s="17"/>
      <c r="F483"/>
      <c r="G483"/>
      <c r="H483"/>
      <c r="I483"/>
      <c r="J483"/>
    </row>
    <row r="484" spans="1:10" x14ac:dyDescent="0.25">
      <c r="A484" s="90">
        <v>35857</v>
      </c>
      <c r="B484" s="17">
        <v>4.5599999999999996</v>
      </c>
      <c r="C484" s="17"/>
      <c r="F484"/>
      <c r="G484"/>
      <c r="H484"/>
      <c r="I484"/>
      <c r="J484"/>
    </row>
    <row r="485" spans="1:10" x14ac:dyDescent="0.25">
      <c r="A485" s="90">
        <v>35858</v>
      </c>
      <c r="B485" s="17">
        <v>4.4800000000000004</v>
      </c>
      <c r="C485" s="17"/>
      <c r="F485"/>
      <c r="G485"/>
      <c r="H485"/>
      <c r="I485"/>
      <c r="J485"/>
    </row>
    <row r="486" spans="1:10" x14ac:dyDescent="0.25">
      <c r="A486" s="90">
        <v>35859</v>
      </c>
      <c r="B486" s="17">
        <v>4.71</v>
      </c>
      <c r="C486" s="17"/>
      <c r="F486"/>
      <c r="G486"/>
      <c r="H486"/>
      <c r="I486"/>
      <c r="J486"/>
    </row>
    <row r="487" spans="1:10" x14ac:dyDescent="0.25">
      <c r="A487" s="90">
        <v>35860</v>
      </c>
      <c r="B487" s="17">
        <v>5.04</v>
      </c>
      <c r="C487" s="17"/>
      <c r="F487"/>
      <c r="G487"/>
      <c r="H487"/>
      <c r="I487"/>
      <c r="J487"/>
    </row>
    <row r="488" spans="1:10" x14ac:dyDescent="0.25">
      <c r="A488" s="90">
        <v>35863</v>
      </c>
      <c r="B488" s="17">
        <v>5.49</v>
      </c>
      <c r="C488" s="17"/>
      <c r="F488"/>
      <c r="G488"/>
      <c r="H488"/>
      <c r="I488"/>
      <c r="J488"/>
    </row>
    <row r="489" spans="1:10" x14ac:dyDescent="0.25">
      <c r="A489" s="90">
        <v>35864</v>
      </c>
      <c r="B489" s="17">
        <v>5.47</v>
      </c>
      <c r="C489" s="17"/>
      <c r="F489"/>
      <c r="G489"/>
      <c r="H489"/>
      <c r="I489"/>
      <c r="J489"/>
    </row>
    <row r="490" spans="1:10" x14ac:dyDescent="0.25">
      <c r="A490" s="90">
        <v>35865</v>
      </c>
      <c r="B490" s="17">
        <v>5.27</v>
      </c>
      <c r="C490" s="17"/>
      <c r="F490"/>
      <c r="G490"/>
      <c r="H490"/>
      <c r="I490"/>
      <c r="J490"/>
    </row>
    <row r="491" spans="1:10" x14ac:dyDescent="0.25">
      <c r="A491" s="90">
        <v>35866</v>
      </c>
      <c r="B491" s="17">
        <v>5.12</v>
      </c>
      <c r="C491" s="17"/>
      <c r="F491"/>
      <c r="G491"/>
      <c r="H491"/>
      <c r="I491"/>
      <c r="J491"/>
    </row>
    <row r="492" spans="1:10" x14ac:dyDescent="0.25">
      <c r="A492" s="90">
        <v>35867</v>
      </c>
      <c r="B492" s="17">
        <v>5.21</v>
      </c>
      <c r="C492" s="17"/>
      <c r="F492"/>
      <c r="G492"/>
      <c r="H492"/>
      <c r="I492"/>
      <c r="J492"/>
    </row>
    <row r="493" spans="1:10" x14ac:dyDescent="0.25">
      <c r="A493" s="90">
        <v>35870</v>
      </c>
      <c r="B493" s="17">
        <v>5.31</v>
      </c>
      <c r="C493" s="17"/>
      <c r="F493"/>
      <c r="G493"/>
      <c r="H493"/>
      <c r="I493"/>
      <c r="J493"/>
    </row>
    <row r="494" spans="1:10" x14ac:dyDescent="0.25">
      <c r="A494" s="90">
        <v>35871</v>
      </c>
      <c r="B494" s="17">
        <v>5.24</v>
      </c>
      <c r="C494" s="17"/>
      <c r="F494"/>
      <c r="G494"/>
      <c r="H494"/>
      <c r="I494"/>
      <c r="J494"/>
    </row>
    <row r="495" spans="1:10" x14ac:dyDescent="0.25">
      <c r="A495" s="90">
        <v>35872</v>
      </c>
      <c r="B495" s="17">
        <v>5.39</v>
      </c>
      <c r="C495" s="17"/>
      <c r="F495"/>
      <c r="G495"/>
      <c r="H495"/>
      <c r="I495"/>
      <c r="J495"/>
    </row>
    <row r="496" spans="1:10" x14ac:dyDescent="0.25">
      <c r="A496" s="90">
        <v>35873</v>
      </c>
      <c r="B496" s="17">
        <v>5.24</v>
      </c>
      <c r="C496" s="17"/>
      <c r="F496"/>
      <c r="G496"/>
      <c r="H496"/>
      <c r="I496"/>
      <c r="J496"/>
    </row>
    <row r="497" spans="1:10" x14ac:dyDescent="0.25">
      <c r="A497" s="90">
        <v>35874</v>
      </c>
      <c r="B497" s="17">
        <v>5.2</v>
      </c>
      <c r="C497" s="17"/>
      <c r="F497"/>
      <c r="G497"/>
      <c r="H497"/>
      <c r="I497"/>
      <c r="J497"/>
    </row>
    <row r="498" spans="1:10" x14ac:dyDescent="0.25">
      <c r="A498" s="90">
        <v>35877</v>
      </c>
      <c r="B498" s="17">
        <v>5.19</v>
      </c>
      <c r="C498" s="17"/>
      <c r="F498"/>
      <c r="G498"/>
      <c r="H498"/>
      <c r="I498"/>
      <c r="J498"/>
    </row>
    <row r="499" spans="1:10" x14ac:dyDescent="0.25">
      <c r="A499" s="90">
        <v>35878</v>
      </c>
      <c r="B499" s="17">
        <v>5.43</v>
      </c>
      <c r="C499" s="17"/>
      <c r="F499"/>
      <c r="G499"/>
      <c r="H499"/>
      <c r="I499"/>
      <c r="J499"/>
    </row>
    <row r="500" spans="1:10" x14ac:dyDescent="0.25">
      <c r="A500" s="90">
        <v>35879</v>
      </c>
      <c r="B500" s="17">
        <v>5.52</v>
      </c>
      <c r="C500" s="17"/>
      <c r="F500"/>
      <c r="G500"/>
      <c r="H500"/>
      <c r="I500"/>
      <c r="J500"/>
    </row>
    <row r="501" spans="1:10" x14ac:dyDescent="0.25">
      <c r="A501" s="90">
        <v>35880</v>
      </c>
      <c r="B501" s="17">
        <v>5.56</v>
      </c>
      <c r="C501" s="17"/>
      <c r="F501"/>
      <c r="G501"/>
      <c r="H501"/>
      <c r="I501"/>
      <c r="J501"/>
    </row>
    <row r="502" spans="1:10" x14ac:dyDescent="0.25">
      <c r="A502" s="90">
        <v>35881</v>
      </c>
      <c r="B502" s="17">
        <v>5.66</v>
      </c>
      <c r="C502" s="17"/>
      <c r="F502"/>
      <c r="G502"/>
      <c r="H502"/>
      <c r="I502"/>
      <c r="J502"/>
    </row>
    <row r="503" spans="1:10" x14ac:dyDescent="0.25">
      <c r="A503" s="90">
        <v>35884</v>
      </c>
      <c r="B503" s="17">
        <v>5.82</v>
      </c>
      <c r="C503" s="17"/>
      <c r="F503"/>
      <c r="G503"/>
      <c r="H503"/>
      <c r="I503"/>
      <c r="J503"/>
    </row>
    <row r="504" spans="1:10" x14ac:dyDescent="0.25">
      <c r="A504" s="90">
        <v>35885</v>
      </c>
      <c r="B504" s="17">
        <v>5.78</v>
      </c>
      <c r="C504" s="17"/>
      <c r="F504"/>
      <c r="G504"/>
      <c r="H504"/>
      <c r="I504"/>
      <c r="J504"/>
    </row>
    <row r="505" spans="1:10" x14ac:dyDescent="0.25">
      <c r="A505" s="90">
        <v>35886</v>
      </c>
      <c r="B505" s="17">
        <v>6.11</v>
      </c>
      <c r="C505" s="17"/>
      <c r="F505"/>
      <c r="G505"/>
      <c r="H505"/>
      <c r="I505"/>
      <c r="J505"/>
    </row>
    <row r="506" spans="1:10" x14ac:dyDescent="0.25">
      <c r="A506" s="90">
        <v>35887</v>
      </c>
      <c r="B506" s="17">
        <v>6.49</v>
      </c>
      <c r="C506" s="17"/>
      <c r="F506"/>
      <c r="G506"/>
      <c r="H506"/>
      <c r="I506"/>
      <c r="J506"/>
    </row>
    <row r="507" spans="1:10" x14ac:dyDescent="0.25">
      <c r="A507" s="90">
        <v>35888</v>
      </c>
      <c r="B507" s="17">
        <v>6.4</v>
      </c>
      <c r="C507" s="17"/>
      <c r="F507"/>
      <c r="G507"/>
      <c r="H507"/>
      <c r="I507"/>
      <c r="J507"/>
    </row>
    <row r="508" spans="1:10" x14ac:dyDescent="0.25">
      <c r="A508" s="90">
        <v>35891</v>
      </c>
      <c r="B508" s="17">
        <v>6.19</v>
      </c>
      <c r="C508" s="17"/>
      <c r="F508"/>
      <c r="G508"/>
      <c r="H508"/>
      <c r="I508"/>
      <c r="J508"/>
    </row>
    <row r="509" spans="1:10" x14ac:dyDescent="0.25">
      <c r="A509" s="90">
        <v>35892</v>
      </c>
      <c r="B509" s="17">
        <v>5.83</v>
      </c>
      <c r="C509" s="17"/>
      <c r="F509"/>
      <c r="G509"/>
      <c r="H509"/>
      <c r="I509"/>
      <c r="J509"/>
    </row>
    <row r="510" spans="1:10" x14ac:dyDescent="0.25">
      <c r="A510" s="90">
        <v>35893</v>
      </c>
      <c r="B510" s="17">
        <v>6.08</v>
      </c>
      <c r="C510" s="17"/>
      <c r="F510"/>
      <c r="G510"/>
      <c r="H510"/>
      <c r="I510"/>
      <c r="J510"/>
    </row>
    <row r="511" spans="1:10" x14ac:dyDescent="0.25">
      <c r="A511" s="90">
        <v>35894</v>
      </c>
      <c r="B511" s="17">
        <v>7.16</v>
      </c>
      <c r="C511" s="17"/>
      <c r="F511"/>
      <c r="G511"/>
      <c r="H511"/>
      <c r="I511"/>
      <c r="J511"/>
    </row>
    <row r="512" spans="1:10" x14ac:dyDescent="0.25">
      <c r="A512" s="90">
        <v>35898</v>
      </c>
      <c r="B512" s="17">
        <v>7.06</v>
      </c>
      <c r="C512" s="17"/>
      <c r="F512"/>
      <c r="G512"/>
      <c r="H512"/>
      <c r="I512"/>
      <c r="J512"/>
    </row>
    <row r="513" spans="1:10" x14ac:dyDescent="0.25">
      <c r="A513" s="90">
        <v>35899</v>
      </c>
      <c r="B513" s="17">
        <v>7.18</v>
      </c>
      <c r="C513" s="17"/>
      <c r="F513"/>
      <c r="G513"/>
      <c r="H513"/>
      <c r="I513"/>
      <c r="J513"/>
    </row>
    <row r="514" spans="1:10" x14ac:dyDescent="0.25">
      <c r="A514" s="90">
        <v>35900</v>
      </c>
      <c r="B514" s="17">
        <v>7.39</v>
      </c>
      <c r="C514" s="17"/>
      <c r="F514"/>
      <c r="G514"/>
      <c r="H514"/>
      <c r="I514"/>
      <c r="J514"/>
    </row>
    <row r="515" spans="1:10" x14ac:dyDescent="0.25">
      <c r="A515" s="90">
        <v>35901</v>
      </c>
      <c r="B515" s="17">
        <v>8.02</v>
      </c>
      <c r="C515" s="17"/>
      <c r="F515"/>
      <c r="G515"/>
      <c r="H515"/>
      <c r="I515"/>
      <c r="J515"/>
    </row>
    <row r="516" spans="1:10" x14ac:dyDescent="0.25">
      <c r="A516" s="90">
        <v>35902</v>
      </c>
      <c r="B516" s="17">
        <v>7.59</v>
      </c>
      <c r="C516" s="17"/>
      <c r="F516"/>
      <c r="G516"/>
      <c r="H516"/>
      <c r="I516"/>
      <c r="J516"/>
    </row>
    <row r="517" spans="1:10" x14ac:dyDescent="0.25">
      <c r="A517" s="90">
        <v>35905</v>
      </c>
      <c r="B517" s="17">
        <v>7.86</v>
      </c>
      <c r="C517" s="17"/>
      <c r="F517"/>
      <c r="G517"/>
      <c r="H517"/>
      <c r="I517"/>
      <c r="J517"/>
    </row>
    <row r="518" spans="1:10" x14ac:dyDescent="0.25">
      <c r="A518" s="90">
        <v>35906</v>
      </c>
      <c r="B518" s="17">
        <v>7.71</v>
      </c>
      <c r="C518" s="17"/>
      <c r="F518"/>
      <c r="G518"/>
      <c r="H518"/>
      <c r="I518"/>
      <c r="J518"/>
    </row>
    <row r="519" spans="1:10" x14ac:dyDescent="0.25">
      <c r="A519" s="90">
        <v>35907</v>
      </c>
      <c r="B519" s="17">
        <v>7.4</v>
      </c>
      <c r="C519" s="17"/>
      <c r="F519"/>
      <c r="G519"/>
      <c r="H519"/>
      <c r="I519"/>
      <c r="J519"/>
    </row>
    <row r="520" spans="1:10" x14ac:dyDescent="0.25">
      <c r="A520" s="90">
        <v>35908</v>
      </c>
      <c r="B520" s="17">
        <v>7.01</v>
      </c>
      <c r="C520" s="17"/>
      <c r="F520"/>
      <c r="G520"/>
      <c r="H520"/>
      <c r="I520"/>
      <c r="J520"/>
    </row>
    <row r="521" spans="1:10" x14ac:dyDescent="0.25">
      <c r="A521" s="90">
        <v>35909</v>
      </c>
      <c r="B521" s="17">
        <v>7.17</v>
      </c>
      <c r="C521" s="17"/>
      <c r="F521"/>
      <c r="G521"/>
      <c r="H521"/>
      <c r="I521"/>
      <c r="J521"/>
    </row>
    <row r="522" spans="1:10" x14ac:dyDescent="0.25">
      <c r="A522" s="90">
        <v>35912</v>
      </c>
      <c r="B522" s="17">
        <v>7.01</v>
      </c>
      <c r="C522" s="17"/>
      <c r="F522"/>
      <c r="G522"/>
      <c r="H522"/>
      <c r="I522"/>
      <c r="J522"/>
    </row>
    <row r="523" spans="1:10" x14ac:dyDescent="0.25">
      <c r="A523" s="90">
        <v>35913</v>
      </c>
      <c r="B523" s="17">
        <v>7.41</v>
      </c>
      <c r="C523" s="17"/>
      <c r="F523"/>
      <c r="G523"/>
      <c r="H523"/>
      <c r="I523"/>
      <c r="J523"/>
    </row>
    <row r="524" spans="1:10" x14ac:dyDescent="0.25">
      <c r="A524" s="90">
        <v>35914</v>
      </c>
      <c r="B524" s="17">
        <v>7.39</v>
      </c>
      <c r="C524" s="17"/>
      <c r="F524"/>
      <c r="G524"/>
      <c r="H524"/>
      <c r="I524"/>
      <c r="J524"/>
    </row>
    <row r="525" spans="1:10" x14ac:dyDescent="0.25">
      <c r="A525" s="90">
        <v>35915</v>
      </c>
      <c r="B525" s="17">
        <v>7.43</v>
      </c>
      <c r="C525" s="17"/>
      <c r="F525"/>
      <c r="G525"/>
      <c r="H525"/>
      <c r="I525"/>
      <c r="J525"/>
    </row>
    <row r="526" spans="1:10" x14ac:dyDescent="0.25">
      <c r="A526" s="90">
        <v>35916</v>
      </c>
      <c r="B526" s="17">
        <v>7.41</v>
      </c>
      <c r="C526" s="17"/>
      <c r="F526"/>
      <c r="G526"/>
      <c r="H526"/>
      <c r="I526"/>
      <c r="J526"/>
    </row>
    <row r="527" spans="1:10" x14ac:dyDescent="0.25">
      <c r="A527" s="90">
        <v>35919</v>
      </c>
      <c r="B527" s="17">
        <v>7.55</v>
      </c>
      <c r="C527" s="17"/>
      <c r="F527"/>
      <c r="G527"/>
      <c r="H527"/>
      <c r="I527"/>
      <c r="J527"/>
    </row>
    <row r="528" spans="1:10" x14ac:dyDescent="0.25">
      <c r="A528" s="90">
        <v>35920</v>
      </c>
      <c r="B528" s="17">
        <v>7.3</v>
      </c>
      <c r="C528" s="17"/>
      <c r="F528"/>
      <c r="G528"/>
      <c r="H528"/>
      <c r="I528"/>
      <c r="J528"/>
    </row>
    <row r="529" spans="1:10" x14ac:dyDescent="0.25">
      <c r="A529" s="90">
        <v>35921</v>
      </c>
      <c r="B529" s="17">
        <v>7.19</v>
      </c>
      <c r="C529" s="17"/>
      <c r="F529"/>
      <c r="G529"/>
      <c r="H529"/>
      <c r="I529"/>
      <c r="J529"/>
    </row>
    <row r="530" spans="1:10" x14ac:dyDescent="0.25">
      <c r="A530" s="90">
        <v>35922</v>
      </c>
      <c r="B530" s="17">
        <v>7.2</v>
      </c>
      <c r="C530" s="17"/>
      <c r="F530"/>
      <c r="G530"/>
      <c r="H530"/>
      <c r="I530"/>
      <c r="J530"/>
    </row>
    <row r="531" spans="1:10" x14ac:dyDescent="0.25">
      <c r="A531" s="90">
        <v>35923</v>
      </c>
      <c r="B531" s="17">
        <v>7.36</v>
      </c>
      <c r="C531" s="17"/>
      <c r="F531"/>
      <c r="G531"/>
      <c r="H531"/>
      <c r="I531"/>
      <c r="J531"/>
    </row>
    <row r="532" spans="1:10" x14ac:dyDescent="0.25">
      <c r="A532" s="90">
        <v>35926</v>
      </c>
      <c r="B532" s="17">
        <v>7.14</v>
      </c>
      <c r="C532" s="17"/>
      <c r="F532"/>
      <c r="G532"/>
      <c r="H532"/>
      <c r="I532"/>
      <c r="J532"/>
    </row>
    <row r="533" spans="1:10" x14ac:dyDescent="0.25">
      <c r="A533" s="90">
        <v>35927</v>
      </c>
      <c r="B533" s="17">
        <v>7.23</v>
      </c>
      <c r="C533" s="17"/>
      <c r="F533"/>
      <c r="G533"/>
      <c r="H533"/>
      <c r="I533"/>
      <c r="J533"/>
    </row>
    <row r="534" spans="1:10" x14ac:dyDescent="0.25">
      <c r="A534" s="90">
        <v>35928</v>
      </c>
      <c r="B534" s="17">
        <v>7.75</v>
      </c>
      <c r="C534" s="17"/>
      <c r="F534"/>
      <c r="G534"/>
      <c r="H534"/>
      <c r="I534"/>
      <c r="J534"/>
    </row>
    <row r="535" spans="1:10" x14ac:dyDescent="0.25">
      <c r="A535" s="90">
        <v>35929</v>
      </c>
      <c r="B535" s="17">
        <v>7.52</v>
      </c>
      <c r="C535" s="17"/>
      <c r="F535"/>
      <c r="G535"/>
      <c r="H535"/>
      <c r="I535"/>
      <c r="J535"/>
    </row>
    <row r="536" spans="1:10" x14ac:dyDescent="0.25">
      <c r="A536" s="90">
        <v>35930</v>
      </c>
      <c r="B536" s="17">
        <v>7.38</v>
      </c>
      <c r="C536" s="17"/>
      <c r="F536"/>
      <c r="G536"/>
      <c r="H536"/>
      <c r="I536"/>
      <c r="J536"/>
    </row>
    <row r="537" spans="1:10" x14ac:dyDescent="0.25">
      <c r="A537" s="90">
        <v>35933</v>
      </c>
      <c r="B537" s="17">
        <v>7.29</v>
      </c>
      <c r="C537" s="17"/>
      <c r="F537"/>
      <c r="G537"/>
      <c r="H537"/>
      <c r="I537"/>
      <c r="J537"/>
    </row>
    <row r="538" spans="1:10" x14ac:dyDescent="0.25">
      <c r="A538" s="90">
        <v>35934</v>
      </c>
      <c r="B538" s="17">
        <v>7.38</v>
      </c>
      <c r="C538" s="17"/>
      <c r="F538"/>
      <c r="G538"/>
      <c r="H538"/>
      <c r="I538"/>
      <c r="J538"/>
    </row>
    <row r="539" spans="1:10" x14ac:dyDescent="0.25">
      <c r="A539" s="90">
        <v>35935</v>
      </c>
      <c r="B539" s="17">
        <v>7.3</v>
      </c>
      <c r="C539" s="17"/>
      <c r="F539"/>
      <c r="G539"/>
      <c r="H539"/>
      <c r="I539"/>
      <c r="J539"/>
    </row>
    <row r="540" spans="1:10" x14ac:dyDescent="0.25">
      <c r="A540" s="90">
        <v>35936</v>
      </c>
      <c r="B540" s="17">
        <v>7.31</v>
      </c>
      <c r="C540" s="17"/>
      <c r="F540"/>
      <c r="G540"/>
      <c r="H540"/>
      <c r="I540"/>
      <c r="J540"/>
    </row>
    <row r="541" spans="1:10" x14ac:dyDescent="0.25">
      <c r="A541" s="90">
        <v>35937</v>
      </c>
      <c r="B541" s="17">
        <v>7.15</v>
      </c>
      <c r="C541" s="17"/>
      <c r="F541"/>
      <c r="G541"/>
      <c r="H541"/>
      <c r="I541"/>
      <c r="J541"/>
    </row>
    <row r="542" spans="1:10" x14ac:dyDescent="0.25">
      <c r="A542" s="90">
        <v>35941</v>
      </c>
      <c r="B542" s="17">
        <v>6.77</v>
      </c>
      <c r="C542" s="17"/>
      <c r="F542"/>
      <c r="G542"/>
      <c r="H542"/>
      <c r="I542"/>
      <c r="J542"/>
    </row>
    <row r="543" spans="1:10" x14ac:dyDescent="0.25">
      <c r="A543" s="90">
        <v>35942</v>
      </c>
      <c r="B543" s="17">
        <v>7.2</v>
      </c>
      <c r="C543" s="17"/>
      <c r="F543"/>
      <c r="G543"/>
      <c r="H543"/>
      <c r="I543"/>
      <c r="J543"/>
    </row>
    <row r="544" spans="1:10" x14ac:dyDescent="0.25">
      <c r="A544" s="90">
        <v>35943</v>
      </c>
      <c r="B544" s="17">
        <v>6.88</v>
      </c>
      <c r="C544" s="17"/>
      <c r="F544"/>
      <c r="G544"/>
      <c r="H544"/>
      <c r="I544"/>
      <c r="J544"/>
    </row>
    <row r="545" spans="1:10" x14ac:dyDescent="0.25">
      <c r="A545" s="90">
        <v>35944</v>
      </c>
      <c r="B545" s="17">
        <v>6.84</v>
      </c>
      <c r="C545" s="17"/>
      <c r="F545"/>
      <c r="G545"/>
      <c r="H545"/>
      <c r="I545"/>
      <c r="J545"/>
    </row>
    <row r="546" spans="1:10" x14ac:dyDescent="0.25">
      <c r="A546" s="90">
        <v>35947</v>
      </c>
      <c r="B546" s="17">
        <v>6.52</v>
      </c>
      <c r="C546" s="17"/>
      <c r="F546"/>
      <c r="G546"/>
      <c r="H546"/>
      <c r="I546"/>
      <c r="J546"/>
    </row>
    <row r="547" spans="1:10" x14ac:dyDescent="0.25">
      <c r="A547" s="90">
        <v>35948</v>
      </c>
      <c r="B547" s="17">
        <v>6.55</v>
      </c>
      <c r="C547" s="17"/>
      <c r="F547"/>
      <c r="G547"/>
      <c r="H547"/>
      <c r="I547"/>
      <c r="J547"/>
    </row>
    <row r="548" spans="1:10" x14ac:dyDescent="0.25">
      <c r="A548" s="90">
        <v>35949</v>
      </c>
      <c r="B548" s="17">
        <v>6.38</v>
      </c>
      <c r="C548" s="17"/>
      <c r="F548"/>
      <c r="G548"/>
      <c r="H548"/>
      <c r="I548"/>
      <c r="J548"/>
    </row>
    <row r="549" spans="1:10" x14ac:dyDescent="0.25">
      <c r="A549" s="90">
        <v>35950</v>
      </c>
      <c r="B549" s="17">
        <v>6.41</v>
      </c>
      <c r="C549" s="17"/>
      <c r="F549"/>
      <c r="G549"/>
      <c r="H549"/>
      <c r="I549"/>
      <c r="J549"/>
    </row>
    <row r="550" spans="1:10" x14ac:dyDescent="0.25">
      <c r="A550" s="90">
        <v>35951</v>
      </c>
      <c r="B550" s="17">
        <v>6.56</v>
      </c>
      <c r="C550" s="17"/>
      <c r="F550"/>
      <c r="G550"/>
      <c r="H550"/>
      <c r="I550"/>
      <c r="J550"/>
    </row>
    <row r="551" spans="1:10" x14ac:dyDescent="0.25">
      <c r="A551" s="90">
        <v>35954</v>
      </c>
      <c r="B551" s="17">
        <v>6.84</v>
      </c>
      <c r="C551" s="17"/>
      <c r="F551"/>
      <c r="G551"/>
      <c r="H551"/>
      <c r="I551"/>
      <c r="J551"/>
    </row>
    <row r="552" spans="1:10" x14ac:dyDescent="0.25">
      <c r="A552" s="90">
        <v>35955</v>
      </c>
      <c r="B552" s="17">
        <v>7.37</v>
      </c>
      <c r="C552" s="17"/>
      <c r="F552"/>
      <c r="G552"/>
      <c r="H552"/>
      <c r="I552"/>
      <c r="J552"/>
    </row>
    <row r="553" spans="1:10" x14ac:dyDescent="0.25">
      <c r="A553" s="90">
        <v>35956</v>
      </c>
      <c r="B553" s="17">
        <v>7.15</v>
      </c>
      <c r="C553" s="17"/>
      <c r="F553"/>
      <c r="G553"/>
      <c r="H553"/>
      <c r="I553"/>
      <c r="J553"/>
    </row>
    <row r="554" spans="1:10" x14ac:dyDescent="0.25">
      <c r="A554" s="90">
        <v>35957</v>
      </c>
      <c r="B554" s="17">
        <v>7.2</v>
      </c>
      <c r="C554" s="17"/>
      <c r="F554"/>
      <c r="G554"/>
      <c r="H554"/>
      <c r="I554"/>
      <c r="J554"/>
    </row>
    <row r="555" spans="1:10" x14ac:dyDescent="0.25">
      <c r="A555" s="90">
        <v>35958</v>
      </c>
      <c r="B555" s="17">
        <v>7.11</v>
      </c>
      <c r="C555" s="17"/>
      <c r="F555"/>
      <c r="G555"/>
      <c r="H555"/>
      <c r="I555"/>
      <c r="J555"/>
    </row>
    <row r="556" spans="1:10" x14ac:dyDescent="0.25">
      <c r="A556" s="90">
        <v>35961</v>
      </c>
      <c r="B556" s="17">
        <v>7.2</v>
      </c>
      <c r="C556" s="17"/>
      <c r="F556"/>
      <c r="G556"/>
      <c r="H556"/>
      <c r="I556"/>
      <c r="J556"/>
    </row>
    <row r="557" spans="1:10" x14ac:dyDescent="0.25">
      <c r="A557" s="90">
        <v>35962</v>
      </c>
      <c r="B557" s="17">
        <v>7.62</v>
      </c>
      <c r="C557" s="17"/>
      <c r="F557"/>
      <c r="G557"/>
      <c r="H557"/>
      <c r="I557"/>
      <c r="J557"/>
    </row>
    <row r="558" spans="1:10" x14ac:dyDescent="0.25">
      <c r="A558" s="90">
        <v>35963</v>
      </c>
      <c r="B558" s="17">
        <v>8.16</v>
      </c>
      <c r="C558" s="17"/>
      <c r="F558"/>
      <c r="G558"/>
      <c r="H558"/>
      <c r="I558"/>
      <c r="J558"/>
    </row>
    <row r="559" spans="1:10" x14ac:dyDescent="0.25">
      <c r="A559" s="90">
        <v>35964</v>
      </c>
      <c r="B559" s="17">
        <v>7.98</v>
      </c>
      <c r="C559" s="17"/>
      <c r="F559"/>
      <c r="G559"/>
      <c r="H559"/>
      <c r="I559"/>
      <c r="J559"/>
    </row>
    <row r="560" spans="1:10" x14ac:dyDescent="0.25">
      <c r="A560" s="90">
        <v>35965</v>
      </c>
      <c r="B560" s="17">
        <v>8.08</v>
      </c>
      <c r="C560" s="17"/>
      <c r="F560"/>
      <c r="G560"/>
      <c r="H560"/>
      <c r="I560"/>
      <c r="J560"/>
    </row>
    <row r="561" spans="1:10" x14ac:dyDescent="0.25">
      <c r="A561" s="90">
        <v>35968</v>
      </c>
      <c r="B561" s="17">
        <v>8.7200000000000006</v>
      </c>
      <c r="C561" s="17"/>
      <c r="F561"/>
      <c r="G561"/>
      <c r="H561"/>
      <c r="I561"/>
      <c r="J561"/>
    </row>
    <row r="562" spans="1:10" x14ac:dyDescent="0.25">
      <c r="A562" s="90">
        <v>35969</v>
      </c>
      <c r="B562" s="17">
        <v>9.25</v>
      </c>
      <c r="C562" s="17"/>
      <c r="F562"/>
      <c r="G562"/>
      <c r="H562"/>
      <c r="I562"/>
      <c r="J562"/>
    </row>
    <row r="563" spans="1:10" x14ac:dyDescent="0.25">
      <c r="A563" s="90">
        <v>35970</v>
      </c>
      <c r="B563" s="17">
        <v>9.3000000000000007</v>
      </c>
      <c r="C563" s="17"/>
      <c r="F563"/>
      <c r="G563"/>
      <c r="H563"/>
      <c r="I563"/>
      <c r="J563"/>
    </row>
    <row r="564" spans="1:10" x14ac:dyDescent="0.25">
      <c r="A564" s="90">
        <v>35971</v>
      </c>
      <c r="B564" s="17">
        <v>9.52</v>
      </c>
      <c r="C564" s="17"/>
      <c r="F564"/>
      <c r="G564"/>
      <c r="H564"/>
      <c r="I564"/>
      <c r="J564"/>
    </row>
    <row r="565" spans="1:10" x14ac:dyDescent="0.25">
      <c r="A565" s="90">
        <v>35972</v>
      </c>
      <c r="B565" s="17">
        <v>9.2899999999999991</v>
      </c>
      <c r="C565" s="17"/>
      <c r="F565"/>
      <c r="G565"/>
      <c r="H565"/>
      <c r="I565"/>
      <c r="J565"/>
    </row>
    <row r="566" spans="1:10" x14ac:dyDescent="0.25">
      <c r="A566" s="90">
        <v>35975</v>
      </c>
      <c r="B566" s="17">
        <v>9.65</v>
      </c>
      <c r="C566" s="17"/>
      <c r="F566"/>
      <c r="G566"/>
      <c r="H566"/>
      <c r="I566"/>
      <c r="J566"/>
    </row>
    <row r="567" spans="1:10" x14ac:dyDescent="0.25">
      <c r="A567" s="90">
        <v>35976</v>
      </c>
      <c r="B567" s="17">
        <v>9.84</v>
      </c>
      <c r="C567" s="17"/>
      <c r="F567"/>
      <c r="G567"/>
      <c r="H567"/>
      <c r="I567"/>
      <c r="J567"/>
    </row>
    <row r="568" spans="1:10" x14ac:dyDescent="0.25">
      <c r="A568" s="90">
        <v>35977</v>
      </c>
      <c r="B568" s="17">
        <v>10.62</v>
      </c>
      <c r="C568" s="17"/>
      <c r="F568"/>
      <c r="G568"/>
      <c r="H568"/>
      <c r="I568"/>
      <c r="J568"/>
    </row>
    <row r="569" spans="1:10" x14ac:dyDescent="0.25">
      <c r="A569" s="90">
        <v>35978</v>
      </c>
      <c r="B569" s="17">
        <v>10.8</v>
      </c>
      <c r="C569" s="17"/>
      <c r="F569"/>
      <c r="G569"/>
      <c r="H569"/>
      <c r="I569"/>
      <c r="J569"/>
    </row>
    <row r="570" spans="1:10" x14ac:dyDescent="0.25">
      <c r="A570" s="90">
        <v>35982</v>
      </c>
      <c r="B570" s="17">
        <v>12.45</v>
      </c>
      <c r="C570" s="17"/>
      <c r="F570"/>
      <c r="G570"/>
      <c r="H570"/>
      <c r="I570"/>
      <c r="J570"/>
    </row>
    <row r="571" spans="1:10" x14ac:dyDescent="0.25">
      <c r="A571" s="90">
        <v>35983</v>
      </c>
      <c r="B571" s="17">
        <v>11.94</v>
      </c>
      <c r="C571" s="17"/>
      <c r="F571"/>
      <c r="G571"/>
      <c r="H571"/>
      <c r="I571"/>
      <c r="J571"/>
    </row>
    <row r="572" spans="1:10" x14ac:dyDescent="0.25">
      <c r="A572" s="90">
        <v>35984</v>
      </c>
      <c r="B572" s="17">
        <v>11.64</v>
      </c>
      <c r="C572" s="17"/>
      <c r="F572"/>
      <c r="G572"/>
      <c r="H572"/>
      <c r="I572"/>
      <c r="J572"/>
    </row>
    <row r="573" spans="1:10" x14ac:dyDescent="0.25">
      <c r="A573" s="90">
        <v>35985</v>
      </c>
      <c r="B573" s="17">
        <v>11.5</v>
      </c>
      <c r="C573" s="17"/>
      <c r="F573"/>
      <c r="G573"/>
      <c r="H573"/>
      <c r="I573"/>
      <c r="J573"/>
    </row>
    <row r="574" spans="1:10" x14ac:dyDescent="0.25">
      <c r="A574" s="90">
        <v>35986</v>
      </c>
      <c r="B574" s="17">
        <v>11.41</v>
      </c>
      <c r="C574" s="17"/>
      <c r="F574"/>
      <c r="G574"/>
      <c r="H574"/>
      <c r="I574"/>
      <c r="J574"/>
    </row>
    <row r="575" spans="1:10" x14ac:dyDescent="0.25">
      <c r="A575" s="90">
        <v>35989</v>
      </c>
      <c r="B575" s="17">
        <v>11.77</v>
      </c>
      <c r="C575" s="17"/>
      <c r="F575"/>
      <c r="G575"/>
      <c r="H575"/>
      <c r="I575"/>
      <c r="J575"/>
    </row>
    <row r="576" spans="1:10" x14ac:dyDescent="0.25">
      <c r="A576" s="90">
        <v>35990</v>
      </c>
      <c r="B576" s="17">
        <v>11.66</v>
      </c>
      <c r="C576" s="17"/>
      <c r="F576"/>
      <c r="G576"/>
      <c r="H576"/>
      <c r="I576"/>
      <c r="J576"/>
    </row>
    <row r="577" spans="1:10" x14ac:dyDescent="0.25">
      <c r="A577" s="90">
        <v>35991</v>
      </c>
      <c r="B577" s="17">
        <v>11.36</v>
      </c>
      <c r="C577" s="17"/>
      <c r="F577"/>
      <c r="G577"/>
      <c r="H577"/>
      <c r="I577"/>
      <c r="J577"/>
    </row>
    <row r="578" spans="1:10" x14ac:dyDescent="0.25">
      <c r="A578" s="90">
        <v>35992</v>
      </c>
      <c r="B578" s="17">
        <v>11.67</v>
      </c>
      <c r="C578" s="17"/>
      <c r="F578"/>
      <c r="G578"/>
      <c r="H578"/>
      <c r="I578"/>
      <c r="J578"/>
    </row>
    <row r="579" spans="1:10" x14ac:dyDescent="0.25">
      <c r="A579" s="90">
        <v>35993</v>
      </c>
      <c r="B579" s="17">
        <v>11.61</v>
      </c>
      <c r="C579" s="17"/>
      <c r="F579"/>
      <c r="G579"/>
      <c r="H579"/>
      <c r="I579"/>
      <c r="J579"/>
    </row>
    <row r="580" spans="1:10" x14ac:dyDescent="0.25">
      <c r="A580" s="90">
        <v>35996</v>
      </c>
      <c r="B580" s="17">
        <v>12.27</v>
      </c>
      <c r="C580" s="17"/>
      <c r="F580"/>
      <c r="G580"/>
      <c r="H580"/>
      <c r="I580"/>
      <c r="J580"/>
    </row>
    <row r="581" spans="1:10" x14ac:dyDescent="0.25">
      <c r="A581" s="90">
        <v>35997</v>
      </c>
      <c r="B581" s="17">
        <v>11.81</v>
      </c>
      <c r="C581" s="17"/>
      <c r="F581"/>
      <c r="G581"/>
      <c r="H581"/>
      <c r="I581"/>
      <c r="J581"/>
    </row>
    <row r="582" spans="1:10" x14ac:dyDescent="0.25">
      <c r="A582" s="90">
        <v>35998</v>
      </c>
      <c r="B582" s="17">
        <v>12.11</v>
      </c>
      <c r="C582" s="17"/>
      <c r="F582"/>
      <c r="G582"/>
      <c r="H582"/>
      <c r="I582"/>
      <c r="J582"/>
    </row>
    <row r="583" spans="1:10" x14ac:dyDescent="0.25">
      <c r="A583" s="90">
        <v>35999</v>
      </c>
      <c r="B583" s="17">
        <v>11.84</v>
      </c>
      <c r="C583" s="17"/>
      <c r="F583"/>
      <c r="G583"/>
      <c r="H583"/>
      <c r="I583"/>
      <c r="J583"/>
    </row>
    <row r="584" spans="1:10" x14ac:dyDescent="0.25">
      <c r="A584" s="90">
        <v>36000</v>
      </c>
      <c r="B584" s="17">
        <v>11.38</v>
      </c>
      <c r="C584" s="17"/>
      <c r="F584"/>
      <c r="G584"/>
      <c r="H584"/>
      <c r="I584"/>
      <c r="J584"/>
    </row>
    <row r="585" spans="1:10" x14ac:dyDescent="0.25">
      <c r="A585" s="90">
        <v>36003</v>
      </c>
      <c r="B585" s="17">
        <v>11.82</v>
      </c>
      <c r="C585" s="17"/>
      <c r="F585"/>
      <c r="G585"/>
      <c r="H585"/>
      <c r="I585"/>
      <c r="J585"/>
    </row>
    <row r="586" spans="1:10" x14ac:dyDescent="0.25">
      <c r="A586" s="90">
        <v>36004</v>
      </c>
      <c r="B586" s="17">
        <v>11.45</v>
      </c>
      <c r="C586" s="17"/>
      <c r="F586"/>
      <c r="G586"/>
      <c r="H586"/>
      <c r="I586"/>
      <c r="J586"/>
    </row>
    <row r="587" spans="1:10" x14ac:dyDescent="0.25">
      <c r="A587" s="90">
        <v>36005</v>
      </c>
      <c r="B587" s="17">
        <v>10.85</v>
      </c>
      <c r="C587" s="17"/>
      <c r="F587"/>
      <c r="G587"/>
      <c r="H587"/>
      <c r="I587"/>
      <c r="J587"/>
    </row>
    <row r="588" spans="1:10" x14ac:dyDescent="0.25">
      <c r="A588" s="90">
        <v>36006</v>
      </c>
      <c r="B588" s="17">
        <v>11.42</v>
      </c>
      <c r="C588" s="17"/>
      <c r="F588"/>
      <c r="G588"/>
      <c r="H588"/>
      <c r="I588"/>
      <c r="J588"/>
    </row>
    <row r="589" spans="1:10" x14ac:dyDescent="0.25">
      <c r="A589" s="90">
        <v>36007</v>
      </c>
      <c r="B589" s="17">
        <v>11.37</v>
      </c>
      <c r="C589" s="17"/>
      <c r="F589"/>
      <c r="G589"/>
      <c r="H589"/>
      <c r="I589"/>
      <c r="J589"/>
    </row>
    <row r="590" spans="1:10" x14ac:dyDescent="0.25">
      <c r="A590" s="90">
        <v>36010</v>
      </c>
      <c r="B590" s="17">
        <v>10.8</v>
      </c>
      <c r="C590" s="17"/>
      <c r="F590"/>
      <c r="G590"/>
      <c r="H590"/>
      <c r="I590"/>
      <c r="J590"/>
    </row>
    <row r="591" spans="1:10" x14ac:dyDescent="0.25">
      <c r="A591" s="90">
        <v>36011</v>
      </c>
      <c r="B591" s="17">
        <v>10.64</v>
      </c>
      <c r="C591" s="17"/>
      <c r="F591"/>
      <c r="G591"/>
      <c r="H591"/>
      <c r="I591"/>
      <c r="J591"/>
    </row>
    <row r="592" spans="1:10" x14ac:dyDescent="0.25">
      <c r="A592" s="90">
        <v>36012</v>
      </c>
      <c r="B592" s="17">
        <v>10.48</v>
      </c>
      <c r="C592" s="17"/>
      <c r="F592"/>
      <c r="G592"/>
      <c r="H592"/>
      <c r="I592"/>
      <c r="J592"/>
    </row>
    <row r="593" spans="1:10" x14ac:dyDescent="0.25">
      <c r="A593" s="90">
        <v>36013</v>
      </c>
      <c r="B593" s="17">
        <v>10.92</v>
      </c>
      <c r="C593" s="17"/>
      <c r="F593"/>
      <c r="G593"/>
      <c r="H593"/>
      <c r="I593"/>
      <c r="J593"/>
    </row>
    <row r="594" spans="1:10" x14ac:dyDescent="0.25">
      <c r="A594" s="90">
        <v>36014</v>
      </c>
      <c r="B594" s="17">
        <v>11.45</v>
      </c>
      <c r="C594" s="17"/>
      <c r="F594"/>
      <c r="G594"/>
      <c r="H594"/>
      <c r="I594"/>
      <c r="J594"/>
    </row>
    <row r="595" spans="1:10" x14ac:dyDescent="0.25">
      <c r="A595" s="90">
        <v>36017</v>
      </c>
      <c r="B595" s="17">
        <v>11.75</v>
      </c>
      <c r="C595" s="17"/>
      <c r="F595"/>
      <c r="G595"/>
      <c r="H595"/>
      <c r="I595"/>
      <c r="J595"/>
    </row>
    <row r="596" spans="1:10" x14ac:dyDescent="0.25">
      <c r="A596" s="90">
        <v>36018</v>
      </c>
      <c r="B596" s="17">
        <v>11.42</v>
      </c>
      <c r="C596" s="17"/>
      <c r="F596"/>
      <c r="G596"/>
      <c r="H596"/>
      <c r="I596"/>
      <c r="J596"/>
    </row>
    <row r="597" spans="1:10" x14ac:dyDescent="0.25">
      <c r="A597" s="90">
        <v>36019</v>
      </c>
      <c r="B597" s="17">
        <v>11.92</v>
      </c>
      <c r="C597" s="17"/>
      <c r="F597"/>
      <c r="G597"/>
      <c r="H597"/>
      <c r="I597"/>
      <c r="J597"/>
    </row>
    <row r="598" spans="1:10" x14ac:dyDescent="0.25">
      <c r="A598" s="90">
        <v>36020</v>
      </c>
      <c r="B598" s="17">
        <v>11.59</v>
      </c>
      <c r="C598" s="17"/>
      <c r="F598"/>
      <c r="G598"/>
      <c r="H598"/>
      <c r="I598"/>
      <c r="J598"/>
    </row>
    <row r="599" spans="1:10" x14ac:dyDescent="0.25">
      <c r="A599" s="90">
        <v>36021</v>
      </c>
      <c r="B599" s="17">
        <v>11.47</v>
      </c>
      <c r="C599" s="17"/>
      <c r="F599"/>
      <c r="G599"/>
      <c r="H599"/>
      <c r="I599"/>
      <c r="J599"/>
    </row>
    <row r="600" spans="1:10" x14ac:dyDescent="0.25">
      <c r="A600" s="90">
        <v>36024</v>
      </c>
      <c r="B600" s="17">
        <v>11.5</v>
      </c>
      <c r="C600" s="17"/>
      <c r="F600"/>
      <c r="G600"/>
      <c r="H600"/>
      <c r="I600"/>
      <c r="J600"/>
    </row>
    <row r="601" spans="1:10" x14ac:dyDescent="0.25">
      <c r="A601" s="90">
        <v>36025</v>
      </c>
      <c r="B601" s="17">
        <v>12.16</v>
      </c>
      <c r="C601" s="17"/>
      <c r="F601"/>
      <c r="G601"/>
      <c r="H601"/>
      <c r="I601"/>
      <c r="J601"/>
    </row>
    <row r="602" spans="1:10" x14ac:dyDescent="0.25">
      <c r="A602" s="90">
        <v>36026</v>
      </c>
      <c r="B602" s="17">
        <v>11.91</v>
      </c>
      <c r="C602" s="17"/>
      <c r="F602"/>
      <c r="G602"/>
      <c r="H602"/>
      <c r="I602"/>
      <c r="J602"/>
    </row>
    <row r="603" spans="1:10" x14ac:dyDescent="0.25">
      <c r="A603" s="90">
        <v>36027</v>
      </c>
      <c r="B603" s="17">
        <v>12.19</v>
      </c>
      <c r="C603" s="17"/>
      <c r="F603"/>
      <c r="G603"/>
      <c r="H603"/>
      <c r="I603"/>
      <c r="J603"/>
    </row>
    <row r="604" spans="1:10" x14ac:dyDescent="0.25">
      <c r="A604" s="90">
        <v>36028</v>
      </c>
      <c r="B604" s="17">
        <v>11.92</v>
      </c>
      <c r="C604" s="17"/>
      <c r="F604"/>
      <c r="G604"/>
      <c r="H604"/>
      <c r="I604"/>
      <c r="J604"/>
    </row>
    <row r="605" spans="1:10" x14ac:dyDescent="0.25">
      <c r="A605" s="90">
        <v>36031</v>
      </c>
      <c r="B605" s="17">
        <v>12.21</v>
      </c>
      <c r="C605" s="17"/>
      <c r="F605"/>
      <c r="G605"/>
      <c r="H605"/>
      <c r="I605"/>
      <c r="J605"/>
    </row>
    <row r="606" spans="1:10" x14ac:dyDescent="0.25">
      <c r="A606" s="90">
        <v>36032</v>
      </c>
      <c r="B606" s="17">
        <v>12.19</v>
      </c>
      <c r="C606" s="17"/>
      <c r="F606"/>
      <c r="G606"/>
      <c r="H606"/>
      <c r="I606"/>
      <c r="J606"/>
    </row>
    <row r="607" spans="1:10" x14ac:dyDescent="0.25">
      <c r="A607" s="90">
        <v>36033</v>
      </c>
      <c r="B607" s="17">
        <v>12.11</v>
      </c>
      <c r="C607" s="17"/>
      <c r="F607"/>
      <c r="G607"/>
      <c r="H607"/>
      <c r="I607"/>
      <c r="J607"/>
    </row>
    <row r="608" spans="1:10" x14ac:dyDescent="0.25">
      <c r="A608" s="90">
        <v>36034</v>
      </c>
      <c r="B608" s="17">
        <v>11.38</v>
      </c>
      <c r="C608" s="17"/>
      <c r="F608"/>
      <c r="G608"/>
      <c r="H608"/>
      <c r="I608"/>
      <c r="J608"/>
    </row>
    <row r="609" spans="1:10" x14ac:dyDescent="0.25">
      <c r="A609" s="90">
        <v>36035</v>
      </c>
      <c r="B609" s="17">
        <v>10.38</v>
      </c>
      <c r="C609" s="17"/>
      <c r="F609"/>
      <c r="G609"/>
      <c r="H609"/>
      <c r="I609"/>
      <c r="J609"/>
    </row>
    <row r="610" spans="1:10" x14ac:dyDescent="0.25">
      <c r="A610" s="90">
        <v>36038</v>
      </c>
      <c r="B610" s="17">
        <v>8.6199999999999992</v>
      </c>
      <c r="C610" s="17"/>
      <c r="F610"/>
      <c r="G610"/>
      <c r="H610"/>
      <c r="I610"/>
      <c r="J610"/>
    </row>
    <row r="611" spans="1:10" x14ac:dyDescent="0.25">
      <c r="A611" s="90">
        <v>36039</v>
      </c>
      <c r="B611" s="17">
        <v>9.0299999999999994</v>
      </c>
      <c r="C611" s="17"/>
      <c r="F611"/>
      <c r="G611"/>
      <c r="H611"/>
      <c r="I611"/>
      <c r="J611"/>
    </row>
    <row r="612" spans="1:10" x14ac:dyDescent="0.25">
      <c r="A612" s="90">
        <v>36040</v>
      </c>
      <c r="B612" s="17">
        <v>9.7200000000000006</v>
      </c>
      <c r="C612" s="17"/>
      <c r="F612"/>
      <c r="G612"/>
      <c r="H612"/>
      <c r="I612"/>
      <c r="J612"/>
    </row>
    <row r="613" spans="1:10" x14ac:dyDescent="0.25">
      <c r="A613" s="90">
        <v>36041</v>
      </c>
      <c r="B613" s="17">
        <v>9.4</v>
      </c>
      <c r="C613" s="17"/>
      <c r="F613"/>
      <c r="G613"/>
      <c r="H613"/>
      <c r="I613"/>
      <c r="J613"/>
    </row>
    <row r="614" spans="1:10" x14ac:dyDescent="0.25">
      <c r="A614" s="90">
        <v>36042</v>
      </c>
      <c r="B614" s="17">
        <v>9.42</v>
      </c>
      <c r="C614" s="17"/>
      <c r="F614"/>
      <c r="G614"/>
      <c r="H614"/>
      <c r="I614"/>
      <c r="J614"/>
    </row>
    <row r="615" spans="1:10" x14ac:dyDescent="0.25">
      <c r="A615" s="90">
        <v>36046</v>
      </c>
      <c r="B615" s="17">
        <v>10.58</v>
      </c>
      <c r="C615" s="17"/>
      <c r="F615"/>
      <c r="G615"/>
      <c r="H615"/>
      <c r="I615"/>
      <c r="J615"/>
    </row>
    <row r="616" spans="1:10" x14ac:dyDescent="0.25">
      <c r="A616" s="90">
        <v>36047</v>
      </c>
      <c r="B616" s="17">
        <v>10</v>
      </c>
      <c r="C616" s="17"/>
      <c r="F616"/>
      <c r="G616"/>
      <c r="H616"/>
      <c r="I616"/>
      <c r="J616"/>
    </row>
    <row r="617" spans="1:10" x14ac:dyDescent="0.25">
      <c r="A617" s="90">
        <v>36048</v>
      </c>
      <c r="B617" s="17">
        <v>9.98</v>
      </c>
      <c r="C617" s="17"/>
      <c r="F617"/>
      <c r="G617"/>
      <c r="H617"/>
      <c r="I617"/>
      <c r="J617"/>
    </row>
    <row r="618" spans="1:10" x14ac:dyDescent="0.25">
      <c r="A618" s="90">
        <v>36049</v>
      </c>
      <c r="B618" s="17">
        <v>9.98</v>
      </c>
      <c r="C618" s="17"/>
      <c r="F618"/>
      <c r="G618"/>
      <c r="H618"/>
      <c r="I618"/>
      <c r="J618"/>
    </row>
    <row r="619" spans="1:10" x14ac:dyDescent="0.25">
      <c r="A619" s="90">
        <v>36052</v>
      </c>
      <c r="B619" s="17">
        <v>10.48</v>
      </c>
      <c r="C619" s="17"/>
      <c r="F619"/>
      <c r="G619"/>
      <c r="H619"/>
      <c r="I619"/>
      <c r="J619"/>
    </row>
    <row r="620" spans="1:10" x14ac:dyDescent="0.25">
      <c r="A620" s="90">
        <v>36053</v>
      </c>
      <c r="B620" s="17">
        <v>10.55</v>
      </c>
      <c r="C620" s="17"/>
      <c r="F620"/>
      <c r="G620"/>
      <c r="H620"/>
      <c r="I620"/>
      <c r="J620"/>
    </row>
    <row r="621" spans="1:10" x14ac:dyDescent="0.25">
      <c r="A621" s="90">
        <v>36054</v>
      </c>
      <c r="B621" s="17">
        <v>11.67</v>
      </c>
      <c r="C621" s="17"/>
      <c r="F621"/>
      <c r="G621"/>
      <c r="H621"/>
      <c r="I621"/>
      <c r="J621"/>
    </row>
    <row r="622" spans="1:10" x14ac:dyDescent="0.25">
      <c r="A622" s="90">
        <v>36055</v>
      </c>
      <c r="B622" s="17">
        <v>11.26</v>
      </c>
      <c r="C622" s="17"/>
      <c r="F622"/>
      <c r="G622"/>
      <c r="H622"/>
      <c r="I622"/>
      <c r="J622"/>
    </row>
    <row r="623" spans="1:10" x14ac:dyDescent="0.25">
      <c r="A623" s="90">
        <v>36056</v>
      </c>
      <c r="B623" s="17">
        <v>11.3</v>
      </c>
      <c r="C623" s="17"/>
      <c r="F623"/>
      <c r="G623"/>
      <c r="H623"/>
      <c r="I623"/>
      <c r="J623"/>
    </row>
    <row r="624" spans="1:10" x14ac:dyDescent="0.25">
      <c r="A624" s="90">
        <v>36059</v>
      </c>
      <c r="B624" s="17">
        <v>12.04</v>
      </c>
      <c r="C624" s="17"/>
      <c r="F624"/>
      <c r="G624"/>
      <c r="H624"/>
      <c r="I624"/>
      <c r="J624"/>
    </row>
    <row r="625" spans="1:10" x14ac:dyDescent="0.25">
      <c r="A625" s="90">
        <v>36060</v>
      </c>
      <c r="B625" s="17">
        <v>12.87</v>
      </c>
      <c r="C625" s="17"/>
      <c r="F625"/>
      <c r="G625"/>
      <c r="H625"/>
      <c r="I625"/>
      <c r="J625"/>
    </row>
    <row r="626" spans="1:10" x14ac:dyDescent="0.25">
      <c r="A626" s="90">
        <v>36061</v>
      </c>
      <c r="B626" s="17">
        <v>14.73</v>
      </c>
      <c r="C626" s="17"/>
      <c r="F626"/>
      <c r="G626"/>
      <c r="H626"/>
      <c r="I626"/>
      <c r="J626"/>
    </row>
    <row r="627" spans="1:10" x14ac:dyDescent="0.25">
      <c r="A627" s="90">
        <v>36062</v>
      </c>
      <c r="B627" s="17">
        <v>14.41</v>
      </c>
      <c r="C627" s="17"/>
      <c r="F627"/>
      <c r="G627"/>
      <c r="H627"/>
      <c r="I627"/>
      <c r="J627"/>
    </row>
    <row r="628" spans="1:10" x14ac:dyDescent="0.25">
      <c r="A628" s="90">
        <v>36063</v>
      </c>
      <c r="B628" s="17">
        <v>15.12</v>
      </c>
      <c r="C628" s="17"/>
      <c r="F628"/>
      <c r="G628"/>
      <c r="H628"/>
      <c r="I628"/>
      <c r="J628"/>
    </row>
    <row r="629" spans="1:10" x14ac:dyDescent="0.25">
      <c r="A629" s="90">
        <v>36066</v>
      </c>
      <c r="B629" s="17">
        <v>15.99</v>
      </c>
      <c r="C629" s="17"/>
      <c r="F629"/>
      <c r="G629"/>
      <c r="H629"/>
      <c r="I629"/>
      <c r="J629"/>
    </row>
    <row r="630" spans="1:10" x14ac:dyDescent="0.25">
      <c r="A630" s="90">
        <v>36067</v>
      </c>
      <c r="B630" s="17">
        <v>16.440000000000001</v>
      </c>
      <c r="C630" s="17"/>
      <c r="F630"/>
      <c r="G630"/>
      <c r="H630"/>
      <c r="I630"/>
      <c r="J630"/>
    </row>
    <row r="631" spans="1:10" x14ac:dyDescent="0.25">
      <c r="A631" s="90">
        <v>36068</v>
      </c>
      <c r="B631" s="17">
        <v>16.190000000000001</v>
      </c>
      <c r="C631" s="17"/>
      <c r="F631"/>
      <c r="G631"/>
      <c r="H631"/>
      <c r="I631"/>
      <c r="J631"/>
    </row>
    <row r="632" spans="1:10" x14ac:dyDescent="0.25">
      <c r="A632" s="90">
        <v>36069</v>
      </c>
      <c r="B632" s="17">
        <v>14.12</v>
      </c>
      <c r="C632" s="17"/>
      <c r="F632"/>
      <c r="G632"/>
      <c r="H632"/>
      <c r="I632"/>
      <c r="J632"/>
    </row>
    <row r="633" spans="1:10" x14ac:dyDescent="0.25">
      <c r="A633" s="90">
        <v>36070</v>
      </c>
      <c r="B633" s="17">
        <v>15.88</v>
      </c>
      <c r="C633" s="17"/>
      <c r="F633"/>
      <c r="G633"/>
      <c r="H633"/>
      <c r="I633"/>
      <c r="J633"/>
    </row>
    <row r="634" spans="1:10" x14ac:dyDescent="0.25">
      <c r="A634" s="90">
        <v>36073</v>
      </c>
      <c r="B634" s="17">
        <v>15.73</v>
      </c>
      <c r="C634" s="17"/>
      <c r="F634"/>
      <c r="G634"/>
      <c r="H634"/>
      <c r="I634"/>
      <c r="J634"/>
    </row>
    <row r="635" spans="1:10" x14ac:dyDescent="0.25">
      <c r="A635" s="90">
        <v>36074</v>
      </c>
      <c r="B635" s="17">
        <v>15.6</v>
      </c>
      <c r="C635" s="17"/>
      <c r="F635"/>
      <c r="G635"/>
      <c r="H635"/>
      <c r="I635"/>
      <c r="J635"/>
    </row>
    <row r="636" spans="1:10" x14ac:dyDescent="0.25">
      <c r="A636" s="90">
        <v>36075</v>
      </c>
      <c r="B636" s="17">
        <v>14.3</v>
      </c>
      <c r="C636" s="17"/>
      <c r="F636"/>
      <c r="G636"/>
      <c r="H636"/>
      <c r="I636"/>
      <c r="J636"/>
    </row>
    <row r="637" spans="1:10" x14ac:dyDescent="0.25">
      <c r="A637" s="90">
        <v>36076</v>
      </c>
      <c r="B637" s="17">
        <v>13.1</v>
      </c>
      <c r="C637" s="17"/>
      <c r="F637"/>
      <c r="G637"/>
      <c r="H637"/>
      <c r="I637"/>
      <c r="J637"/>
    </row>
    <row r="638" spans="1:10" x14ac:dyDescent="0.25">
      <c r="A638" s="90">
        <v>36077</v>
      </c>
      <c r="B638" s="17">
        <v>13.2</v>
      </c>
      <c r="C638" s="17"/>
      <c r="F638"/>
      <c r="G638"/>
      <c r="H638"/>
      <c r="I638"/>
      <c r="J638"/>
    </row>
    <row r="639" spans="1:10" x14ac:dyDescent="0.25">
      <c r="A639" s="90">
        <v>36080</v>
      </c>
      <c r="B639" s="17">
        <v>14.3</v>
      </c>
      <c r="C639" s="17"/>
      <c r="F639"/>
      <c r="G639"/>
      <c r="H639"/>
      <c r="I639"/>
      <c r="J639"/>
    </row>
    <row r="640" spans="1:10" x14ac:dyDescent="0.25">
      <c r="A640" s="90">
        <v>36081</v>
      </c>
      <c r="B640" s="17">
        <v>13.74</v>
      </c>
      <c r="C640" s="17"/>
      <c r="F640"/>
      <c r="G640"/>
      <c r="H640"/>
      <c r="I640"/>
      <c r="J640"/>
    </row>
    <row r="641" spans="1:10" x14ac:dyDescent="0.25">
      <c r="A641" s="90">
        <v>36082</v>
      </c>
      <c r="B641" s="17">
        <v>13.98</v>
      </c>
      <c r="C641" s="17"/>
      <c r="F641"/>
      <c r="G641"/>
      <c r="H641"/>
      <c r="I641"/>
      <c r="J641"/>
    </row>
    <row r="642" spans="1:10" x14ac:dyDescent="0.25">
      <c r="A642" s="90">
        <v>36083</v>
      </c>
      <c r="B642" s="17">
        <v>14.92</v>
      </c>
      <c r="C642" s="17"/>
      <c r="F642"/>
      <c r="G642"/>
      <c r="H642"/>
      <c r="I642"/>
      <c r="J642"/>
    </row>
    <row r="643" spans="1:10" x14ac:dyDescent="0.25">
      <c r="A643" s="90">
        <v>36084</v>
      </c>
      <c r="B643" s="17">
        <v>14.45</v>
      </c>
      <c r="C643" s="17"/>
      <c r="F643"/>
      <c r="G643"/>
      <c r="H643"/>
      <c r="I643"/>
      <c r="J643"/>
    </row>
    <row r="644" spans="1:10" x14ac:dyDescent="0.25">
      <c r="A644" s="90">
        <v>36087</v>
      </c>
      <c r="B644" s="17">
        <v>14.69</v>
      </c>
      <c r="C644" s="17"/>
      <c r="F644"/>
      <c r="G644"/>
      <c r="H644"/>
      <c r="I644"/>
      <c r="J644"/>
    </row>
    <row r="645" spans="1:10" x14ac:dyDescent="0.25">
      <c r="A645" s="90">
        <v>36088</v>
      </c>
      <c r="B645" s="17">
        <v>14.44</v>
      </c>
      <c r="C645" s="17"/>
      <c r="F645"/>
      <c r="G645"/>
      <c r="H645"/>
      <c r="I645"/>
      <c r="J645"/>
    </row>
    <row r="646" spans="1:10" x14ac:dyDescent="0.25">
      <c r="A646" s="90">
        <v>36089</v>
      </c>
      <c r="B646" s="17">
        <v>14.97</v>
      </c>
      <c r="C646" s="17"/>
      <c r="F646"/>
      <c r="G646"/>
      <c r="H646"/>
      <c r="I646"/>
      <c r="J646"/>
    </row>
    <row r="647" spans="1:10" x14ac:dyDescent="0.25">
      <c r="A647" s="90">
        <v>36090</v>
      </c>
      <c r="B647" s="17">
        <v>15.27</v>
      </c>
      <c r="C647" s="17"/>
      <c r="F647"/>
      <c r="G647"/>
      <c r="H647"/>
      <c r="I647"/>
      <c r="J647"/>
    </row>
    <row r="648" spans="1:10" x14ac:dyDescent="0.25">
      <c r="A648" s="90">
        <v>36091</v>
      </c>
      <c r="B648" s="17">
        <v>15.27</v>
      </c>
      <c r="C648" s="17"/>
      <c r="F648"/>
      <c r="G648"/>
      <c r="H648"/>
      <c r="I648"/>
      <c r="J648"/>
    </row>
    <row r="649" spans="1:10" x14ac:dyDescent="0.25">
      <c r="A649" s="90">
        <v>36094</v>
      </c>
      <c r="B649" s="17">
        <v>15.99</v>
      </c>
      <c r="C649" s="17"/>
      <c r="F649"/>
      <c r="G649"/>
      <c r="H649"/>
      <c r="I649"/>
      <c r="J649"/>
    </row>
    <row r="650" spans="1:10" x14ac:dyDescent="0.25">
      <c r="A650" s="90">
        <v>36095</v>
      </c>
      <c r="B650" s="17">
        <v>15.47</v>
      </c>
      <c r="C650" s="17"/>
      <c r="F650"/>
      <c r="G650"/>
      <c r="H650"/>
      <c r="I650"/>
      <c r="J650"/>
    </row>
    <row r="651" spans="1:10" x14ac:dyDescent="0.25">
      <c r="A651" s="90">
        <v>36096</v>
      </c>
      <c r="B651" s="17">
        <v>15.84</v>
      </c>
      <c r="C651" s="17"/>
      <c r="F651"/>
      <c r="G651"/>
      <c r="H651"/>
      <c r="I651"/>
      <c r="J651"/>
    </row>
    <row r="652" spans="1:10" x14ac:dyDescent="0.25">
      <c r="A652" s="90">
        <v>36097</v>
      </c>
      <c r="B652" s="17">
        <v>16.399999999999999</v>
      </c>
      <c r="C652" s="17"/>
      <c r="F652"/>
      <c r="G652"/>
      <c r="H652"/>
      <c r="I652"/>
      <c r="J652"/>
    </row>
    <row r="653" spans="1:10" x14ac:dyDescent="0.25">
      <c r="A653" s="90">
        <v>36098</v>
      </c>
      <c r="B653" s="17">
        <v>16.36</v>
      </c>
      <c r="C653" s="17"/>
      <c r="F653"/>
      <c r="G653"/>
      <c r="H653"/>
      <c r="I653"/>
      <c r="J653"/>
    </row>
    <row r="654" spans="1:10" x14ac:dyDescent="0.25">
      <c r="A654" s="90">
        <v>36101</v>
      </c>
      <c r="B654" s="17">
        <v>18.18</v>
      </c>
      <c r="C654" s="17"/>
      <c r="F654"/>
      <c r="G654"/>
      <c r="H654"/>
      <c r="I654"/>
      <c r="J654"/>
    </row>
    <row r="655" spans="1:10" x14ac:dyDescent="0.25">
      <c r="A655" s="90">
        <v>36102</v>
      </c>
      <c r="B655" s="17">
        <v>17.77</v>
      </c>
      <c r="C655" s="17"/>
      <c r="F655"/>
      <c r="G655"/>
      <c r="H655"/>
      <c r="I655"/>
      <c r="J655"/>
    </row>
    <row r="656" spans="1:10" x14ac:dyDescent="0.25">
      <c r="A656" s="90">
        <v>36103</v>
      </c>
      <c r="B656" s="17">
        <v>18.920000000000002</v>
      </c>
      <c r="C656" s="17"/>
      <c r="F656"/>
      <c r="G656"/>
      <c r="H656"/>
      <c r="I656"/>
      <c r="J656"/>
    </row>
    <row r="657" spans="1:10" x14ac:dyDescent="0.25">
      <c r="A657" s="90">
        <v>36104</v>
      </c>
      <c r="B657" s="17">
        <v>18.96</v>
      </c>
      <c r="C657" s="17"/>
      <c r="F657"/>
      <c r="G657"/>
      <c r="H657"/>
      <c r="I657"/>
      <c r="J657"/>
    </row>
    <row r="658" spans="1:10" x14ac:dyDescent="0.25">
      <c r="A658" s="90">
        <v>36105</v>
      </c>
      <c r="B658" s="17">
        <v>19.2</v>
      </c>
      <c r="C658" s="17"/>
      <c r="F658"/>
      <c r="G658"/>
      <c r="H658"/>
      <c r="I658"/>
      <c r="J658"/>
    </row>
    <row r="659" spans="1:10" x14ac:dyDescent="0.25">
      <c r="A659" s="90">
        <v>36108</v>
      </c>
      <c r="B659" s="17">
        <v>20.59</v>
      </c>
      <c r="C659" s="17"/>
      <c r="F659"/>
      <c r="G659"/>
      <c r="H659"/>
      <c r="I659"/>
      <c r="J659"/>
    </row>
    <row r="660" spans="1:10" x14ac:dyDescent="0.25">
      <c r="A660" s="90">
        <v>36109</v>
      </c>
      <c r="B660" s="17">
        <v>22.07</v>
      </c>
      <c r="C660" s="17"/>
      <c r="F660"/>
      <c r="G660"/>
      <c r="H660"/>
      <c r="I660"/>
      <c r="J660"/>
    </row>
    <row r="661" spans="1:10" x14ac:dyDescent="0.25">
      <c r="A661" s="90">
        <v>36110</v>
      </c>
      <c r="B661" s="17">
        <v>20.62</v>
      </c>
      <c r="C661" s="17"/>
      <c r="F661"/>
      <c r="G661"/>
      <c r="H661"/>
      <c r="I661"/>
      <c r="J661"/>
    </row>
    <row r="662" spans="1:10" x14ac:dyDescent="0.25">
      <c r="A662" s="90">
        <v>36111</v>
      </c>
      <c r="B662" s="17">
        <v>21.66</v>
      </c>
      <c r="C662" s="17"/>
      <c r="F662"/>
      <c r="G662"/>
      <c r="H662"/>
      <c r="I662"/>
      <c r="J662"/>
    </row>
    <row r="663" spans="1:10" x14ac:dyDescent="0.25">
      <c r="A663" s="90">
        <v>36112</v>
      </c>
      <c r="B663" s="17">
        <v>21</v>
      </c>
      <c r="C663" s="17"/>
      <c r="F663"/>
      <c r="G663"/>
      <c r="H663"/>
      <c r="I663"/>
      <c r="J663"/>
    </row>
    <row r="664" spans="1:10" x14ac:dyDescent="0.25">
      <c r="A664" s="90">
        <v>36115</v>
      </c>
      <c r="B664" s="17">
        <v>21.66</v>
      </c>
      <c r="C664" s="17"/>
      <c r="F664"/>
      <c r="G664"/>
      <c r="H664"/>
      <c r="I664"/>
      <c r="J664"/>
    </row>
    <row r="665" spans="1:10" x14ac:dyDescent="0.25">
      <c r="A665" s="90">
        <v>36116</v>
      </c>
      <c r="B665" s="17">
        <v>22.09</v>
      </c>
      <c r="C665" s="17"/>
      <c r="F665"/>
      <c r="G665"/>
      <c r="H665"/>
      <c r="I665"/>
      <c r="J665"/>
    </row>
    <row r="666" spans="1:10" x14ac:dyDescent="0.25">
      <c r="A666" s="90">
        <v>36117</v>
      </c>
      <c r="B666" s="17">
        <v>23.77</v>
      </c>
      <c r="C666" s="17"/>
      <c r="F666"/>
      <c r="G666"/>
      <c r="H666"/>
      <c r="I666"/>
      <c r="J666"/>
    </row>
    <row r="667" spans="1:10" x14ac:dyDescent="0.25">
      <c r="A667" s="90">
        <v>36118</v>
      </c>
      <c r="B667" s="17">
        <v>23.23</v>
      </c>
      <c r="C667" s="17"/>
      <c r="F667"/>
      <c r="G667"/>
      <c r="H667"/>
      <c r="I667"/>
      <c r="J667"/>
    </row>
    <row r="668" spans="1:10" x14ac:dyDescent="0.25">
      <c r="A668" s="90">
        <v>36119</v>
      </c>
      <c r="B668" s="17">
        <v>23.88</v>
      </c>
      <c r="C668" s="17"/>
      <c r="F668"/>
      <c r="G668"/>
      <c r="H668"/>
      <c r="I668"/>
      <c r="J668"/>
    </row>
    <row r="669" spans="1:10" x14ac:dyDescent="0.25">
      <c r="A669" s="90">
        <v>36122</v>
      </c>
      <c r="B669" s="17">
        <v>27.68</v>
      </c>
      <c r="C669" s="17"/>
      <c r="F669"/>
      <c r="G669"/>
      <c r="H669"/>
      <c r="I669"/>
      <c r="J669"/>
    </row>
    <row r="670" spans="1:10" x14ac:dyDescent="0.25">
      <c r="A670" s="90">
        <v>36123</v>
      </c>
      <c r="B670" s="17">
        <v>26.28</v>
      </c>
      <c r="C670" s="17"/>
      <c r="F670"/>
      <c r="G670"/>
      <c r="H670"/>
      <c r="I670"/>
      <c r="J670"/>
    </row>
    <row r="671" spans="1:10" x14ac:dyDescent="0.25">
      <c r="A671" s="90">
        <v>36124</v>
      </c>
      <c r="B671" s="17">
        <v>26.23</v>
      </c>
      <c r="C671" s="17"/>
      <c r="F671"/>
      <c r="G671"/>
      <c r="H671"/>
      <c r="I671"/>
      <c r="J671"/>
    </row>
    <row r="672" spans="1:10" x14ac:dyDescent="0.25">
      <c r="A672" s="90">
        <v>36126</v>
      </c>
      <c r="B672" s="17">
        <v>27.12</v>
      </c>
      <c r="C672" s="17"/>
      <c r="F672"/>
      <c r="G672"/>
      <c r="H672"/>
      <c r="I672"/>
      <c r="J672"/>
    </row>
    <row r="673" spans="1:10" x14ac:dyDescent="0.25">
      <c r="A673" s="90">
        <v>36129</v>
      </c>
      <c r="B673" s="17">
        <v>24</v>
      </c>
      <c r="C673" s="17"/>
      <c r="F673"/>
      <c r="G673"/>
      <c r="H673"/>
      <c r="I673"/>
      <c r="J673"/>
    </row>
    <row r="674" spans="1:10" x14ac:dyDescent="0.25">
      <c r="A674" s="90">
        <v>36130</v>
      </c>
      <c r="B674" s="17">
        <v>25.78</v>
      </c>
      <c r="C674" s="17"/>
      <c r="F674"/>
      <c r="G674"/>
      <c r="H674"/>
      <c r="I674"/>
      <c r="J674"/>
    </row>
    <row r="675" spans="1:10" x14ac:dyDescent="0.25">
      <c r="A675" s="90">
        <v>36131</v>
      </c>
      <c r="B675" s="17">
        <v>24.63</v>
      </c>
      <c r="C675" s="17"/>
      <c r="F675"/>
      <c r="G675"/>
      <c r="H675"/>
      <c r="I675"/>
      <c r="J675"/>
    </row>
    <row r="676" spans="1:10" x14ac:dyDescent="0.25">
      <c r="A676" s="90">
        <v>36132</v>
      </c>
      <c r="B676" s="17">
        <v>22.97</v>
      </c>
      <c r="C676" s="17"/>
      <c r="F676"/>
      <c r="G676"/>
      <c r="H676"/>
      <c r="I676"/>
      <c r="J676"/>
    </row>
    <row r="677" spans="1:10" x14ac:dyDescent="0.25">
      <c r="A677" s="90">
        <v>36133</v>
      </c>
      <c r="B677" s="17">
        <v>23.72</v>
      </c>
      <c r="C677" s="17"/>
      <c r="F677"/>
      <c r="G677"/>
      <c r="H677"/>
      <c r="I677"/>
      <c r="J677"/>
    </row>
    <row r="678" spans="1:10" x14ac:dyDescent="0.25">
      <c r="A678" s="90">
        <v>36136</v>
      </c>
      <c r="B678" s="17">
        <v>23.82</v>
      </c>
      <c r="C678" s="17"/>
      <c r="F678"/>
      <c r="G678"/>
      <c r="H678"/>
      <c r="I678"/>
      <c r="J678"/>
    </row>
    <row r="679" spans="1:10" x14ac:dyDescent="0.25">
      <c r="A679" s="90">
        <v>36137</v>
      </c>
      <c r="B679" s="17">
        <v>24.81</v>
      </c>
      <c r="C679" s="17"/>
      <c r="F679"/>
      <c r="G679"/>
      <c r="H679"/>
      <c r="I679"/>
      <c r="J679"/>
    </row>
    <row r="680" spans="1:10" x14ac:dyDescent="0.25">
      <c r="A680" s="90">
        <v>36138</v>
      </c>
      <c r="B680" s="17">
        <v>24.73</v>
      </c>
      <c r="C680" s="17"/>
      <c r="F680"/>
      <c r="G680"/>
      <c r="H680"/>
      <c r="I680"/>
      <c r="J680"/>
    </row>
    <row r="681" spans="1:10" x14ac:dyDescent="0.25">
      <c r="A681" s="90">
        <v>36139</v>
      </c>
      <c r="B681" s="17">
        <v>24.09</v>
      </c>
      <c r="C681" s="17"/>
      <c r="F681"/>
      <c r="G681"/>
      <c r="H681"/>
      <c r="I681"/>
      <c r="J681"/>
    </row>
    <row r="682" spans="1:10" x14ac:dyDescent="0.25">
      <c r="A682" s="90">
        <v>36140</v>
      </c>
      <c r="B682" s="17">
        <v>24.46</v>
      </c>
      <c r="C682" s="17"/>
      <c r="F682"/>
      <c r="G682"/>
      <c r="H682"/>
      <c r="I682"/>
      <c r="J682"/>
    </row>
    <row r="683" spans="1:10" x14ac:dyDescent="0.25">
      <c r="A683" s="90">
        <v>36143</v>
      </c>
      <c r="B683" s="17">
        <v>23.91</v>
      </c>
      <c r="C683" s="17"/>
      <c r="F683"/>
      <c r="G683"/>
      <c r="H683"/>
      <c r="I683"/>
      <c r="J683"/>
    </row>
    <row r="684" spans="1:10" x14ac:dyDescent="0.25">
      <c r="A684" s="90">
        <v>36144</v>
      </c>
      <c r="B684" s="17">
        <v>24.75</v>
      </c>
      <c r="C684" s="17"/>
      <c r="F684"/>
      <c r="G684"/>
      <c r="H684"/>
      <c r="I684"/>
      <c r="J684"/>
    </row>
    <row r="685" spans="1:10" x14ac:dyDescent="0.25">
      <c r="A685" s="90">
        <v>36145</v>
      </c>
      <c r="B685" s="17">
        <v>25.64</v>
      </c>
      <c r="C685" s="17"/>
      <c r="F685"/>
      <c r="G685"/>
      <c r="H685"/>
      <c r="I685"/>
      <c r="J685"/>
    </row>
    <row r="686" spans="1:10" x14ac:dyDescent="0.25">
      <c r="A686" s="90">
        <v>36146</v>
      </c>
      <c r="B686" s="17">
        <v>25.69</v>
      </c>
      <c r="C686" s="17"/>
      <c r="F686"/>
      <c r="G686"/>
      <c r="H686"/>
      <c r="I686"/>
      <c r="J686"/>
    </row>
    <row r="687" spans="1:10" x14ac:dyDescent="0.25">
      <c r="A687" s="90">
        <v>36147</v>
      </c>
      <c r="B687" s="17">
        <v>26.54</v>
      </c>
      <c r="C687" s="17"/>
      <c r="F687"/>
      <c r="G687"/>
      <c r="H687"/>
      <c r="I687"/>
      <c r="J687"/>
    </row>
    <row r="688" spans="1:10" x14ac:dyDescent="0.25">
      <c r="A688" s="90">
        <v>36150</v>
      </c>
      <c r="B688" s="17">
        <v>30.94</v>
      </c>
      <c r="C688" s="17"/>
      <c r="F688"/>
      <c r="G688"/>
      <c r="H688"/>
      <c r="I688"/>
      <c r="J688"/>
    </row>
    <row r="689" spans="1:10" x14ac:dyDescent="0.25">
      <c r="A689" s="90">
        <v>36151</v>
      </c>
      <c r="B689" s="17">
        <v>30.62</v>
      </c>
      <c r="C689" s="17"/>
      <c r="F689"/>
      <c r="G689"/>
      <c r="H689"/>
      <c r="I689"/>
      <c r="J689"/>
    </row>
    <row r="690" spans="1:10" x14ac:dyDescent="0.25">
      <c r="A690" s="90">
        <v>36152</v>
      </c>
      <c r="B690" s="17">
        <v>31.25</v>
      </c>
      <c r="C690" s="17"/>
      <c r="F690"/>
      <c r="G690"/>
      <c r="H690"/>
      <c r="I690"/>
      <c r="J690"/>
    </row>
    <row r="691" spans="1:10" x14ac:dyDescent="0.25">
      <c r="A691" s="90">
        <v>36153</v>
      </c>
      <c r="B691" s="17">
        <v>30.89</v>
      </c>
      <c r="C691" s="17"/>
      <c r="F691"/>
      <c r="G691"/>
      <c r="H691"/>
      <c r="I691"/>
      <c r="J691"/>
    </row>
    <row r="692" spans="1:10" x14ac:dyDescent="0.25">
      <c r="A692" s="90">
        <v>36157</v>
      </c>
      <c r="B692" s="17">
        <v>34.44</v>
      </c>
      <c r="C692" s="17"/>
      <c r="F692"/>
      <c r="G692"/>
      <c r="H692"/>
      <c r="I692"/>
      <c r="J692"/>
    </row>
    <row r="693" spans="1:10" x14ac:dyDescent="0.25">
      <c r="A693" s="90">
        <v>36158</v>
      </c>
      <c r="B693" s="17">
        <v>33.75</v>
      </c>
      <c r="C693" s="17"/>
      <c r="F693"/>
      <c r="G693"/>
      <c r="H693"/>
      <c r="I693"/>
      <c r="J693"/>
    </row>
    <row r="694" spans="1:10" x14ac:dyDescent="0.25">
      <c r="A694" s="90">
        <v>36159</v>
      </c>
      <c r="B694" s="17">
        <v>30.58</v>
      </c>
      <c r="C694" s="17"/>
      <c r="F694"/>
      <c r="G694"/>
      <c r="H694"/>
      <c r="I694"/>
      <c r="J694"/>
    </row>
    <row r="695" spans="1:10" x14ac:dyDescent="0.25">
      <c r="A695" s="90">
        <v>36160</v>
      </c>
      <c r="B695" s="17">
        <v>29.62</v>
      </c>
      <c r="C695" s="17"/>
      <c r="F695"/>
      <c r="G695"/>
      <c r="H695"/>
      <c r="I695"/>
      <c r="J695"/>
    </row>
    <row r="696" spans="1:10" x14ac:dyDescent="0.25">
      <c r="A696" s="90">
        <v>36164</v>
      </c>
      <c r="B696" s="17">
        <v>31</v>
      </c>
      <c r="C696" s="17"/>
      <c r="F696"/>
      <c r="G696"/>
      <c r="H696"/>
      <c r="I696"/>
      <c r="J696"/>
    </row>
    <row r="697" spans="1:10" x14ac:dyDescent="0.25">
      <c r="A697" s="90">
        <v>36165</v>
      </c>
      <c r="B697" s="17">
        <v>32.229999999999997</v>
      </c>
      <c r="C697" s="17"/>
      <c r="F697"/>
      <c r="G697"/>
      <c r="H697"/>
      <c r="I697"/>
      <c r="J697"/>
    </row>
    <row r="698" spans="1:10" x14ac:dyDescent="0.25">
      <c r="A698" s="90">
        <v>36166</v>
      </c>
      <c r="B698" s="17">
        <v>36.380000000000003</v>
      </c>
      <c r="C698" s="17"/>
      <c r="F698"/>
      <c r="G698"/>
      <c r="H698"/>
      <c r="I698"/>
      <c r="J698"/>
    </row>
    <row r="699" spans="1:10" x14ac:dyDescent="0.25">
      <c r="A699" s="90">
        <v>36167</v>
      </c>
      <c r="B699" s="17">
        <v>40</v>
      </c>
      <c r="C699" s="17"/>
      <c r="F699"/>
      <c r="G699"/>
      <c r="H699"/>
      <c r="I699"/>
      <c r="J699"/>
    </row>
    <row r="700" spans="1:10" x14ac:dyDescent="0.25">
      <c r="A700" s="90">
        <v>36168</v>
      </c>
      <c r="B700" s="17">
        <v>42.95</v>
      </c>
      <c r="C700" s="17"/>
      <c r="F700"/>
      <c r="G700"/>
      <c r="H700"/>
      <c r="I700"/>
      <c r="J700"/>
    </row>
    <row r="701" spans="1:10" x14ac:dyDescent="0.25">
      <c r="A701" s="90">
        <v>36171</v>
      </c>
      <c r="B701" s="17">
        <v>51.92</v>
      </c>
      <c r="C701" s="17"/>
      <c r="F701"/>
      <c r="G701"/>
      <c r="H701"/>
      <c r="I701"/>
      <c r="J701"/>
    </row>
    <row r="702" spans="1:10" x14ac:dyDescent="0.25">
      <c r="A702" s="90">
        <v>36172</v>
      </c>
      <c r="B702" s="17">
        <v>50.25</v>
      </c>
      <c r="C702" s="17"/>
      <c r="F702"/>
      <c r="G702"/>
      <c r="H702"/>
      <c r="I702"/>
      <c r="J702"/>
    </row>
    <row r="703" spans="1:10" x14ac:dyDescent="0.25">
      <c r="A703" s="90">
        <v>36173</v>
      </c>
      <c r="B703" s="17">
        <v>46</v>
      </c>
      <c r="C703" s="17"/>
      <c r="F703"/>
      <c r="G703"/>
      <c r="H703"/>
      <c r="I703"/>
      <c r="J703"/>
    </row>
    <row r="704" spans="1:10" x14ac:dyDescent="0.25">
      <c r="A704" s="90">
        <v>36174</v>
      </c>
      <c r="B704" s="17">
        <v>42.99</v>
      </c>
      <c r="C704" s="17"/>
      <c r="F704"/>
      <c r="G704"/>
      <c r="H704"/>
      <c r="I704"/>
      <c r="J704"/>
    </row>
    <row r="705" spans="1:10" x14ac:dyDescent="0.25">
      <c r="A705" s="90">
        <v>36175</v>
      </c>
      <c r="B705" s="17">
        <v>39.619999999999997</v>
      </c>
      <c r="C705" s="17"/>
      <c r="F705"/>
      <c r="G705"/>
      <c r="H705"/>
      <c r="I705"/>
      <c r="J705"/>
    </row>
    <row r="706" spans="1:10" x14ac:dyDescent="0.25">
      <c r="A706" s="90">
        <v>36179</v>
      </c>
      <c r="B706" s="17">
        <v>40.380000000000003</v>
      </c>
      <c r="C706" s="17"/>
      <c r="F706"/>
      <c r="G706"/>
      <c r="H706"/>
      <c r="I706"/>
      <c r="J706"/>
    </row>
    <row r="707" spans="1:10" x14ac:dyDescent="0.25">
      <c r="A707" s="90">
        <v>36180</v>
      </c>
      <c r="B707" s="17">
        <v>35.9</v>
      </c>
      <c r="C707" s="17"/>
      <c r="F707"/>
      <c r="G707"/>
      <c r="H707"/>
      <c r="I707"/>
      <c r="J707"/>
    </row>
    <row r="708" spans="1:10" x14ac:dyDescent="0.25">
      <c r="A708" s="90">
        <v>36181</v>
      </c>
      <c r="B708" s="17">
        <v>33.119999999999997</v>
      </c>
      <c r="C708" s="17"/>
      <c r="F708"/>
      <c r="G708"/>
      <c r="H708"/>
      <c r="I708"/>
      <c r="J708"/>
    </row>
    <row r="709" spans="1:10" x14ac:dyDescent="0.25">
      <c r="A709" s="90">
        <v>36182</v>
      </c>
      <c r="B709" s="17">
        <v>35.75</v>
      </c>
      <c r="C709" s="17"/>
      <c r="F709"/>
      <c r="G709"/>
      <c r="H709"/>
      <c r="I709"/>
      <c r="J709"/>
    </row>
    <row r="710" spans="1:10" x14ac:dyDescent="0.25">
      <c r="A710" s="90">
        <v>36185</v>
      </c>
      <c r="B710" s="17">
        <v>39</v>
      </c>
      <c r="C710" s="17"/>
      <c r="F710"/>
      <c r="G710"/>
      <c r="H710"/>
      <c r="I710"/>
      <c r="J710"/>
    </row>
    <row r="711" spans="1:10" x14ac:dyDescent="0.25">
      <c r="A711" s="90">
        <v>36186</v>
      </c>
      <c r="B711" s="17">
        <v>43.91</v>
      </c>
      <c r="C711" s="17"/>
      <c r="F711"/>
      <c r="G711"/>
      <c r="H711"/>
      <c r="I711"/>
      <c r="J711"/>
    </row>
    <row r="712" spans="1:10" x14ac:dyDescent="0.25">
      <c r="A712" s="90">
        <v>36187</v>
      </c>
      <c r="B712" s="17">
        <v>41.98</v>
      </c>
      <c r="C712" s="17"/>
      <c r="F712"/>
      <c r="G712"/>
      <c r="H712"/>
      <c r="I712"/>
      <c r="J712"/>
    </row>
    <row r="713" spans="1:10" x14ac:dyDescent="0.25">
      <c r="A713" s="90">
        <v>36188</v>
      </c>
      <c r="B713" s="17">
        <v>45.97</v>
      </c>
      <c r="C713" s="17"/>
      <c r="F713"/>
      <c r="G713"/>
      <c r="H713"/>
      <c r="I713"/>
      <c r="J713"/>
    </row>
    <row r="714" spans="1:10" x14ac:dyDescent="0.25">
      <c r="A714" s="90">
        <v>36189</v>
      </c>
      <c r="B714" s="17">
        <v>44.28</v>
      </c>
      <c r="C714" s="17"/>
      <c r="F714"/>
      <c r="G714"/>
      <c r="H714"/>
      <c r="I714"/>
      <c r="J714"/>
    </row>
    <row r="715" spans="1:10" x14ac:dyDescent="0.25">
      <c r="A715" s="90">
        <v>36192</v>
      </c>
      <c r="B715" s="17">
        <v>41.95</v>
      </c>
      <c r="C715" s="17"/>
      <c r="F715"/>
      <c r="G715"/>
      <c r="H715"/>
      <c r="I715"/>
      <c r="J715"/>
    </row>
    <row r="716" spans="1:10" x14ac:dyDescent="0.25">
      <c r="A716" s="90">
        <v>36193</v>
      </c>
      <c r="B716" s="17">
        <v>40.369999999999997</v>
      </c>
      <c r="C716" s="17"/>
      <c r="F716"/>
      <c r="G716"/>
      <c r="H716"/>
      <c r="I716"/>
      <c r="J716"/>
    </row>
    <row r="717" spans="1:10" x14ac:dyDescent="0.25">
      <c r="A717" s="90">
        <v>36194</v>
      </c>
      <c r="B717" s="17">
        <v>44.76</v>
      </c>
      <c r="C717" s="17"/>
      <c r="F717"/>
      <c r="G717"/>
      <c r="H717"/>
      <c r="I717"/>
      <c r="J717"/>
    </row>
    <row r="718" spans="1:10" x14ac:dyDescent="0.25">
      <c r="A718" s="90">
        <v>36195</v>
      </c>
      <c r="B718" s="17">
        <v>42.12</v>
      </c>
      <c r="C718" s="17"/>
      <c r="F718"/>
      <c r="G718"/>
      <c r="H718"/>
      <c r="I718"/>
      <c r="J718"/>
    </row>
    <row r="719" spans="1:10" x14ac:dyDescent="0.25">
      <c r="A719" s="90">
        <v>36196</v>
      </c>
      <c r="B719" s="17">
        <v>43.19</v>
      </c>
      <c r="C719" s="17"/>
      <c r="F719"/>
      <c r="G719"/>
      <c r="H719"/>
      <c r="I719"/>
      <c r="J719"/>
    </row>
    <row r="720" spans="1:10" x14ac:dyDescent="0.25">
      <c r="A720" s="90">
        <v>36199</v>
      </c>
      <c r="B720" s="17">
        <v>39.659999999999997</v>
      </c>
      <c r="C720" s="17"/>
      <c r="F720"/>
      <c r="G720"/>
      <c r="H720"/>
      <c r="I720"/>
      <c r="J720"/>
    </row>
    <row r="721" spans="1:10" x14ac:dyDescent="0.25">
      <c r="A721" s="90">
        <v>36200</v>
      </c>
      <c r="B721" s="17">
        <v>35.19</v>
      </c>
      <c r="C721" s="17"/>
      <c r="F721"/>
      <c r="G721"/>
      <c r="H721"/>
      <c r="I721"/>
      <c r="J721"/>
    </row>
    <row r="722" spans="1:10" x14ac:dyDescent="0.25">
      <c r="A722" s="90">
        <v>36201</v>
      </c>
      <c r="B722" s="17">
        <v>35.590000000000003</v>
      </c>
      <c r="C722" s="17"/>
      <c r="F722"/>
      <c r="G722"/>
      <c r="H722"/>
      <c r="I722"/>
      <c r="J722"/>
    </row>
    <row r="723" spans="1:10" x14ac:dyDescent="0.25">
      <c r="A723" s="90">
        <v>36202</v>
      </c>
      <c r="B723" s="17">
        <v>39.619999999999997</v>
      </c>
      <c r="C723" s="17"/>
      <c r="F723"/>
      <c r="G723"/>
      <c r="H723"/>
      <c r="I723"/>
      <c r="J723"/>
    </row>
    <row r="724" spans="1:10" x14ac:dyDescent="0.25">
      <c r="A724" s="90">
        <v>36203</v>
      </c>
      <c r="B724" s="17">
        <v>37.75</v>
      </c>
      <c r="C724" s="17"/>
      <c r="F724"/>
      <c r="G724"/>
      <c r="H724"/>
      <c r="I724"/>
      <c r="J724"/>
    </row>
    <row r="725" spans="1:10" x14ac:dyDescent="0.25">
      <c r="A725" s="90">
        <v>36207</v>
      </c>
      <c r="B725" s="17">
        <v>33.340000000000003</v>
      </c>
      <c r="C725" s="17"/>
      <c r="F725"/>
      <c r="G725"/>
      <c r="H725"/>
      <c r="I725"/>
      <c r="J725"/>
    </row>
    <row r="726" spans="1:10" x14ac:dyDescent="0.25">
      <c r="A726" s="90">
        <v>36208</v>
      </c>
      <c r="B726" s="17">
        <v>32.409999999999997</v>
      </c>
      <c r="C726" s="17"/>
      <c r="F726"/>
      <c r="G726"/>
      <c r="H726"/>
      <c r="I726"/>
      <c r="J726"/>
    </row>
    <row r="727" spans="1:10" x14ac:dyDescent="0.25">
      <c r="A727" s="90">
        <v>36209</v>
      </c>
      <c r="B727" s="17">
        <v>32.22</v>
      </c>
      <c r="C727" s="17"/>
      <c r="F727"/>
      <c r="G727"/>
      <c r="H727"/>
      <c r="I727"/>
      <c r="J727"/>
    </row>
    <row r="728" spans="1:10" x14ac:dyDescent="0.25">
      <c r="A728" s="90">
        <v>36210</v>
      </c>
      <c r="B728" s="17">
        <v>33.83</v>
      </c>
      <c r="C728" s="17"/>
      <c r="F728"/>
      <c r="G728"/>
      <c r="H728"/>
      <c r="I728"/>
      <c r="J728"/>
    </row>
    <row r="729" spans="1:10" x14ac:dyDescent="0.25">
      <c r="A729" s="90">
        <v>36213</v>
      </c>
      <c r="B729" s="17">
        <v>36.44</v>
      </c>
      <c r="C729" s="17"/>
      <c r="F729"/>
      <c r="G729"/>
      <c r="H729"/>
      <c r="I729"/>
      <c r="J729"/>
    </row>
    <row r="730" spans="1:10" x14ac:dyDescent="0.25">
      <c r="A730" s="90">
        <v>36214</v>
      </c>
      <c r="B730" s="17">
        <v>38.22</v>
      </c>
      <c r="C730" s="17"/>
      <c r="F730"/>
      <c r="G730"/>
      <c r="H730"/>
      <c r="I730"/>
      <c r="J730"/>
    </row>
    <row r="731" spans="1:10" x14ac:dyDescent="0.25">
      <c r="A731" s="90">
        <v>36215</v>
      </c>
      <c r="B731" s="17">
        <v>37.549999999999997</v>
      </c>
      <c r="C731" s="17"/>
      <c r="F731"/>
      <c r="G731"/>
      <c r="H731"/>
      <c r="I731"/>
      <c r="J731"/>
    </row>
    <row r="732" spans="1:10" x14ac:dyDescent="0.25">
      <c r="A732" s="90">
        <v>36216</v>
      </c>
      <c r="B732" s="17">
        <v>38.840000000000003</v>
      </c>
      <c r="C732" s="17"/>
      <c r="F732"/>
      <c r="G732"/>
      <c r="H732"/>
      <c r="I732"/>
      <c r="J732"/>
    </row>
    <row r="733" spans="1:10" x14ac:dyDescent="0.25">
      <c r="A733" s="90">
        <v>36217</v>
      </c>
      <c r="B733" s="17">
        <v>38.380000000000003</v>
      </c>
      <c r="C733" s="17"/>
      <c r="F733"/>
      <c r="G733"/>
      <c r="H733"/>
      <c r="I733"/>
      <c r="J733"/>
    </row>
    <row r="734" spans="1:10" x14ac:dyDescent="0.25">
      <c r="A734" s="90">
        <v>36220</v>
      </c>
      <c r="B734" s="17">
        <v>40.03</v>
      </c>
      <c r="C734" s="17"/>
      <c r="F734"/>
      <c r="G734"/>
      <c r="H734"/>
      <c r="I734"/>
      <c r="J734"/>
    </row>
    <row r="735" spans="1:10" x14ac:dyDescent="0.25">
      <c r="A735" s="90">
        <v>36221</v>
      </c>
      <c r="B735" s="17">
        <v>38.299999999999997</v>
      </c>
      <c r="C735" s="17"/>
      <c r="F735"/>
      <c r="G735"/>
      <c r="H735"/>
      <c r="I735"/>
      <c r="J735"/>
    </row>
    <row r="736" spans="1:10" x14ac:dyDescent="0.25">
      <c r="A736" s="90">
        <v>36222</v>
      </c>
      <c r="B736" s="17">
        <v>38.36</v>
      </c>
      <c r="C736" s="17"/>
      <c r="F736"/>
      <c r="G736"/>
      <c r="H736"/>
      <c r="I736"/>
      <c r="J736"/>
    </row>
    <row r="737" spans="1:10" x14ac:dyDescent="0.25">
      <c r="A737" s="90">
        <v>36223</v>
      </c>
      <c r="B737" s="17">
        <v>37.880000000000003</v>
      </c>
      <c r="C737" s="17"/>
      <c r="F737"/>
      <c r="G737"/>
      <c r="H737"/>
      <c r="I737"/>
      <c r="J737"/>
    </row>
    <row r="738" spans="1:10" x14ac:dyDescent="0.25">
      <c r="A738" s="90">
        <v>36224</v>
      </c>
      <c r="B738" s="17">
        <v>39.950000000000003</v>
      </c>
      <c r="C738" s="17"/>
      <c r="F738"/>
      <c r="G738"/>
      <c r="H738"/>
      <c r="I738"/>
      <c r="J738"/>
    </row>
    <row r="739" spans="1:10" x14ac:dyDescent="0.25">
      <c r="A739" s="90">
        <v>36227</v>
      </c>
      <c r="B739" s="17">
        <v>42.61</v>
      </c>
      <c r="C739" s="17"/>
      <c r="F739"/>
      <c r="G739"/>
      <c r="H739"/>
      <c r="I739"/>
      <c r="J739"/>
    </row>
    <row r="740" spans="1:10" x14ac:dyDescent="0.25">
      <c r="A740" s="90">
        <v>36228</v>
      </c>
      <c r="B740" s="17">
        <v>41.83</v>
      </c>
      <c r="C740" s="17"/>
      <c r="F740"/>
      <c r="G740"/>
      <c r="H740"/>
      <c r="I740"/>
      <c r="J740"/>
    </row>
    <row r="741" spans="1:10" x14ac:dyDescent="0.25">
      <c r="A741" s="90">
        <v>36229</v>
      </c>
      <c r="B741" s="17">
        <v>43.41</v>
      </c>
      <c r="C741" s="17"/>
      <c r="F741"/>
      <c r="G741"/>
      <c r="H741"/>
      <c r="I741"/>
      <c r="J741"/>
    </row>
    <row r="742" spans="1:10" x14ac:dyDescent="0.25">
      <c r="A742" s="90">
        <v>36230</v>
      </c>
      <c r="B742" s="17">
        <v>44.75</v>
      </c>
      <c r="C742" s="17"/>
      <c r="F742"/>
      <c r="G742"/>
      <c r="H742"/>
      <c r="I742"/>
      <c r="J742"/>
    </row>
    <row r="743" spans="1:10" x14ac:dyDescent="0.25">
      <c r="A743" s="90">
        <v>36231</v>
      </c>
      <c r="B743" s="17">
        <v>44</v>
      </c>
      <c r="C743" s="17"/>
      <c r="F743"/>
      <c r="G743"/>
      <c r="H743"/>
      <c r="I743"/>
      <c r="J743"/>
    </row>
    <row r="744" spans="1:10" x14ac:dyDescent="0.25">
      <c r="A744" s="90">
        <v>36234</v>
      </c>
      <c r="B744" s="17">
        <v>44.86</v>
      </c>
      <c r="C744" s="17"/>
      <c r="F744"/>
      <c r="G744"/>
      <c r="H744"/>
      <c r="I744"/>
      <c r="J744"/>
    </row>
    <row r="745" spans="1:10" x14ac:dyDescent="0.25">
      <c r="A745" s="90">
        <v>36235</v>
      </c>
      <c r="B745" s="17">
        <v>43.72</v>
      </c>
      <c r="C745" s="17"/>
      <c r="F745"/>
      <c r="G745"/>
      <c r="H745"/>
      <c r="I745"/>
      <c r="J745"/>
    </row>
    <row r="746" spans="1:10" x14ac:dyDescent="0.25">
      <c r="A746" s="90">
        <v>36236</v>
      </c>
      <c r="B746" s="17">
        <v>43.03</v>
      </c>
      <c r="C746" s="17"/>
      <c r="F746"/>
      <c r="G746"/>
      <c r="H746"/>
      <c r="I746"/>
      <c r="J746"/>
    </row>
    <row r="747" spans="1:10" x14ac:dyDescent="0.25">
      <c r="A747" s="90">
        <v>36237</v>
      </c>
      <c r="B747" s="17">
        <v>43.83</v>
      </c>
      <c r="C747" s="17"/>
      <c r="F747"/>
      <c r="G747"/>
      <c r="H747"/>
      <c r="I747"/>
      <c r="J747"/>
    </row>
    <row r="748" spans="1:10" x14ac:dyDescent="0.25">
      <c r="A748" s="90">
        <v>36238</v>
      </c>
      <c r="B748" s="17">
        <v>42.5</v>
      </c>
      <c r="C748" s="17"/>
      <c r="F748"/>
      <c r="G748"/>
      <c r="H748"/>
      <c r="I748"/>
      <c r="J748"/>
    </row>
    <row r="749" spans="1:10" x14ac:dyDescent="0.25">
      <c r="A749" s="90">
        <v>36241</v>
      </c>
      <c r="B749" s="17">
        <v>41.25</v>
      </c>
      <c r="C749" s="17"/>
      <c r="F749"/>
      <c r="G749"/>
      <c r="H749"/>
      <c r="I749"/>
      <c r="J749"/>
    </row>
    <row r="750" spans="1:10" x14ac:dyDescent="0.25">
      <c r="A750" s="90">
        <v>36242</v>
      </c>
      <c r="B750" s="17">
        <v>38.880000000000003</v>
      </c>
      <c r="C750" s="17"/>
      <c r="F750"/>
      <c r="G750"/>
      <c r="H750"/>
      <c r="I750"/>
      <c r="J750"/>
    </row>
    <row r="751" spans="1:10" x14ac:dyDescent="0.25">
      <c r="A751" s="90">
        <v>36243</v>
      </c>
      <c r="B751" s="17">
        <v>40.119999999999997</v>
      </c>
      <c r="C751" s="17"/>
      <c r="F751"/>
      <c r="G751"/>
      <c r="H751"/>
      <c r="I751"/>
      <c r="J751"/>
    </row>
    <row r="752" spans="1:10" x14ac:dyDescent="0.25">
      <c r="A752" s="90">
        <v>36244</v>
      </c>
      <c r="B752" s="17">
        <v>44.75</v>
      </c>
      <c r="C752" s="17"/>
      <c r="F752"/>
      <c r="G752"/>
      <c r="H752"/>
      <c r="I752"/>
      <c r="J752"/>
    </row>
    <row r="753" spans="1:10" x14ac:dyDescent="0.25">
      <c r="A753" s="90">
        <v>36245</v>
      </c>
      <c r="B753" s="17">
        <v>42.84</v>
      </c>
      <c r="C753" s="17"/>
      <c r="F753"/>
      <c r="G753"/>
      <c r="H753"/>
      <c r="I753"/>
      <c r="J753"/>
    </row>
    <row r="754" spans="1:10" x14ac:dyDescent="0.25">
      <c r="A754" s="90">
        <v>36248</v>
      </c>
      <c r="B754" s="17">
        <v>44</v>
      </c>
      <c r="C754" s="17"/>
      <c r="F754"/>
      <c r="G754"/>
      <c r="H754"/>
      <c r="I754"/>
      <c r="J754"/>
    </row>
    <row r="755" spans="1:10" x14ac:dyDescent="0.25">
      <c r="A755" s="90">
        <v>36249</v>
      </c>
      <c r="B755" s="17">
        <v>43.08</v>
      </c>
      <c r="C755" s="17"/>
      <c r="F755"/>
      <c r="G755"/>
      <c r="H755"/>
      <c r="I755"/>
      <c r="J755"/>
    </row>
    <row r="756" spans="1:10" x14ac:dyDescent="0.25">
      <c r="A756" s="90">
        <v>36250</v>
      </c>
      <c r="B756" s="17">
        <v>42.09</v>
      </c>
      <c r="C756" s="17"/>
      <c r="F756"/>
      <c r="G756"/>
      <c r="H756"/>
      <c r="I756"/>
      <c r="J756"/>
    </row>
    <row r="757" spans="1:10" x14ac:dyDescent="0.25">
      <c r="A757" s="90">
        <v>36251</v>
      </c>
      <c r="B757" s="17">
        <v>44.94</v>
      </c>
      <c r="C757" s="17"/>
      <c r="F757"/>
      <c r="G757"/>
      <c r="H757"/>
      <c r="I757"/>
      <c r="J757"/>
    </row>
    <row r="758" spans="1:10" x14ac:dyDescent="0.25">
      <c r="A758" s="90">
        <v>36255</v>
      </c>
      <c r="B758" s="17">
        <v>54.78</v>
      </c>
      <c r="C758" s="17"/>
      <c r="F758"/>
      <c r="G758"/>
      <c r="H758"/>
      <c r="I758"/>
      <c r="J758"/>
    </row>
    <row r="759" spans="1:10" x14ac:dyDescent="0.25">
      <c r="A759" s="90">
        <v>36256</v>
      </c>
      <c r="B759" s="17">
        <v>53.72</v>
      </c>
      <c r="C759" s="17"/>
      <c r="F759"/>
      <c r="G759"/>
      <c r="H759"/>
      <c r="I759"/>
      <c r="J759"/>
    </row>
    <row r="760" spans="1:10" x14ac:dyDescent="0.25">
      <c r="A760" s="90">
        <v>36257</v>
      </c>
      <c r="B760" s="17">
        <v>52.11</v>
      </c>
      <c r="C760" s="17"/>
      <c r="F760"/>
      <c r="G760"/>
      <c r="H760"/>
      <c r="I760"/>
      <c r="J760"/>
    </row>
    <row r="761" spans="1:10" x14ac:dyDescent="0.25">
      <c r="A761" s="90">
        <v>36258</v>
      </c>
      <c r="B761" s="17">
        <v>51.67</v>
      </c>
      <c r="C761" s="17"/>
      <c r="F761"/>
      <c r="G761"/>
      <c r="H761"/>
      <c r="I761"/>
      <c r="J761"/>
    </row>
    <row r="762" spans="1:10" x14ac:dyDescent="0.25">
      <c r="A762" s="90">
        <v>36259</v>
      </c>
      <c r="B762" s="17">
        <v>51.75</v>
      </c>
      <c r="C762" s="17"/>
      <c r="F762"/>
      <c r="G762"/>
      <c r="H762"/>
      <c r="I762"/>
      <c r="J762"/>
    </row>
    <row r="763" spans="1:10" x14ac:dyDescent="0.25">
      <c r="A763" s="90">
        <v>36262</v>
      </c>
      <c r="B763" s="17">
        <v>50.73</v>
      </c>
      <c r="C763" s="17"/>
      <c r="F763"/>
      <c r="G763"/>
      <c r="H763"/>
      <c r="I763"/>
      <c r="J763"/>
    </row>
    <row r="764" spans="1:10" x14ac:dyDescent="0.25">
      <c r="A764" s="90">
        <v>36263</v>
      </c>
      <c r="B764" s="17">
        <v>50.75</v>
      </c>
      <c r="C764" s="17"/>
      <c r="F764"/>
      <c r="G764"/>
      <c r="H764"/>
      <c r="I764"/>
      <c r="J764"/>
    </row>
    <row r="765" spans="1:10" x14ac:dyDescent="0.25">
      <c r="A765" s="90">
        <v>36264</v>
      </c>
      <c r="B765" s="17">
        <v>47.75</v>
      </c>
      <c r="C765" s="17"/>
      <c r="F765"/>
      <c r="G765"/>
      <c r="H765"/>
      <c r="I765"/>
      <c r="J765"/>
    </row>
    <row r="766" spans="1:10" x14ac:dyDescent="0.25">
      <c r="A766" s="90">
        <v>36265</v>
      </c>
      <c r="B766" s="17">
        <v>48.66</v>
      </c>
      <c r="C766" s="17"/>
      <c r="F766"/>
      <c r="G766"/>
      <c r="H766"/>
      <c r="I766"/>
      <c r="J766"/>
    </row>
    <row r="767" spans="1:10" x14ac:dyDescent="0.25">
      <c r="A767" s="90">
        <v>36266</v>
      </c>
      <c r="B767" s="17">
        <v>47.3</v>
      </c>
      <c r="C767" s="17"/>
      <c r="F767"/>
      <c r="G767"/>
      <c r="H767"/>
      <c r="I767"/>
      <c r="J767"/>
    </row>
    <row r="768" spans="1:10" x14ac:dyDescent="0.25">
      <c r="A768" s="90">
        <v>36269</v>
      </c>
      <c r="B768" s="17">
        <v>40.92</v>
      </c>
      <c r="C768" s="17"/>
      <c r="F768"/>
      <c r="G768"/>
      <c r="H768"/>
      <c r="I768"/>
      <c r="J768"/>
    </row>
    <row r="769" spans="1:10" x14ac:dyDescent="0.25">
      <c r="A769" s="90">
        <v>36270</v>
      </c>
      <c r="B769" s="17">
        <v>42.75</v>
      </c>
      <c r="C769" s="17"/>
      <c r="F769"/>
      <c r="G769"/>
      <c r="H769"/>
      <c r="I769"/>
      <c r="J769"/>
    </row>
    <row r="770" spans="1:10" x14ac:dyDescent="0.25">
      <c r="A770" s="90">
        <v>36271</v>
      </c>
      <c r="B770" s="17">
        <v>43.72</v>
      </c>
      <c r="C770" s="17"/>
      <c r="F770"/>
      <c r="G770"/>
      <c r="H770"/>
      <c r="I770"/>
      <c r="J770"/>
    </row>
    <row r="771" spans="1:10" x14ac:dyDescent="0.25">
      <c r="A771" s="90">
        <v>36272</v>
      </c>
      <c r="B771" s="17">
        <v>46</v>
      </c>
      <c r="C771" s="17"/>
      <c r="F771"/>
      <c r="G771"/>
      <c r="H771"/>
      <c r="I771"/>
      <c r="J771"/>
    </row>
    <row r="772" spans="1:10" x14ac:dyDescent="0.25">
      <c r="A772" s="90">
        <v>36273</v>
      </c>
      <c r="B772" s="17">
        <v>46.92</v>
      </c>
      <c r="C772" s="17"/>
      <c r="F772"/>
      <c r="G772"/>
      <c r="H772"/>
      <c r="I772"/>
      <c r="J772"/>
    </row>
    <row r="773" spans="1:10" x14ac:dyDescent="0.25">
      <c r="A773" s="90">
        <v>36276</v>
      </c>
      <c r="B773" s="17">
        <v>48.06</v>
      </c>
      <c r="C773" s="17"/>
      <c r="F773"/>
      <c r="G773"/>
      <c r="H773"/>
      <c r="I773"/>
      <c r="J773"/>
    </row>
    <row r="774" spans="1:10" x14ac:dyDescent="0.25">
      <c r="A774" s="90">
        <v>36277</v>
      </c>
      <c r="B774" s="17">
        <v>46.12</v>
      </c>
      <c r="C774" s="17"/>
      <c r="F774"/>
      <c r="G774"/>
      <c r="H774"/>
      <c r="I774"/>
      <c r="J774"/>
    </row>
    <row r="775" spans="1:10" x14ac:dyDescent="0.25">
      <c r="A775" s="90">
        <v>36278</v>
      </c>
      <c r="B775" s="17">
        <v>43.38</v>
      </c>
      <c r="C775" s="17"/>
      <c r="F775"/>
      <c r="G775"/>
      <c r="H775"/>
      <c r="I775"/>
      <c r="J775"/>
    </row>
    <row r="776" spans="1:10" x14ac:dyDescent="0.25">
      <c r="A776" s="90">
        <v>36279</v>
      </c>
      <c r="B776" s="17">
        <v>43.75</v>
      </c>
      <c r="C776" s="17"/>
      <c r="F776"/>
      <c r="G776"/>
      <c r="H776"/>
      <c r="I776"/>
      <c r="J776"/>
    </row>
    <row r="777" spans="1:10" x14ac:dyDescent="0.25">
      <c r="A777" s="90">
        <v>36280</v>
      </c>
      <c r="B777" s="17">
        <v>43.67</v>
      </c>
      <c r="C777" s="17"/>
      <c r="F777"/>
      <c r="G777"/>
      <c r="H777"/>
      <c r="I777"/>
      <c r="J777"/>
    </row>
    <row r="778" spans="1:10" x14ac:dyDescent="0.25">
      <c r="A778" s="90">
        <v>36283</v>
      </c>
      <c r="B778" s="17">
        <v>40.64</v>
      </c>
      <c r="C778" s="17"/>
      <c r="F778"/>
      <c r="G778"/>
      <c r="H778"/>
      <c r="I778"/>
      <c r="J778"/>
    </row>
    <row r="779" spans="1:10" x14ac:dyDescent="0.25">
      <c r="A779" s="90">
        <v>36284</v>
      </c>
      <c r="B779" s="17">
        <v>39.81</v>
      </c>
      <c r="C779" s="17"/>
      <c r="F779"/>
      <c r="G779"/>
      <c r="H779"/>
      <c r="I779"/>
      <c r="J779"/>
    </row>
    <row r="780" spans="1:10" x14ac:dyDescent="0.25">
      <c r="A780" s="90">
        <v>36285</v>
      </c>
      <c r="B780" s="17">
        <v>40.33</v>
      </c>
      <c r="C780" s="17"/>
      <c r="F780"/>
      <c r="G780"/>
      <c r="H780"/>
      <c r="I780"/>
      <c r="J780"/>
    </row>
    <row r="781" spans="1:10" x14ac:dyDescent="0.25">
      <c r="A781" s="90">
        <v>36286</v>
      </c>
      <c r="B781" s="17">
        <v>37.97</v>
      </c>
      <c r="C781" s="17"/>
      <c r="F781"/>
      <c r="G781"/>
      <c r="H781"/>
      <c r="I781"/>
      <c r="J781"/>
    </row>
    <row r="782" spans="1:10" x14ac:dyDescent="0.25">
      <c r="A782" s="90">
        <v>36287</v>
      </c>
      <c r="B782" s="17">
        <v>36.86</v>
      </c>
      <c r="C782" s="17"/>
      <c r="F782"/>
      <c r="G782"/>
      <c r="H782"/>
      <c r="I782"/>
      <c r="J782"/>
    </row>
    <row r="783" spans="1:10" x14ac:dyDescent="0.25">
      <c r="A783" s="90">
        <v>36290</v>
      </c>
      <c r="B783" s="17">
        <v>38.92</v>
      </c>
      <c r="C783" s="17"/>
      <c r="F783"/>
      <c r="G783"/>
      <c r="H783"/>
      <c r="I783"/>
      <c r="J783"/>
    </row>
    <row r="784" spans="1:10" x14ac:dyDescent="0.25">
      <c r="A784" s="90">
        <v>36291</v>
      </c>
      <c r="B784" s="17">
        <v>43.5</v>
      </c>
      <c r="C784" s="17"/>
      <c r="F784"/>
      <c r="G784"/>
      <c r="H784"/>
      <c r="I784"/>
      <c r="J784"/>
    </row>
    <row r="785" spans="1:10" x14ac:dyDescent="0.25">
      <c r="A785" s="90">
        <v>36292</v>
      </c>
      <c r="B785" s="17">
        <v>42.48</v>
      </c>
      <c r="C785" s="17"/>
      <c r="F785"/>
      <c r="G785"/>
      <c r="H785"/>
      <c r="I785"/>
      <c r="J785"/>
    </row>
    <row r="786" spans="1:10" x14ac:dyDescent="0.25">
      <c r="A786" s="90">
        <v>36293</v>
      </c>
      <c r="B786" s="17">
        <v>40.090000000000003</v>
      </c>
      <c r="C786" s="17"/>
      <c r="F786"/>
      <c r="G786"/>
      <c r="H786"/>
      <c r="I786"/>
      <c r="J786"/>
    </row>
    <row r="787" spans="1:10" x14ac:dyDescent="0.25">
      <c r="A787" s="90">
        <v>36294</v>
      </c>
      <c r="B787" s="17">
        <v>39.340000000000003</v>
      </c>
      <c r="C787" s="17"/>
      <c r="F787"/>
      <c r="G787"/>
      <c r="H787"/>
      <c r="I787"/>
      <c r="J787"/>
    </row>
    <row r="788" spans="1:10" x14ac:dyDescent="0.25">
      <c r="A788" s="90">
        <v>36297</v>
      </c>
      <c r="B788" s="17">
        <v>40.450000000000003</v>
      </c>
      <c r="C788" s="17"/>
      <c r="F788"/>
      <c r="G788"/>
      <c r="H788"/>
      <c r="I788"/>
      <c r="J788"/>
    </row>
    <row r="789" spans="1:10" x14ac:dyDescent="0.25">
      <c r="A789" s="90">
        <v>36298</v>
      </c>
      <c r="B789" s="17">
        <v>39.200000000000003</v>
      </c>
      <c r="C789" s="17"/>
      <c r="F789"/>
      <c r="G789"/>
      <c r="H789"/>
      <c r="I789"/>
      <c r="J789"/>
    </row>
    <row r="790" spans="1:10" x14ac:dyDescent="0.25">
      <c r="A790" s="90">
        <v>36299</v>
      </c>
      <c r="B790" s="17">
        <v>39.56</v>
      </c>
      <c r="C790" s="17"/>
      <c r="F790"/>
      <c r="G790"/>
      <c r="H790"/>
      <c r="I790"/>
      <c r="J790"/>
    </row>
    <row r="791" spans="1:10" x14ac:dyDescent="0.25">
      <c r="A791" s="90">
        <v>36300</v>
      </c>
      <c r="B791" s="17">
        <v>37.880000000000003</v>
      </c>
      <c r="C791" s="17"/>
      <c r="F791"/>
      <c r="G791"/>
      <c r="H791"/>
      <c r="I791"/>
      <c r="J791"/>
    </row>
    <row r="792" spans="1:10" x14ac:dyDescent="0.25">
      <c r="A792" s="90">
        <v>36301</v>
      </c>
      <c r="B792" s="17">
        <v>37.83</v>
      </c>
      <c r="C792" s="17"/>
      <c r="F792"/>
      <c r="G792"/>
      <c r="H792"/>
      <c r="I792"/>
      <c r="J792"/>
    </row>
    <row r="793" spans="1:10" x14ac:dyDescent="0.25">
      <c r="A793" s="90">
        <v>36304</v>
      </c>
      <c r="B793" s="17">
        <v>34.47</v>
      </c>
      <c r="C793" s="17"/>
      <c r="F793"/>
      <c r="G793"/>
      <c r="H793"/>
      <c r="I793"/>
      <c r="J793"/>
    </row>
    <row r="794" spans="1:10" x14ac:dyDescent="0.25">
      <c r="A794" s="90">
        <v>36305</v>
      </c>
      <c r="B794" s="17">
        <v>31.73</v>
      </c>
      <c r="C794" s="17"/>
      <c r="F794"/>
      <c r="G794"/>
      <c r="H794"/>
      <c r="I794"/>
      <c r="J794"/>
    </row>
    <row r="795" spans="1:10" x14ac:dyDescent="0.25">
      <c r="A795" s="90">
        <v>36306</v>
      </c>
      <c r="B795" s="17">
        <v>35.22</v>
      </c>
      <c r="C795" s="17"/>
      <c r="F795"/>
      <c r="G795"/>
      <c r="H795"/>
      <c r="I795"/>
      <c r="J795"/>
    </row>
    <row r="796" spans="1:10" x14ac:dyDescent="0.25">
      <c r="A796" s="90">
        <v>36307</v>
      </c>
      <c r="B796" s="17">
        <v>33.340000000000003</v>
      </c>
      <c r="C796" s="17"/>
      <c r="F796"/>
      <c r="G796"/>
      <c r="H796"/>
      <c r="I796"/>
      <c r="J796"/>
    </row>
    <row r="797" spans="1:10" x14ac:dyDescent="0.25">
      <c r="A797" s="90">
        <v>36308</v>
      </c>
      <c r="B797" s="17">
        <v>37</v>
      </c>
      <c r="C797" s="17"/>
      <c r="F797"/>
      <c r="G797"/>
      <c r="H797"/>
      <c r="I797"/>
      <c r="J797"/>
    </row>
    <row r="798" spans="1:10" x14ac:dyDescent="0.25">
      <c r="A798" s="90">
        <v>36312</v>
      </c>
      <c r="B798" s="17">
        <v>34.549999999999997</v>
      </c>
      <c r="C798" s="17"/>
      <c r="F798"/>
      <c r="G798"/>
      <c r="H798"/>
      <c r="I798"/>
      <c r="J798"/>
    </row>
    <row r="799" spans="1:10" x14ac:dyDescent="0.25">
      <c r="A799" s="90">
        <v>36313</v>
      </c>
      <c r="B799" s="17">
        <v>35.619999999999997</v>
      </c>
      <c r="C799" s="17"/>
      <c r="F799"/>
      <c r="G799"/>
      <c r="H799"/>
      <c r="I799"/>
      <c r="J799"/>
    </row>
    <row r="800" spans="1:10" x14ac:dyDescent="0.25">
      <c r="A800" s="90">
        <v>36314</v>
      </c>
      <c r="B800" s="17">
        <v>33.840000000000003</v>
      </c>
      <c r="C800" s="17"/>
      <c r="F800"/>
      <c r="G800"/>
      <c r="H800"/>
      <c r="I800"/>
      <c r="J800"/>
    </row>
    <row r="801" spans="1:10" x14ac:dyDescent="0.25">
      <c r="A801" s="90">
        <v>36315</v>
      </c>
      <c r="B801" s="17">
        <v>36.86</v>
      </c>
      <c r="C801" s="17"/>
      <c r="F801"/>
      <c r="G801"/>
      <c r="H801"/>
      <c r="I801"/>
      <c r="J801"/>
    </row>
    <row r="802" spans="1:10" x14ac:dyDescent="0.25">
      <c r="A802" s="90">
        <v>36318</v>
      </c>
      <c r="B802" s="17">
        <v>37.97</v>
      </c>
      <c r="C802" s="17"/>
      <c r="F802"/>
      <c r="G802"/>
      <c r="H802"/>
      <c r="I802"/>
      <c r="J802"/>
    </row>
    <row r="803" spans="1:10" x14ac:dyDescent="0.25">
      <c r="A803" s="90">
        <v>36319</v>
      </c>
      <c r="B803" s="17">
        <v>35.83</v>
      </c>
      <c r="C803" s="17"/>
      <c r="F803"/>
      <c r="G803"/>
      <c r="H803"/>
      <c r="I803"/>
      <c r="J803"/>
    </row>
    <row r="804" spans="1:10" x14ac:dyDescent="0.25">
      <c r="A804" s="90">
        <v>36320</v>
      </c>
      <c r="B804" s="17">
        <v>36.590000000000003</v>
      </c>
      <c r="C804" s="17"/>
      <c r="F804"/>
      <c r="G804"/>
      <c r="H804"/>
      <c r="I804"/>
      <c r="J804"/>
    </row>
    <row r="805" spans="1:10" x14ac:dyDescent="0.25">
      <c r="A805" s="90">
        <v>36321</v>
      </c>
      <c r="B805" s="17">
        <v>36.19</v>
      </c>
      <c r="C805" s="17"/>
      <c r="F805"/>
      <c r="G805"/>
      <c r="H805"/>
      <c r="I805"/>
      <c r="J805"/>
    </row>
    <row r="806" spans="1:10" x14ac:dyDescent="0.25">
      <c r="A806" s="90">
        <v>36322</v>
      </c>
      <c r="B806" s="17">
        <v>33.81</v>
      </c>
      <c r="C806" s="17"/>
      <c r="F806"/>
      <c r="G806"/>
      <c r="H806"/>
      <c r="I806"/>
      <c r="J806"/>
    </row>
    <row r="807" spans="1:10" x14ac:dyDescent="0.25">
      <c r="A807" s="90">
        <v>36325</v>
      </c>
      <c r="B807" s="17">
        <v>29.81</v>
      </c>
      <c r="C807" s="17"/>
      <c r="F807"/>
      <c r="G807"/>
      <c r="H807"/>
      <c r="I807"/>
      <c r="J807"/>
    </row>
    <row r="808" spans="1:10" x14ac:dyDescent="0.25">
      <c r="A808" s="90">
        <v>36326</v>
      </c>
      <c r="B808" s="17">
        <v>31.31</v>
      </c>
      <c r="C808" s="17"/>
      <c r="F808"/>
      <c r="G808"/>
      <c r="H808"/>
      <c r="I808"/>
      <c r="J808"/>
    </row>
    <row r="809" spans="1:10" x14ac:dyDescent="0.25">
      <c r="A809" s="90">
        <v>36327</v>
      </c>
      <c r="B809" s="17">
        <v>35.409999999999997</v>
      </c>
      <c r="C809" s="17"/>
      <c r="F809"/>
      <c r="G809"/>
      <c r="H809"/>
      <c r="I809"/>
      <c r="J809"/>
    </row>
    <row r="810" spans="1:10" x14ac:dyDescent="0.25">
      <c r="A810" s="90">
        <v>36328</v>
      </c>
      <c r="B810" s="17">
        <v>35.56</v>
      </c>
      <c r="C810" s="17"/>
      <c r="F810"/>
      <c r="G810"/>
      <c r="H810"/>
      <c r="I810"/>
      <c r="J810"/>
    </row>
    <row r="811" spans="1:10" x14ac:dyDescent="0.25">
      <c r="A811" s="90">
        <v>36329</v>
      </c>
      <c r="B811" s="17">
        <v>36.11</v>
      </c>
      <c r="C811" s="17"/>
      <c r="F811"/>
      <c r="G811"/>
      <c r="H811"/>
      <c r="I811"/>
      <c r="J811"/>
    </row>
    <row r="812" spans="1:10" x14ac:dyDescent="0.25">
      <c r="A812" s="90">
        <v>36332</v>
      </c>
      <c r="B812" s="17">
        <v>39.72</v>
      </c>
      <c r="C812" s="17"/>
      <c r="F812"/>
      <c r="G812"/>
      <c r="H812"/>
      <c r="I812"/>
      <c r="J812"/>
    </row>
    <row r="813" spans="1:10" x14ac:dyDescent="0.25">
      <c r="A813" s="90">
        <v>36333</v>
      </c>
      <c r="B813" s="17">
        <v>38.119999999999997</v>
      </c>
      <c r="C813" s="17"/>
      <c r="F813"/>
      <c r="G813"/>
      <c r="H813"/>
      <c r="I813"/>
      <c r="J813"/>
    </row>
    <row r="814" spans="1:10" x14ac:dyDescent="0.25">
      <c r="A814" s="90">
        <v>36334</v>
      </c>
      <c r="B814" s="17">
        <v>38.880000000000003</v>
      </c>
      <c r="C814" s="17"/>
      <c r="F814"/>
      <c r="G814"/>
      <c r="H814"/>
      <c r="I814"/>
      <c r="J814"/>
    </row>
    <row r="815" spans="1:10" x14ac:dyDescent="0.25">
      <c r="A815" s="90">
        <v>36335</v>
      </c>
      <c r="B815" s="17">
        <v>37.75</v>
      </c>
      <c r="C815" s="17"/>
      <c r="F815"/>
      <c r="G815"/>
      <c r="H815"/>
      <c r="I815"/>
      <c r="J815"/>
    </row>
    <row r="816" spans="1:10" x14ac:dyDescent="0.25">
      <c r="A816" s="90">
        <v>36336</v>
      </c>
      <c r="B816" s="17">
        <v>36.72</v>
      </c>
      <c r="C816" s="17"/>
      <c r="F816"/>
      <c r="G816"/>
      <c r="H816"/>
      <c r="I816"/>
      <c r="J816"/>
    </row>
    <row r="817" spans="1:10" x14ac:dyDescent="0.25">
      <c r="A817" s="90">
        <v>36339</v>
      </c>
      <c r="B817" s="17">
        <v>39.119999999999997</v>
      </c>
      <c r="C817" s="17"/>
      <c r="F817"/>
      <c r="G817"/>
      <c r="H817"/>
      <c r="I817"/>
      <c r="J817"/>
    </row>
    <row r="818" spans="1:10" x14ac:dyDescent="0.25">
      <c r="A818" s="90">
        <v>36340</v>
      </c>
      <c r="B818" s="17">
        <v>40</v>
      </c>
      <c r="C818" s="17"/>
      <c r="F818"/>
      <c r="G818"/>
      <c r="H818"/>
      <c r="I818"/>
      <c r="J818"/>
    </row>
    <row r="819" spans="1:10" x14ac:dyDescent="0.25">
      <c r="A819" s="90">
        <v>36341</v>
      </c>
      <c r="B819" s="17">
        <v>43.06</v>
      </c>
      <c r="C819" s="17"/>
      <c r="F819"/>
      <c r="G819"/>
      <c r="H819"/>
      <c r="I819"/>
      <c r="J819"/>
    </row>
    <row r="820" spans="1:10" x14ac:dyDescent="0.25">
      <c r="A820" s="90">
        <v>36342</v>
      </c>
      <c r="B820" s="17">
        <v>44.31</v>
      </c>
      <c r="C820" s="17"/>
      <c r="F820"/>
      <c r="G820"/>
      <c r="H820"/>
      <c r="I820"/>
      <c r="J820"/>
    </row>
    <row r="821" spans="1:10" x14ac:dyDescent="0.25">
      <c r="A821" s="90">
        <v>36343</v>
      </c>
      <c r="B821" s="17">
        <v>44.53</v>
      </c>
      <c r="C821" s="17"/>
      <c r="F821"/>
      <c r="G821"/>
      <c r="H821"/>
      <c r="I821"/>
      <c r="J821"/>
    </row>
    <row r="822" spans="1:10" x14ac:dyDescent="0.25">
      <c r="A822" s="90">
        <v>36347</v>
      </c>
      <c r="B822" s="17">
        <v>43.78</v>
      </c>
      <c r="C822" s="17"/>
      <c r="F822"/>
      <c r="G822"/>
      <c r="H822"/>
      <c r="I822"/>
      <c r="J822"/>
    </row>
    <row r="823" spans="1:10" x14ac:dyDescent="0.25">
      <c r="A823" s="90">
        <v>36348</v>
      </c>
      <c r="B823" s="17">
        <v>41.77</v>
      </c>
      <c r="C823" s="17"/>
      <c r="F823"/>
      <c r="G823"/>
      <c r="H823"/>
      <c r="I823"/>
      <c r="J823"/>
    </row>
    <row r="824" spans="1:10" x14ac:dyDescent="0.25">
      <c r="A824" s="90">
        <v>36349</v>
      </c>
      <c r="B824" s="17">
        <v>41.11</v>
      </c>
      <c r="C824" s="17"/>
      <c r="F824"/>
      <c r="G824"/>
      <c r="H824"/>
      <c r="I824"/>
      <c r="J824"/>
    </row>
    <row r="825" spans="1:10" x14ac:dyDescent="0.25">
      <c r="A825" s="90">
        <v>36350</v>
      </c>
      <c r="B825" s="17">
        <v>40</v>
      </c>
      <c r="C825" s="17"/>
      <c r="F825"/>
      <c r="G825"/>
      <c r="H825"/>
      <c r="I825"/>
      <c r="J825"/>
    </row>
    <row r="826" spans="1:10" x14ac:dyDescent="0.25">
      <c r="A826" s="90">
        <v>36353</v>
      </c>
      <c r="B826" s="17">
        <v>37.56</v>
      </c>
      <c r="C826" s="17"/>
      <c r="F826"/>
      <c r="G826"/>
      <c r="H826"/>
      <c r="I826"/>
      <c r="J826"/>
    </row>
    <row r="827" spans="1:10" x14ac:dyDescent="0.25">
      <c r="A827" s="90">
        <v>36354</v>
      </c>
      <c r="B827" s="17">
        <v>39.229999999999997</v>
      </c>
      <c r="C827" s="17"/>
      <c r="F827"/>
      <c r="G827"/>
      <c r="H827"/>
      <c r="I827"/>
      <c r="J827"/>
    </row>
    <row r="828" spans="1:10" x14ac:dyDescent="0.25">
      <c r="A828" s="90">
        <v>36355</v>
      </c>
      <c r="B828" s="17">
        <v>39.86</v>
      </c>
      <c r="C828" s="17"/>
      <c r="F828"/>
      <c r="G828"/>
      <c r="H828"/>
      <c r="I828"/>
      <c r="J828"/>
    </row>
    <row r="829" spans="1:10" x14ac:dyDescent="0.25">
      <c r="A829" s="90">
        <v>36356</v>
      </c>
      <c r="B829" s="17">
        <v>38.61</v>
      </c>
      <c r="C829" s="17"/>
      <c r="F829"/>
      <c r="G829"/>
      <c r="H829"/>
      <c r="I829"/>
      <c r="J829"/>
    </row>
    <row r="830" spans="1:10" x14ac:dyDescent="0.25">
      <c r="A830" s="90">
        <v>36357</v>
      </c>
      <c r="B830" s="17">
        <v>37.56</v>
      </c>
      <c r="C830" s="17"/>
      <c r="F830"/>
      <c r="G830"/>
      <c r="H830"/>
      <c r="I830"/>
      <c r="J830"/>
    </row>
    <row r="831" spans="1:10" x14ac:dyDescent="0.25">
      <c r="A831" s="90">
        <v>36360</v>
      </c>
      <c r="B831" s="17">
        <v>37.380000000000003</v>
      </c>
      <c r="C831" s="17"/>
      <c r="F831"/>
      <c r="G831"/>
      <c r="H831"/>
      <c r="I831"/>
      <c r="J831"/>
    </row>
    <row r="832" spans="1:10" x14ac:dyDescent="0.25">
      <c r="A832" s="90">
        <v>36361</v>
      </c>
      <c r="B832" s="17">
        <v>35.53</v>
      </c>
      <c r="C832" s="17"/>
      <c r="F832"/>
      <c r="G832"/>
      <c r="H832"/>
      <c r="I832"/>
      <c r="J832"/>
    </row>
    <row r="833" spans="1:10" x14ac:dyDescent="0.25">
      <c r="A833" s="90">
        <v>36362</v>
      </c>
      <c r="B833" s="17">
        <v>37.97</v>
      </c>
      <c r="C833" s="17"/>
      <c r="F833"/>
      <c r="G833"/>
      <c r="H833"/>
      <c r="I833"/>
      <c r="J833"/>
    </row>
    <row r="834" spans="1:10" x14ac:dyDescent="0.25">
      <c r="A834" s="90">
        <v>36363</v>
      </c>
      <c r="B834" s="17">
        <v>36.28</v>
      </c>
      <c r="C834" s="17"/>
      <c r="F834"/>
      <c r="G834"/>
      <c r="H834"/>
      <c r="I834"/>
      <c r="J834"/>
    </row>
    <row r="835" spans="1:10" x14ac:dyDescent="0.25">
      <c r="A835" s="90">
        <v>36364</v>
      </c>
      <c r="B835" s="17">
        <v>36.44</v>
      </c>
      <c r="C835" s="17"/>
      <c r="F835"/>
      <c r="G835"/>
      <c r="H835"/>
      <c r="I835"/>
      <c r="J835"/>
    </row>
    <row r="836" spans="1:10" x14ac:dyDescent="0.25">
      <c r="A836" s="90">
        <v>36367</v>
      </c>
      <c r="B836" s="17">
        <v>33.58</v>
      </c>
      <c r="C836" s="17"/>
      <c r="F836"/>
      <c r="G836"/>
      <c r="H836"/>
      <c r="I836"/>
      <c r="J836"/>
    </row>
    <row r="837" spans="1:10" x14ac:dyDescent="0.25">
      <c r="A837" s="90">
        <v>36368</v>
      </c>
      <c r="B837" s="17">
        <v>32.83</v>
      </c>
      <c r="C837" s="17"/>
      <c r="F837"/>
      <c r="G837"/>
      <c r="H837"/>
      <c r="I837"/>
      <c r="J837"/>
    </row>
    <row r="838" spans="1:10" x14ac:dyDescent="0.25">
      <c r="A838" s="90">
        <v>36369</v>
      </c>
      <c r="B838" s="17">
        <v>35.75</v>
      </c>
      <c r="C838" s="17"/>
      <c r="F838"/>
      <c r="G838"/>
      <c r="H838"/>
      <c r="I838"/>
      <c r="J838"/>
    </row>
    <row r="839" spans="1:10" x14ac:dyDescent="0.25">
      <c r="A839" s="90">
        <v>36370</v>
      </c>
      <c r="B839" s="17">
        <v>34.25</v>
      </c>
      <c r="C839" s="17"/>
      <c r="F839"/>
      <c r="G839"/>
      <c r="H839"/>
      <c r="I839"/>
      <c r="J839"/>
    </row>
    <row r="840" spans="1:10" x14ac:dyDescent="0.25">
      <c r="A840" s="90">
        <v>36371</v>
      </c>
      <c r="B840" s="17">
        <v>34.11</v>
      </c>
      <c r="C840" s="17"/>
      <c r="F840"/>
      <c r="G840"/>
      <c r="H840"/>
      <c r="I840"/>
      <c r="J840"/>
    </row>
    <row r="841" spans="1:10" x14ac:dyDescent="0.25">
      <c r="A841" s="90">
        <v>36374</v>
      </c>
      <c r="B841" s="17">
        <v>33.08</v>
      </c>
      <c r="C841" s="17"/>
      <c r="F841"/>
      <c r="G841"/>
      <c r="H841"/>
      <c r="I841"/>
      <c r="J841"/>
    </row>
    <row r="842" spans="1:10" x14ac:dyDescent="0.25">
      <c r="A842" s="90">
        <v>36375</v>
      </c>
      <c r="B842" s="17">
        <v>31.34</v>
      </c>
      <c r="C842" s="17"/>
      <c r="F842"/>
      <c r="G842"/>
      <c r="H842"/>
      <c r="I842"/>
      <c r="J842"/>
    </row>
    <row r="843" spans="1:10" x14ac:dyDescent="0.25">
      <c r="A843" s="90">
        <v>36376</v>
      </c>
      <c r="B843" s="17">
        <v>30.25</v>
      </c>
      <c r="C843" s="17"/>
      <c r="F843"/>
      <c r="G843"/>
      <c r="H843"/>
      <c r="I843"/>
      <c r="J843"/>
    </row>
    <row r="844" spans="1:10" x14ac:dyDescent="0.25">
      <c r="A844" s="90">
        <v>36377</v>
      </c>
      <c r="B844" s="17">
        <v>32.090000000000003</v>
      </c>
      <c r="C844" s="17"/>
      <c r="F844"/>
      <c r="G844"/>
      <c r="H844"/>
      <c r="I844"/>
      <c r="J844"/>
    </row>
    <row r="845" spans="1:10" x14ac:dyDescent="0.25">
      <c r="A845" s="90">
        <v>36378</v>
      </c>
      <c r="B845" s="17">
        <v>31.73</v>
      </c>
      <c r="C845" s="17"/>
      <c r="F845"/>
      <c r="G845"/>
      <c r="H845"/>
      <c r="I845"/>
      <c r="J845"/>
    </row>
    <row r="846" spans="1:10" x14ac:dyDescent="0.25">
      <c r="A846" s="90">
        <v>36381</v>
      </c>
      <c r="B846" s="17">
        <v>30.3</v>
      </c>
      <c r="C846" s="17"/>
      <c r="F846"/>
      <c r="G846"/>
      <c r="H846"/>
      <c r="I846"/>
      <c r="J846"/>
    </row>
    <row r="847" spans="1:10" x14ac:dyDescent="0.25">
      <c r="A847" s="90">
        <v>36382</v>
      </c>
      <c r="B847" s="17">
        <v>31.88</v>
      </c>
      <c r="C847" s="17"/>
      <c r="F847"/>
      <c r="G847"/>
      <c r="H847"/>
      <c r="I847"/>
      <c r="J847"/>
    </row>
    <row r="848" spans="1:10" x14ac:dyDescent="0.25">
      <c r="A848" s="90">
        <v>36383</v>
      </c>
      <c r="B848" s="17">
        <v>32.020000000000003</v>
      </c>
      <c r="C848" s="17"/>
      <c r="F848"/>
      <c r="G848"/>
      <c r="H848"/>
      <c r="I848"/>
      <c r="J848"/>
    </row>
    <row r="849" spans="1:10" x14ac:dyDescent="0.25">
      <c r="A849" s="90">
        <v>36384</v>
      </c>
      <c r="B849" s="17">
        <v>32.090000000000003</v>
      </c>
      <c r="C849" s="17"/>
      <c r="F849"/>
      <c r="G849"/>
      <c r="H849"/>
      <c r="I849"/>
      <c r="J849"/>
    </row>
    <row r="850" spans="1:10" x14ac:dyDescent="0.25">
      <c r="A850" s="90">
        <v>36385</v>
      </c>
      <c r="B850" s="17">
        <v>33.200000000000003</v>
      </c>
      <c r="C850" s="17"/>
      <c r="F850"/>
      <c r="G850"/>
      <c r="H850"/>
      <c r="I850"/>
      <c r="J850"/>
    </row>
    <row r="851" spans="1:10" x14ac:dyDescent="0.25">
      <c r="A851" s="90">
        <v>36388</v>
      </c>
      <c r="B851" s="17">
        <v>33.619999999999997</v>
      </c>
      <c r="C851" s="17"/>
      <c r="F851"/>
      <c r="G851"/>
      <c r="H851"/>
      <c r="I851"/>
      <c r="J851"/>
    </row>
    <row r="852" spans="1:10" x14ac:dyDescent="0.25">
      <c r="A852" s="90">
        <v>36389</v>
      </c>
      <c r="B852" s="17">
        <v>34.72</v>
      </c>
      <c r="C852" s="17"/>
      <c r="F852"/>
      <c r="G852"/>
      <c r="H852"/>
      <c r="I852"/>
      <c r="J852"/>
    </row>
    <row r="853" spans="1:10" x14ac:dyDescent="0.25">
      <c r="A853" s="90">
        <v>36390</v>
      </c>
      <c r="B853" s="17">
        <v>36.270000000000003</v>
      </c>
      <c r="C853" s="17"/>
      <c r="F853"/>
      <c r="G853"/>
      <c r="H853"/>
      <c r="I853"/>
      <c r="J853"/>
    </row>
    <row r="854" spans="1:10" x14ac:dyDescent="0.25">
      <c r="A854" s="90">
        <v>36391</v>
      </c>
      <c r="B854" s="17">
        <v>34.799999999999997</v>
      </c>
      <c r="C854" s="17"/>
      <c r="F854"/>
      <c r="G854"/>
      <c r="H854"/>
      <c r="I854"/>
      <c r="J854"/>
    </row>
    <row r="855" spans="1:10" x14ac:dyDescent="0.25">
      <c r="A855" s="90">
        <v>36392</v>
      </c>
      <c r="B855" s="17">
        <v>36.25</v>
      </c>
      <c r="C855" s="17"/>
      <c r="F855"/>
      <c r="G855"/>
      <c r="H855"/>
      <c r="I855"/>
      <c r="J855"/>
    </row>
    <row r="856" spans="1:10" x14ac:dyDescent="0.25">
      <c r="A856" s="90">
        <v>36395</v>
      </c>
      <c r="B856" s="17">
        <v>38.03</v>
      </c>
      <c r="C856" s="17"/>
      <c r="F856"/>
      <c r="G856"/>
      <c r="H856"/>
      <c r="I856"/>
      <c r="J856"/>
    </row>
    <row r="857" spans="1:10" x14ac:dyDescent="0.25">
      <c r="A857" s="90">
        <v>36396</v>
      </c>
      <c r="B857" s="17">
        <v>38.229999999999997</v>
      </c>
      <c r="C857" s="17"/>
      <c r="F857"/>
      <c r="G857"/>
      <c r="H857"/>
      <c r="I857"/>
      <c r="J857"/>
    </row>
    <row r="858" spans="1:10" x14ac:dyDescent="0.25">
      <c r="A858" s="90">
        <v>36397</v>
      </c>
      <c r="B858" s="17">
        <v>39.64</v>
      </c>
      <c r="C858" s="17"/>
      <c r="F858"/>
      <c r="G858"/>
      <c r="H858"/>
      <c r="I858"/>
      <c r="J858"/>
    </row>
    <row r="859" spans="1:10" x14ac:dyDescent="0.25">
      <c r="A859" s="90">
        <v>36398</v>
      </c>
      <c r="B859" s="17">
        <v>38.17</v>
      </c>
      <c r="C859" s="17"/>
      <c r="F859"/>
      <c r="G859"/>
      <c r="H859"/>
      <c r="I859"/>
      <c r="J859"/>
    </row>
    <row r="860" spans="1:10" x14ac:dyDescent="0.25">
      <c r="A860" s="90">
        <v>36399</v>
      </c>
      <c r="B860" s="17">
        <v>37.25</v>
      </c>
      <c r="C860" s="17"/>
      <c r="F860"/>
      <c r="G860"/>
      <c r="H860"/>
      <c r="I860"/>
      <c r="J860"/>
    </row>
    <row r="861" spans="1:10" x14ac:dyDescent="0.25">
      <c r="A861" s="90">
        <v>36402</v>
      </c>
      <c r="B861" s="17">
        <v>35.950000000000003</v>
      </c>
      <c r="C861" s="17"/>
      <c r="F861"/>
      <c r="G861"/>
      <c r="H861"/>
      <c r="I861"/>
      <c r="J861"/>
    </row>
    <row r="862" spans="1:10" x14ac:dyDescent="0.25">
      <c r="A862" s="90">
        <v>36403</v>
      </c>
      <c r="B862" s="17">
        <v>36.880000000000003</v>
      </c>
      <c r="C862" s="17"/>
      <c r="F862"/>
      <c r="G862"/>
      <c r="H862"/>
      <c r="I862"/>
      <c r="J862"/>
    </row>
    <row r="863" spans="1:10" x14ac:dyDescent="0.25">
      <c r="A863" s="90">
        <v>36404</v>
      </c>
      <c r="B863" s="17">
        <v>35.83</v>
      </c>
      <c r="C863" s="17"/>
      <c r="F863"/>
      <c r="G863"/>
      <c r="H863"/>
      <c r="I863"/>
      <c r="J863"/>
    </row>
    <row r="864" spans="1:10" x14ac:dyDescent="0.25">
      <c r="A864" s="90">
        <v>36405</v>
      </c>
      <c r="B864" s="17">
        <v>35.39</v>
      </c>
      <c r="C864" s="17"/>
      <c r="F864"/>
      <c r="G864"/>
      <c r="H864"/>
      <c r="I864"/>
      <c r="J864"/>
    </row>
    <row r="865" spans="1:10" x14ac:dyDescent="0.25">
      <c r="A865" s="90">
        <v>36406</v>
      </c>
      <c r="B865" s="17">
        <v>38.75</v>
      </c>
      <c r="C865" s="17"/>
      <c r="F865"/>
      <c r="G865"/>
      <c r="H865"/>
      <c r="I865"/>
      <c r="J865"/>
    </row>
    <row r="866" spans="1:10" x14ac:dyDescent="0.25">
      <c r="A866" s="90">
        <v>36410</v>
      </c>
      <c r="B866" s="17">
        <v>38.75</v>
      </c>
      <c r="C866" s="17"/>
      <c r="F866"/>
      <c r="G866"/>
      <c r="H866"/>
      <c r="I866"/>
      <c r="J866"/>
    </row>
    <row r="867" spans="1:10" x14ac:dyDescent="0.25">
      <c r="A867" s="90">
        <v>36411</v>
      </c>
      <c r="B867" s="17">
        <v>38.36</v>
      </c>
      <c r="C867" s="17"/>
      <c r="F867"/>
      <c r="G867"/>
      <c r="H867"/>
      <c r="I867"/>
      <c r="J867"/>
    </row>
    <row r="868" spans="1:10" x14ac:dyDescent="0.25">
      <c r="A868" s="90">
        <v>36412</v>
      </c>
      <c r="B868" s="17">
        <v>40.67</v>
      </c>
      <c r="C868" s="17"/>
      <c r="F868"/>
      <c r="G868"/>
      <c r="H868"/>
      <c r="I868"/>
      <c r="J868"/>
    </row>
    <row r="869" spans="1:10" x14ac:dyDescent="0.25">
      <c r="A869" s="90">
        <v>36413</v>
      </c>
      <c r="B869" s="17">
        <v>42.62</v>
      </c>
      <c r="C869" s="17"/>
      <c r="F869"/>
      <c r="G869"/>
      <c r="H869"/>
      <c r="I869"/>
      <c r="J869"/>
    </row>
    <row r="870" spans="1:10" x14ac:dyDescent="0.25">
      <c r="A870" s="90">
        <v>36416</v>
      </c>
      <c r="B870" s="17">
        <v>40.19</v>
      </c>
      <c r="C870" s="17"/>
      <c r="F870"/>
      <c r="G870"/>
      <c r="H870"/>
      <c r="I870"/>
      <c r="J870"/>
    </row>
    <row r="871" spans="1:10" x14ac:dyDescent="0.25">
      <c r="A871" s="90">
        <v>36417</v>
      </c>
      <c r="B871" s="17">
        <v>41.3</v>
      </c>
      <c r="C871" s="17"/>
      <c r="F871"/>
      <c r="G871"/>
      <c r="H871"/>
      <c r="I871"/>
      <c r="J871"/>
    </row>
    <row r="872" spans="1:10" x14ac:dyDescent="0.25">
      <c r="A872" s="90">
        <v>36418</v>
      </c>
      <c r="B872" s="17">
        <v>40.590000000000003</v>
      </c>
      <c r="C872" s="17"/>
      <c r="F872"/>
      <c r="G872"/>
      <c r="H872"/>
      <c r="I872"/>
      <c r="J872"/>
    </row>
    <row r="873" spans="1:10" x14ac:dyDescent="0.25">
      <c r="A873" s="90">
        <v>36419</v>
      </c>
      <c r="B873" s="17">
        <v>40.86</v>
      </c>
      <c r="C873" s="17"/>
      <c r="F873"/>
      <c r="G873"/>
      <c r="H873"/>
      <c r="I873"/>
      <c r="J873"/>
    </row>
    <row r="874" spans="1:10" x14ac:dyDescent="0.25">
      <c r="A874" s="90">
        <v>36420</v>
      </c>
      <c r="B874" s="17">
        <v>40.78</v>
      </c>
      <c r="C874" s="17"/>
      <c r="F874"/>
      <c r="G874"/>
      <c r="H874"/>
      <c r="I874"/>
      <c r="J874"/>
    </row>
    <row r="875" spans="1:10" x14ac:dyDescent="0.25">
      <c r="A875" s="90">
        <v>36423</v>
      </c>
      <c r="B875" s="17">
        <v>42.09</v>
      </c>
      <c r="C875" s="17"/>
      <c r="F875"/>
      <c r="G875"/>
      <c r="H875"/>
      <c r="I875"/>
      <c r="J875"/>
    </row>
    <row r="876" spans="1:10" x14ac:dyDescent="0.25">
      <c r="A876" s="90">
        <v>36424</v>
      </c>
      <c r="B876" s="17">
        <v>42.39</v>
      </c>
      <c r="C876" s="17"/>
      <c r="F876"/>
      <c r="G876"/>
      <c r="H876"/>
      <c r="I876"/>
      <c r="J876"/>
    </row>
    <row r="877" spans="1:10" x14ac:dyDescent="0.25">
      <c r="A877" s="90">
        <v>36425</v>
      </c>
      <c r="B877" s="17">
        <v>44.88</v>
      </c>
      <c r="C877" s="17"/>
      <c r="F877"/>
      <c r="G877"/>
      <c r="H877"/>
      <c r="I877"/>
      <c r="J877"/>
    </row>
    <row r="878" spans="1:10" x14ac:dyDescent="0.25">
      <c r="A878" s="90">
        <v>36426</v>
      </c>
      <c r="B878" s="17">
        <v>43.44</v>
      </c>
      <c r="C878" s="17"/>
      <c r="F878"/>
      <c r="G878"/>
      <c r="H878"/>
      <c r="I878"/>
      <c r="J878"/>
    </row>
    <row r="879" spans="1:10" x14ac:dyDescent="0.25">
      <c r="A879" s="90">
        <v>36427</v>
      </c>
      <c r="B879" s="17">
        <v>45.83</v>
      </c>
      <c r="C879" s="17"/>
      <c r="F879"/>
      <c r="G879"/>
      <c r="H879"/>
      <c r="I879"/>
      <c r="J879"/>
    </row>
    <row r="880" spans="1:10" x14ac:dyDescent="0.25">
      <c r="A880" s="90">
        <v>36430</v>
      </c>
      <c r="B880" s="17">
        <v>45.34</v>
      </c>
      <c r="C880" s="17"/>
      <c r="F880"/>
      <c r="G880"/>
      <c r="H880"/>
      <c r="I880"/>
      <c r="J880"/>
    </row>
    <row r="881" spans="1:10" x14ac:dyDescent="0.25">
      <c r="A881" s="90">
        <v>36431</v>
      </c>
      <c r="B881" s="17">
        <v>46.17</v>
      </c>
      <c r="C881" s="17"/>
      <c r="F881"/>
      <c r="G881"/>
      <c r="H881"/>
      <c r="I881"/>
      <c r="J881"/>
    </row>
    <row r="882" spans="1:10" x14ac:dyDescent="0.25">
      <c r="A882" s="90">
        <v>36432</v>
      </c>
      <c r="B882" s="17">
        <v>44.83</v>
      </c>
      <c r="C882" s="17"/>
      <c r="F882"/>
      <c r="G882"/>
      <c r="H882"/>
      <c r="I882"/>
      <c r="J882"/>
    </row>
    <row r="883" spans="1:10" x14ac:dyDescent="0.25">
      <c r="A883" s="90">
        <v>36433</v>
      </c>
      <c r="B883" s="17">
        <v>44.88</v>
      </c>
      <c r="C883" s="17"/>
      <c r="F883"/>
      <c r="G883"/>
      <c r="H883"/>
      <c r="I883"/>
      <c r="J883"/>
    </row>
    <row r="884" spans="1:10" x14ac:dyDescent="0.25">
      <c r="A884" s="90">
        <v>36434</v>
      </c>
      <c r="B884" s="17">
        <v>43.86</v>
      </c>
      <c r="C884" s="17"/>
      <c r="F884"/>
      <c r="G884"/>
      <c r="H884"/>
      <c r="I884"/>
      <c r="J884"/>
    </row>
    <row r="885" spans="1:10" x14ac:dyDescent="0.25">
      <c r="A885" s="90">
        <v>36437</v>
      </c>
      <c r="B885" s="17">
        <v>42.8</v>
      </c>
      <c r="C885" s="17"/>
      <c r="F885"/>
      <c r="G885"/>
      <c r="H885"/>
      <c r="I885"/>
      <c r="J885"/>
    </row>
    <row r="886" spans="1:10" x14ac:dyDescent="0.25">
      <c r="A886" s="90">
        <v>36438</v>
      </c>
      <c r="B886" s="17">
        <v>43.33</v>
      </c>
      <c r="C886" s="17"/>
      <c r="F886"/>
      <c r="G886"/>
      <c r="H886"/>
      <c r="I886"/>
      <c r="J886"/>
    </row>
    <row r="887" spans="1:10" x14ac:dyDescent="0.25">
      <c r="A887" s="90">
        <v>36439</v>
      </c>
      <c r="B887" s="17">
        <v>43.94</v>
      </c>
      <c r="C887" s="17"/>
      <c r="F887"/>
      <c r="G887"/>
      <c r="H887"/>
      <c r="I887"/>
      <c r="J887"/>
    </row>
    <row r="888" spans="1:10" x14ac:dyDescent="0.25">
      <c r="A888" s="90">
        <v>36440</v>
      </c>
      <c r="B888" s="17">
        <v>47.56</v>
      </c>
      <c r="C888" s="17"/>
      <c r="F888"/>
      <c r="G888"/>
      <c r="H888"/>
      <c r="I888"/>
      <c r="J888"/>
    </row>
    <row r="889" spans="1:10" x14ac:dyDescent="0.25">
      <c r="A889" s="90">
        <v>36441</v>
      </c>
      <c r="B889" s="17">
        <v>48.03</v>
      </c>
      <c r="C889" s="17"/>
      <c r="F889"/>
      <c r="G889"/>
      <c r="H889"/>
      <c r="I889"/>
      <c r="J889"/>
    </row>
    <row r="890" spans="1:10" x14ac:dyDescent="0.25">
      <c r="A890" s="90">
        <v>36444</v>
      </c>
      <c r="B890" s="17">
        <v>45.34</v>
      </c>
      <c r="C890" s="17"/>
      <c r="F890"/>
      <c r="G890"/>
      <c r="H890"/>
      <c r="I890"/>
      <c r="J890"/>
    </row>
    <row r="891" spans="1:10" x14ac:dyDescent="0.25">
      <c r="A891" s="90">
        <v>36445</v>
      </c>
      <c r="B891" s="17">
        <v>43.47</v>
      </c>
      <c r="C891" s="17"/>
      <c r="F891"/>
      <c r="G891"/>
      <c r="H891"/>
      <c r="I891"/>
      <c r="J891"/>
    </row>
    <row r="892" spans="1:10" x14ac:dyDescent="0.25">
      <c r="A892" s="90">
        <v>36446</v>
      </c>
      <c r="B892" s="17">
        <v>41.89</v>
      </c>
      <c r="C892" s="17"/>
      <c r="F892"/>
      <c r="G892"/>
      <c r="H892"/>
      <c r="I892"/>
      <c r="J892"/>
    </row>
    <row r="893" spans="1:10" x14ac:dyDescent="0.25">
      <c r="A893" s="90">
        <v>36447</v>
      </c>
      <c r="B893" s="17">
        <v>43.34</v>
      </c>
      <c r="C893" s="17"/>
      <c r="F893"/>
      <c r="G893"/>
      <c r="H893"/>
      <c r="I893"/>
      <c r="J893"/>
    </row>
    <row r="894" spans="1:10" x14ac:dyDescent="0.25">
      <c r="A894" s="90">
        <v>36448</v>
      </c>
      <c r="B894" s="17">
        <v>42.39</v>
      </c>
      <c r="C894" s="17"/>
      <c r="F894"/>
      <c r="G894"/>
      <c r="H894"/>
      <c r="I894"/>
      <c r="J894"/>
    </row>
    <row r="895" spans="1:10" x14ac:dyDescent="0.25">
      <c r="A895" s="90">
        <v>36451</v>
      </c>
      <c r="B895" s="17">
        <v>42.59</v>
      </c>
      <c r="C895" s="17"/>
      <c r="F895"/>
      <c r="G895"/>
      <c r="H895"/>
      <c r="I895"/>
      <c r="J895"/>
    </row>
    <row r="896" spans="1:10" x14ac:dyDescent="0.25">
      <c r="A896" s="90">
        <v>36452</v>
      </c>
      <c r="B896" s="17">
        <v>43.72</v>
      </c>
      <c r="C896" s="17"/>
      <c r="F896"/>
      <c r="G896"/>
      <c r="H896"/>
      <c r="I896"/>
      <c r="J896"/>
    </row>
    <row r="897" spans="1:10" x14ac:dyDescent="0.25">
      <c r="A897" s="90">
        <v>36453</v>
      </c>
      <c r="B897" s="17">
        <v>45.04</v>
      </c>
      <c r="C897" s="17"/>
      <c r="F897"/>
      <c r="G897"/>
      <c r="H897"/>
      <c r="I897"/>
      <c r="J897"/>
    </row>
    <row r="898" spans="1:10" x14ac:dyDescent="0.25">
      <c r="A898" s="90">
        <v>36454</v>
      </c>
      <c r="B898" s="17">
        <v>45.48</v>
      </c>
      <c r="C898" s="17"/>
      <c r="F898"/>
      <c r="G898"/>
      <c r="H898"/>
      <c r="I898"/>
      <c r="J898"/>
    </row>
    <row r="899" spans="1:10" x14ac:dyDescent="0.25">
      <c r="A899" s="90">
        <v>36455</v>
      </c>
      <c r="B899" s="17">
        <v>44.53</v>
      </c>
      <c r="C899" s="17"/>
      <c r="F899"/>
      <c r="G899"/>
      <c r="H899"/>
      <c r="I899"/>
      <c r="J899"/>
    </row>
    <row r="900" spans="1:10" x14ac:dyDescent="0.25">
      <c r="A900" s="90">
        <v>36458</v>
      </c>
      <c r="B900" s="17">
        <v>44.69</v>
      </c>
      <c r="C900" s="17"/>
      <c r="F900"/>
      <c r="G900"/>
      <c r="H900"/>
      <c r="I900"/>
      <c r="J900"/>
    </row>
    <row r="901" spans="1:10" x14ac:dyDescent="0.25">
      <c r="A901" s="90">
        <v>36459</v>
      </c>
      <c r="B901" s="17">
        <v>44.8</v>
      </c>
      <c r="C901" s="17"/>
      <c r="F901"/>
      <c r="G901"/>
      <c r="H901"/>
      <c r="I901"/>
      <c r="J901"/>
    </row>
    <row r="902" spans="1:10" x14ac:dyDescent="0.25">
      <c r="A902" s="90">
        <v>36460</v>
      </c>
      <c r="B902" s="17">
        <v>43.55</v>
      </c>
      <c r="C902" s="17"/>
      <c r="F902"/>
      <c r="G902"/>
      <c r="H902"/>
      <c r="I902"/>
      <c r="J902"/>
    </row>
    <row r="903" spans="1:10" x14ac:dyDescent="0.25">
      <c r="A903" s="90">
        <v>36461</v>
      </c>
      <c r="B903" s="17">
        <v>43.75</v>
      </c>
      <c r="C903" s="17"/>
      <c r="F903"/>
      <c r="G903"/>
      <c r="H903"/>
      <c r="I903"/>
      <c r="J903"/>
    </row>
    <row r="904" spans="1:10" x14ac:dyDescent="0.25">
      <c r="A904" s="90">
        <v>36462</v>
      </c>
      <c r="B904" s="17">
        <v>44.77</v>
      </c>
      <c r="C904" s="17"/>
      <c r="F904"/>
      <c r="G904"/>
      <c r="H904"/>
      <c r="I904"/>
      <c r="J904"/>
    </row>
    <row r="905" spans="1:10" x14ac:dyDescent="0.25">
      <c r="A905" s="90">
        <v>36465</v>
      </c>
      <c r="B905" s="17">
        <v>45.17</v>
      </c>
      <c r="C905" s="17"/>
      <c r="F905"/>
      <c r="G905"/>
      <c r="H905"/>
      <c r="I905"/>
      <c r="J905"/>
    </row>
    <row r="906" spans="1:10" x14ac:dyDescent="0.25">
      <c r="A906" s="90">
        <v>36466</v>
      </c>
      <c r="B906" s="17">
        <v>44.5</v>
      </c>
      <c r="C906" s="17"/>
      <c r="F906"/>
      <c r="G906"/>
      <c r="H906"/>
      <c r="I906"/>
      <c r="J906"/>
    </row>
    <row r="907" spans="1:10" x14ac:dyDescent="0.25">
      <c r="A907" s="90">
        <v>36467</v>
      </c>
      <c r="B907" s="17">
        <v>45.16</v>
      </c>
      <c r="C907" s="17"/>
      <c r="F907"/>
      <c r="G907"/>
      <c r="H907"/>
      <c r="I907"/>
      <c r="J907"/>
    </row>
    <row r="908" spans="1:10" x14ac:dyDescent="0.25">
      <c r="A908" s="90">
        <v>36468</v>
      </c>
      <c r="B908" s="17">
        <v>45.53</v>
      </c>
      <c r="C908" s="17"/>
      <c r="F908"/>
      <c r="G908"/>
      <c r="H908"/>
      <c r="I908"/>
      <c r="J908"/>
    </row>
    <row r="909" spans="1:10" x14ac:dyDescent="0.25">
      <c r="A909" s="90">
        <v>36469</v>
      </c>
      <c r="B909" s="17">
        <v>45.86</v>
      </c>
      <c r="C909" s="17"/>
      <c r="F909"/>
      <c r="G909"/>
      <c r="H909"/>
      <c r="I909"/>
      <c r="J909"/>
    </row>
    <row r="910" spans="1:10" x14ac:dyDescent="0.25">
      <c r="A910" s="90">
        <v>36472</v>
      </c>
      <c r="B910" s="17">
        <v>49.3</v>
      </c>
      <c r="C910" s="17"/>
      <c r="F910"/>
      <c r="G910"/>
      <c r="H910"/>
      <c r="I910"/>
      <c r="J910"/>
    </row>
    <row r="911" spans="1:10" x14ac:dyDescent="0.25">
      <c r="A911" s="90">
        <v>36473</v>
      </c>
      <c r="B911" s="17">
        <v>48.64</v>
      </c>
      <c r="C911" s="17"/>
      <c r="F911"/>
      <c r="G911"/>
      <c r="H911"/>
      <c r="I911"/>
      <c r="J911"/>
    </row>
    <row r="912" spans="1:10" x14ac:dyDescent="0.25">
      <c r="A912" s="90">
        <v>36474</v>
      </c>
      <c r="B912" s="17">
        <v>49.42</v>
      </c>
      <c r="C912" s="17"/>
      <c r="F912"/>
      <c r="G912"/>
      <c r="H912"/>
      <c r="I912"/>
      <c r="J912"/>
    </row>
    <row r="913" spans="1:10" x14ac:dyDescent="0.25">
      <c r="A913" s="90">
        <v>36475</v>
      </c>
      <c r="B913" s="17">
        <v>48.28</v>
      </c>
      <c r="C913" s="17"/>
      <c r="F913"/>
      <c r="G913"/>
      <c r="H913"/>
      <c r="I913"/>
      <c r="J913"/>
    </row>
    <row r="914" spans="1:10" x14ac:dyDescent="0.25">
      <c r="A914" s="90">
        <v>36476</v>
      </c>
      <c r="B914" s="17">
        <v>49.23</v>
      </c>
      <c r="C914" s="17"/>
      <c r="F914"/>
      <c r="G914"/>
      <c r="H914"/>
      <c r="I914"/>
      <c r="J914"/>
    </row>
    <row r="915" spans="1:10" x14ac:dyDescent="0.25">
      <c r="A915" s="90">
        <v>36479</v>
      </c>
      <c r="B915" s="17">
        <v>51.25</v>
      </c>
      <c r="C915" s="17"/>
      <c r="F915"/>
      <c r="G915"/>
      <c r="H915"/>
      <c r="I915"/>
      <c r="J915"/>
    </row>
    <row r="916" spans="1:10" x14ac:dyDescent="0.25">
      <c r="A916" s="90">
        <v>36480</v>
      </c>
      <c r="B916" s="17">
        <v>53.14</v>
      </c>
      <c r="C916" s="17"/>
      <c r="F916"/>
      <c r="G916"/>
      <c r="H916"/>
      <c r="I916"/>
      <c r="J916"/>
    </row>
    <row r="917" spans="1:10" x14ac:dyDescent="0.25">
      <c r="A917" s="90">
        <v>36481</v>
      </c>
      <c r="B917" s="17">
        <v>51.55</v>
      </c>
      <c r="C917" s="17"/>
      <c r="F917"/>
      <c r="G917"/>
      <c r="H917"/>
      <c r="I917"/>
      <c r="J917"/>
    </row>
    <row r="918" spans="1:10" x14ac:dyDescent="0.25">
      <c r="A918" s="90">
        <v>36482</v>
      </c>
      <c r="B918" s="17">
        <v>53.47</v>
      </c>
      <c r="C918" s="17"/>
      <c r="F918"/>
      <c r="G918"/>
      <c r="H918"/>
      <c r="I918"/>
      <c r="J918"/>
    </row>
    <row r="919" spans="1:10" x14ac:dyDescent="0.25">
      <c r="A919" s="90">
        <v>36483</v>
      </c>
      <c r="B919" s="17">
        <v>54.69</v>
      </c>
      <c r="C919" s="17"/>
      <c r="F919"/>
      <c r="G919"/>
      <c r="H919"/>
      <c r="I919"/>
      <c r="J919"/>
    </row>
    <row r="920" spans="1:10" x14ac:dyDescent="0.25">
      <c r="A920" s="90">
        <v>36486</v>
      </c>
      <c r="B920" s="17">
        <v>56.7</v>
      </c>
      <c r="C920" s="17"/>
      <c r="F920"/>
      <c r="G920"/>
      <c r="H920"/>
      <c r="I920"/>
      <c r="J920"/>
    </row>
    <row r="921" spans="1:10" x14ac:dyDescent="0.25">
      <c r="A921" s="90">
        <v>36487</v>
      </c>
      <c r="B921" s="17">
        <v>55.3</v>
      </c>
      <c r="C921" s="17"/>
      <c r="F921"/>
      <c r="G921"/>
      <c r="H921"/>
      <c r="I921"/>
      <c r="J921"/>
    </row>
    <row r="922" spans="1:10" x14ac:dyDescent="0.25">
      <c r="A922" s="90">
        <v>36488</v>
      </c>
      <c r="B922" s="17">
        <v>57.75</v>
      </c>
      <c r="C922" s="17"/>
      <c r="F922"/>
      <c r="G922"/>
      <c r="H922"/>
      <c r="I922"/>
      <c r="J922"/>
    </row>
    <row r="923" spans="1:10" x14ac:dyDescent="0.25">
      <c r="A923" s="90">
        <v>36490</v>
      </c>
      <c r="B923" s="17">
        <v>56.72</v>
      </c>
      <c r="C923" s="17"/>
      <c r="F923"/>
      <c r="G923"/>
      <c r="H923"/>
      <c r="I923"/>
      <c r="J923"/>
    </row>
    <row r="924" spans="1:10" x14ac:dyDescent="0.25">
      <c r="A924" s="90">
        <v>36493</v>
      </c>
      <c r="B924" s="17">
        <v>56.53</v>
      </c>
      <c r="C924" s="17"/>
      <c r="F924"/>
      <c r="G924"/>
      <c r="H924"/>
      <c r="I924"/>
      <c r="J924"/>
    </row>
    <row r="925" spans="1:10" x14ac:dyDescent="0.25">
      <c r="A925" s="90">
        <v>36494</v>
      </c>
      <c r="B925" s="17">
        <v>53.19</v>
      </c>
      <c r="C925" s="17"/>
      <c r="F925"/>
      <c r="G925"/>
      <c r="H925"/>
      <c r="I925"/>
      <c r="J925"/>
    </row>
    <row r="926" spans="1:10" x14ac:dyDescent="0.25">
      <c r="A926" s="90">
        <v>36495</v>
      </c>
      <c r="B926" s="17">
        <v>57.22</v>
      </c>
      <c r="C926" s="17"/>
      <c r="F926"/>
      <c r="G926"/>
      <c r="H926"/>
      <c r="I926"/>
      <c r="J926"/>
    </row>
    <row r="927" spans="1:10" x14ac:dyDescent="0.25">
      <c r="A927" s="90">
        <v>36496</v>
      </c>
      <c r="B927" s="17">
        <v>61.45</v>
      </c>
      <c r="C927" s="17"/>
      <c r="F927"/>
      <c r="G927"/>
      <c r="H927"/>
      <c r="I927"/>
      <c r="J927"/>
    </row>
    <row r="928" spans="1:10" x14ac:dyDescent="0.25">
      <c r="A928" s="90">
        <v>36497</v>
      </c>
      <c r="B928" s="17">
        <v>63.25</v>
      </c>
      <c r="C928" s="17"/>
      <c r="F928"/>
      <c r="G928"/>
      <c r="H928"/>
      <c r="I928"/>
      <c r="J928"/>
    </row>
    <row r="929" spans="1:10" x14ac:dyDescent="0.25">
      <c r="A929" s="90">
        <v>36500</v>
      </c>
      <c r="B929" s="17">
        <v>70.2</v>
      </c>
      <c r="C929" s="17"/>
      <c r="F929"/>
      <c r="G929"/>
      <c r="H929"/>
      <c r="I929"/>
      <c r="J929"/>
    </row>
    <row r="930" spans="1:10" x14ac:dyDescent="0.25">
      <c r="A930" s="90">
        <v>36501</v>
      </c>
      <c r="B930" s="17">
        <v>87</v>
      </c>
      <c r="C930" s="17"/>
      <c r="F930"/>
      <c r="G930"/>
      <c r="H930"/>
      <c r="I930"/>
      <c r="J930"/>
    </row>
    <row r="931" spans="1:10" x14ac:dyDescent="0.25">
      <c r="A931" s="90">
        <v>36502</v>
      </c>
      <c r="B931" s="17">
        <v>79.91</v>
      </c>
      <c r="C931" s="17"/>
      <c r="F931"/>
      <c r="G931"/>
      <c r="H931"/>
      <c r="I931"/>
      <c r="J931"/>
    </row>
    <row r="932" spans="1:10" x14ac:dyDescent="0.25">
      <c r="A932" s="90">
        <v>36503</v>
      </c>
      <c r="B932" s="17">
        <v>85</v>
      </c>
      <c r="C932" s="17"/>
      <c r="F932"/>
      <c r="G932"/>
      <c r="H932"/>
      <c r="I932"/>
      <c r="J932"/>
    </row>
    <row r="933" spans="1:10" x14ac:dyDescent="0.25">
      <c r="A933" s="90">
        <v>36504</v>
      </c>
      <c r="B933" s="17">
        <v>88.38</v>
      </c>
      <c r="C933" s="17"/>
      <c r="F933"/>
      <c r="G933"/>
      <c r="H933"/>
      <c r="I933"/>
      <c r="J933"/>
    </row>
    <row r="934" spans="1:10" x14ac:dyDescent="0.25">
      <c r="A934" s="90">
        <v>36507</v>
      </c>
      <c r="B934" s="17">
        <v>87.77</v>
      </c>
      <c r="C934" s="17"/>
      <c r="F934"/>
      <c r="G934"/>
      <c r="H934"/>
      <c r="I934"/>
      <c r="J934"/>
    </row>
    <row r="935" spans="1:10" x14ac:dyDescent="0.25">
      <c r="A935" s="90">
        <v>36508</v>
      </c>
      <c r="B935" s="17">
        <v>83.28</v>
      </c>
      <c r="C935" s="17"/>
      <c r="F935"/>
      <c r="G935"/>
      <c r="H935"/>
      <c r="I935"/>
      <c r="J935"/>
    </row>
    <row r="936" spans="1:10" x14ac:dyDescent="0.25">
      <c r="A936" s="90">
        <v>36509</v>
      </c>
      <c r="B936" s="17">
        <v>81.88</v>
      </c>
      <c r="C936" s="17"/>
      <c r="F936"/>
      <c r="G936"/>
      <c r="H936"/>
      <c r="I936"/>
      <c r="J936"/>
    </row>
    <row r="937" spans="1:10" x14ac:dyDescent="0.25">
      <c r="A937" s="90">
        <v>36510</v>
      </c>
      <c r="B937" s="17">
        <v>85.25</v>
      </c>
      <c r="C937" s="17"/>
      <c r="F937"/>
      <c r="G937"/>
      <c r="H937"/>
      <c r="I937"/>
      <c r="J937"/>
    </row>
    <row r="938" spans="1:10" x14ac:dyDescent="0.25">
      <c r="A938" s="90">
        <v>36511</v>
      </c>
      <c r="B938" s="17">
        <v>87.5</v>
      </c>
      <c r="C938" s="17"/>
      <c r="F938"/>
      <c r="G938"/>
      <c r="H938"/>
      <c r="I938"/>
      <c r="J938"/>
    </row>
    <row r="939" spans="1:10" x14ac:dyDescent="0.25">
      <c r="A939" s="90">
        <v>36514</v>
      </c>
      <c r="B939" s="17">
        <v>92.38</v>
      </c>
      <c r="C939" s="17"/>
      <c r="F939"/>
      <c r="G939"/>
      <c r="H939"/>
      <c r="I939"/>
      <c r="J939"/>
    </row>
    <row r="940" spans="1:10" x14ac:dyDescent="0.25">
      <c r="A940" s="90">
        <v>36515</v>
      </c>
      <c r="B940" s="17">
        <v>101.39</v>
      </c>
      <c r="C940" s="17"/>
      <c r="F940"/>
      <c r="G940"/>
      <c r="H940"/>
      <c r="I940"/>
      <c r="J940"/>
    </row>
    <row r="941" spans="1:10" x14ac:dyDescent="0.25">
      <c r="A941" s="90">
        <v>36516</v>
      </c>
      <c r="B941" s="17">
        <v>104.83</v>
      </c>
      <c r="C941" s="17"/>
      <c r="F941"/>
      <c r="G941"/>
      <c r="H941"/>
      <c r="I941"/>
      <c r="J941"/>
    </row>
    <row r="942" spans="1:10" x14ac:dyDescent="0.25">
      <c r="A942" s="90">
        <v>36517</v>
      </c>
      <c r="B942" s="17">
        <v>100.66</v>
      </c>
      <c r="C942" s="17"/>
      <c r="F942"/>
      <c r="G942"/>
      <c r="H942"/>
      <c r="I942"/>
      <c r="J942"/>
    </row>
    <row r="943" spans="1:10" x14ac:dyDescent="0.25">
      <c r="A943" s="90">
        <v>36521</v>
      </c>
      <c r="B943" s="17">
        <v>103.75</v>
      </c>
      <c r="C943" s="17"/>
      <c r="F943"/>
      <c r="G943"/>
      <c r="H943"/>
      <c r="I943"/>
      <c r="J943"/>
    </row>
    <row r="944" spans="1:10" x14ac:dyDescent="0.25">
      <c r="A944" s="90">
        <v>36522</v>
      </c>
      <c r="B944" s="17">
        <v>97.56</v>
      </c>
      <c r="C944" s="17"/>
      <c r="F944"/>
      <c r="G944"/>
      <c r="H944"/>
      <c r="I944"/>
      <c r="J944"/>
    </row>
    <row r="945" spans="1:10" x14ac:dyDescent="0.25">
      <c r="A945" s="90">
        <v>36523</v>
      </c>
      <c r="B945" s="17">
        <v>100.92</v>
      </c>
      <c r="C945" s="17"/>
      <c r="F945"/>
      <c r="G945"/>
      <c r="H945"/>
      <c r="I945"/>
      <c r="J945"/>
    </row>
    <row r="946" spans="1:10" x14ac:dyDescent="0.25">
      <c r="A946" s="90">
        <v>36524</v>
      </c>
      <c r="B946" s="17">
        <v>104.02</v>
      </c>
      <c r="C946" s="17"/>
      <c r="F946"/>
      <c r="G946"/>
      <c r="H946"/>
      <c r="I946"/>
      <c r="J946"/>
    </row>
    <row r="947" spans="1:10" x14ac:dyDescent="0.25">
      <c r="A947" s="90">
        <v>36525</v>
      </c>
      <c r="B947" s="17">
        <v>108.17</v>
      </c>
      <c r="C947" s="17"/>
      <c r="F947"/>
      <c r="G947"/>
      <c r="H947"/>
      <c r="I947"/>
      <c r="J947"/>
    </row>
    <row r="948" spans="1:10" x14ac:dyDescent="0.25">
      <c r="A948" s="90">
        <v>36528</v>
      </c>
      <c r="B948" s="17">
        <v>118.75</v>
      </c>
      <c r="C948" s="17"/>
      <c r="F948"/>
      <c r="G948"/>
      <c r="H948"/>
      <c r="I948"/>
      <c r="J948"/>
    </row>
    <row r="949" spans="1:10" x14ac:dyDescent="0.25">
      <c r="A949" s="90">
        <v>36529</v>
      </c>
      <c r="B949" s="17">
        <v>110.75</v>
      </c>
      <c r="C949" s="17"/>
      <c r="F949"/>
      <c r="G949"/>
      <c r="H949"/>
      <c r="I949"/>
      <c r="J949"/>
    </row>
    <row r="950" spans="1:10" x14ac:dyDescent="0.25">
      <c r="A950" s="90">
        <v>36530</v>
      </c>
      <c r="B950" s="17">
        <v>102.62</v>
      </c>
      <c r="C950" s="17"/>
      <c r="F950"/>
      <c r="G950"/>
      <c r="H950"/>
      <c r="I950"/>
      <c r="J950"/>
    </row>
    <row r="951" spans="1:10" x14ac:dyDescent="0.25">
      <c r="A951" s="90">
        <v>36531</v>
      </c>
      <c r="B951" s="17">
        <v>92.05</v>
      </c>
      <c r="C951" s="17"/>
      <c r="F951"/>
      <c r="G951"/>
      <c r="H951"/>
      <c r="I951"/>
      <c r="J951"/>
    </row>
    <row r="952" spans="1:10" x14ac:dyDescent="0.25">
      <c r="A952" s="90">
        <v>36532</v>
      </c>
      <c r="B952" s="17">
        <v>101.81</v>
      </c>
      <c r="C952" s="17"/>
      <c r="F952"/>
      <c r="G952"/>
      <c r="H952"/>
      <c r="I952"/>
      <c r="J952"/>
    </row>
    <row r="953" spans="1:10" x14ac:dyDescent="0.25">
      <c r="A953" s="90">
        <v>36535</v>
      </c>
      <c r="B953" s="17">
        <v>109.02</v>
      </c>
      <c r="C953" s="17"/>
      <c r="F953"/>
      <c r="G953"/>
      <c r="H953"/>
      <c r="I953"/>
      <c r="J953"/>
    </row>
    <row r="954" spans="1:10" x14ac:dyDescent="0.25">
      <c r="A954" s="90">
        <v>36536</v>
      </c>
      <c r="B954" s="17">
        <v>99.34</v>
      </c>
      <c r="C954" s="17"/>
      <c r="F954"/>
      <c r="G954"/>
      <c r="H954"/>
      <c r="I954"/>
      <c r="J954"/>
    </row>
    <row r="955" spans="1:10" x14ac:dyDescent="0.25">
      <c r="A955" s="90">
        <v>36537</v>
      </c>
      <c r="B955" s="17">
        <v>89.39</v>
      </c>
      <c r="C955" s="17"/>
      <c r="F955"/>
      <c r="G955"/>
      <c r="H955"/>
      <c r="I955"/>
      <c r="J955"/>
    </row>
    <row r="956" spans="1:10" x14ac:dyDescent="0.25">
      <c r="A956" s="90">
        <v>36538</v>
      </c>
      <c r="B956" s="17">
        <v>86.72</v>
      </c>
      <c r="C956" s="17"/>
      <c r="F956"/>
      <c r="G956"/>
      <c r="H956"/>
      <c r="I956"/>
      <c r="J956"/>
    </row>
    <row r="957" spans="1:10" x14ac:dyDescent="0.25">
      <c r="A957" s="90">
        <v>36539</v>
      </c>
      <c r="B957" s="17">
        <v>88.25</v>
      </c>
      <c r="C957" s="17"/>
      <c r="F957"/>
      <c r="G957"/>
      <c r="H957"/>
      <c r="I957"/>
      <c r="J957"/>
    </row>
    <row r="958" spans="1:10" x14ac:dyDescent="0.25">
      <c r="A958" s="90">
        <v>36543</v>
      </c>
      <c r="B958" s="17">
        <v>85.3</v>
      </c>
      <c r="C958" s="17"/>
      <c r="F958"/>
      <c r="G958"/>
      <c r="H958"/>
      <c r="I958"/>
      <c r="J958"/>
    </row>
    <row r="959" spans="1:10" x14ac:dyDescent="0.25">
      <c r="A959" s="90">
        <v>36544</v>
      </c>
      <c r="B959" s="17">
        <v>91</v>
      </c>
      <c r="C959" s="17"/>
      <c r="F959"/>
      <c r="G959"/>
      <c r="H959"/>
      <c r="I959"/>
      <c r="J959"/>
    </row>
    <row r="960" spans="1:10" x14ac:dyDescent="0.25">
      <c r="A960" s="90">
        <v>36545</v>
      </c>
      <c r="B960" s="17">
        <v>87.98</v>
      </c>
      <c r="C960" s="17"/>
      <c r="F960"/>
      <c r="G960"/>
      <c r="H960"/>
      <c r="I960"/>
      <c r="J960"/>
    </row>
    <row r="961" spans="1:10" x14ac:dyDescent="0.25">
      <c r="A961" s="90">
        <v>36546</v>
      </c>
      <c r="B961" s="17">
        <v>87.98</v>
      </c>
      <c r="C961" s="17"/>
      <c r="F961"/>
      <c r="G961"/>
      <c r="H961"/>
      <c r="I961"/>
      <c r="J961"/>
    </row>
    <row r="962" spans="1:10" x14ac:dyDescent="0.25">
      <c r="A962" s="90">
        <v>36549</v>
      </c>
      <c r="B962" s="17">
        <v>81.08</v>
      </c>
      <c r="C962" s="17"/>
      <c r="F962"/>
      <c r="G962"/>
      <c r="H962"/>
      <c r="I962"/>
      <c r="J962"/>
    </row>
    <row r="963" spans="1:10" x14ac:dyDescent="0.25">
      <c r="A963" s="90">
        <v>36550</v>
      </c>
      <c r="B963" s="17">
        <v>86.39</v>
      </c>
      <c r="C963" s="17"/>
      <c r="F963"/>
      <c r="G963"/>
      <c r="H963"/>
      <c r="I963"/>
      <c r="J963"/>
    </row>
    <row r="964" spans="1:10" x14ac:dyDescent="0.25">
      <c r="A964" s="90">
        <v>36551</v>
      </c>
      <c r="B964" s="17">
        <v>82.14</v>
      </c>
      <c r="C964" s="17"/>
      <c r="F964"/>
      <c r="G964"/>
      <c r="H964"/>
      <c r="I964"/>
      <c r="J964"/>
    </row>
    <row r="965" spans="1:10" x14ac:dyDescent="0.25">
      <c r="A965" s="90">
        <v>36552</v>
      </c>
      <c r="B965" s="17">
        <v>84.34</v>
      </c>
      <c r="C965" s="17"/>
      <c r="F965"/>
      <c r="G965"/>
      <c r="H965"/>
      <c r="I965"/>
      <c r="J965"/>
    </row>
    <row r="966" spans="1:10" x14ac:dyDescent="0.25">
      <c r="A966" s="90">
        <v>36553</v>
      </c>
      <c r="B966" s="17">
        <v>78.38</v>
      </c>
      <c r="C966" s="17"/>
      <c r="F966"/>
      <c r="G966"/>
      <c r="H966"/>
      <c r="I966"/>
      <c r="J966"/>
    </row>
    <row r="967" spans="1:10" x14ac:dyDescent="0.25">
      <c r="A967" s="90">
        <v>36556</v>
      </c>
      <c r="B967" s="17">
        <v>80.52</v>
      </c>
      <c r="C967" s="17"/>
      <c r="F967"/>
      <c r="G967"/>
      <c r="H967"/>
      <c r="I967"/>
      <c r="J967"/>
    </row>
    <row r="968" spans="1:10" x14ac:dyDescent="0.25">
      <c r="A968" s="90">
        <v>36557</v>
      </c>
      <c r="B968" s="17">
        <v>79.34</v>
      </c>
      <c r="C968" s="17"/>
      <c r="F968"/>
      <c r="G968"/>
      <c r="H968"/>
      <c r="I968"/>
      <c r="J968"/>
    </row>
    <row r="969" spans="1:10" x14ac:dyDescent="0.25">
      <c r="A969" s="90">
        <v>36558</v>
      </c>
      <c r="B969" s="17">
        <v>82</v>
      </c>
      <c r="C969" s="17"/>
      <c r="F969"/>
      <c r="G969"/>
      <c r="H969"/>
      <c r="I969"/>
      <c r="J969"/>
    </row>
    <row r="970" spans="1:10" x14ac:dyDescent="0.25">
      <c r="A970" s="90">
        <v>36559</v>
      </c>
      <c r="B970" s="17">
        <v>90.06</v>
      </c>
      <c r="C970" s="17"/>
      <c r="F970"/>
      <c r="G970"/>
      <c r="H970"/>
      <c r="I970"/>
      <c r="J970"/>
    </row>
    <row r="971" spans="1:10" x14ac:dyDescent="0.25">
      <c r="A971" s="90">
        <v>36560</v>
      </c>
      <c r="B971" s="17">
        <v>88.38</v>
      </c>
      <c r="C971" s="17"/>
      <c r="F971"/>
      <c r="G971"/>
      <c r="H971"/>
      <c r="I971"/>
      <c r="J971"/>
    </row>
    <row r="972" spans="1:10" x14ac:dyDescent="0.25">
      <c r="A972" s="90">
        <v>36563</v>
      </c>
      <c r="B972" s="17">
        <v>88.5</v>
      </c>
      <c r="C972" s="17"/>
      <c r="F972"/>
      <c r="G972"/>
      <c r="H972"/>
      <c r="I972"/>
      <c r="J972"/>
    </row>
    <row r="973" spans="1:10" x14ac:dyDescent="0.25">
      <c r="A973" s="90">
        <v>36564</v>
      </c>
      <c r="B973" s="17">
        <v>93.28</v>
      </c>
      <c r="C973" s="17"/>
      <c r="F973"/>
      <c r="G973"/>
      <c r="H973"/>
      <c r="I973"/>
      <c r="J973"/>
    </row>
    <row r="974" spans="1:10" x14ac:dyDescent="0.25">
      <c r="A974" s="90">
        <v>36565</v>
      </c>
      <c r="B974" s="17">
        <v>90.58</v>
      </c>
      <c r="C974" s="17"/>
      <c r="F974"/>
      <c r="G974"/>
      <c r="H974"/>
      <c r="I974"/>
      <c r="J974"/>
    </row>
    <row r="975" spans="1:10" x14ac:dyDescent="0.25">
      <c r="A975" s="90">
        <v>36566</v>
      </c>
      <c r="B975" s="17">
        <v>91.25</v>
      </c>
      <c r="C975" s="17"/>
      <c r="F975"/>
      <c r="G975"/>
      <c r="H975"/>
      <c r="I975"/>
      <c r="J975"/>
    </row>
    <row r="976" spans="1:10" x14ac:dyDescent="0.25">
      <c r="A976" s="90">
        <v>36567</v>
      </c>
      <c r="B976" s="17">
        <v>85.67</v>
      </c>
      <c r="C976" s="17"/>
      <c r="F976"/>
      <c r="G976"/>
      <c r="H976"/>
      <c r="I976"/>
      <c r="J976"/>
    </row>
    <row r="977" spans="1:10" x14ac:dyDescent="0.25">
      <c r="A977" s="90">
        <v>36570</v>
      </c>
      <c r="B977" s="17">
        <v>82.88</v>
      </c>
      <c r="C977" s="17"/>
      <c r="F977"/>
      <c r="G977"/>
      <c r="H977"/>
      <c r="I977"/>
      <c r="J977"/>
    </row>
    <row r="978" spans="1:10" x14ac:dyDescent="0.25">
      <c r="A978" s="90">
        <v>36571</v>
      </c>
      <c r="B978" s="17">
        <v>85</v>
      </c>
      <c r="C978" s="17"/>
      <c r="F978"/>
      <c r="G978"/>
      <c r="H978"/>
      <c r="I978"/>
      <c r="J978"/>
    </row>
    <row r="979" spans="1:10" x14ac:dyDescent="0.25">
      <c r="A979" s="90">
        <v>36572</v>
      </c>
      <c r="B979" s="17">
        <v>80.78</v>
      </c>
      <c r="C979" s="17"/>
      <c r="F979"/>
      <c r="G979"/>
      <c r="H979"/>
      <c r="I979"/>
      <c r="J979"/>
    </row>
    <row r="980" spans="1:10" x14ac:dyDescent="0.25">
      <c r="A980" s="90">
        <v>36573</v>
      </c>
      <c r="B980" s="17">
        <v>81.59</v>
      </c>
      <c r="C980" s="17"/>
      <c r="F980"/>
      <c r="G980"/>
      <c r="H980"/>
      <c r="I980"/>
      <c r="J980"/>
    </row>
    <row r="981" spans="1:10" x14ac:dyDescent="0.25">
      <c r="A981" s="90">
        <v>36574</v>
      </c>
      <c r="B981" s="17">
        <v>78.06</v>
      </c>
      <c r="C981" s="17"/>
      <c r="F981"/>
      <c r="G981"/>
      <c r="H981"/>
      <c r="I981"/>
      <c r="J981"/>
    </row>
    <row r="982" spans="1:10" x14ac:dyDescent="0.25">
      <c r="A982" s="90">
        <v>36578</v>
      </c>
      <c r="B982" s="17">
        <v>76.91</v>
      </c>
      <c r="C982" s="17"/>
      <c r="F982"/>
      <c r="G982"/>
      <c r="H982"/>
      <c r="I982"/>
      <c r="J982"/>
    </row>
    <row r="983" spans="1:10" x14ac:dyDescent="0.25">
      <c r="A983" s="90">
        <v>36579</v>
      </c>
      <c r="B983" s="17">
        <v>83.1</v>
      </c>
      <c r="C983" s="17"/>
      <c r="F983"/>
      <c r="G983"/>
      <c r="H983"/>
      <c r="I983"/>
      <c r="J983"/>
    </row>
    <row r="984" spans="1:10" x14ac:dyDescent="0.25">
      <c r="A984" s="90">
        <v>36580</v>
      </c>
      <c r="B984" s="17">
        <v>84.03</v>
      </c>
      <c r="C984" s="17"/>
      <c r="F984"/>
      <c r="G984"/>
      <c r="H984"/>
      <c r="I984"/>
      <c r="J984"/>
    </row>
    <row r="985" spans="1:10" x14ac:dyDescent="0.25">
      <c r="A985" s="90">
        <v>36581</v>
      </c>
      <c r="B985" s="17">
        <v>82.59</v>
      </c>
      <c r="C985" s="17"/>
      <c r="F985"/>
      <c r="G985"/>
      <c r="H985"/>
      <c r="I985"/>
      <c r="J985"/>
    </row>
    <row r="986" spans="1:10" x14ac:dyDescent="0.25">
      <c r="A986" s="90">
        <v>36584</v>
      </c>
      <c r="B986" s="17">
        <v>80.97</v>
      </c>
      <c r="C986" s="17"/>
      <c r="F986"/>
      <c r="G986"/>
      <c r="H986"/>
      <c r="I986"/>
      <c r="J986"/>
    </row>
    <row r="987" spans="1:10" x14ac:dyDescent="0.25">
      <c r="A987" s="90">
        <v>36585</v>
      </c>
      <c r="B987" s="17">
        <v>79.84</v>
      </c>
      <c r="C987" s="17"/>
      <c r="F987"/>
      <c r="G987"/>
      <c r="H987"/>
      <c r="I987"/>
      <c r="J987"/>
    </row>
    <row r="988" spans="1:10" x14ac:dyDescent="0.25">
      <c r="A988" s="90">
        <v>36586</v>
      </c>
      <c r="B988" s="17">
        <v>79.25</v>
      </c>
      <c r="C988" s="17"/>
      <c r="F988"/>
      <c r="G988"/>
      <c r="H988"/>
      <c r="I988"/>
      <c r="J988"/>
    </row>
    <row r="989" spans="1:10" x14ac:dyDescent="0.25">
      <c r="A989" s="90">
        <v>36587</v>
      </c>
      <c r="B989" s="17">
        <v>77.47</v>
      </c>
      <c r="C989" s="17"/>
      <c r="F989"/>
      <c r="G989"/>
      <c r="H989"/>
      <c r="I989"/>
      <c r="J989"/>
    </row>
    <row r="990" spans="1:10" x14ac:dyDescent="0.25">
      <c r="A990" s="90">
        <v>36588</v>
      </c>
      <c r="B990" s="17">
        <v>79</v>
      </c>
      <c r="C990" s="17"/>
      <c r="F990"/>
      <c r="G990"/>
      <c r="H990"/>
      <c r="I990"/>
      <c r="J990"/>
    </row>
    <row r="991" spans="1:10" x14ac:dyDescent="0.25">
      <c r="A991" s="90">
        <v>36591</v>
      </c>
      <c r="B991" s="17">
        <v>85.78</v>
      </c>
      <c r="C991" s="17"/>
      <c r="F991"/>
      <c r="G991"/>
      <c r="H991"/>
      <c r="I991"/>
      <c r="J991"/>
    </row>
    <row r="992" spans="1:10" x14ac:dyDescent="0.25">
      <c r="A992" s="90">
        <v>36592</v>
      </c>
      <c r="B992" s="17">
        <v>85.69</v>
      </c>
      <c r="C992" s="17"/>
      <c r="F992"/>
      <c r="G992"/>
      <c r="H992"/>
      <c r="I992"/>
      <c r="J992"/>
    </row>
    <row r="993" spans="1:10" x14ac:dyDescent="0.25">
      <c r="A993" s="90">
        <v>36593</v>
      </c>
      <c r="B993" s="17">
        <v>88.5</v>
      </c>
      <c r="C993" s="17"/>
      <c r="F993"/>
      <c r="G993"/>
      <c r="H993"/>
      <c r="I993"/>
      <c r="J993"/>
    </row>
    <row r="994" spans="1:10" x14ac:dyDescent="0.25">
      <c r="A994" s="90">
        <v>36594</v>
      </c>
      <c r="B994" s="17">
        <v>91.62</v>
      </c>
      <c r="C994" s="17"/>
      <c r="F994"/>
      <c r="G994"/>
      <c r="H994"/>
      <c r="I994"/>
      <c r="J994"/>
    </row>
    <row r="995" spans="1:10" x14ac:dyDescent="0.25">
      <c r="A995" s="90">
        <v>36595</v>
      </c>
      <c r="B995" s="17">
        <v>89.03</v>
      </c>
      <c r="C995" s="17"/>
      <c r="F995"/>
      <c r="G995"/>
      <c r="H995"/>
      <c r="I995"/>
      <c r="J995"/>
    </row>
    <row r="996" spans="1:10" x14ac:dyDescent="0.25">
      <c r="A996" s="90">
        <v>36598</v>
      </c>
      <c r="B996" s="17">
        <v>87.91</v>
      </c>
      <c r="C996" s="17"/>
      <c r="F996"/>
      <c r="G996"/>
      <c r="H996"/>
      <c r="I996"/>
      <c r="J996"/>
    </row>
    <row r="997" spans="1:10" x14ac:dyDescent="0.25">
      <c r="A997" s="90">
        <v>36599</v>
      </c>
      <c r="B997" s="17">
        <v>84.38</v>
      </c>
      <c r="C997" s="17"/>
      <c r="F997"/>
      <c r="G997"/>
      <c r="H997"/>
      <c r="I997"/>
      <c r="J997"/>
    </row>
    <row r="998" spans="1:10" x14ac:dyDescent="0.25">
      <c r="A998" s="90">
        <v>36600</v>
      </c>
      <c r="B998" s="17">
        <v>79.25</v>
      </c>
      <c r="C998" s="17"/>
      <c r="F998"/>
      <c r="G998"/>
      <c r="H998"/>
      <c r="I998"/>
      <c r="J998"/>
    </row>
    <row r="999" spans="1:10" x14ac:dyDescent="0.25">
      <c r="A999" s="90">
        <v>36601</v>
      </c>
      <c r="B999" s="17">
        <v>85.09</v>
      </c>
      <c r="C999" s="17"/>
      <c r="F999"/>
      <c r="G999"/>
      <c r="H999"/>
      <c r="I999"/>
      <c r="J999"/>
    </row>
    <row r="1000" spans="1:10" x14ac:dyDescent="0.25">
      <c r="A1000" s="90">
        <v>36602</v>
      </c>
      <c r="B1000" s="17">
        <v>85.56</v>
      </c>
      <c r="C1000" s="17"/>
      <c r="F1000"/>
      <c r="G1000"/>
      <c r="H1000"/>
      <c r="I1000"/>
      <c r="J1000"/>
    </row>
    <row r="1001" spans="1:10" x14ac:dyDescent="0.25">
      <c r="A1001" s="90">
        <v>36605</v>
      </c>
      <c r="B1001" s="17">
        <v>86.01</v>
      </c>
      <c r="C1001" s="17"/>
      <c r="F1001"/>
      <c r="G1001"/>
      <c r="H1001"/>
      <c r="I1001"/>
      <c r="J1001"/>
    </row>
    <row r="1002" spans="1:10" x14ac:dyDescent="0.25">
      <c r="A1002" s="90">
        <v>36606</v>
      </c>
      <c r="B1002" s="17">
        <v>95.88</v>
      </c>
      <c r="C1002" s="17"/>
      <c r="F1002"/>
      <c r="G1002"/>
      <c r="H1002"/>
      <c r="I1002"/>
      <c r="J1002"/>
    </row>
    <row r="1003" spans="1:10" x14ac:dyDescent="0.25">
      <c r="A1003" s="90">
        <v>36607</v>
      </c>
      <c r="B1003" s="17">
        <v>98.59</v>
      </c>
      <c r="C1003" s="17"/>
      <c r="F1003"/>
      <c r="G1003"/>
      <c r="H1003"/>
      <c r="I1003"/>
      <c r="J1003"/>
    </row>
    <row r="1004" spans="1:10" x14ac:dyDescent="0.25">
      <c r="A1004" s="90">
        <v>36608</v>
      </c>
      <c r="B1004" s="17">
        <v>95.5</v>
      </c>
      <c r="C1004" s="17"/>
      <c r="F1004"/>
      <c r="G1004"/>
      <c r="H1004"/>
      <c r="I1004"/>
      <c r="J1004"/>
    </row>
    <row r="1005" spans="1:10" x14ac:dyDescent="0.25">
      <c r="A1005" s="90">
        <v>36609</v>
      </c>
      <c r="B1005" s="17">
        <v>97</v>
      </c>
      <c r="C1005" s="17"/>
      <c r="F1005"/>
      <c r="G1005"/>
      <c r="H1005"/>
      <c r="I1005"/>
      <c r="J1005"/>
    </row>
    <row r="1006" spans="1:10" x14ac:dyDescent="0.25">
      <c r="A1006" s="90">
        <v>36612</v>
      </c>
      <c r="B1006" s="17">
        <v>100.38</v>
      </c>
      <c r="C1006" s="17"/>
      <c r="F1006"/>
      <c r="G1006"/>
      <c r="H1006"/>
      <c r="I1006"/>
      <c r="J1006"/>
    </row>
    <row r="1007" spans="1:10" x14ac:dyDescent="0.25">
      <c r="A1007" s="90">
        <v>36613</v>
      </c>
      <c r="B1007" s="17">
        <v>97.5</v>
      </c>
      <c r="C1007" s="17"/>
      <c r="F1007"/>
      <c r="G1007"/>
      <c r="H1007"/>
      <c r="I1007"/>
      <c r="J1007"/>
    </row>
    <row r="1008" spans="1:10" x14ac:dyDescent="0.25">
      <c r="A1008" s="90">
        <v>36614</v>
      </c>
      <c r="B1008" s="17">
        <v>88.53</v>
      </c>
      <c r="C1008" s="17"/>
      <c r="F1008"/>
      <c r="G1008"/>
      <c r="H1008"/>
      <c r="I1008"/>
      <c r="J1008"/>
    </row>
    <row r="1009" spans="1:10" x14ac:dyDescent="0.25">
      <c r="A1009" s="90">
        <v>36615</v>
      </c>
      <c r="B1009" s="17">
        <v>84.75</v>
      </c>
      <c r="C1009" s="17"/>
      <c r="F1009"/>
      <c r="G1009"/>
      <c r="H1009"/>
      <c r="I1009"/>
      <c r="J1009"/>
    </row>
    <row r="1010" spans="1:10" x14ac:dyDescent="0.25">
      <c r="A1010" s="90">
        <v>36616</v>
      </c>
      <c r="B1010" s="17">
        <v>85.69</v>
      </c>
      <c r="C1010" s="17"/>
      <c r="F1010"/>
      <c r="G1010"/>
      <c r="H1010"/>
      <c r="I1010"/>
      <c r="J1010"/>
    </row>
    <row r="1011" spans="1:10" x14ac:dyDescent="0.25">
      <c r="A1011" s="90">
        <v>36619</v>
      </c>
      <c r="B1011" s="17">
        <v>80.06</v>
      </c>
      <c r="C1011" s="17"/>
      <c r="F1011"/>
      <c r="G1011"/>
      <c r="H1011"/>
      <c r="I1011"/>
      <c r="J1011"/>
    </row>
    <row r="1012" spans="1:10" x14ac:dyDescent="0.25">
      <c r="A1012" s="90">
        <v>36620</v>
      </c>
      <c r="B1012" s="17">
        <v>83.69</v>
      </c>
      <c r="C1012" s="17"/>
      <c r="F1012"/>
      <c r="G1012"/>
      <c r="H1012"/>
      <c r="I1012"/>
      <c r="J1012"/>
    </row>
    <row r="1013" spans="1:10" x14ac:dyDescent="0.25">
      <c r="A1013" s="90">
        <v>36621</v>
      </c>
      <c r="B1013" s="17">
        <v>82.78</v>
      </c>
      <c r="C1013" s="17"/>
      <c r="F1013"/>
      <c r="G1013"/>
      <c r="H1013"/>
      <c r="I1013"/>
      <c r="J1013"/>
    </row>
    <row r="1014" spans="1:10" x14ac:dyDescent="0.25">
      <c r="A1014" s="90">
        <v>36622</v>
      </c>
      <c r="B1014" s="17">
        <v>77</v>
      </c>
      <c r="C1014" s="17"/>
      <c r="F1014"/>
      <c r="G1014"/>
      <c r="H1014"/>
      <c r="I1014"/>
      <c r="J1014"/>
    </row>
    <row r="1015" spans="1:10" x14ac:dyDescent="0.25">
      <c r="A1015" s="90">
        <v>36623</v>
      </c>
      <c r="B1015" s="17">
        <v>75.56</v>
      </c>
      <c r="C1015" s="17"/>
      <c r="F1015"/>
      <c r="G1015"/>
      <c r="H1015"/>
      <c r="I1015"/>
      <c r="J1015"/>
    </row>
    <row r="1016" spans="1:10" x14ac:dyDescent="0.25">
      <c r="A1016" s="90">
        <v>36626</v>
      </c>
      <c r="B1016" s="17">
        <v>70.97</v>
      </c>
      <c r="C1016" s="17"/>
      <c r="F1016"/>
      <c r="G1016"/>
      <c r="H1016"/>
      <c r="I1016"/>
      <c r="J1016"/>
    </row>
    <row r="1017" spans="1:10" x14ac:dyDescent="0.25">
      <c r="A1017" s="90">
        <v>36627</v>
      </c>
      <c r="B1017" s="17">
        <v>66.75</v>
      </c>
      <c r="C1017" s="17"/>
      <c r="F1017"/>
      <c r="G1017"/>
      <c r="H1017"/>
      <c r="I1017"/>
      <c r="J1017"/>
    </row>
    <row r="1018" spans="1:10" x14ac:dyDescent="0.25">
      <c r="A1018" s="90">
        <v>36628</v>
      </c>
      <c r="B1018" s="17">
        <v>68.09</v>
      </c>
      <c r="C1018" s="17"/>
      <c r="F1018"/>
      <c r="G1018"/>
      <c r="H1018"/>
      <c r="I1018"/>
      <c r="J1018"/>
    </row>
    <row r="1019" spans="1:10" x14ac:dyDescent="0.25">
      <c r="A1019" s="90">
        <v>36629</v>
      </c>
      <c r="B1019" s="17">
        <v>68.06</v>
      </c>
      <c r="C1019" s="17"/>
      <c r="F1019"/>
      <c r="G1019"/>
      <c r="H1019"/>
      <c r="I1019"/>
      <c r="J1019"/>
    </row>
    <row r="1020" spans="1:10" x14ac:dyDescent="0.25">
      <c r="A1020" s="90">
        <v>36630</v>
      </c>
      <c r="B1020" s="17">
        <v>58</v>
      </c>
      <c r="C1020" s="17"/>
      <c r="F1020"/>
      <c r="G1020"/>
      <c r="H1020"/>
      <c r="I1020"/>
      <c r="J1020"/>
    </row>
    <row r="1021" spans="1:10" x14ac:dyDescent="0.25">
      <c r="A1021" s="90">
        <v>36633</v>
      </c>
      <c r="B1021" s="17">
        <v>57.19</v>
      </c>
      <c r="C1021" s="17"/>
      <c r="F1021"/>
      <c r="G1021"/>
      <c r="H1021"/>
      <c r="I1021"/>
      <c r="J1021"/>
    </row>
    <row r="1022" spans="1:10" x14ac:dyDescent="0.25">
      <c r="A1022" s="90">
        <v>36634</v>
      </c>
      <c r="B1022" s="17">
        <v>63.34</v>
      </c>
      <c r="C1022" s="17"/>
      <c r="F1022"/>
      <c r="G1022"/>
      <c r="H1022"/>
      <c r="I1022"/>
      <c r="J1022"/>
    </row>
    <row r="1023" spans="1:10" x14ac:dyDescent="0.25">
      <c r="A1023" s="90">
        <v>36635</v>
      </c>
      <c r="B1023" s="17">
        <v>62.94</v>
      </c>
      <c r="C1023" s="17"/>
      <c r="F1023"/>
      <c r="G1023"/>
      <c r="H1023"/>
      <c r="I1023"/>
      <c r="J1023"/>
    </row>
    <row r="1024" spans="1:10" x14ac:dyDescent="0.25">
      <c r="A1024" s="90">
        <v>36636</v>
      </c>
      <c r="B1024" s="17">
        <v>61.56</v>
      </c>
      <c r="C1024" s="17"/>
      <c r="F1024"/>
      <c r="G1024"/>
      <c r="H1024"/>
      <c r="I1024"/>
      <c r="J1024"/>
    </row>
    <row r="1025" spans="1:10" x14ac:dyDescent="0.25">
      <c r="A1025" s="90">
        <v>36640</v>
      </c>
      <c r="B1025" s="17">
        <v>56.94</v>
      </c>
      <c r="C1025" s="17"/>
      <c r="F1025"/>
      <c r="G1025"/>
      <c r="H1025"/>
      <c r="I1025"/>
      <c r="J1025"/>
    </row>
    <row r="1026" spans="1:10" x14ac:dyDescent="0.25">
      <c r="A1026" s="90">
        <v>36641</v>
      </c>
      <c r="B1026" s="17">
        <v>62.25</v>
      </c>
      <c r="C1026" s="17"/>
      <c r="F1026"/>
      <c r="G1026"/>
      <c r="H1026"/>
      <c r="I1026"/>
      <c r="J1026"/>
    </row>
    <row r="1027" spans="1:10" x14ac:dyDescent="0.25">
      <c r="A1027" s="90">
        <v>36642</v>
      </c>
      <c r="B1027" s="17">
        <v>59.56</v>
      </c>
      <c r="C1027" s="17"/>
      <c r="F1027"/>
      <c r="G1027"/>
      <c r="H1027"/>
      <c r="I1027"/>
      <c r="J1027"/>
    </row>
    <row r="1028" spans="1:10" x14ac:dyDescent="0.25">
      <c r="A1028" s="90">
        <v>36643</v>
      </c>
      <c r="B1028" s="17">
        <v>62.16</v>
      </c>
      <c r="C1028" s="17"/>
      <c r="F1028"/>
      <c r="G1028"/>
      <c r="H1028"/>
      <c r="I1028"/>
      <c r="J1028"/>
    </row>
    <row r="1029" spans="1:10" x14ac:dyDescent="0.25">
      <c r="A1029" s="90">
        <v>36644</v>
      </c>
      <c r="B1029" s="17">
        <v>65.12</v>
      </c>
      <c r="C1029" s="17"/>
      <c r="F1029"/>
      <c r="G1029"/>
      <c r="H1029"/>
      <c r="I1029"/>
      <c r="J1029"/>
    </row>
    <row r="1030" spans="1:10" x14ac:dyDescent="0.25">
      <c r="A1030" s="90">
        <v>36647</v>
      </c>
      <c r="B1030" s="17">
        <v>65.44</v>
      </c>
      <c r="C1030" s="17"/>
      <c r="F1030"/>
      <c r="G1030"/>
      <c r="H1030"/>
      <c r="I1030"/>
      <c r="J1030"/>
    </row>
    <row r="1031" spans="1:10" x14ac:dyDescent="0.25">
      <c r="A1031" s="90">
        <v>36648</v>
      </c>
      <c r="B1031" s="17">
        <v>61.28</v>
      </c>
      <c r="C1031" s="17"/>
      <c r="F1031"/>
      <c r="G1031"/>
      <c r="H1031"/>
      <c r="I1031"/>
      <c r="J1031"/>
    </row>
    <row r="1032" spans="1:10" x14ac:dyDescent="0.25">
      <c r="A1032" s="90">
        <v>36649</v>
      </c>
      <c r="B1032" s="17">
        <v>61.03</v>
      </c>
      <c r="C1032" s="17"/>
      <c r="F1032"/>
      <c r="G1032"/>
      <c r="H1032"/>
      <c r="I1032"/>
      <c r="J1032"/>
    </row>
    <row r="1033" spans="1:10" x14ac:dyDescent="0.25">
      <c r="A1033" s="90">
        <v>36650</v>
      </c>
      <c r="B1033" s="17">
        <v>62.09</v>
      </c>
      <c r="C1033" s="17"/>
      <c r="F1033"/>
      <c r="G1033"/>
      <c r="H1033"/>
      <c r="I1033"/>
      <c r="J1033"/>
    </row>
    <row r="1034" spans="1:10" x14ac:dyDescent="0.25">
      <c r="A1034" s="90">
        <v>36651</v>
      </c>
      <c r="B1034" s="17">
        <v>62.84</v>
      </c>
      <c r="C1034" s="17"/>
      <c r="F1034"/>
      <c r="G1034"/>
      <c r="H1034"/>
      <c r="I1034"/>
      <c r="J1034"/>
    </row>
    <row r="1035" spans="1:10" x14ac:dyDescent="0.25">
      <c r="A1035" s="90">
        <v>36654</v>
      </c>
      <c r="B1035" s="17">
        <v>60.38</v>
      </c>
      <c r="C1035" s="17"/>
      <c r="F1035"/>
      <c r="G1035"/>
      <c r="H1035"/>
      <c r="I1035"/>
      <c r="J1035"/>
    </row>
    <row r="1036" spans="1:10" x14ac:dyDescent="0.25">
      <c r="A1036" s="90">
        <v>36655</v>
      </c>
      <c r="B1036" s="17">
        <v>58.72</v>
      </c>
      <c r="C1036" s="17"/>
      <c r="F1036"/>
      <c r="G1036"/>
      <c r="H1036"/>
      <c r="I1036"/>
      <c r="J1036"/>
    </row>
    <row r="1037" spans="1:10" x14ac:dyDescent="0.25">
      <c r="A1037" s="90">
        <v>36656</v>
      </c>
      <c r="B1037" s="17">
        <v>59.45</v>
      </c>
      <c r="C1037" s="17"/>
      <c r="F1037"/>
      <c r="G1037"/>
      <c r="H1037"/>
      <c r="I1037"/>
      <c r="J1037"/>
    </row>
    <row r="1038" spans="1:10" x14ac:dyDescent="0.25">
      <c r="A1038" s="90">
        <v>36657</v>
      </c>
      <c r="B1038" s="17">
        <v>62.66</v>
      </c>
      <c r="C1038" s="17"/>
      <c r="F1038"/>
      <c r="G1038"/>
      <c r="H1038"/>
      <c r="I1038"/>
      <c r="J1038"/>
    </row>
    <row r="1039" spans="1:10" x14ac:dyDescent="0.25">
      <c r="A1039" s="90">
        <v>36658</v>
      </c>
      <c r="B1039" s="17">
        <v>62.84</v>
      </c>
      <c r="C1039" s="17"/>
      <c r="F1039"/>
      <c r="G1039"/>
      <c r="H1039"/>
      <c r="I1039"/>
      <c r="J1039"/>
    </row>
    <row r="1040" spans="1:10" x14ac:dyDescent="0.25">
      <c r="A1040" s="90">
        <v>36661</v>
      </c>
      <c r="B1040" s="17">
        <v>65</v>
      </c>
      <c r="C1040" s="17"/>
      <c r="F1040"/>
      <c r="G1040"/>
      <c r="H1040"/>
      <c r="I1040"/>
      <c r="J1040"/>
    </row>
    <row r="1041" spans="1:10" x14ac:dyDescent="0.25">
      <c r="A1041" s="90">
        <v>36662</v>
      </c>
      <c r="B1041" s="17">
        <v>67.81</v>
      </c>
      <c r="C1041" s="17"/>
      <c r="F1041"/>
      <c r="G1041"/>
      <c r="H1041"/>
      <c r="I1041"/>
      <c r="J1041"/>
    </row>
    <row r="1042" spans="1:10" x14ac:dyDescent="0.25">
      <c r="A1042" s="90">
        <v>36663</v>
      </c>
      <c r="B1042" s="17">
        <v>68.91</v>
      </c>
      <c r="C1042" s="17"/>
      <c r="F1042"/>
      <c r="G1042"/>
      <c r="H1042"/>
      <c r="I1042"/>
      <c r="J1042"/>
    </row>
    <row r="1043" spans="1:10" x14ac:dyDescent="0.25">
      <c r="A1043" s="90">
        <v>36664</v>
      </c>
      <c r="B1043" s="17">
        <v>66</v>
      </c>
      <c r="C1043" s="17"/>
      <c r="F1043"/>
      <c r="G1043"/>
      <c r="H1043"/>
      <c r="I1043"/>
      <c r="J1043"/>
    </row>
    <row r="1044" spans="1:10" x14ac:dyDescent="0.25">
      <c r="A1044" s="90">
        <v>36665</v>
      </c>
      <c r="B1044" s="17">
        <v>60.16</v>
      </c>
      <c r="C1044" s="17"/>
      <c r="F1044"/>
      <c r="G1044"/>
      <c r="H1044"/>
      <c r="I1044"/>
      <c r="J1044"/>
    </row>
    <row r="1045" spans="1:10" x14ac:dyDescent="0.25">
      <c r="A1045" s="90">
        <v>36668</v>
      </c>
      <c r="B1045" s="17">
        <v>63.12</v>
      </c>
      <c r="C1045" s="17"/>
      <c r="F1045"/>
      <c r="G1045"/>
      <c r="H1045"/>
      <c r="I1045"/>
      <c r="J1045"/>
    </row>
    <row r="1046" spans="1:10" x14ac:dyDescent="0.25">
      <c r="A1046" s="90">
        <v>36669</v>
      </c>
      <c r="B1046" s="17">
        <v>59.16</v>
      </c>
      <c r="C1046" s="17"/>
      <c r="F1046"/>
      <c r="G1046"/>
      <c r="H1046"/>
      <c r="I1046"/>
      <c r="J1046"/>
    </row>
    <row r="1047" spans="1:10" x14ac:dyDescent="0.25">
      <c r="A1047" s="90">
        <v>36670</v>
      </c>
      <c r="B1047" s="17">
        <v>61.38</v>
      </c>
      <c r="C1047" s="17"/>
      <c r="F1047"/>
      <c r="G1047"/>
      <c r="H1047"/>
      <c r="I1047"/>
      <c r="J1047"/>
    </row>
    <row r="1048" spans="1:10" x14ac:dyDescent="0.25">
      <c r="A1048" s="90">
        <v>36671</v>
      </c>
      <c r="B1048" s="17">
        <v>57.5</v>
      </c>
      <c r="C1048" s="17"/>
      <c r="F1048"/>
      <c r="G1048"/>
      <c r="H1048"/>
      <c r="I1048"/>
      <c r="J1048"/>
    </row>
    <row r="1049" spans="1:10" x14ac:dyDescent="0.25">
      <c r="A1049" s="90">
        <v>36672</v>
      </c>
      <c r="B1049" s="17">
        <v>56.03</v>
      </c>
      <c r="C1049" s="17"/>
      <c r="F1049"/>
      <c r="G1049"/>
      <c r="H1049"/>
      <c r="I1049"/>
      <c r="J1049"/>
    </row>
    <row r="1050" spans="1:10" x14ac:dyDescent="0.25">
      <c r="A1050" s="90">
        <v>36676</v>
      </c>
      <c r="B1050" s="17">
        <v>58.5</v>
      </c>
      <c r="C1050" s="17"/>
      <c r="F1050"/>
      <c r="G1050"/>
      <c r="H1050"/>
      <c r="I1050"/>
      <c r="J1050"/>
    </row>
    <row r="1051" spans="1:10" x14ac:dyDescent="0.25">
      <c r="A1051" s="90">
        <v>36677</v>
      </c>
      <c r="B1051" s="17">
        <v>56.53</v>
      </c>
      <c r="C1051" s="17"/>
      <c r="F1051"/>
      <c r="G1051"/>
      <c r="H1051"/>
      <c r="I1051"/>
      <c r="J1051"/>
    </row>
    <row r="1052" spans="1:10" x14ac:dyDescent="0.25">
      <c r="A1052" s="90">
        <v>36678</v>
      </c>
      <c r="B1052" s="17">
        <v>60.03</v>
      </c>
      <c r="C1052" s="17"/>
      <c r="F1052"/>
      <c r="G1052"/>
      <c r="H1052"/>
      <c r="I1052"/>
      <c r="J1052"/>
    </row>
    <row r="1053" spans="1:10" x14ac:dyDescent="0.25">
      <c r="A1053" s="90">
        <v>36679</v>
      </c>
      <c r="B1053" s="17">
        <v>67.25</v>
      </c>
      <c r="C1053" s="17"/>
      <c r="F1053"/>
      <c r="G1053"/>
      <c r="H1053"/>
      <c r="I1053"/>
      <c r="J1053"/>
    </row>
    <row r="1054" spans="1:10" x14ac:dyDescent="0.25">
      <c r="A1054" s="90">
        <v>36682</v>
      </c>
      <c r="B1054" s="17">
        <v>68.66</v>
      </c>
      <c r="C1054" s="17"/>
      <c r="F1054"/>
      <c r="G1054"/>
      <c r="H1054"/>
      <c r="I1054"/>
      <c r="J1054"/>
    </row>
    <row r="1055" spans="1:10" x14ac:dyDescent="0.25">
      <c r="A1055" s="90">
        <v>36683</v>
      </c>
      <c r="B1055" s="17">
        <v>67.53</v>
      </c>
      <c r="C1055" s="17"/>
      <c r="F1055"/>
      <c r="G1055"/>
      <c r="H1055"/>
      <c r="I1055"/>
      <c r="J1055"/>
    </row>
    <row r="1056" spans="1:10" x14ac:dyDescent="0.25">
      <c r="A1056" s="90">
        <v>36684</v>
      </c>
      <c r="B1056" s="17">
        <v>72.25</v>
      </c>
      <c r="C1056" s="17"/>
      <c r="F1056"/>
      <c r="G1056"/>
      <c r="H1056"/>
      <c r="I1056"/>
      <c r="J1056"/>
    </row>
    <row r="1057" spans="1:10" x14ac:dyDescent="0.25">
      <c r="A1057" s="90">
        <v>36685</v>
      </c>
      <c r="B1057" s="17">
        <v>72</v>
      </c>
      <c r="C1057" s="17"/>
      <c r="F1057"/>
      <c r="G1057"/>
      <c r="H1057"/>
      <c r="I1057"/>
      <c r="J1057"/>
    </row>
    <row r="1058" spans="1:10" x14ac:dyDescent="0.25">
      <c r="A1058" s="90">
        <v>36686</v>
      </c>
      <c r="B1058" s="17">
        <v>71.59</v>
      </c>
      <c r="C1058" s="17"/>
      <c r="F1058"/>
      <c r="G1058"/>
      <c r="H1058"/>
      <c r="I1058"/>
      <c r="J1058"/>
    </row>
    <row r="1059" spans="1:10" x14ac:dyDescent="0.25">
      <c r="A1059" s="90">
        <v>36689</v>
      </c>
      <c r="B1059" s="17">
        <v>68.72</v>
      </c>
      <c r="C1059" s="17"/>
      <c r="F1059"/>
      <c r="G1059"/>
      <c r="H1059"/>
      <c r="I1059"/>
      <c r="J1059"/>
    </row>
    <row r="1060" spans="1:10" x14ac:dyDescent="0.25">
      <c r="A1060" s="90">
        <v>36690</v>
      </c>
      <c r="B1060" s="17">
        <v>69.75</v>
      </c>
      <c r="C1060" s="17"/>
      <c r="F1060"/>
      <c r="G1060"/>
      <c r="H1060"/>
      <c r="I1060"/>
      <c r="J1060"/>
    </row>
    <row r="1061" spans="1:10" x14ac:dyDescent="0.25">
      <c r="A1061" s="90">
        <v>36691</v>
      </c>
      <c r="B1061" s="17">
        <v>69.75</v>
      </c>
      <c r="C1061" s="17"/>
      <c r="F1061"/>
      <c r="G1061"/>
      <c r="H1061"/>
      <c r="I1061"/>
      <c r="J1061"/>
    </row>
    <row r="1062" spans="1:10" x14ac:dyDescent="0.25">
      <c r="A1062" s="90">
        <v>36692</v>
      </c>
      <c r="B1062" s="17">
        <v>69.84</v>
      </c>
      <c r="C1062" s="17"/>
      <c r="F1062"/>
      <c r="G1062"/>
      <c r="H1062"/>
      <c r="I1062"/>
      <c r="J1062"/>
    </row>
    <row r="1063" spans="1:10" x14ac:dyDescent="0.25">
      <c r="A1063" s="90">
        <v>36693</v>
      </c>
      <c r="B1063" s="17">
        <v>70.47</v>
      </c>
      <c r="C1063" s="17"/>
      <c r="F1063"/>
      <c r="G1063"/>
      <c r="H1063"/>
      <c r="I1063"/>
      <c r="J1063"/>
    </row>
    <row r="1064" spans="1:10" x14ac:dyDescent="0.25">
      <c r="A1064" s="90">
        <v>36696</v>
      </c>
      <c r="B1064" s="17">
        <v>69.53</v>
      </c>
      <c r="C1064" s="17"/>
      <c r="F1064"/>
      <c r="G1064"/>
      <c r="H1064"/>
      <c r="I1064"/>
      <c r="J1064"/>
    </row>
    <row r="1065" spans="1:10" x14ac:dyDescent="0.25">
      <c r="A1065" s="90">
        <v>36697</v>
      </c>
      <c r="B1065" s="17">
        <v>74</v>
      </c>
      <c r="C1065" s="17"/>
      <c r="F1065"/>
      <c r="G1065"/>
      <c r="H1065"/>
      <c r="I1065"/>
      <c r="J1065"/>
    </row>
    <row r="1066" spans="1:10" x14ac:dyDescent="0.25">
      <c r="A1066" s="90">
        <v>36698</v>
      </c>
      <c r="B1066" s="17">
        <v>71.41</v>
      </c>
      <c r="C1066" s="17"/>
      <c r="F1066"/>
      <c r="G1066"/>
      <c r="H1066"/>
      <c r="I1066"/>
      <c r="J1066"/>
    </row>
    <row r="1067" spans="1:10" x14ac:dyDescent="0.25">
      <c r="A1067" s="90">
        <v>36699</v>
      </c>
      <c r="B1067" s="17">
        <v>65.84</v>
      </c>
      <c r="C1067" s="17"/>
      <c r="F1067"/>
      <c r="G1067"/>
      <c r="H1067"/>
      <c r="I1067"/>
      <c r="J1067"/>
    </row>
    <row r="1068" spans="1:10" x14ac:dyDescent="0.25">
      <c r="A1068" s="90">
        <v>36700</v>
      </c>
      <c r="B1068" s="17">
        <v>62.66</v>
      </c>
      <c r="C1068" s="17"/>
      <c r="F1068"/>
      <c r="G1068"/>
      <c r="H1068"/>
      <c r="I1068"/>
      <c r="J1068"/>
    </row>
    <row r="1069" spans="1:10" x14ac:dyDescent="0.25">
      <c r="A1069" s="90">
        <v>36703</v>
      </c>
      <c r="B1069" s="17">
        <v>59.66</v>
      </c>
      <c r="C1069" s="17"/>
      <c r="F1069"/>
      <c r="G1069"/>
      <c r="H1069"/>
      <c r="I1069"/>
      <c r="J1069"/>
    </row>
    <row r="1070" spans="1:10" x14ac:dyDescent="0.25">
      <c r="A1070" s="90">
        <v>36704</v>
      </c>
      <c r="B1070" s="17">
        <v>62.97</v>
      </c>
      <c r="C1070" s="17"/>
      <c r="F1070"/>
      <c r="G1070"/>
      <c r="H1070"/>
      <c r="I1070"/>
      <c r="J1070"/>
    </row>
    <row r="1071" spans="1:10" x14ac:dyDescent="0.25">
      <c r="A1071" s="90">
        <v>36705</v>
      </c>
      <c r="B1071" s="17">
        <v>61.78</v>
      </c>
      <c r="C1071" s="17"/>
      <c r="F1071"/>
      <c r="G1071"/>
      <c r="H1071"/>
      <c r="I1071"/>
      <c r="J1071"/>
    </row>
    <row r="1072" spans="1:10" x14ac:dyDescent="0.25">
      <c r="A1072" s="90">
        <v>36706</v>
      </c>
      <c r="B1072" s="17">
        <v>59.66</v>
      </c>
      <c r="C1072" s="17"/>
      <c r="F1072"/>
      <c r="G1072"/>
      <c r="H1072"/>
      <c r="I1072"/>
      <c r="J1072"/>
    </row>
    <row r="1073" spans="1:10" x14ac:dyDescent="0.25">
      <c r="A1073" s="90">
        <v>36707</v>
      </c>
      <c r="B1073" s="17">
        <v>61.94</v>
      </c>
      <c r="C1073" s="17"/>
      <c r="F1073"/>
      <c r="G1073"/>
      <c r="H1073"/>
      <c r="I1073"/>
      <c r="J1073"/>
    </row>
    <row r="1074" spans="1:10" x14ac:dyDescent="0.25">
      <c r="A1074" s="90">
        <v>36710</v>
      </c>
      <c r="B1074" s="17">
        <v>63.94</v>
      </c>
      <c r="C1074" s="17"/>
      <c r="F1074"/>
      <c r="G1074"/>
      <c r="H1074"/>
      <c r="I1074"/>
      <c r="J1074"/>
    </row>
    <row r="1075" spans="1:10" x14ac:dyDescent="0.25">
      <c r="A1075" s="90">
        <v>36712</v>
      </c>
      <c r="B1075" s="17">
        <v>60.41</v>
      </c>
      <c r="C1075" s="17"/>
      <c r="F1075"/>
      <c r="G1075"/>
      <c r="H1075"/>
      <c r="I1075"/>
      <c r="J1075"/>
    </row>
    <row r="1076" spans="1:10" x14ac:dyDescent="0.25">
      <c r="A1076" s="90">
        <v>36713</v>
      </c>
      <c r="B1076" s="17">
        <v>61.19</v>
      </c>
      <c r="C1076" s="17"/>
      <c r="F1076"/>
      <c r="G1076"/>
      <c r="H1076"/>
      <c r="I1076"/>
      <c r="J1076"/>
    </row>
    <row r="1077" spans="1:10" x14ac:dyDescent="0.25">
      <c r="A1077" s="90">
        <v>36714</v>
      </c>
      <c r="B1077" s="17">
        <v>58.25</v>
      </c>
      <c r="C1077" s="17"/>
      <c r="F1077"/>
      <c r="G1077"/>
      <c r="H1077"/>
      <c r="I1077"/>
      <c r="J1077"/>
    </row>
    <row r="1078" spans="1:10" x14ac:dyDescent="0.25">
      <c r="A1078" s="90">
        <v>36717</v>
      </c>
      <c r="B1078" s="17">
        <v>55</v>
      </c>
      <c r="C1078" s="17"/>
      <c r="F1078"/>
      <c r="G1078"/>
      <c r="H1078"/>
      <c r="I1078"/>
      <c r="J1078"/>
    </row>
    <row r="1079" spans="1:10" x14ac:dyDescent="0.25">
      <c r="A1079" s="90">
        <v>36718</v>
      </c>
      <c r="B1079" s="17">
        <v>52.75</v>
      </c>
      <c r="C1079" s="17"/>
      <c r="F1079"/>
      <c r="G1079"/>
      <c r="H1079"/>
      <c r="I1079"/>
      <c r="J1079"/>
    </row>
    <row r="1080" spans="1:10" x14ac:dyDescent="0.25">
      <c r="A1080" s="90">
        <v>36719</v>
      </c>
      <c r="B1080" s="17">
        <v>62.47</v>
      </c>
      <c r="C1080" s="17"/>
      <c r="F1080"/>
      <c r="G1080"/>
      <c r="H1080"/>
      <c r="I1080"/>
      <c r="J1080"/>
    </row>
    <row r="1081" spans="1:10" x14ac:dyDescent="0.25">
      <c r="A1081" s="90">
        <v>36720</v>
      </c>
      <c r="B1081" s="17">
        <v>61.28</v>
      </c>
      <c r="C1081" s="17"/>
      <c r="F1081"/>
      <c r="G1081"/>
      <c r="H1081"/>
      <c r="I1081"/>
      <c r="J1081"/>
    </row>
    <row r="1082" spans="1:10" x14ac:dyDescent="0.25">
      <c r="A1082" s="90">
        <v>36721</v>
      </c>
      <c r="B1082" s="17">
        <v>64</v>
      </c>
      <c r="C1082" s="17"/>
      <c r="F1082"/>
      <c r="G1082"/>
      <c r="H1082"/>
      <c r="I1082"/>
      <c r="J1082"/>
    </row>
    <row r="1083" spans="1:10" x14ac:dyDescent="0.25">
      <c r="A1083" s="90">
        <v>36724</v>
      </c>
      <c r="B1083" s="17">
        <v>65.81</v>
      </c>
      <c r="C1083" s="17"/>
      <c r="F1083"/>
      <c r="G1083"/>
      <c r="H1083"/>
      <c r="I1083"/>
      <c r="J1083"/>
    </row>
    <row r="1084" spans="1:10" x14ac:dyDescent="0.25">
      <c r="A1084" s="90">
        <v>36725</v>
      </c>
      <c r="B1084" s="17">
        <v>64.97</v>
      </c>
      <c r="C1084" s="17"/>
      <c r="F1084"/>
      <c r="G1084"/>
      <c r="H1084"/>
      <c r="I1084"/>
      <c r="J1084"/>
    </row>
    <row r="1085" spans="1:10" x14ac:dyDescent="0.25">
      <c r="A1085" s="90">
        <v>36726</v>
      </c>
      <c r="B1085" s="17">
        <v>67</v>
      </c>
      <c r="C1085" s="17"/>
      <c r="F1085"/>
      <c r="G1085"/>
      <c r="H1085"/>
      <c r="I1085"/>
      <c r="J1085"/>
    </row>
    <row r="1086" spans="1:10" x14ac:dyDescent="0.25">
      <c r="A1086" s="90">
        <v>36727</v>
      </c>
      <c r="B1086" s="17">
        <v>69.91</v>
      </c>
      <c r="C1086" s="17"/>
      <c r="F1086"/>
      <c r="G1086"/>
      <c r="H1086"/>
      <c r="I1086"/>
      <c r="J1086"/>
    </row>
    <row r="1087" spans="1:10" x14ac:dyDescent="0.25">
      <c r="A1087" s="90">
        <v>36728</v>
      </c>
      <c r="B1087" s="17">
        <v>69.16</v>
      </c>
      <c r="C1087" s="17"/>
      <c r="F1087"/>
      <c r="G1087"/>
      <c r="H1087"/>
      <c r="I1087"/>
      <c r="J1087"/>
    </row>
    <row r="1088" spans="1:10" x14ac:dyDescent="0.25">
      <c r="A1088" s="90">
        <v>36731</v>
      </c>
      <c r="B1088" s="17">
        <v>66.28</v>
      </c>
      <c r="C1088" s="17"/>
      <c r="F1088"/>
      <c r="G1088"/>
      <c r="H1088"/>
      <c r="I1088"/>
      <c r="J1088"/>
    </row>
    <row r="1089" spans="1:10" x14ac:dyDescent="0.25">
      <c r="A1089" s="90">
        <v>36732</v>
      </c>
      <c r="B1089" s="17">
        <v>69</v>
      </c>
      <c r="C1089" s="17"/>
      <c r="F1089"/>
      <c r="G1089"/>
      <c r="H1089"/>
      <c r="I1089"/>
      <c r="J1089"/>
    </row>
    <row r="1090" spans="1:10" x14ac:dyDescent="0.25">
      <c r="A1090" s="90">
        <v>36733</v>
      </c>
      <c r="B1090" s="17">
        <v>67.97</v>
      </c>
      <c r="C1090" s="17"/>
      <c r="F1090"/>
      <c r="G1090"/>
      <c r="H1090"/>
      <c r="I1090"/>
      <c r="J1090"/>
    </row>
    <row r="1091" spans="1:10" x14ac:dyDescent="0.25">
      <c r="A1091" s="90">
        <v>36734</v>
      </c>
      <c r="B1091" s="17">
        <v>67.03</v>
      </c>
      <c r="C1091" s="17"/>
      <c r="F1091"/>
      <c r="G1091"/>
      <c r="H1091"/>
      <c r="I1091"/>
      <c r="J1091"/>
    </row>
    <row r="1092" spans="1:10" x14ac:dyDescent="0.25">
      <c r="A1092" s="90">
        <v>36735</v>
      </c>
      <c r="B1092" s="17">
        <v>63.38</v>
      </c>
      <c r="C1092" s="17"/>
      <c r="F1092"/>
      <c r="G1092"/>
      <c r="H1092"/>
      <c r="I1092"/>
      <c r="J1092"/>
    </row>
    <row r="1093" spans="1:10" x14ac:dyDescent="0.25">
      <c r="A1093" s="90">
        <v>36738</v>
      </c>
      <c r="B1093" s="17">
        <v>64.34</v>
      </c>
      <c r="C1093" s="17"/>
      <c r="F1093"/>
      <c r="G1093"/>
      <c r="H1093"/>
      <c r="I1093"/>
      <c r="J1093"/>
    </row>
    <row r="1094" spans="1:10" x14ac:dyDescent="0.25">
      <c r="A1094" s="90">
        <v>36739</v>
      </c>
      <c r="B1094" s="17">
        <v>63.72</v>
      </c>
      <c r="C1094" s="17"/>
      <c r="F1094"/>
      <c r="G1094"/>
      <c r="H1094"/>
      <c r="I1094"/>
      <c r="J1094"/>
    </row>
    <row r="1095" spans="1:10" x14ac:dyDescent="0.25">
      <c r="A1095" s="90">
        <v>36740</v>
      </c>
      <c r="B1095" s="17">
        <v>63.56</v>
      </c>
      <c r="C1095" s="17"/>
      <c r="F1095"/>
      <c r="G1095"/>
      <c r="H1095"/>
      <c r="I1095"/>
      <c r="J1095"/>
    </row>
    <row r="1096" spans="1:10" x14ac:dyDescent="0.25">
      <c r="A1096" s="90">
        <v>36741</v>
      </c>
      <c r="B1096" s="17">
        <v>65.59</v>
      </c>
      <c r="C1096" s="17"/>
      <c r="F1096"/>
      <c r="G1096"/>
      <c r="H1096"/>
      <c r="I1096"/>
      <c r="J1096"/>
    </row>
    <row r="1097" spans="1:10" x14ac:dyDescent="0.25">
      <c r="A1097" s="90">
        <v>36742</v>
      </c>
      <c r="B1097" s="17">
        <v>66.97</v>
      </c>
      <c r="C1097" s="17"/>
      <c r="F1097"/>
      <c r="G1097"/>
      <c r="H1097"/>
      <c r="I1097"/>
      <c r="J1097"/>
    </row>
    <row r="1098" spans="1:10" x14ac:dyDescent="0.25">
      <c r="A1098" s="90">
        <v>36745</v>
      </c>
      <c r="B1098" s="17">
        <v>68.25</v>
      </c>
      <c r="C1098" s="17"/>
      <c r="F1098"/>
      <c r="G1098"/>
      <c r="H1098"/>
      <c r="I1098"/>
      <c r="J1098"/>
    </row>
    <row r="1099" spans="1:10" x14ac:dyDescent="0.25">
      <c r="A1099" s="90">
        <v>36746</v>
      </c>
      <c r="B1099" s="17">
        <v>67.06</v>
      </c>
      <c r="C1099" s="17"/>
      <c r="F1099"/>
      <c r="G1099"/>
      <c r="H1099"/>
      <c r="I1099"/>
      <c r="J1099"/>
    </row>
    <row r="1100" spans="1:10" x14ac:dyDescent="0.25">
      <c r="A1100" s="90">
        <v>36747</v>
      </c>
      <c r="B1100" s="17">
        <v>66.34</v>
      </c>
      <c r="C1100" s="17"/>
      <c r="F1100"/>
      <c r="G1100"/>
      <c r="H1100"/>
      <c r="I1100"/>
      <c r="J1100"/>
    </row>
    <row r="1101" spans="1:10" x14ac:dyDescent="0.25">
      <c r="A1101" s="90">
        <v>36748</v>
      </c>
      <c r="B1101" s="17">
        <v>64.66</v>
      </c>
      <c r="C1101" s="17"/>
      <c r="F1101"/>
      <c r="G1101"/>
      <c r="H1101"/>
      <c r="I1101"/>
      <c r="J1101"/>
    </row>
    <row r="1102" spans="1:10" x14ac:dyDescent="0.25">
      <c r="A1102" s="90">
        <v>36749</v>
      </c>
      <c r="B1102" s="17">
        <v>64.31</v>
      </c>
      <c r="C1102" s="17"/>
      <c r="F1102"/>
      <c r="G1102"/>
      <c r="H1102"/>
      <c r="I1102"/>
      <c r="J1102"/>
    </row>
    <row r="1103" spans="1:10" x14ac:dyDescent="0.25">
      <c r="A1103" s="90">
        <v>36752</v>
      </c>
      <c r="B1103" s="17">
        <v>66.19</v>
      </c>
      <c r="C1103" s="17"/>
      <c r="F1103"/>
      <c r="G1103"/>
      <c r="H1103"/>
      <c r="I1103"/>
      <c r="J1103"/>
    </row>
    <row r="1104" spans="1:10" x14ac:dyDescent="0.25">
      <c r="A1104" s="90">
        <v>36753</v>
      </c>
      <c r="B1104" s="17">
        <v>66.16</v>
      </c>
      <c r="C1104" s="17"/>
      <c r="F1104"/>
      <c r="G1104"/>
      <c r="H1104"/>
      <c r="I1104"/>
      <c r="J1104"/>
    </row>
    <row r="1105" spans="1:10" x14ac:dyDescent="0.25">
      <c r="A1105" s="90">
        <v>36754</v>
      </c>
      <c r="B1105" s="17">
        <v>67</v>
      </c>
      <c r="C1105" s="17"/>
      <c r="F1105"/>
      <c r="G1105"/>
      <c r="H1105"/>
      <c r="I1105"/>
      <c r="J1105"/>
    </row>
    <row r="1106" spans="1:10" x14ac:dyDescent="0.25">
      <c r="A1106" s="90">
        <v>36755</v>
      </c>
      <c r="B1106" s="17">
        <v>65.56</v>
      </c>
      <c r="C1106" s="17"/>
      <c r="F1106"/>
      <c r="G1106"/>
      <c r="H1106"/>
      <c r="I1106"/>
      <c r="J1106"/>
    </row>
    <row r="1107" spans="1:10" x14ac:dyDescent="0.25">
      <c r="A1107" s="90">
        <v>36756</v>
      </c>
      <c r="B1107" s="17">
        <v>62.59</v>
      </c>
      <c r="C1107" s="17"/>
      <c r="F1107"/>
      <c r="G1107"/>
      <c r="H1107"/>
      <c r="I1107"/>
      <c r="J1107"/>
    </row>
    <row r="1108" spans="1:10" x14ac:dyDescent="0.25">
      <c r="A1108" s="90">
        <v>36759</v>
      </c>
      <c r="B1108" s="17">
        <v>65.22</v>
      </c>
      <c r="C1108" s="17"/>
      <c r="F1108"/>
      <c r="G1108"/>
      <c r="H1108"/>
      <c r="I1108"/>
      <c r="J1108"/>
    </row>
    <row r="1109" spans="1:10" x14ac:dyDescent="0.25">
      <c r="A1109" s="90">
        <v>36760</v>
      </c>
      <c r="B1109" s="17">
        <v>63.75</v>
      </c>
      <c r="C1109" s="17"/>
      <c r="F1109"/>
      <c r="G1109"/>
      <c r="H1109"/>
      <c r="I1109"/>
      <c r="J1109"/>
    </row>
    <row r="1110" spans="1:10" x14ac:dyDescent="0.25">
      <c r="A1110" s="90">
        <v>36761</v>
      </c>
      <c r="B1110" s="17">
        <v>66.91</v>
      </c>
      <c r="C1110" s="17"/>
      <c r="F1110"/>
      <c r="G1110"/>
      <c r="H1110"/>
      <c r="I1110"/>
      <c r="J1110"/>
    </row>
    <row r="1111" spans="1:10" x14ac:dyDescent="0.25">
      <c r="A1111" s="90">
        <v>36762</v>
      </c>
      <c r="B1111" s="17">
        <v>69.91</v>
      </c>
      <c r="C1111" s="17"/>
      <c r="F1111"/>
      <c r="G1111"/>
      <c r="H1111"/>
      <c r="I1111"/>
      <c r="J1111"/>
    </row>
    <row r="1112" spans="1:10" x14ac:dyDescent="0.25">
      <c r="A1112" s="90">
        <v>36763</v>
      </c>
      <c r="B1112" s="17">
        <v>67.12</v>
      </c>
      <c r="C1112" s="17"/>
      <c r="F1112"/>
      <c r="G1112"/>
      <c r="H1112"/>
      <c r="I1112"/>
      <c r="J1112"/>
    </row>
    <row r="1113" spans="1:10" x14ac:dyDescent="0.25">
      <c r="A1113" s="90">
        <v>36766</v>
      </c>
      <c r="B1113" s="17">
        <v>61.03</v>
      </c>
      <c r="C1113" s="17"/>
      <c r="F1113"/>
      <c r="G1113"/>
      <c r="H1113"/>
      <c r="I1113"/>
      <c r="J1113"/>
    </row>
    <row r="1114" spans="1:10" x14ac:dyDescent="0.25">
      <c r="A1114" s="90">
        <v>36767</v>
      </c>
      <c r="B1114" s="17">
        <v>60.5</v>
      </c>
      <c r="C1114" s="17"/>
      <c r="F1114"/>
      <c r="G1114"/>
      <c r="H1114"/>
      <c r="I1114"/>
      <c r="J1114"/>
    </row>
    <row r="1115" spans="1:10" x14ac:dyDescent="0.25">
      <c r="A1115" s="90">
        <v>36768</v>
      </c>
      <c r="B1115" s="17">
        <v>61.62</v>
      </c>
      <c r="C1115" s="17"/>
      <c r="F1115"/>
      <c r="G1115"/>
      <c r="H1115"/>
      <c r="I1115"/>
      <c r="J1115"/>
    </row>
    <row r="1116" spans="1:10" x14ac:dyDescent="0.25">
      <c r="A1116" s="90">
        <v>36769</v>
      </c>
      <c r="B1116" s="17">
        <v>60.75</v>
      </c>
      <c r="C1116" s="17"/>
      <c r="F1116"/>
      <c r="G1116"/>
      <c r="H1116"/>
      <c r="I1116"/>
      <c r="J1116"/>
    </row>
    <row r="1117" spans="1:10" x14ac:dyDescent="0.25">
      <c r="A1117" s="90">
        <v>36770</v>
      </c>
      <c r="B1117" s="17">
        <v>56.97</v>
      </c>
      <c r="C1117" s="17"/>
      <c r="F1117"/>
      <c r="G1117"/>
      <c r="H1117"/>
      <c r="I1117"/>
      <c r="J1117"/>
    </row>
    <row r="1118" spans="1:10" x14ac:dyDescent="0.25">
      <c r="A1118" s="90">
        <v>36774</v>
      </c>
      <c r="B1118" s="17">
        <v>58.56</v>
      </c>
      <c r="C1118" s="17"/>
      <c r="F1118"/>
      <c r="G1118"/>
      <c r="H1118"/>
      <c r="I1118"/>
      <c r="J1118"/>
    </row>
    <row r="1119" spans="1:10" x14ac:dyDescent="0.25">
      <c r="A1119" s="90">
        <v>36775</v>
      </c>
      <c r="B1119" s="17">
        <v>56.03</v>
      </c>
      <c r="C1119" s="17"/>
      <c r="F1119"/>
      <c r="G1119"/>
      <c r="H1119"/>
      <c r="I1119"/>
      <c r="J1119"/>
    </row>
    <row r="1120" spans="1:10" x14ac:dyDescent="0.25">
      <c r="A1120" s="90">
        <v>36776</v>
      </c>
      <c r="B1120" s="17">
        <v>53.47</v>
      </c>
      <c r="C1120" s="17"/>
      <c r="F1120"/>
      <c r="G1120"/>
      <c r="H1120"/>
      <c r="I1120"/>
      <c r="J1120"/>
    </row>
    <row r="1121" spans="1:10" x14ac:dyDescent="0.25">
      <c r="A1121" s="90">
        <v>36777</v>
      </c>
      <c r="B1121" s="17">
        <v>52.06</v>
      </c>
      <c r="C1121" s="17"/>
      <c r="F1121"/>
      <c r="G1121"/>
      <c r="H1121"/>
      <c r="I1121"/>
      <c r="J1121"/>
    </row>
    <row r="1122" spans="1:10" x14ac:dyDescent="0.25">
      <c r="A1122" s="90">
        <v>36780</v>
      </c>
      <c r="B1122" s="17">
        <v>53.16</v>
      </c>
      <c r="C1122" s="17"/>
      <c r="F1122"/>
      <c r="G1122"/>
      <c r="H1122"/>
      <c r="I1122"/>
      <c r="J1122"/>
    </row>
    <row r="1123" spans="1:10" x14ac:dyDescent="0.25">
      <c r="A1123" s="90">
        <v>36781</v>
      </c>
      <c r="B1123" s="17">
        <v>53.5</v>
      </c>
      <c r="C1123" s="17"/>
      <c r="F1123"/>
      <c r="G1123"/>
      <c r="H1123"/>
      <c r="I1123"/>
      <c r="J1123"/>
    </row>
    <row r="1124" spans="1:10" x14ac:dyDescent="0.25">
      <c r="A1124" s="90">
        <v>36782</v>
      </c>
      <c r="B1124" s="17">
        <v>53.19</v>
      </c>
      <c r="C1124" s="17"/>
      <c r="F1124"/>
      <c r="G1124"/>
      <c r="H1124"/>
      <c r="I1124"/>
      <c r="J1124"/>
    </row>
    <row r="1125" spans="1:10" x14ac:dyDescent="0.25">
      <c r="A1125" s="90">
        <v>36783</v>
      </c>
      <c r="B1125" s="17">
        <v>53.47</v>
      </c>
      <c r="C1125" s="17"/>
      <c r="F1125"/>
      <c r="G1125"/>
      <c r="H1125"/>
      <c r="I1125"/>
      <c r="J1125"/>
    </row>
    <row r="1126" spans="1:10" x14ac:dyDescent="0.25">
      <c r="A1126" s="90">
        <v>36784</v>
      </c>
      <c r="B1126" s="17">
        <v>52.94</v>
      </c>
      <c r="C1126" s="17"/>
      <c r="F1126"/>
      <c r="G1126"/>
      <c r="H1126"/>
      <c r="I1126"/>
      <c r="J1126"/>
    </row>
    <row r="1127" spans="1:10" x14ac:dyDescent="0.25">
      <c r="A1127" s="90">
        <v>36787</v>
      </c>
      <c r="B1127" s="17">
        <v>52.53</v>
      </c>
      <c r="C1127" s="17"/>
      <c r="F1127"/>
      <c r="G1127"/>
      <c r="H1127"/>
      <c r="I1127"/>
      <c r="J1127"/>
    </row>
    <row r="1128" spans="1:10" x14ac:dyDescent="0.25">
      <c r="A1128" s="90">
        <v>36788</v>
      </c>
      <c r="B1128" s="17">
        <v>54.03</v>
      </c>
      <c r="C1128" s="17"/>
      <c r="F1128"/>
      <c r="G1128"/>
      <c r="H1128"/>
      <c r="I1128"/>
      <c r="J1128"/>
    </row>
    <row r="1129" spans="1:10" x14ac:dyDescent="0.25">
      <c r="A1129" s="90">
        <v>36789</v>
      </c>
      <c r="B1129" s="17">
        <v>54.84</v>
      </c>
      <c r="C1129" s="17"/>
      <c r="F1129"/>
      <c r="G1129"/>
      <c r="H1129"/>
      <c r="I1129"/>
      <c r="J1129"/>
    </row>
    <row r="1130" spans="1:10" x14ac:dyDescent="0.25">
      <c r="A1130" s="90">
        <v>36790</v>
      </c>
      <c r="B1130" s="17">
        <v>54.06</v>
      </c>
      <c r="C1130" s="17"/>
      <c r="F1130"/>
      <c r="G1130"/>
      <c r="H1130"/>
      <c r="I1130"/>
      <c r="J1130"/>
    </row>
    <row r="1131" spans="1:10" x14ac:dyDescent="0.25">
      <c r="A1131" s="90">
        <v>36791</v>
      </c>
      <c r="B1131" s="17">
        <v>55.72</v>
      </c>
      <c r="C1131" s="17"/>
      <c r="F1131"/>
      <c r="G1131"/>
      <c r="H1131"/>
      <c r="I1131"/>
      <c r="J1131"/>
    </row>
    <row r="1132" spans="1:10" x14ac:dyDescent="0.25">
      <c r="A1132" s="90">
        <v>36794</v>
      </c>
      <c r="B1132" s="17">
        <v>52.75</v>
      </c>
      <c r="C1132" s="17"/>
      <c r="F1132"/>
      <c r="G1132"/>
      <c r="H1132"/>
      <c r="I1132"/>
      <c r="J1132"/>
    </row>
    <row r="1133" spans="1:10" x14ac:dyDescent="0.25">
      <c r="A1133" s="90">
        <v>36795</v>
      </c>
      <c r="B1133" s="17">
        <v>51.22</v>
      </c>
      <c r="C1133" s="17"/>
      <c r="F1133"/>
      <c r="G1133"/>
      <c r="H1133"/>
      <c r="I1133"/>
      <c r="J1133"/>
    </row>
    <row r="1134" spans="1:10" x14ac:dyDescent="0.25">
      <c r="A1134" s="90">
        <v>36796</v>
      </c>
      <c r="B1134" s="17">
        <v>45.19</v>
      </c>
      <c r="C1134" s="17"/>
      <c r="F1134"/>
      <c r="G1134"/>
      <c r="H1134"/>
      <c r="I1134"/>
      <c r="J1134"/>
    </row>
    <row r="1135" spans="1:10" x14ac:dyDescent="0.25">
      <c r="A1135" s="90">
        <v>36797</v>
      </c>
      <c r="B1135" s="17">
        <v>47.84</v>
      </c>
      <c r="C1135" s="17"/>
      <c r="F1135"/>
      <c r="G1135"/>
      <c r="H1135"/>
      <c r="I1135"/>
      <c r="J1135"/>
    </row>
    <row r="1136" spans="1:10" x14ac:dyDescent="0.25">
      <c r="A1136" s="90">
        <v>36798</v>
      </c>
      <c r="B1136" s="17">
        <v>45.5</v>
      </c>
      <c r="C1136" s="17"/>
      <c r="F1136"/>
      <c r="G1136"/>
      <c r="H1136"/>
      <c r="I1136"/>
      <c r="J1136"/>
    </row>
    <row r="1137" spans="1:10" x14ac:dyDescent="0.25">
      <c r="A1137" s="90">
        <v>36801</v>
      </c>
      <c r="B1137" s="17">
        <v>43.03</v>
      </c>
      <c r="C1137" s="17"/>
      <c r="F1137"/>
      <c r="G1137"/>
      <c r="H1137"/>
      <c r="I1137"/>
      <c r="J1137"/>
    </row>
    <row r="1138" spans="1:10" x14ac:dyDescent="0.25">
      <c r="A1138" s="90">
        <v>36802</v>
      </c>
      <c r="B1138" s="17">
        <v>42</v>
      </c>
      <c r="C1138" s="17"/>
      <c r="F1138"/>
      <c r="G1138"/>
      <c r="H1138"/>
      <c r="I1138"/>
      <c r="J1138"/>
    </row>
    <row r="1139" spans="1:10" x14ac:dyDescent="0.25">
      <c r="A1139" s="90">
        <v>36803</v>
      </c>
      <c r="B1139" s="17">
        <v>43.97</v>
      </c>
      <c r="C1139" s="17"/>
      <c r="F1139"/>
      <c r="G1139"/>
      <c r="H1139"/>
      <c r="I1139"/>
      <c r="J1139"/>
    </row>
    <row r="1140" spans="1:10" x14ac:dyDescent="0.25">
      <c r="A1140" s="90">
        <v>36804</v>
      </c>
      <c r="B1140" s="17">
        <v>42.34</v>
      </c>
      <c r="C1140" s="17"/>
      <c r="F1140"/>
      <c r="G1140"/>
      <c r="H1140"/>
      <c r="I1140"/>
      <c r="J1140"/>
    </row>
    <row r="1141" spans="1:10" x14ac:dyDescent="0.25">
      <c r="A1141" s="90">
        <v>36805</v>
      </c>
      <c r="B1141" s="17">
        <v>40.619999999999997</v>
      </c>
      <c r="C1141" s="17"/>
      <c r="F1141"/>
      <c r="G1141"/>
      <c r="H1141"/>
      <c r="I1141"/>
      <c r="J1141"/>
    </row>
    <row r="1142" spans="1:10" x14ac:dyDescent="0.25">
      <c r="A1142" s="90">
        <v>36808</v>
      </c>
      <c r="B1142" s="17">
        <v>42.88</v>
      </c>
      <c r="C1142" s="17"/>
      <c r="F1142"/>
      <c r="G1142"/>
      <c r="H1142"/>
      <c r="I1142"/>
      <c r="J1142"/>
    </row>
    <row r="1143" spans="1:10" x14ac:dyDescent="0.25">
      <c r="A1143" s="90">
        <v>36809</v>
      </c>
      <c r="B1143" s="17">
        <v>41.34</v>
      </c>
      <c r="C1143" s="17"/>
      <c r="F1143"/>
      <c r="G1143"/>
      <c r="H1143"/>
      <c r="I1143"/>
      <c r="J1143"/>
    </row>
    <row r="1144" spans="1:10" x14ac:dyDescent="0.25">
      <c r="A1144" s="90">
        <v>36810</v>
      </c>
      <c r="B1144" s="17">
        <v>32.69</v>
      </c>
      <c r="C1144" s="17"/>
      <c r="F1144"/>
      <c r="G1144"/>
      <c r="H1144"/>
      <c r="I1144"/>
      <c r="J1144"/>
    </row>
    <row r="1145" spans="1:10" x14ac:dyDescent="0.25">
      <c r="A1145" s="90">
        <v>36811</v>
      </c>
      <c r="B1145" s="17">
        <v>28.31</v>
      </c>
      <c r="C1145" s="17"/>
      <c r="F1145"/>
      <c r="G1145"/>
      <c r="H1145"/>
      <c r="I1145"/>
      <c r="J1145"/>
    </row>
    <row r="1146" spans="1:10" x14ac:dyDescent="0.25">
      <c r="A1146" s="90">
        <v>36812</v>
      </c>
      <c r="B1146" s="17">
        <v>30</v>
      </c>
      <c r="C1146" s="17"/>
      <c r="F1146"/>
      <c r="G1146"/>
      <c r="H1146"/>
      <c r="I1146"/>
      <c r="J1146"/>
    </row>
    <row r="1147" spans="1:10" x14ac:dyDescent="0.25">
      <c r="A1147" s="90">
        <v>36815</v>
      </c>
      <c r="B1147" s="17">
        <v>27.62</v>
      </c>
      <c r="C1147" s="17"/>
      <c r="F1147"/>
      <c r="G1147"/>
      <c r="H1147"/>
      <c r="I1147"/>
      <c r="J1147"/>
    </row>
    <row r="1148" spans="1:10" x14ac:dyDescent="0.25">
      <c r="A1148" s="90">
        <v>36816</v>
      </c>
      <c r="B1148" s="17">
        <v>24.47</v>
      </c>
      <c r="C1148" s="17"/>
      <c r="F1148"/>
      <c r="G1148"/>
      <c r="H1148"/>
      <c r="I1148"/>
      <c r="J1148"/>
    </row>
    <row r="1149" spans="1:10" x14ac:dyDescent="0.25">
      <c r="A1149" s="90">
        <v>36817</v>
      </c>
      <c r="B1149" s="17">
        <v>26.38</v>
      </c>
      <c r="C1149" s="17"/>
      <c r="F1149"/>
      <c r="G1149"/>
      <c r="H1149"/>
      <c r="I1149"/>
      <c r="J1149"/>
    </row>
    <row r="1150" spans="1:10" x14ac:dyDescent="0.25">
      <c r="A1150" s="90">
        <v>36818</v>
      </c>
      <c r="B1150" s="17">
        <v>29.78</v>
      </c>
      <c r="C1150" s="17"/>
      <c r="F1150"/>
      <c r="G1150"/>
      <c r="H1150"/>
      <c r="I1150"/>
      <c r="J1150"/>
    </row>
    <row r="1151" spans="1:10" x14ac:dyDescent="0.25">
      <c r="A1151" s="90">
        <v>36819</v>
      </c>
      <c r="B1151" s="17">
        <v>29.5</v>
      </c>
      <c r="C1151" s="17"/>
      <c r="F1151"/>
      <c r="G1151"/>
      <c r="H1151"/>
      <c r="I1151"/>
      <c r="J1151"/>
    </row>
    <row r="1152" spans="1:10" x14ac:dyDescent="0.25">
      <c r="A1152" s="90">
        <v>36822</v>
      </c>
      <c r="B1152" s="17">
        <v>29.81</v>
      </c>
      <c r="C1152" s="17"/>
      <c r="F1152"/>
      <c r="G1152"/>
      <c r="H1152"/>
      <c r="I1152"/>
      <c r="J1152"/>
    </row>
    <row r="1153" spans="1:10" x14ac:dyDescent="0.25">
      <c r="A1153" s="90">
        <v>36823</v>
      </c>
      <c r="B1153" s="17">
        <v>29.31</v>
      </c>
      <c r="C1153" s="17"/>
      <c r="F1153"/>
      <c r="G1153"/>
      <c r="H1153"/>
      <c r="I1153"/>
      <c r="J1153"/>
    </row>
    <row r="1154" spans="1:10" x14ac:dyDescent="0.25">
      <c r="A1154" s="90">
        <v>36824</v>
      </c>
      <c r="B1154" s="17">
        <v>27.78</v>
      </c>
      <c r="C1154" s="17"/>
      <c r="F1154"/>
      <c r="G1154"/>
      <c r="H1154"/>
      <c r="I1154"/>
      <c r="J1154"/>
    </row>
    <row r="1155" spans="1:10" x14ac:dyDescent="0.25">
      <c r="A1155" s="90">
        <v>36825</v>
      </c>
      <c r="B1155" s="17">
        <v>28</v>
      </c>
      <c r="C1155" s="17"/>
      <c r="F1155"/>
      <c r="G1155"/>
      <c r="H1155"/>
      <c r="I1155"/>
      <c r="J1155"/>
    </row>
    <row r="1156" spans="1:10" x14ac:dyDescent="0.25">
      <c r="A1156" s="90">
        <v>36826</v>
      </c>
      <c r="B1156" s="17">
        <v>27.62</v>
      </c>
      <c r="C1156" s="17"/>
      <c r="F1156"/>
      <c r="G1156"/>
      <c r="H1156"/>
      <c r="I1156"/>
      <c r="J1156"/>
    </row>
    <row r="1157" spans="1:10" x14ac:dyDescent="0.25">
      <c r="A1157" s="90">
        <v>36829</v>
      </c>
      <c r="B1157" s="17">
        <v>26.31</v>
      </c>
      <c r="C1157" s="17"/>
      <c r="F1157"/>
      <c r="G1157"/>
      <c r="H1157"/>
      <c r="I1157"/>
      <c r="J1157"/>
    </row>
    <row r="1158" spans="1:10" x14ac:dyDescent="0.25">
      <c r="A1158" s="90">
        <v>36830</v>
      </c>
      <c r="B1158" s="17">
        <v>29.31</v>
      </c>
      <c r="C1158" s="17"/>
      <c r="F1158"/>
      <c r="G1158"/>
      <c r="H1158"/>
      <c r="I1158"/>
      <c r="J1158"/>
    </row>
    <row r="1159" spans="1:10" x14ac:dyDescent="0.25">
      <c r="A1159" s="90">
        <v>36831</v>
      </c>
      <c r="B1159" s="17">
        <v>32.18</v>
      </c>
      <c r="C1159" s="17"/>
      <c r="F1159"/>
      <c r="G1159"/>
      <c r="H1159"/>
      <c r="I1159"/>
      <c r="J1159"/>
    </row>
    <row r="1160" spans="1:10" x14ac:dyDescent="0.25">
      <c r="A1160" s="90">
        <v>36832</v>
      </c>
      <c r="B1160" s="17">
        <v>33.72</v>
      </c>
      <c r="C1160" s="17"/>
      <c r="F1160"/>
      <c r="G1160"/>
      <c r="H1160"/>
      <c r="I1160"/>
      <c r="J1160"/>
    </row>
    <row r="1161" spans="1:10" x14ac:dyDescent="0.25">
      <c r="A1161" s="90">
        <v>36833</v>
      </c>
      <c r="B1161" s="17">
        <v>34.380000000000003</v>
      </c>
      <c r="C1161" s="17"/>
      <c r="F1161"/>
      <c r="G1161"/>
      <c r="H1161"/>
      <c r="I1161"/>
      <c r="J1161"/>
    </row>
    <row r="1162" spans="1:10" x14ac:dyDescent="0.25">
      <c r="A1162" s="90">
        <v>36836</v>
      </c>
      <c r="B1162" s="17">
        <v>32.81</v>
      </c>
      <c r="C1162" s="17"/>
      <c r="F1162"/>
      <c r="G1162"/>
      <c r="H1162"/>
      <c r="I1162"/>
      <c r="J1162"/>
    </row>
    <row r="1163" spans="1:10" x14ac:dyDescent="0.25">
      <c r="A1163" s="90">
        <v>36837</v>
      </c>
      <c r="B1163" s="17">
        <v>34.25</v>
      </c>
      <c r="C1163" s="17"/>
      <c r="F1163"/>
      <c r="G1163"/>
      <c r="H1163"/>
      <c r="I1163"/>
      <c r="J1163"/>
    </row>
    <row r="1164" spans="1:10" x14ac:dyDescent="0.25">
      <c r="A1164" s="90">
        <v>36838</v>
      </c>
      <c r="B1164" s="17">
        <v>32.5</v>
      </c>
      <c r="C1164" s="17"/>
      <c r="F1164"/>
      <c r="G1164"/>
      <c r="H1164"/>
      <c r="I1164"/>
      <c r="J1164"/>
    </row>
    <row r="1165" spans="1:10" x14ac:dyDescent="0.25">
      <c r="A1165" s="90">
        <v>36839</v>
      </c>
      <c r="B1165" s="17">
        <v>29.41</v>
      </c>
      <c r="C1165" s="17"/>
      <c r="F1165"/>
      <c r="G1165"/>
      <c r="H1165"/>
      <c r="I1165"/>
      <c r="J1165"/>
    </row>
    <row r="1166" spans="1:10" x14ac:dyDescent="0.25">
      <c r="A1166" s="90">
        <v>36840</v>
      </c>
      <c r="B1166" s="17">
        <v>28.22</v>
      </c>
      <c r="C1166" s="17"/>
      <c r="F1166"/>
      <c r="G1166"/>
      <c r="H1166"/>
      <c r="I1166"/>
      <c r="J1166"/>
    </row>
    <row r="1167" spans="1:10" x14ac:dyDescent="0.25">
      <c r="A1167" s="90">
        <v>36843</v>
      </c>
      <c r="B1167" s="17">
        <v>27.66</v>
      </c>
      <c r="C1167" s="17"/>
      <c r="F1167"/>
      <c r="G1167"/>
      <c r="H1167"/>
      <c r="I1167"/>
      <c r="J1167"/>
    </row>
    <row r="1168" spans="1:10" x14ac:dyDescent="0.25">
      <c r="A1168" s="90">
        <v>36844</v>
      </c>
      <c r="B1168" s="17">
        <v>29.72</v>
      </c>
      <c r="C1168" s="17"/>
      <c r="F1168"/>
      <c r="G1168"/>
      <c r="H1168"/>
      <c r="I1168"/>
      <c r="J1168"/>
    </row>
    <row r="1169" spans="1:10" x14ac:dyDescent="0.25">
      <c r="A1169" s="90">
        <v>36845</v>
      </c>
      <c r="B1169" s="17">
        <v>28.56</v>
      </c>
      <c r="C1169" s="17"/>
      <c r="F1169"/>
      <c r="G1169"/>
      <c r="H1169"/>
      <c r="I1169"/>
      <c r="J1169"/>
    </row>
    <row r="1170" spans="1:10" x14ac:dyDescent="0.25">
      <c r="A1170" s="90">
        <v>36846</v>
      </c>
      <c r="B1170" s="17">
        <v>26.47</v>
      </c>
      <c r="C1170" s="17"/>
      <c r="F1170"/>
      <c r="G1170"/>
      <c r="H1170"/>
      <c r="I1170"/>
      <c r="J1170"/>
    </row>
    <row r="1171" spans="1:10" x14ac:dyDescent="0.25">
      <c r="A1171" s="90">
        <v>36847</v>
      </c>
      <c r="B1171" s="17">
        <v>25.62</v>
      </c>
      <c r="C1171" s="17"/>
      <c r="F1171"/>
      <c r="G1171"/>
      <c r="H1171"/>
      <c r="I1171"/>
      <c r="J1171"/>
    </row>
    <row r="1172" spans="1:10" x14ac:dyDescent="0.25">
      <c r="A1172" s="90">
        <v>36850</v>
      </c>
      <c r="B1172" s="17">
        <v>24.44</v>
      </c>
      <c r="C1172" s="17"/>
      <c r="F1172"/>
      <c r="G1172"/>
      <c r="H1172"/>
      <c r="I1172"/>
      <c r="J1172"/>
    </row>
    <row r="1173" spans="1:10" x14ac:dyDescent="0.25">
      <c r="A1173" s="90">
        <v>36851</v>
      </c>
      <c r="B1173" s="17">
        <v>20.84</v>
      </c>
      <c r="C1173" s="17"/>
      <c r="F1173"/>
      <c r="G1173"/>
      <c r="H1173"/>
      <c r="I1173"/>
      <c r="J1173"/>
    </row>
    <row r="1174" spans="1:10" x14ac:dyDescent="0.25">
      <c r="A1174" s="90">
        <v>36852</v>
      </c>
      <c r="B1174" s="17">
        <v>19.09</v>
      </c>
      <c r="C1174" s="17"/>
      <c r="F1174"/>
      <c r="G1174"/>
      <c r="H1174"/>
      <c r="I1174"/>
      <c r="J1174"/>
    </row>
    <row r="1175" spans="1:10" x14ac:dyDescent="0.25">
      <c r="A1175" s="90">
        <v>36854</v>
      </c>
      <c r="B1175" s="17">
        <v>20.440000000000001</v>
      </c>
      <c r="C1175" s="17"/>
      <c r="F1175"/>
      <c r="G1175"/>
      <c r="H1175"/>
      <c r="I1175"/>
      <c r="J1175"/>
    </row>
    <row r="1176" spans="1:10" x14ac:dyDescent="0.25">
      <c r="A1176" s="90">
        <v>36857</v>
      </c>
      <c r="B1176" s="17">
        <v>20.059999999999999</v>
      </c>
      <c r="C1176" s="17"/>
      <c r="F1176"/>
      <c r="G1176"/>
      <c r="H1176"/>
      <c r="I1176"/>
      <c r="J1176"/>
    </row>
    <row r="1177" spans="1:10" x14ac:dyDescent="0.25">
      <c r="A1177" s="90">
        <v>36858</v>
      </c>
      <c r="B1177" s="17">
        <v>18.48</v>
      </c>
      <c r="C1177" s="17"/>
      <c r="F1177"/>
      <c r="G1177"/>
      <c r="H1177"/>
      <c r="I1177"/>
      <c r="J1177"/>
    </row>
    <row r="1178" spans="1:10" x14ac:dyDescent="0.25">
      <c r="A1178" s="90">
        <v>36859</v>
      </c>
      <c r="B1178" s="17">
        <v>19.53</v>
      </c>
      <c r="C1178" s="17"/>
      <c r="F1178"/>
      <c r="G1178"/>
      <c r="H1178"/>
      <c r="I1178"/>
      <c r="J1178"/>
    </row>
    <row r="1179" spans="1:10" x14ac:dyDescent="0.25">
      <c r="A1179" s="90">
        <v>36860</v>
      </c>
      <c r="B1179" s="17">
        <v>19.809999999999999</v>
      </c>
      <c r="C1179" s="17"/>
      <c r="F1179"/>
      <c r="G1179"/>
      <c r="H1179"/>
      <c r="I1179"/>
      <c r="J1179"/>
    </row>
    <row r="1180" spans="1:10" x14ac:dyDescent="0.25">
      <c r="A1180" s="90">
        <v>36861</v>
      </c>
      <c r="B1180" s="17">
        <v>19.47</v>
      </c>
      <c r="C1180" s="17"/>
      <c r="F1180"/>
      <c r="G1180"/>
      <c r="H1180"/>
      <c r="I1180"/>
      <c r="J1180"/>
    </row>
    <row r="1181" spans="1:10" x14ac:dyDescent="0.25">
      <c r="A1181" s="90">
        <v>36864</v>
      </c>
      <c r="B1181" s="17">
        <v>18.97</v>
      </c>
      <c r="C1181" s="17"/>
      <c r="F1181"/>
      <c r="G1181"/>
      <c r="H1181"/>
      <c r="I1181"/>
      <c r="J1181"/>
    </row>
    <row r="1182" spans="1:10" x14ac:dyDescent="0.25">
      <c r="A1182" s="90">
        <v>36865</v>
      </c>
      <c r="B1182" s="17">
        <v>21.94</v>
      </c>
      <c r="C1182" s="17"/>
      <c r="F1182"/>
      <c r="G1182"/>
      <c r="H1182"/>
      <c r="I1182"/>
      <c r="J1182"/>
    </row>
    <row r="1183" spans="1:10" x14ac:dyDescent="0.25">
      <c r="A1183" s="90">
        <v>36866</v>
      </c>
      <c r="B1183" s="17">
        <v>18.75</v>
      </c>
      <c r="C1183" s="17"/>
      <c r="F1183"/>
      <c r="G1183"/>
      <c r="H1183"/>
      <c r="I1183"/>
      <c r="J1183"/>
    </row>
    <row r="1184" spans="1:10" x14ac:dyDescent="0.25">
      <c r="A1184" s="90">
        <v>36867</v>
      </c>
      <c r="B1184" s="17">
        <v>17.47</v>
      </c>
      <c r="C1184" s="17"/>
      <c r="F1184"/>
      <c r="G1184"/>
      <c r="H1184"/>
      <c r="I1184"/>
      <c r="J1184"/>
    </row>
    <row r="1185" spans="1:10" x14ac:dyDescent="0.25">
      <c r="A1185" s="90">
        <v>36868</v>
      </c>
      <c r="B1185" s="17">
        <v>17.47</v>
      </c>
      <c r="C1185" s="17"/>
      <c r="F1185"/>
      <c r="G1185"/>
      <c r="H1185"/>
      <c r="I1185"/>
      <c r="J1185"/>
    </row>
    <row r="1186" spans="1:10" x14ac:dyDescent="0.25">
      <c r="A1186" s="90">
        <v>36871</v>
      </c>
      <c r="B1186" s="17">
        <v>16.940000000000001</v>
      </c>
      <c r="C1186" s="17"/>
      <c r="F1186"/>
      <c r="G1186"/>
      <c r="H1186"/>
      <c r="I1186"/>
      <c r="J1186"/>
    </row>
    <row r="1187" spans="1:10" x14ac:dyDescent="0.25">
      <c r="A1187" s="90">
        <v>36872</v>
      </c>
      <c r="B1187" s="17">
        <v>17.91</v>
      </c>
      <c r="C1187" s="17"/>
      <c r="F1187"/>
      <c r="G1187"/>
      <c r="H1187"/>
      <c r="I1187"/>
      <c r="J1187"/>
    </row>
    <row r="1188" spans="1:10" x14ac:dyDescent="0.25">
      <c r="A1188" s="90">
        <v>36873</v>
      </c>
      <c r="B1188" s="17">
        <v>17.440000000000001</v>
      </c>
      <c r="C1188" s="17"/>
      <c r="F1188"/>
      <c r="G1188"/>
      <c r="H1188"/>
      <c r="I1188"/>
      <c r="J1188"/>
    </row>
    <row r="1189" spans="1:10" x14ac:dyDescent="0.25">
      <c r="A1189" s="90">
        <v>36874</v>
      </c>
      <c r="B1189" s="17">
        <v>16</v>
      </c>
      <c r="C1189" s="17"/>
      <c r="F1189"/>
      <c r="G1189"/>
      <c r="H1189"/>
      <c r="I1189"/>
      <c r="J1189"/>
    </row>
    <row r="1190" spans="1:10" x14ac:dyDescent="0.25">
      <c r="A1190" s="90">
        <v>36875</v>
      </c>
      <c r="B1190" s="17">
        <v>16.5</v>
      </c>
      <c r="C1190" s="17"/>
      <c r="F1190"/>
      <c r="G1190"/>
      <c r="H1190"/>
      <c r="I1190"/>
      <c r="J1190"/>
    </row>
    <row r="1191" spans="1:10" x14ac:dyDescent="0.25">
      <c r="A1191" s="90">
        <v>36878</v>
      </c>
      <c r="B1191" s="17">
        <v>16</v>
      </c>
      <c r="C1191" s="17"/>
      <c r="F1191"/>
      <c r="G1191"/>
      <c r="H1191"/>
      <c r="I1191"/>
      <c r="J1191"/>
    </row>
    <row r="1192" spans="1:10" x14ac:dyDescent="0.25">
      <c r="A1192" s="90">
        <v>36879</v>
      </c>
      <c r="B1192" s="17">
        <v>14</v>
      </c>
      <c r="C1192" s="17"/>
      <c r="F1192"/>
      <c r="G1192"/>
      <c r="H1192"/>
      <c r="I1192"/>
      <c r="J1192"/>
    </row>
    <row r="1193" spans="1:10" x14ac:dyDescent="0.25">
      <c r="A1193" s="90">
        <v>36880</v>
      </c>
      <c r="B1193" s="17">
        <v>13.97</v>
      </c>
      <c r="C1193" s="17"/>
      <c r="F1193"/>
      <c r="G1193"/>
      <c r="H1193"/>
      <c r="I1193"/>
      <c r="J1193"/>
    </row>
    <row r="1194" spans="1:10" x14ac:dyDescent="0.25">
      <c r="A1194" s="90">
        <v>36881</v>
      </c>
      <c r="B1194" s="17">
        <v>12.81</v>
      </c>
      <c r="C1194" s="17"/>
      <c r="F1194"/>
      <c r="G1194"/>
      <c r="H1194"/>
      <c r="I1194"/>
      <c r="J1194"/>
    </row>
    <row r="1195" spans="1:10" x14ac:dyDescent="0.25">
      <c r="A1195" s="90">
        <v>36882</v>
      </c>
      <c r="B1195" s="17">
        <v>14.78</v>
      </c>
      <c r="C1195" s="17"/>
      <c r="F1195"/>
      <c r="G1195"/>
      <c r="H1195"/>
      <c r="I1195"/>
      <c r="J1195"/>
    </row>
    <row r="1196" spans="1:10" x14ac:dyDescent="0.25">
      <c r="A1196" s="90">
        <v>36886</v>
      </c>
      <c r="B1196" s="17">
        <v>15.59</v>
      </c>
      <c r="C1196" s="17"/>
      <c r="F1196"/>
      <c r="G1196"/>
      <c r="H1196"/>
      <c r="I1196"/>
      <c r="J1196"/>
    </row>
    <row r="1197" spans="1:10" x14ac:dyDescent="0.25">
      <c r="A1197" s="90">
        <v>36887</v>
      </c>
      <c r="B1197" s="17">
        <v>14.88</v>
      </c>
      <c r="C1197" s="17"/>
      <c r="F1197"/>
      <c r="G1197"/>
      <c r="H1197"/>
      <c r="I1197"/>
      <c r="J1197"/>
    </row>
    <row r="1198" spans="1:10" x14ac:dyDescent="0.25">
      <c r="A1198" s="90">
        <v>36888</v>
      </c>
      <c r="B1198" s="17">
        <v>15.5</v>
      </c>
      <c r="C1198" s="17"/>
      <c r="F1198"/>
      <c r="G1198"/>
      <c r="H1198"/>
      <c r="I1198"/>
      <c r="J1198"/>
    </row>
    <row r="1199" spans="1:10" x14ac:dyDescent="0.25">
      <c r="A1199" s="90">
        <v>36889</v>
      </c>
      <c r="B1199" s="17">
        <v>15.03</v>
      </c>
      <c r="C1199" s="17"/>
      <c r="F1199"/>
      <c r="G1199"/>
      <c r="H1199"/>
      <c r="I1199"/>
      <c r="J1199"/>
    </row>
    <row r="1200" spans="1:10" x14ac:dyDescent="0.25">
      <c r="A1200" s="90">
        <v>36893</v>
      </c>
      <c r="B1200" s="17">
        <v>14.09</v>
      </c>
      <c r="C1200" s="17"/>
      <c r="F1200"/>
      <c r="G1200"/>
      <c r="H1200"/>
      <c r="I1200"/>
      <c r="J1200"/>
    </row>
    <row r="1201" spans="1:10" x14ac:dyDescent="0.25">
      <c r="A1201" s="90">
        <v>36894</v>
      </c>
      <c r="B1201" s="17">
        <v>15.47</v>
      </c>
      <c r="C1201" s="17"/>
      <c r="F1201"/>
      <c r="G1201"/>
      <c r="H1201"/>
      <c r="I1201"/>
      <c r="J1201"/>
    </row>
    <row r="1202" spans="1:10" x14ac:dyDescent="0.25">
      <c r="A1202" s="90">
        <v>36895</v>
      </c>
      <c r="B1202" s="17">
        <v>14.78</v>
      </c>
      <c r="C1202" s="17"/>
      <c r="F1202"/>
      <c r="G1202"/>
      <c r="H1202"/>
      <c r="I1202"/>
      <c r="J1202"/>
    </row>
    <row r="1203" spans="1:10" x14ac:dyDescent="0.25">
      <c r="A1203" s="90">
        <v>36896</v>
      </c>
      <c r="B1203" s="17">
        <v>14.25</v>
      </c>
      <c r="C1203" s="17"/>
      <c r="F1203"/>
      <c r="G1203"/>
      <c r="H1203"/>
      <c r="I1203"/>
      <c r="J1203"/>
    </row>
    <row r="1204" spans="1:10" x14ac:dyDescent="0.25">
      <c r="A1204" s="90">
        <v>36899</v>
      </c>
      <c r="B1204" s="17">
        <v>13.59</v>
      </c>
      <c r="C1204" s="17"/>
      <c r="F1204"/>
      <c r="G1204"/>
      <c r="H1204"/>
      <c r="I1204"/>
      <c r="J1204"/>
    </row>
    <row r="1205" spans="1:10" x14ac:dyDescent="0.25">
      <c r="A1205" s="90">
        <v>36900</v>
      </c>
      <c r="B1205" s="17">
        <v>15.06</v>
      </c>
      <c r="C1205" s="17"/>
      <c r="F1205"/>
      <c r="G1205"/>
      <c r="H1205"/>
      <c r="I1205"/>
      <c r="J1205"/>
    </row>
    <row r="1206" spans="1:10" x14ac:dyDescent="0.25">
      <c r="A1206" s="90">
        <v>36901</v>
      </c>
      <c r="B1206" s="17">
        <v>15.25</v>
      </c>
      <c r="C1206" s="17"/>
      <c r="F1206"/>
      <c r="G1206"/>
      <c r="H1206"/>
      <c r="I1206"/>
      <c r="J1206"/>
    </row>
    <row r="1207" spans="1:10" x14ac:dyDescent="0.25">
      <c r="A1207" s="90">
        <v>36902</v>
      </c>
      <c r="B1207" s="17">
        <v>12.94</v>
      </c>
      <c r="C1207" s="17"/>
      <c r="F1207"/>
      <c r="G1207"/>
      <c r="H1207"/>
      <c r="I1207"/>
      <c r="J1207"/>
    </row>
    <row r="1208" spans="1:10" x14ac:dyDescent="0.25">
      <c r="A1208" s="90">
        <v>36903</v>
      </c>
      <c r="B1208" s="17">
        <v>13.28</v>
      </c>
      <c r="C1208" s="17"/>
      <c r="F1208"/>
      <c r="G1208"/>
      <c r="H1208"/>
      <c r="I1208"/>
      <c r="J1208"/>
    </row>
    <row r="1209" spans="1:10" x14ac:dyDescent="0.25">
      <c r="A1209" s="90">
        <v>36907</v>
      </c>
      <c r="B1209" s="17">
        <v>13.69</v>
      </c>
      <c r="C1209" s="17"/>
      <c r="F1209"/>
      <c r="G1209"/>
      <c r="H1209"/>
      <c r="I1209"/>
      <c r="J1209"/>
    </row>
    <row r="1210" spans="1:10" x14ac:dyDescent="0.25">
      <c r="A1210" s="90">
        <v>36908</v>
      </c>
      <c r="B1210" s="17">
        <v>15.12</v>
      </c>
      <c r="C1210" s="17"/>
      <c r="F1210"/>
      <c r="G1210"/>
      <c r="H1210"/>
      <c r="I1210"/>
      <c r="J1210"/>
    </row>
    <row r="1211" spans="1:10" x14ac:dyDescent="0.25">
      <c r="A1211" s="90">
        <v>36909</v>
      </c>
      <c r="B1211" s="17">
        <v>17.22</v>
      </c>
      <c r="C1211" s="17"/>
      <c r="F1211"/>
      <c r="G1211"/>
      <c r="H1211"/>
      <c r="I1211"/>
      <c r="J1211"/>
    </row>
    <row r="1212" spans="1:10" x14ac:dyDescent="0.25">
      <c r="A1212" s="90">
        <v>36910</v>
      </c>
      <c r="B1212" s="17">
        <v>16.91</v>
      </c>
      <c r="C1212" s="17"/>
      <c r="F1212"/>
      <c r="G1212"/>
      <c r="H1212"/>
      <c r="I1212"/>
      <c r="J1212"/>
    </row>
    <row r="1213" spans="1:10" x14ac:dyDescent="0.25">
      <c r="A1213" s="90">
        <v>36913</v>
      </c>
      <c r="B1213" s="17">
        <v>17.34</v>
      </c>
      <c r="C1213" s="17"/>
      <c r="F1213"/>
      <c r="G1213"/>
      <c r="H1213"/>
      <c r="I1213"/>
      <c r="J1213"/>
    </row>
    <row r="1214" spans="1:10" x14ac:dyDescent="0.25">
      <c r="A1214" s="90">
        <v>36914</v>
      </c>
      <c r="B1214" s="17">
        <v>19.48</v>
      </c>
      <c r="C1214" s="17"/>
      <c r="F1214"/>
      <c r="G1214"/>
      <c r="H1214"/>
      <c r="I1214"/>
      <c r="J1214"/>
    </row>
    <row r="1215" spans="1:10" x14ac:dyDescent="0.25">
      <c r="A1215" s="90">
        <v>36915</v>
      </c>
      <c r="B1215" s="17">
        <v>21.44</v>
      </c>
      <c r="C1215" s="17"/>
      <c r="F1215"/>
      <c r="G1215"/>
      <c r="H1215"/>
      <c r="I1215"/>
      <c r="J1215"/>
    </row>
    <row r="1216" spans="1:10" x14ac:dyDescent="0.25">
      <c r="A1216" s="90">
        <v>36916</v>
      </c>
      <c r="B1216" s="17">
        <v>19.59</v>
      </c>
      <c r="C1216" s="17"/>
      <c r="F1216"/>
      <c r="G1216"/>
      <c r="H1216"/>
      <c r="I1216"/>
      <c r="J1216"/>
    </row>
    <row r="1217" spans="1:10" x14ac:dyDescent="0.25">
      <c r="A1217" s="90">
        <v>36917</v>
      </c>
      <c r="B1217" s="17">
        <v>18.84</v>
      </c>
      <c r="C1217" s="17"/>
      <c r="F1217"/>
      <c r="G1217"/>
      <c r="H1217"/>
      <c r="I1217"/>
      <c r="J1217"/>
    </row>
    <row r="1218" spans="1:10" x14ac:dyDescent="0.25">
      <c r="A1218" s="90">
        <v>36920</v>
      </c>
      <c r="B1218" s="17">
        <v>19.940000000000001</v>
      </c>
      <c r="C1218" s="17"/>
      <c r="F1218"/>
      <c r="G1218"/>
      <c r="H1218"/>
      <c r="I1218"/>
      <c r="J1218"/>
    </row>
    <row r="1219" spans="1:10" x14ac:dyDescent="0.25">
      <c r="A1219" s="90">
        <v>36921</v>
      </c>
      <c r="B1219" s="17">
        <v>19.84</v>
      </c>
      <c r="C1219" s="17"/>
      <c r="F1219"/>
      <c r="G1219"/>
      <c r="H1219"/>
      <c r="I1219"/>
      <c r="J1219"/>
    </row>
    <row r="1220" spans="1:10" x14ac:dyDescent="0.25">
      <c r="A1220" s="90">
        <v>36922</v>
      </c>
      <c r="B1220" s="17">
        <v>18.66</v>
      </c>
      <c r="C1220" s="17"/>
      <c r="F1220"/>
      <c r="G1220"/>
      <c r="H1220"/>
      <c r="I1220"/>
      <c r="J1220"/>
    </row>
    <row r="1221" spans="1:10" x14ac:dyDescent="0.25">
      <c r="A1221" s="90">
        <v>36923</v>
      </c>
      <c r="B1221" s="17">
        <v>18.03</v>
      </c>
      <c r="C1221" s="17"/>
      <c r="F1221"/>
      <c r="G1221"/>
      <c r="H1221"/>
      <c r="I1221"/>
      <c r="J1221"/>
    </row>
    <row r="1222" spans="1:10" x14ac:dyDescent="0.25">
      <c r="A1222" s="90">
        <v>36924</v>
      </c>
      <c r="B1222" s="17">
        <v>16.5</v>
      </c>
      <c r="C1222" s="17"/>
      <c r="F1222"/>
      <c r="G1222"/>
      <c r="H1222"/>
      <c r="I1222"/>
      <c r="J1222"/>
    </row>
    <row r="1223" spans="1:10" x14ac:dyDescent="0.25">
      <c r="A1223" s="90">
        <v>36927</v>
      </c>
      <c r="B1223" s="17">
        <v>17.53</v>
      </c>
      <c r="C1223" s="17"/>
      <c r="F1223"/>
      <c r="G1223"/>
      <c r="H1223"/>
      <c r="I1223"/>
      <c r="J1223"/>
    </row>
    <row r="1224" spans="1:10" x14ac:dyDescent="0.25">
      <c r="A1224" s="90">
        <v>36928</v>
      </c>
      <c r="B1224" s="17">
        <v>18.190000000000001</v>
      </c>
      <c r="C1224" s="17"/>
      <c r="F1224"/>
      <c r="G1224"/>
      <c r="H1224"/>
      <c r="I1224"/>
      <c r="J1224"/>
    </row>
    <row r="1225" spans="1:10" x14ac:dyDescent="0.25">
      <c r="A1225" s="90">
        <v>36929</v>
      </c>
      <c r="B1225" s="17">
        <v>16.72</v>
      </c>
      <c r="C1225" s="17"/>
      <c r="F1225"/>
      <c r="G1225"/>
      <c r="H1225"/>
      <c r="I1225"/>
      <c r="J1225"/>
    </row>
    <row r="1226" spans="1:10" x14ac:dyDescent="0.25">
      <c r="A1226" s="90">
        <v>36930</v>
      </c>
      <c r="B1226" s="17">
        <v>15.09</v>
      </c>
      <c r="C1226" s="17"/>
      <c r="F1226"/>
      <c r="G1226"/>
      <c r="H1226"/>
      <c r="I1226"/>
      <c r="J1226"/>
    </row>
    <row r="1227" spans="1:10" x14ac:dyDescent="0.25">
      <c r="A1227" s="90">
        <v>36931</v>
      </c>
      <c r="B1227" s="17">
        <v>13.97</v>
      </c>
      <c r="C1227" s="17"/>
      <c r="F1227"/>
      <c r="G1227"/>
      <c r="H1227"/>
      <c r="I1227"/>
      <c r="J1227"/>
    </row>
    <row r="1228" spans="1:10" x14ac:dyDescent="0.25">
      <c r="A1228" s="90">
        <v>36934</v>
      </c>
      <c r="B1228" s="17">
        <v>14.25</v>
      </c>
      <c r="C1228" s="17"/>
      <c r="F1228"/>
      <c r="G1228"/>
      <c r="H1228"/>
      <c r="I1228"/>
      <c r="J1228"/>
    </row>
    <row r="1229" spans="1:10" x14ac:dyDescent="0.25">
      <c r="A1229" s="90">
        <v>36935</v>
      </c>
      <c r="B1229" s="17">
        <v>13.56</v>
      </c>
      <c r="C1229" s="17"/>
      <c r="F1229"/>
      <c r="G1229"/>
      <c r="H1229"/>
      <c r="I1229"/>
      <c r="J1229"/>
    </row>
    <row r="1230" spans="1:10" x14ac:dyDescent="0.25">
      <c r="A1230" s="90">
        <v>36936</v>
      </c>
      <c r="B1230" s="17">
        <v>14.25</v>
      </c>
      <c r="C1230" s="17"/>
      <c r="F1230"/>
      <c r="G1230"/>
      <c r="H1230"/>
      <c r="I1230"/>
      <c r="J1230"/>
    </row>
    <row r="1231" spans="1:10" x14ac:dyDescent="0.25">
      <c r="A1231" s="90">
        <v>36937</v>
      </c>
      <c r="B1231" s="17">
        <v>15.66</v>
      </c>
      <c r="C1231" s="17"/>
      <c r="F1231"/>
      <c r="G1231"/>
      <c r="H1231"/>
      <c r="I1231"/>
      <c r="J1231"/>
    </row>
    <row r="1232" spans="1:10" x14ac:dyDescent="0.25">
      <c r="A1232" s="90">
        <v>36938</v>
      </c>
      <c r="B1232" s="17">
        <v>14.09</v>
      </c>
      <c r="C1232" s="17"/>
      <c r="F1232"/>
      <c r="G1232"/>
      <c r="H1232"/>
      <c r="I1232"/>
      <c r="J1232"/>
    </row>
    <row r="1233" spans="1:10" x14ac:dyDescent="0.25">
      <c r="A1233" s="90">
        <v>36942</v>
      </c>
      <c r="B1233" s="17">
        <v>13.28</v>
      </c>
      <c r="C1233" s="17"/>
      <c r="F1233"/>
      <c r="G1233"/>
      <c r="H1233"/>
      <c r="I1233"/>
      <c r="J1233"/>
    </row>
    <row r="1234" spans="1:10" x14ac:dyDescent="0.25">
      <c r="A1234" s="90">
        <v>36943</v>
      </c>
      <c r="B1234" s="17">
        <v>13.06</v>
      </c>
      <c r="C1234" s="17"/>
      <c r="F1234"/>
      <c r="G1234"/>
      <c r="H1234"/>
      <c r="I1234"/>
      <c r="J1234"/>
    </row>
    <row r="1235" spans="1:10" x14ac:dyDescent="0.25">
      <c r="A1235" s="90">
        <v>36944</v>
      </c>
      <c r="B1235" s="17">
        <v>12</v>
      </c>
      <c r="C1235" s="17"/>
      <c r="F1235"/>
      <c r="G1235"/>
      <c r="H1235"/>
      <c r="I1235"/>
      <c r="J1235"/>
    </row>
    <row r="1236" spans="1:10" x14ac:dyDescent="0.25">
      <c r="A1236" s="90">
        <v>36945</v>
      </c>
      <c r="B1236" s="17">
        <v>12.72</v>
      </c>
      <c r="C1236" s="17"/>
      <c r="F1236"/>
      <c r="G1236"/>
      <c r="H1236"/>
      <c r="I1236"/>
      <c r="J1236"/>
    </row>
    <row r="1237" spans="1:10" x14ac:dyDescent="0.25">
      <c r="A1237" s="90">
        <v>36948</v>
      </c>
      <c r="B1237" s="17">
        <v>12.88</v>
      </c>
      <c r="C1237" s="17"/>
      <c r="F1237"/>
      <c r="G1237"/>
      <c r="H1237"/>
      <c r="I1237"/>
      <c r="J1237"/>
    </row>
    <row r="1238" spans="1:10" x14ac:dyDescent="0.25">
      <c r="A1238" s="90">
        <v>36949</v>
      </c>
      <c r="B1238" s="17">
        <v>11.72</v>
      </c>
      <c r="C1238" s="17"/>
      <c r="F1238"/>
      <c r="G1238"/>
      <c r="H1238"/>
      <c r="I1238"/>
      <c r="J1238"/>
    </row>
    <row r="1239" spans="1:10" x14ac:dyDescent="0.25">
      <c r="A1239" s="90">
        <v>36950</v>
      </c>
      <c r="B1239" s="17">
        <v>11.91</v>
      </c>
      <c r="C1239" s="17"/>
      <c r="F1239"/>
      <c r="G1239"/>
      <c r="H1239"/>
      <c r="I1239"/>
      <c r="J1239"/>
    </row>
    <row r="1240" spans="1:10" x14ac:dyDescent="0.25">
      <c r="A1240" s="90">
        <v>36951</v>
      </c>
      <c r="B1240" s="17">
        <v>12.22</v>
      </c>
      <c r="C1240" s="17"/>
      <c r="F1240"/>
      <c r="G1240"/>
      <c r="H1240"/>
      <c r="I1240"/>
      <c r="J1240"/>
    </row>
    <row r="1241" spans="1:10" x14ac:dyDescent="0.25">
      <c r="A1241" s="90">
        <v>36952</v>
      </c>
      <c r="B1241" s="17">
        <v>10.84</v>
      </c>
      <c r="C1241" s="17"/>
      <c r="F1241"/>
      <c r="G1241"/>
      <c r="H1241"/>
      <c r="I1241"/>
      <c r="J1241"/>
    </row>
    <row r="1242" spans="1:10" x14ac:dyDescent="0.25">
      <c r="A1242" s="90">
        <v>36955</v>
      </c>
      <c r="B1242" s="17">
        <v>11.09</v>
      </c>
      <c r="C1242" s="17"/>
      <c r="F1242"/>
      <c r="G1242"/>
      <c r="H1242"/>
      <c r="I1242"/>
      <c r="J1242"/>
    </row>
    <row r="1243" spans="1:10" x14ac:dyDescent="0.25">
      <c r="A1243" s="90">
        <v>36956</v>
      </c>
      <c r="B1243" s="17">
        <v>11.19</v>
      </c>
      <c r="C1243" s="17"/>
      <c r="F1243"/>
      <c r="G1243"/>
      <c r="H1243"/>
      <c r="I1243"/>
      <c r="J1243"/>
    </row>
    <row r="1244" spans="1:10" x14ac:dyDescent="0.25">
      <c r="A1244" s="90">
        <v>36957</v>
      </c>
      <c r="B1244" s="17">
        <v>10.47</v>
      </c>
      <c r="C1244" s="17"/>
      <c r="F1244"/>
      <c r="G1244"/>
      <c r="H1244"/>
      <c r="I1244"/>
      <c r="J1244"/>
    </row>
    <row r="1245" spans="1:10" x14ac:dyDescent="0.25">
      <c r="A1245" s="90">
        <v>36958</v>
      </c>
      <c r="B1245" s="17">
        <v>8.84</v>
      </c>
      <c r="C1245" s="17"/>
      <c r="F1245"/>
      <c r="G1245"/>
      <c r="H1245"/>
      <c r="I1245"/>
      <c r="J1245"/>
    </row>
    <row r="1246" spans="1:10" x14ac:dyDescent="0.25">
      <c r="A1246" s="90">
        <v>36959</v>
      </c>
      <c r="B1246" s="17">
        <v>8.5</v>
      </c>
      <c r="C1246" s="17"/>
      <c r="F1246"/>
      <c r="G1246"/>
      <c r="H1246"/>
      <c r="I1246"/>
      <c r="J1246"/>
    </row>
    <row r="1247" spans="1:10" x14ac:dyDescent="0.25">
      <c r="A1247" s="90">
        <v>36962</v>
      </c>
      <c r="B1247" s="17">
        <v>8.19</v>
      </c>
      <c r="C1247" s="17"/>
      <c r="F1247"/>
      <c r="G1247"/>
      <c r="H1247"/>
      <c r="I1247"/>
      <c r="J1247"/>
    </row>
    <row r="1248" spans="1:10" x14ac:dyDescent="0.25">
      <c r="A1248" s="90">
        <v>36963</v>
      </c>
      <c r="B1248" s="17">
        <v>8.0299999999999994</v>
      </c>
      <c r="C1248" s="17"/>
      <c r="F1248"/>
      <c r="G1248"/>
      <c r="H1248"/>
      <c r="I1248"/>
      <c r="J1248"/>
    </row>
    <row r="1249" spans="1:10" x14ac:dyDescent="0.25">
      <c r="A1249" s="90">
        <v>36964</v>
      </c>
      <c r="B1249" s="17">
        <v>7.66</v>
      </c>
      <c r="C1249" s="17"/>
      <c r="F1249"/>
      <c r="G1249"/>
      <c r="H1249"/>
      <c r="I1249"/>
      <c r="J1249"/>
    </row>
    <row r="1250" spans="1:10" x14ac:dyDescent="0.25">
      <c r="A1250" s="90">
        <v>36965</v>
      </c>
      <c r="B1250" s="17">
        <v>7.5</v>
      </c>
      <c r="C1250" s="17"/>
      <c r="F1250"/>
      <c r="G1250"/>
      <c r="H1250"/>
      <c r="I1250"/>
      <c r="J1250"/>
    </row>
    <row r="1251" spans="1:10" x14ac:dyDescent="0.25">
      <c r="A1251" s="90">
        <v>36966</v>
      </c>
      <c r="B1251" s="17">
        <v>6.78</v>
      </c>
      <c r="C1251" s="17"/>
      <c r="F1251"/>
      <c r="G1251"/>
      <c r="H1251"/>
      <c r="I1251"/>
      <c r="J1251"/>
    </row>
    <row r="1252" spans="1:10" x14ac:dyDescent="0.25">
      <c r="A1252" s="90">
        <v>36969</v>
      </c>
      <c r="B1252" s="17">
        <v>7.47</v>
      </c>
      <c r="C1252" s="17"/>
      <c r="F1252"/>
      <c r="G1252"/>
      <c r="H1252"/>
      <c r="I1252"/>
      <c r="J1252"/>
    </row>
    <row r="1253" spans="1:10" x14ac:dyDescent="0.25">
      <c r="A1253" s="90">
        <v>36970</v>
      </c>
      <c r="B1253" s="17">
        <v>6.97</v>
      </c>
      <c r="C1253" s="17"/>
      <c r="F1253"/>
      <c r="G1253"/>
      <c r="H1253"/>
      <c r="I1253"/>
      <c r="J1253"/>
    </row>
    <row r="1254" spans="1:10" x14ac:dyDescent="0.25">
      <c r="A1254" s="90">
        <v>36971</v>
      </c>
      <c r="B1254" s="17">
        <v>6.84</v>
      </c>
      <c r="C1254" s="17"/>
      <c r="F1254"/>
      <c r="G1254"/>
      <c r="H1254"/>
      <c r="I1254"/>
      <c r="J1254"/>
    </row>
    <row r="1255" spans="1:10" x14ac:dyDescent="0.25">
      <c r="A1255" s="90">
        <v>36972</v>
      </c>
      <c r="B1255" s="17">
        <v>7.44</v>
      </c>
      <c r="C1255" s="17"/>
      <c r="F1255"/>
      <c r="G1255"/>
      <c r="H1255"/>
      <c r="I1255"/>
      <c r="J1255"/>
    </row>
    <row r="1256" spans="1:10" x14ac:dyDescent="0.25">
      <c r="A1256" s="90">
        <v>36973</v>
      </c>
      <c r="B1256" s="17">
        <v>7.22</v>
      </c>
      <c r="C1256" s="17"/>
      <c r="F1256"/>
      <c r="G1256"/>
      <c r="H1256"/>
      <c r="I1256"/>
      <c r="J1256"/>
    </row>
    <row r="1257" spans="1:10" x14ac:dyDescent="0.25">
      <c r="A1257" s="90">
        <v>36976</v>
      </c>
      <c r="B1257" s="17">
        <v>7.09</v>
      </c>
      <c r="C1257" s="17"/>
      <c r="F1257"/>
      <c r="G1257"/>
      <c r="H1257"/>
      <c r="I1257"/>
      <c r="J1257"/>
    </row>
    <row r="1258" spans="1:10" x14ac:dyDescent="0.25">
      <c r="A1258" s="90">
        <v>36977</v>
      </c>
      <c r="B1258" s="17">
        <v>7.78</v>
      </c>
      <c r="C1258" s="17"/>
      <c r="F1258"/>
      <c r="G1258"/>
      <c r="H1258"/>
      <c r="I1258"/>
      <c r="J1258"/>
    </row>
    <row r="1259" spans="1:10" x14ac:dyDescent="0.25">
      <c r="A1259" s="90">
        <v>36978</v>
      </c>
      <c r="B1259" s="17">
        <v>7.47</v>
      </c>
      <c r="C1259" s="17"/>
      <c r="F1259"/>
      <c r="G1259"/>
      <c r="H1259"/>
      <c r="I1259"/>
      <c r="J1259"/>
    </row>
    <row r="1260" spans="1:10" x14ac:dyDescent="0.25">
      <c r="A1260" s="90">
        <v>36979</v>
      </c>
      <c r="B1260" s="17">
        <v>7.5</v>
      </c>
      <c r="C1260" s="17"/>
      <c r="F1260"/>
      <c r="G1260"/>
      <c r="H1260"/>
      <c r="I1260"/>
      <c r="J1260"/>
    </row>
    <row r="1261" spans="1:10" x14ac:dyDescent="0.25">
      <c r="A1261" s="90">
        <v>36980</v>
      </c>
      <c r="B1261" s="17">
        <v>7.88</v>
      </c>
      <c r="C1261" s="17"/>
      <c r="F1261"/>
      <c r="G1261"/>
      <c r="H1261"/>
      <c r="I1261"/>
      <c r="J1261"/>
    </row>
    <row r="1262" spans="1:10" x14ac:dyDescent="0.25">
      <c r="A1262" s="90">
        <v>36983</v>
      </c>
      <c r="B1262" s="17">
        <v>7</v>
      </c>
      <c r="C1262" s="17"/>
      <c r="F1262"/>
      <c r="G1262"/>
      <c r="H1262"/>
      <c r="I1262"/>
      <c r="J1262"/>
    </row>
    <row r="1263" spans="1:10" x14ac:dyDescent="0.25">
      <c r="A1263" s="90">
        <v>36984</v>
      </c>
      <c r="B1263" s="17">
        <v>5.69</v>
      </c>
      <c r="C1263" s="17"/>
      <c r="F1263"/>
      <c r="G1263"/>
      <c r="H1263"/>
      <c r="I1263"/>
      <c r="J1263"/>
    </row>
    <row r="1264" spans="1:10" x14ac:dyDescent="0.25">
      <c r="A1264" s="90">
        <v>36985</v>
      </c>
      <c r="B1264" s="17">
        <v>6.22</v>
      </c>
      <c r="C1264" s="17"/>
      <c r="F1264"/>
      <c r="G1264"/>
      <c r="H1264"/>
      <c r="I1264"/>
      <c r="J1264"/>
    </row>
    <row r="1265" spans="1:10" x14ac:dyDescent="0.25">
      <c r="A1265" s="90">
        <v>36986</v>
      </c>
      <c r="B1265" s="17">
        <v>7.62</v>
      </c>
      <c r="C1265" s="17"/>
      <c r="F1265"/>
      <c r="G1265"/>
      <c r="H1265"/>
      <c r="I1265"/>
      <c r="J1265"/>
    </row>
    <row r="1266" spans="1:10" x14ac:dyDescent="0.25">
      <c r="A1266" s="90">
        <v>36987</v>
      </c>
      <c r="B1266" s="17">
        <v>7.41</v>
      </c>
      <c r="C1266" s="17"/>
      <c r="F1266"/>
      <c r="G1266"/>
      <c r="H1266"/>
      <c r="I1266"/>
      <c r="J1266"/>
    </row>
    <row r="1267" spans="1:10" x14ac:dyDescent="0.25">
      <c r="A1267" s="90">
        <v>36990</v>
      </c>
      <c r="B1267" s="17">
        <v>7.82</v>
      </c>
      <c r="C1267" s="17"/>
      <c r="F1267"/>
      <c r="G1267"/>
      <c r="H1267"/>
      <c r="I1267"/>
      <c r="J1267"/>
    </row>
    <row r="1268" spans="1:10" x14ac:dyDescent="0.25">
      <c r="A1268" s="90">
        <v>36991</v>
      </c>
      <c r="B1268" s="17">
        <v>8.01</v>
      </c>
      <c r="C1268" s="17"/>
      <c r="F1268"/>
      <c r="G1268"/>
      <c r="H1268"/>
      <c r="I1268"/>
      <c r="J1268"/>
    </row>
    <row r="1269" spans="1:10" x14ac:dyDescent="0.25">
      <c r="A1269" s="90">
        <v>36992</v>
      </c>
      <c r="B1269" s="17">
        <v>7.93</v>
      </c>
      <c r="C1269" s="17"/>
      <c r="F1269"/>
      <c r="G1269"/>
      <c r="H1269"/>
      <c r="I1269"/>
      <c r="J1269"/>
    </row>
    <row r="1270" spans="1:10" x14ac:dyDescent="0.25">
      <c r="A1270" s="90">
        <v>36993</v>
      </c>
      <c r="B1270" s="17">
        <v>8.48</v>
      </c>
      <c r="C1270" s="17"/>
      <c r="F1270"/>
      <c r="G1270"/>
      <c r="H1270"/>
      <c r="I1270"/>
      <c r="J1270"/>
    </row>
    <row r="1271" spans="1:10" x14ac:dyDescent="0.25">
      <c r="A1271" s="90">
        <v>36997</v>
      </c>
      <c r="B1271" s="17">
        <v>8.81</v>
      </c>
      <c r="C1271" s="17"/>
      <c r="F1271"/>
      <c r="G1271"/>
      <c r="H1271"/>
      <c r="I1271"/>
      <c r="J1271"/>
    </row>
    <row r="1272" spans="1:10" x14ac:dyDescent="0.25">
      <c r="A1272" s="90">
        <v>36998</v>
      </c>
      <c r="B1272" s="17">
        <v>8.65</v>
      </c>
      <c r="C1272" s="17"/>
      <c r="F1272"/>
      <c r="G1272"/>
      <c r="H1272"/>
      <c r="I1272"/>
      <c r="J1272"/>
    </row>
    <row r="1273" spans="1:10" x14ac:dyDescent="0.25">
      <c r="A1273" s="90">
        <v>36999</v>
      </c>
      <c r="B1273" s="17">
        <v>9.31</v>
      </c>
      <c r="C1273" s="17"/>
      <c r="F1273"/>
      <c r="G1273"/>
      <c r="H1273"/>
      <c r="I1273"/>
      <c r="J1273"/>
    </row>
    <row r="1274" spans="1:10" x14ac:dyDescent="0.25">
      <c r="A1274" s="90">
        <v>37000</v>
      </c>
      <c r="B1274" s="17">
        <v>9.98</v>
      </c>
      <c r="C1274" s="17"/>
      <c r="F1274"/>
      <c r="G1274"/>
      <c r="H1274"/>
      <c r="I1274"/>
      <c r="J1274"/>
    </row>
    <row r="1275" spans="1:10" x14ac:dyDescent="0.25">
      <c r="A1275" s="90">
        <v>37001</v>
      </c>
      <c r="B1275" s="17">
        <v>9.93</v>
      </c>
      <c r="C1275" s="17"/>
      <c r="F1275"/>
      <c r="G1275"/>
      <c r="H1275"/>
      <c r="I1275"/>
      <c r="J1275"/>
    </row>
    <row r="1276" spans="1:10" x14ac:dyDescent="0.25">
      <c r="A1276" s="90">
        <v>37004</v>
      </c>
      <c r="B1276" s="17">
        <v>8.98</v>
      </c>
      <c r="C1276" s="17"/>
      <c r="F1276"/>
      <c r="G1276"/>
      <c r="H1276"/>
      <c r="I1276"/>
      <c r="J1276"/>
    </row>
    <row r="1277" spans="1:10" x14ac:dyDescent="0.25">
      <c r="A1277" s="90">
        <v>37005</v>
      </c>
      <c r="B1277" s="17">
        <v>9.01</v>
      </c>
      <c r="C1277" s="17"/>
      <c r="F1277"/>
      <c r="G1277"/>
      <c r="H1277"/>
      <c r="I1277"/>
      <c r="J1277"/>
    </row>
    <row r="1278" spans="1:10" x14ac:dyDescent="0.25">
      <c r="A1278" s="90">
        <v>37006</v>
      </c>
      <c r="B1278" s="17">
        <v>9.34</v>
      </c>
      <c r="C1278" s="17"/>
      <c r="F1278"/>
      <c r="G1278"/>
      <c r="H1278"/>
      <c r="I1278"/>
      <c r="J1278"/>
    </row>
    <row r="1279" spans="1:10" x14ac:dyDescent="0.25">
      <c r="A1279" s="90">
        <v>37007</v>
      </c>
      <c r="B1279" s="17">
        <v>9.1300000000000008</v>
      </c>
      <c r="C1279" s="17"/>
      <c r="F1279"/>
      <c r="G1279"/>
      <c r="H1279"/>
      <c r="I1279"/>
      <c r="J1279"/>
    </row>
    <row r="1280" spans="1:10" x14ac:dyDescent="0.25">
      <c r="A1280" s="90">
        <v>37008</v>
      </c>
      <c r="B1280" s="17">
        <v>9.75</v>
      </c>
      <c r="C1280" s="17"/>
      <c r="F1280"/>
      <c r="G1280"/>
      <c r="H1280"/>
      <c r="I1280"/>
      <c r="J1280"/>
    </row>
    <row r="1281" spans="1:10" x14ac:dyDescent="0.25">
      <c r="A1281" s="90">
        <v>37011</v>
      </c>
      <c r="B1281" s="17">
        <v>10.09</v>
      </c>
      <c r="C1281" s="17"/>
      <c r="F1281"/>
      <c r="G1281"/>
      <c r="H1281"/>
      <c r="I1281"/>
      <c r="J1281"/>
    </row>
    <row r="1282" spans="1:10" x14ac:dyDescent="0.25">
      <c r="A1282" s="90">
        <v>37012</v>
      </c>
      <c r="B1282" s="17">
        <v>11.15</v>
      </c>
      <c r="C1282" s="17"/>
      <c r="F1282"/>
      <c r="G1282"/>
      <c r="H1282"/>
      <c r="I1282"/>
      <c r="J1282"/>
    </row>
    <row r="1283" spans="1:10" x14ac:dyDescent="0.25">
      <c r="A1283" s="90">
        <v>37013</v>
      </c>
      <c r="B1283" s="17">
        <v>11.46</v>
      </c>
      <c r="C1283" s="17"/>
      <c r="F1283"/>
      <c r="G1283"/>
      <c r="H1283"/>
      <c r="I1283"/>
      <c r="J1283"/>
    </row>
    <row r="1284" spans="1:10" x14ac:dyDescent="0.25">
      <c r="A1284" s="90">
        <v>37014</v>
      </c>
      <c r="B1284" s="17">
        <v>10.41</v>
      </c>
      <c r="C1284" s="17"/>
      <c r="F1284"/>
      <c r="G1284"/>
      <c r="H1284"/>
      <c r="I1284"/>
      <c r="J1284"/>
    </row>
    <row r="1285" spans="1:10" x14ac:dyDescent="0.25">
      <c r="A1285" s="90">
        <v>37015</v>
      </c>
      <c r="B1285" s="17">
        <v>10.06</v>
      </c>
      <c r="C1285" s="17"/>
      <c r="F1285"/>
      <c r="G1285"/>
      <c r="H1285"/>
      <c r="I1285"/>
      <c r="J1285"/>
    </row>
    <row r="1286" spans="1:10" x14ac:dyDescent="0.25">
      <c r="A1286" s="90">
        <v>37018</v>
      </c>
      <c r="B1286" s="17">
        <v>9.99</v>
      </c>
      <c r="C1286" s="17"/>
      <c r="F1286"/>
      <c r="G1286"/>
      <c r="H1286"/>
      <c r="I1286"/>
      <c r="J1286"/>
    </row>
    <row r="1287" spans="1:10" x14ac:dyDescent="0.25">
      <c r="A1287" s="90">
        <v>37019</v>
      </c>
      <c r="B1287" s="17">
        <v>9.8699999999999992</v>
      </c>
      <c r="C1287" s="17"/>
      <c r="F1287"/>
      <c r="G1287"/>
      <c r="H1287"/>
      <c r="I1287"/>
      <c r="J1287"/>
    </row>
    <row r="1288" spans="1:10" x14ac:dyDescent="0.25">
      <c r="A1288" s="90">
        <v>37020</v>
      </c>
      <c r="B1288" s="17">
        <v>9.43</v>
      </c>
      <c r="C1288" s="17"/>
      <c r="F1288"/>
      <c r="G1288"/>
      <c r="H1288"/>
      <c r="I1288"/>
      <c r="J1288"/>
    </row>
    <row r="1289" spans="1:10" x14ac:dyDescent="0.25">
      <c r="A1289" s="90">
        <v>37021</v>
      </c>
      <c r="B1289" s="17">
        <v>9.11</v>
      </c>
      <c r="C1289" s="17"/>
      <c r="F1289"/>
      <c r="G1289"/>
      <c r="H1289"/>
      <c r="I1289"/>
      <c r="J1289"/>
    </row>
    <row r="1290" spans="1:10" x14ac:dyDescent="0.25">
      <c r="A1290" s="90">
        <v>37022</v>
      </c>
      <c r="B1290" s="17">
        <v>8.9</v>
      </c>
      <c r="C1290" s="17"/>
      <c r="F1290"/>
      <c r="G1290"/>
      <c r="H1290"/>
      <c r="I1290"/>
      <c r="J1290"/>
    </row>
    <row r="1291" spans="1:10" x14ac:dyDescent="0.25">
      <c r="A1291" s="90">
        <v>37025</v>
      </c>
      <c r="B1291" s="17">
        <v>8.5500000000000007</v>
      </c>
      <c r="C1291" s="17"/>
      <c r="F1291"/>
      <c r="G1291"/>
      <c r="H1291"/>
      <c r="I1291"/>
      <c r="J1291"/>
    </row>
    <row r="1292" spans="1:10" x14ac:dyDescent="0.25">
      <c r="A1292" s="90">
        <v>37026</v>
      </c>
      <c r="B1292" s="17">
        <v>9.0299999999999994</v>
      </c>
      <c r="C1292" s="17"/>
      <c r="F1292"/>
      <c r="G1292"/>
      <c r="H1292"/>
      <c r="I1292"/>
      <c r="J1292"/>
    </row>
    <row r="1293" spans="1:10" x14ac:dyDescent="0.25">
      <c r="A1293" s="90">
        <v>37027</v>
      </c>
      <c r="B1293" s="17">
        <v>9.69</v>
      </c>
      <c r="C1293" s="17"/>
      <c r="F1293"/>
      <c r="G1293"/>
      <c r="H1293"/>
      <c r="I1293"/>
      <c r="J1293"/>
    </row>
    <row r="1294" spans="1:10" x14ac:dyDescent="0.25">
      <c r="A1294" s="90">
        <v>37028</v>
      </c>
      <c r="B1294" s="17">
        <v>9.93</v>
      </c>
      <c r="C1294" s="17"/>
      <c r="F1294"/>
      <c r="G1294"/>
      <c r="H1294"/>
      <c r="I1294"/>
      <c r="J1294"/>
    </row>
    <row r="1295" spans="1:10" x14ac:dyDescent="0.25">
      <c r="A1295" s="90">
        <v>37029</v>
      </c>
      <c r="B1295" s="17">
        <v>9.68</v>
      </c>
      <c r="C1295" s="17"/>
      <c r="F1295"/>
      <c r="G1295"/>
      <c r="H1295"/>
      <c r="I1295"/>
      <c r="J1295"/>
    </row>
    <row r="1296" spans="1:10" x14ac:dyDescent="0.25">
      <c r="A1296" s="90">
        <v>37032</v>
      </c>
      <c r="B1296" s="17">
        <v>10.75</v>
      </c>
      <c r="C1296" s="17"/>
      <c r="F1296"/>
      <c r="G1296"/>
      <c r="H1296"/>
      <c r="I1296"/>
      <c r="J1296"/>
    </row>
    <row r="1297" spans="1:10" x14ac:dyDescent="0.25">
      <c r="A1297" s="90">
        <v>37033</v>
      </c>
      <c r="B1297" s="17">
        <v>11.06</v>
      </c>
      <c r="C1297" s="17"/>
      <c r="F1297"/>
      <c r="G1297"/>
      <c r="H1297"/>
      <c r="I1297"/>
      <c r="J1297"/>
    </row>
    <row r="1298" spans="1:10" x14ac:dyDescent="0.25">
      <c r="A1298" s="90">
        <v>37034</v>
      </c>
      <c r="B1298" s="17">
        <v>10.220000000000001</v>
      </c>
      <c r="C1298" s="17"/>
      <c r="F1298"/>
      <c r="G1298"/>
      <c r="H1298"/>
      <c r="I1298"/>
      <c r="J1298"/>
    </row>
    <row r="1299" spans="1:10" x14ac:dyDescent="0.25">
      <c r="A1299" s="90">
        <v>37035</v>
      </c>
      <c r="B1299" s="17">
        <v>10.77</v>
      </c>
      <c r="C1299" s="17"/>
      <c r="F1299"/>
      <c r="G1299"/>
      <c r="H1299"/>
      <c r="I1299"/>
      <c r="J1299"/>
    </row>
    <row r="1300" spans="1:10" x14ac:dyDescent="0.25">
      <c r="A1300" s="90">
        <v>37036</v>
      </c>
      <c r="B1300" s="17">
        <v>10.46</v>
      </c>
      <c r="C1300" s="17"/>
      <c r="F1300"/>
      <c r="G1300"/>
      <c r="H1300"/>
      <c r="I1300"/>
      <c r="J1300"/>
    </row>
    <row r="1301" spans="1:10" x14ac:dyDescent="0.25">
      <c r="A1301" s="90">
        <v>37040</v>
      </c>
      <c r="B1301" s="17">
        <v>9.4</v>
      </c>
      <c r="C1301" s="17"/>
      <c r="F1301"/>
      <c r="G1301"/>
      <c r="H1301"/>
      <c r="I1301"/>
      <c r="J1301"/>
    </row>
    <row r="1302" spans="1:10" x14ac:dyDescent="0.25">
      <c r="A1302" s="90">
        <v>37041</v>
      </c>
      <c r="B1302" s="17">
        <v>8.84</v>
      </c>
      <c r="C1302" s="17"/>
      <c r="F1302"/>
      <c r="G1302"/>
      <c r="H1302"/>
      <c r="I1302"/>
      <c r="J1302"/>
    </row>
    <row r="1303" spans="1:10" x14ac:dyDescent="0.25">
      <c r="A1303" s="90">
        <v>37042</v>
      </c>
      <c r="B1303" s="17">
        <v>9.06</v>
      </c>
      <c r="C1303" s="17"/>
      <c r="F1303"/>
      <c r="G1303"/>
      <c r="H1303"/>
      <c r="I1303"/>
      <c r="J1303"/>
    </row>
    <row r="1304" spans="1:10" x14ac:dyDescent="0.25">
      <c r="A1304" s="90">
        <v>37043</v>
      </c>
      <c r="B1304" s="17">
        <v>9.73</v>
      </c>
      <c r="C1304" s="17"/>
      <c r="F1304"/>
      <c r="G1304"/>
      <c r="H1304"/>
      <c r="I1304"/>
      <c r="J1304"/>
    </row>
    <row r="1305" spans="1:10" x14ac:dyDescent="0.25">
      <c r="A1305" s="90">
        <v>37046</v>
      </c>
      <c r="B1305" s="17">
        <v>9.89</v>
      </c>
      <c r="C1305" s="17"/>
      <c r="F1305"/>
      <c r="G1305"/>
      <c r="H1305"/>
      <c r="I1305"/>
      <c r="J1305"/>
    </row>
    <row r="1306" spans="1:10" x14ac:dyDescent="0.25">
      <c r="A1306" s="90">
        <v>37047</v>
      </c>
      <c r="B1306" s="17">
        <v>10</v>
      </c>
      <c r="C1306" s="17"/>
      <c r="F1306"/>
      <c r="G1306"/>
      <c r="H1306"/>
      <c r="I1306"/>
      <c r="J1306"/>
    </row>
    <row r="1307" spans="1:10" x14ac:dyDescent="0.25">
      <c r="A1307" s="90">
        <v>37048</v>
      </c>
      <c r="B1307" s="17">
        <v>9.84</v>
      </c>
      <c r="C1307" s="17"/>
      <c r="F1307"/>
      <c r="G1307"/>
      <c r="H1307"/>
      <c r="I1307"/>
      <c r="J1307"/>
    </row>
    <row r="1308" spans="1:10" x14ac:dyDescent="0.25">
      <c r="A1308" s="90">
        <v>37049</v>
      </c>
      <c r="B1308" s="17">
        <v>9.7100000000000009</v>
      </c>
      <c r="C1308" s="17"/>
      <c r="F1308"/>
      <c r="G1308"/>
      <c r="H1308"/>
      <c r="I1308"/>
      <c r="J1308"/>
    </row>
    <row r="1309" spans="1:10" x14ac:dyDescent="0.25">
      <c r="A1309" s="90">
        <v>37050</v>
      </c>
      <c r="B1309" s="17">
        <v>9.27</v>
      </c>
      <c r="C1309" s="17"/>
      <c r="F1309"/>
      <c r="G1309"/>
      <c r="H1309"/>
      <c r="I1309"/>
      <c r="J1309"/>
    </row>
    <row r="1310" spans="1:10" x14ac:dyDescent="0.25">
      <c r="A1310" s="90">
        <v>37053</v>
      </c>
      <c r="B1310" s="17">
        <v>8.93</v>
      </c>
      <c r="C1310" s="17"/>
      <c r="F1310"/>
      <c r="G1310"/>
      <c r="H1310"/>
      <c r="I1310"/>
      <c r="J1310"/>
    </row>
    <row r="1311" spans="1:10" x14ac:dyDescent="0.25">
      <c r="A1311" s="90">
        <v>37054</v>
      </c>
      <c r="B1311" s="17">
        <v>9.06</v>
      </c>
      <c r="C1311" s="17"/>
      <c r="F1311"/>
      <c r="G1311"/>
      <c r="H1311"/>
      <c r="I1311"/>
      <c r="J1311"/>
    </row>
    <row r="1312" spans="1:10" x14ac:dyDescent="0.25">
      <c r="A1312" s="90">
        <v>37055</v>
      </c>
      <c r="B1312" s="17">
        <v>8.57</v>
      </c>
      <c r="C1312" s="17"/>
      <c r="F1312"/>
      <c r="G1312"/>
      <c r="H1312"/>
      <c r="I1312"/>
      <c r="J1312"/>
    </row>
    <row r="1313" spans="1:10" x14ac:dyDescent="0.25">
      <c r="A1313" s="90">
        <v>37056</v>
      </c>
      <c r="B1313" s="17">
        <v>8.23</v>
      </c>
      <c r="C1313" s="17"/>
      <c r="F1313"/>
      <c r="G1313"/>
      <c r="H1313"/>
      <c r="I1313"/>
      <c r="J1313"/>
    </row>
    <row r="1314" spans="1:10" x14ac:dyDescent="0.25">
      <c r="A1314" s="90">
        <v>37057</v>
      </c>
      <c r="B1314" s="17">
        <v>8.01</v>
      </c>
      <c r="C1314" s="17"/>
      <c r="F1314"/>
      <c r="G1314"/>
      <c r="H1314"/>
      <c r="I1314"/>
      <c r="J1314"/>
    </row>
    <row r="1315" spans="1:10" x14ac:dyDescent="0.25">
      <c r="A1315" s="90">
        <v>37060</v>
      </c>
      <c r="B1315" s="17">
        <v>7.66</v>
      </c>
      <c r="C1315" s="17"/>
      <c r="F1315"/>
      <c r="G1315"/>
      <c r="H1315"/>
      <c r="I1315"/>
      <c r="J1315"/>
    </row>
    <row r="1316" spans="1:10" x14ac:dyDescent="0.25">
      <c r="A1316" s="90">
        <v>37061</v>
      </c>
      <c r="B1316" s="17">
        <v>7.78</v>
      </c>
      <c r="C1316" s="17"/>
      <c r="F1316"/>
      <c r="G1316"/>
      <c r="H1316"/>
      <c r="I1316"/>
      <c r="J1316"/>
    </row>
    <row r="1317" spans="1:10" x14ac:dyDescent="0.25">
      <c r="A1317" s="90">
        <v>37062</v>
      </c>
      <c r="B1317" s="17">
        <v>9.24</v>
      </c>
      <c r="C1317" s="17"/>
      <c r="F1317"/>
      <c r="G1317"/>
      <c r="H1317"/>
      <c r="I1317"/>
      <c r="J1317"/>
    </row>
    <row r="1318" spans="1:10" x14ac:dyDescent="0.25">
      <c r="A1318" s="90">
        <v>37063</v>
      </c>
      <c r="B1318" s="17">
        <v>8.9</v>
      </c>
      <c r="C1318" s="17"/>
      <c r="F1318"/>
      <c r="G1318"/>
      <c r="H1318"/>
      <c r="I1318"/>
      <c r="J1318"/>
    </row>
    <row r="1319" spans="1:10" x14ac:dyDescent="0.25">
      <c r="A1319" s="90">
        <v>37064</v>
      </c>
      <c r="B1319" s="17">
        <v>8.65</v>
      </c>
      <c r="C1319" s="17"/>
      <c r="F1319"/>
      <c r="G1319"/>
      <c r="H1319"/>
      <c r="I1319"/>
      <c r="J1319"/>
    </row>
    <row r="1320" spans="1:10" x14ac:dyDescent="0.25">
      <c r="A1320" s="90">
        <v>37067</v>
      </c>
      <c r="B1320" s="17">
        <v>9.89</v>
      </c>
      <c r="C1320" s="17"/>
      <c r="F1320"/>
      <c r="G1320"/>
      <c r="H1320"/>
      <c r="I1320"/>
      <c r="J1320"/>
    </row>
    <row r="1321" spans="1:10" x14ac:dyDescent="0.25">
      <c r="A1321" s="90">
        <v>37068</v>
      </c>
      <c r="B1321" s="17">
        <v>9.57</v>
      </c>
      <c r="C1321" s="17"/>
      <c r="F1321"/>
      <c r="G1321"/>
      <c r="H1321"/>
      <c r="I1321"/>
      <c r="J1321"/>
    </row>
    <row r="1322" spans="1:10" x14ac:dyDescent="0.25">
      <c r="A1322" s="90">
        <v>37069</v>
      </c>
      <c r="B1322" s="17">
        <v>9.36</v>
      </c>
      <c r="C1322" s="17"/>
      <c r="F1322"/>
      <c r="G1322"/>
      <c r="H1322"/>
      <c r="I1322"/>
      <c r="J1322"/>
    </row>
    <row r="1323" spans="1:10" x14ac:dyDescent="0.25">
      <c r="A1323" s="90">
        <v>37070</v>
      </c>
      <c r="B1323" s="17">
        <v>9.69</v>
      </c>
      <c r="C1323" s="17"/>
      <c r="F1323"/>
      <c r="G1323"/>
      <c r="H1323"/>
      <c r="I1323"/>
      <c r="J1323"/>
    </row>
    <row r="1324" spans="1:10" x14ac:dyDescent="0.25">
      <c r="A1324" s="90">
        <v>37071</v>
      </c>
      <c r="B1324" s="17">
        <v>9.99</v>
      </c>
      <c r="C1324" s="17"/>
      <c r="F1324"/>
      <c r="G1324"/>
      <c r="H1324"/>
      <c r="I1324"/>
      <c r="J1324"/>
    </row>
    <row r="1325" spans="1:10" x14ac:dyDescent="0.25">
      <c r="A1325" s="90">
        <v>37074</v>
      </c>
      <c r="B1325" s="17">
        <v>10.02</v>
      </c>
      <c r="C1325" s="17"/>
      <c r="F1325"/>
      <c r="G1325"/>
      <c r="H1325"/>
      <c r="I1325"/>
      <c r="J1325"/>
    </row>
    <row r="1326" spans="1:10" x14ac:dyDescent="0.25">
      <c r="A1326" s="90">
        <v>37075</v>
      </c>
      <c r="B1326" s="17">
        <v>9.9</v>
      </c>
      <c r="C1326" s="17"/>
      <c r="F1326"/>
      <c r="G1326"/>
      <c r="H1326"/>
      <c r="I1326"/>
      <c r="J1326"/>
    </row>
    <row r="1327" spans="1:10" x14ac:dyDescent="0.25">
      <c r="A1327" s="90">
        <v>37077</v>
      </c>
      <c r="B1327" s="17">
        <v>9.6</v>
      </c>
      <c r="C1327" s="17"/>
      <c r="F1327"/>
      <c r="G1327"/>
      <c r="H1327"/>
      <c r="I1327"/>
      <c r="J1327"/>
    </row>
    <row r="1328" spans="1:10" x14ac:dyDescent="0.25">
      <c r="A1328" s="90">
        <v>37078</v>
      </c>
      <c r="B1328" s="17">
        <v>8.94</v>
      </c>
      <c r="C1328" s="17"/>
      <c r="F1328"/>
      <c r="G1328"/>
      <c r="H1328"/>
      <c r="I1328"/>
      <c r="J1328"/>
    </row>
    <row r="1329" spans="1:10" x14ac:dyDescent="0.25">
      <c r="A1329" s="90">
        <v>37081</v>
      </c>
      <c r="B1329" s="17">
        <v>9.2799999999999994</v>
      </c>
      <c r="C1329" s="17"/>
      <c r="F1329"/>
      <c r="G1329"/>
      <c r="H1329"/>
      <c r="I1329"/>
      <c r="J1329"/>
    </row>
    <row r="1330" spans="1:10" x14ac:dyDescent="0.25">
      <c r="A1330" s="90">
        <v>37082</v>
      </c>
      <c r="B1330" s="17">
        <v>8.91</v>
      </c>
      <c r="C1330" s="17"/>
      <c r="F1330"/>
      <c r="G1330"/>
      <c r="H1330"/>
      <c r="I1330"/>
      <c r="J1330"/>
    </row>
    <row r="1331" spans="1:10" x14ac:dyDescent="0.25">
      <c r="A1331" s="90">
        <v>37083</v>
      </c>
      <c r="B1331" s="17">
        <v>8.52</v>
      </c>
      <c r="C1331" s="17"/>
      <c r="F1331"/>
      <c r="G1331"/>
      <c r="H1331"/>
      <c r="I1331"/>
      <c r="J1331"/>
    </row>
    <row r="1332" spans="1:10" x14ac:dyDescent="0.25">
      <c r="A1332" s="90">
        <v>37084</v>
      </c>
      <c r="B1332" s="17">
        <v>9.31</v>
      </c>
      <c r="C1332" s="17"/>
      <c r="F1332"/>
      <c r="G1332"/>
      <c r="H1332"/>
      <c r="I1332"/>
      <c r="J1332"/>
    </row>
    <row r="1333" spans="1:10" x14ac:dyDescent="0.25">
      <c r="A1333" s="90">
        <v>37085</v>
      </c>
      <c r="B1333" s="17">
        <v>9.1199999999999992</v>
      </c>
      <c r="C1333" s="17"/>
      <c r="F1333"/>
      <c r="G1333"/>
      <c r="H1333"/>
      <c r="I1333"/>
      <c r="J1333"/>
    </row>
    <row r="1334" spans="1:10" x14ac:dyDescent="0.25">
      <c r="A1334" s="90">
        <v>37088</v>
      </c>
      <c r="B1334" s="17">
        <v>9.01</v>
      </c>
      <c r="C1334" s="17"/>
      <c r="F1334"/>
      <c r="G1334"/>
      <c r="H1334"/>
      <c r="I1334"/>
      <c r="J1334"/>
    </row>
    <row r="1335" spans="1:10" x14ac:dyDescent="0.25">
      <c r="A1335" s="90">
        <v>37089</v>
      </c>
      <c r="B1335" s="17">
        <v>9.24</v>
      </c>
      <c r="C1335" s="17"/>
      <c r="F1335"/>
      <c r="G1335"/>
      <c r="H1335"/>
      <c r="I1335"/>
      <c r="J1335"/>
    </row>
    <row r="1336" spans="1:10" x14ac:dyDescent="0.25">
      <c r="A1336" s="90">
        <v>37090</v>
      </c>
      <c r="B1336" s="17">
        <v>8.52</v>
      </c>
      <c r="C1336" s="17"/>
      <c r="F1336"/>
      <c r="G1336"/>
      <c r="H1336"/>
      <c r="I1336"/>
      <c r="J1336"/>
    </row>
    <row r="1337" spans="1:10" x14ac:dyDescent="0.25">
      <c r="A1337" s="90">
        <v>37091</v>
      </c>
      <c r="B1337" s="17">
        <v>8.7200000000000006</v>
      </c>
      <c r="C1337" s="17"/>
      <c r="F1337"/>
      <c r="G1337"/>
      <c r="H1337"/>
      <c r="I1337"/>
      <c r="J1337"/>
    </row>
    <row r="1338" spans="1:10" x14ac:dyDescent="0.25">
      <c r="A1338" s="90">
        <v>37092</v>
      </c>
      <c r="B1338" s="17">
        <v>8.9700000000000006</v>
      </c>
      <c r="C1338" s="17"/>
      <c r="F1338"/>
      <c r="G1338"/>
      <c r="H1338"/>
      <c r="I1338"/>
      <c r="J1338"/>
    </row>
    <row r="1339" spans="1:10" x14ac:dyDescent="0.25">
      <c r="A1339" s="90">
        <v>37095</v>
      </c>
      <c r="B1339" s="17">
        <v>8.7799999999999994</v>
      </c>
      <c r="C1339" s="17"/>
      <c r="F1339"/>
      <c r="G1339"/>
      <c r="H1339"/>
      <c r="I1339"/>
      <c r="J1339"/>
    </row>
    <row r="1340" spans="1:10" x14ac:dyDescent="0.25">
      <c r="A1340" s="90">
        <v>37096</v>
      </c>
      <c r="B1340" s="17">
        <v>8.48</v>
      </c>
      <c r="C1340" s="17"/>
      <c r="F1340"/>
      <c r="G1340"/>
      <c r="H1340"/>
      <c r="I1340"/>
      <c r="J1340"/>
    </row>
    <row r="1341" spans="1:10" x14ac:dyDescent="0.25">
      <c r="A1341" s="90">
        <v>37097</v>
      </c>
      <c r="B1341" s="17">
        <v>8.44</v>
      </c>
      <c r="C1341" s="17"/>
      <c r="F1341"/>
      <c r="G1341"/>
      <c r="H1341"/>
      <c r="I1341"/>
      <c r="J1341"/>
    </row>
    <row r="1342" spans="1:10" x14ac:dyDescent="0.25">
      <c r="A1342" s="90">
        <v>37098</v>
      </c>
      <c r="B1342" s="17">
        <v>8.74</v>
      </c>
      <c r="C1342" s="17"/>
      <c r="F1342"/>
      <c r="G1342"/>
      <c r="H1342"/>
      <c r="I1342"/>
      <c r="J1342"/>
    </row>
    <row r="1343" spans="1:10" x14ac:dyDescent="0.25">
      <c r="A1343" s="90">
        <v>37099</v>
      </c>
      <c r="B1343" s="17">
        <v>9.01</v>
      </c>
      <c r="C1343" s="17"/>
      <c r="F1343"/>
      <c r="G1343"/>
      <c r="H1343"/>
      <c r="I1343"/>
      <c r="J1343"/>
    </row>
    <row r="1344" spans="1:10" x14ac:dyDescent="0.25">
      <c r="A1344" s="90">
        <v>37102</v>
      </c>
      <c r="B1344" s="17">
        <v>8.9</v>
      </c>
      <c r="C1344" s="17"/>
      <c r="F1344"/>
      <c r="G1344"/>
      <c r="H1344"/>
      <c r="I1344"/>
      <c r="J1344"/>
    </row>
    <row r="1345" spans="1:10" x14ac:dyDescent="0.25">
      <c r="A1345" s="90">
        <v>37103</v>
      </c>
      <c r="B1345" s="17">
        <v>8.81</v>
      </c>
      <c r="C1345" s="17"/>
      <c r="F1345"/>
      <c r="G1345"/>
      <c r="H1345"/>
      <c r="I1345"/>
      <c r="J1345"/>
    </row>
    <row r="1346" spans="1:10" x14ac:dyDescent="0.25">
      <c r="A1346" s="90">
        <v>37104</v>
      </c>
      <c r="B1346" s="17">
        <v>9.15</v>
      </c>
      <c r="C1346" s="17"/>
      <c r="F1346"/>
      <c r="G1346"/>
      <c r="H1346"/>
      <c r="I1346"/>
      <c r="J1346"/>
    </row>
    <row r="1347" spans="1:10" x14ac:dyDescent="0.25">
      <c r="A1347" s="90">
        <v>37105</v>
      </c>
      <c r="B1347" s="17">
        <v>9.23</v>
      </c>
      <c r="C1347" s="17"/>
      <c r="F1347"/>
      <c r="G1347"/>
      <c r="H1347"/>
      <c r="I1347"/>
      <c r="J1347"/>
    </row>
    <row r="1348" spans="1:10" x14ac:dyDescent="0.25">
      <c r="A1348" s="90">
        <v>37106</v>
      </c>
      <c r="B1348" s="17">
        <v>8.94</v>
      </c>
      <c r="C1348" s="17"/>
      <c r="F1348"/>
      <c r="G1348"/>
      <c r="H1348"/>
      <c r="I1348"/>
      <c r="J1348"/>
    </row>
    <row r="1349" spans="1:10" x14ac:dyDescent="0.25">
      <c r="A1349" s="90">
        <v>37109</v>
      </c>
      <c r="B1349" s="17">
        <v>8.69</v>
      </c>
      <c r="C1349" s="17"/>
      <c r="F1349"/>
      <c r="G1349"/>
      <c r="H1349"/>
      <c r="I1349"/>
      <c r="J1349"/>
    </row>
    <row r="1350" spans="1:10" x14ac:dyDescent="0.25">
      <c r="A1350" s="90">
        <v>37110</v>
      </c>
      <c r="B1350" s="17">
        <v>8.65</v>
      </c>
      <c r="C1350" s="17"/>
      <c r="F1350"/>
      <c r="G1350"/>
      <c r="H1350"/>
      <c r="I1350"/>
      <c r="J1350"/>
    </row>
    <row r="1351" spans="1:10" x14ac:dyDescent="0.25">
      <c r="A1351" s="90">
        <v>37111</v>
      </c>
      <c r="B1351" s="17">
        <v>8.27</v>
      </c>
      <c r="C1351" s="17"/>
      <c r="F1351"/>
      <c r="G1351"/>
      <c r="H1351"/>
      <c r="I1351"/>
      <c r="J1351"/>
    </row>
    <row r="1352" spans="1:10" x14ac:dyDescent="0.25">
      <c r="A1352" s="90">
        <v>37112</v>
      </c>
      <c r="B1352" s="17">
        <v>8.14</v>
      </c>
      <c r="C1352" s="17"/>
      <c r="F1352"/>
      <c r="G1352"/>
      <c r="H1352"/>
      <c r="I1352"/>
      <c r="J1352"/>
    </row>
    <row r="1353" spans="1:10" x14ac:dyDescent="0.25">
      <c r="A1353" s="90">
        <v>37113</v>
      </c>
      <c r="B1353" s="17">
        <v>7.71</v>
      </c>
      <c r="C1353" s="17"/>
      <c r="F1353"/>
      <c r="G1353"/>
      <c r="H1353"/>
      <c r="I1353"/>
      <c r="J1353"/>
    </row>
    <row r="1354" spans="1:10" x14ac:dyDescent="0.25">
      <c r="A1354" s="90">
        <v>37116</v>
      </c>
      <c r="B1354" s="17">
        <v>7.82</v>
      </c>
      <c r="C1354" s="17"/>
      <c r="F1354"/>
      <c r="G1354"/>
      <c r="H1354"/>
      <c r="I1354"/>
      <c r="J1354"/>
    </row>
    <row r="1355" spans="1:10" x14ac:dyDescent="0.25">
      <c r="A1355" s="90">
        <v>37117</v>
      </c>
      <c r="B1355" s="17">
        <v>7.49</v>
      </c>
      <c r="C1355" s="17"/>
      <c r="F1355"/>
      <c r="G1355"/>
      <c r="H1355"/>
      <c r="I1355"/>
      <c r="J1355"/>
    </row>
    <row r="1356" spans="1:10" x14ac:dyDescent="0.25">
      <c r="A1356" s="90">
        <v>37118</v>
      </c>
      <c r="B1356" s="17">
        <v>7.13</v>
      </c>
      <c r="C1356" s="17"/>
      <c r="F1356"/>
      <c r="G1356"/>
      <c r="H1356"/>
      <c r="I1356"/>
      <c r="J1356"/>
    </row>
    <row r="1357" spans="1:10" x14ac:dyDescent="0.25">
      <c r="A1357" s="90">
        <v>37119</v>
      </c>
      <c r="B1357" s="17">
        <v>7.39</v>
      </c>
      <c r="C1357" s="17"/>
      <c r="F1357"/>
      <c r="G1357"/>
      <c r="H1357"/>
      <c r="I1357"/>
      <c r="J1357"/>
    </row>
    <row r="1358" spans="1:10" x14ac:dyDescent="0.25">
      <c r="A1358" s="90">
        <v>37120</v>
      </c>
      <c r="B1358" s="17">
        <v>7.03</v>
      </c>
      <c r="C1358" s="17"/>
      <c r="F1358"/>
      <c r="G1358"/>
      <c r="H1358"/>
      <c r="I1358"/>
      <c r="J1358"/>
    </row>
    <row r="1359" spans="1:10" x14ac:dyDescent="0.25">
      <c r="A1359" s="90">
        <v>37123</v>
      </c>
      <c r="B1359" s="17">
        <v>7.23</v>
      </c>
      <c r="C1359" s="17"/>
      <c r="F1359"/>
      <c r="G1359"/>
      <c r="H1359"/>
      <c r="I1359"/>
      <c r="J1359"/>
    </row>
    <row r="1360" spans="1:10" x14ac:dyDescent="0.25">
      <c r="A1360" s="90">
        <v>37124</v>
      </c>
      <c r="B1360" s="17">
        <v>6.51</v>
      </c>
      <c r="C1360" s="17"/>
      <c r="F1360"/>
      <c r="G1360"/>
      <c r="H1360"/>
      <c r="I1360"/>
      <c r="J1360"/>
    </row>
    <row r="1361" spans="1:10" x14ac:dyDescent="0.25">
      <c r="A1361" s="90">
        <v>37125</v>
      </c>
      <c r="B1361" s="17">
        <v>6.7</v>
      </c>
      <c r="C1361" s="17"/>
      <c r="F1361"/>
      <c r="G1361"/>
      <c r="H1361"/>
      <c r="I1361"/>
      <c r="J1361"/>
    </row>
    <row r="1362" spans="1:10" x14ac:dyDescent="0.25">
      <c r="A1362" s="90">
        <v>37126</v>
      </c>
      <c r="B1362" s="17">
        <v>6.63</v>
      </c>
      <c r="C1362" s="17"/>
      <c r="F1362"/>
      <c r="G1362"/>
      <c r="H1362"/>
      <c r="I1362"/>
      <c r="J1362"/>
    </row>
    <row r="1363" spans="1:10" x14ac:dyDescent="0.25">
      <c r="A1363" s="90">
        <v>37127</v>
      </c>
      <c r="B1363" s="17">
        <v>7.05</v>
      </c>
      <c r="C1363" s="17"/>
      <c r="F1363"/>
      <c r="G1363"/>
      <c r="H1363"/>
      <c r="I1363"/>
      <c r="J1363"/>
    </row>
    <row r="1364" spans="1:10" x14ac:dyDescent="0.25">
      <c r="A1364" s="90">
        <v>37130</v>
      </c>
      <c r="B1364" s="17">
        <v>6.71</v>
      </c>
      <c r="C1364" s="17"/>
      <c r="F1364"/>
      <c r="G1364"/>
      <c r="H1364"/>
      <c r="I1364"/>
      <c r="J1364"/>
    </row>
    <row r="1365" spans="1:10" x14ac:dyDescent="0.25">
      <c r="A1365" s="90">
        <v>37131</v>
      </c>
      <c r="B1365" s="17">
        <v>6.5</v>
      </c>
      <c r="C1365" s="17"/>
      <c r="F1365"/>
      <c r="G1365"/>
      <c r="H1365"/>
      <c r="I1365"/>
      <c r="J1365"/>
    </row>
    <row r="1366" spans="1:10" x14ac:dyDescent="0.25">
      <c r="A1366" s="90">
        <v>37132</v>
      </c>
      <c r="B1366" s="17">
        <v>6.07</v>
      </c>
      <c r="C1366" s="17"/>
      <c r="F1366"/>
      <c r="G1366"/>
      <c r="H1366"/>
      <c r="I1366"/>
      <c r="J1366"/>
    </row>
    <row r="1367" spans="1:10" x14ac:dyDescent="0.25">
      <c r="A1367" s="90">
        <v>37133</v>
      </c>
      <c r="B1367" s="17">
        <v>5.66</v>
      </c>
      <c r="C1367" s="17"/>
      <c r="F1367"/>
      <c r="G1367"/>
      <c r="H1367"/>
      <c r="I1367"/>
      <c r="J1367"/>
    </row>
    <row r="1368" spans="1:10" x14ac:dyDescent="0.25">
      <c r="A1368" s="90">
        <v>37134</v>
      </c>
      <c r="B1368" s="17">
        <v>5.93</v>
      </c>
      <c r="C1368" s="17"/>
      <c r="F1368"/>
      <c r="G1368"/>
      <c r="H1368"/>
      <c r="I1368"/>
      <c r="J1368"/>
    </row>
    <row r="1369" spans="1:10" x14ac:dyDescent="0.25">
      <c r="A1369" s="90">
        <v>37138</v>
      </c>
      <c r="B1369" s="17">
        <v>5.85</v>
      </c>
      <c r="C1369" s="17"/>
      <c r="F1369"/>
      <c r="G1369"/>
      <c r="H1369"/>
      <c r="I1369"/>
      <c r="J1369"/>
    </row>
    <row r="1370" spans="1:10" x14ac:dyDescent="0.25">
      <c r="A1370" s="90">
        <v>37139</v>
      </c>
      <c r="B1370" s="17">
        <v>5.32</v>
      </c>
      <c r="C1370" s="17"/>
      <c r="F1370"/>
      <c r="G1370"/>
      <c r="H1370"/>
      <c r="I1370"/>
      <c r="J1370"/>
    </row>
    <row r="1371" spans="1:10" x14ac:dyDescent="0.25">
      <c r="A1371" s="90">
        <v>37140</v>
      </c>
      <c r="B1371" s="17">
        <v>5.55</v>
      </c>
      <c r="C1371" s="17"/>
      <c r="F1371"/>
      <c r="G1371"/>
      <c r="H1371"/>
      <c r="I1371"/>
      <c r="J1371"/>
    </row>
    <row r="1372" spans="1:10" x14ac:dyDescent="0.25">
      <c r="A1372" s="90">
        <v>37141</v>
      </c>
      <c r="B1372" s="17">
        <v>5.38</v>
      </c>
      <c r="C1372" s="17"/>
      <c r="F1372"/>
      <c r="G1372"/>
      <c r="H1372"/>
      <c r="I1372"/>
      <c r="J1372"/>
    </row>
    <row r="1373" spans="1:10" x14ac:dyDescent="0.25">
      <c r="A1373" s="90">
        <v>37144</v>
      </c>
      <c r="B1373" s="17">
        <v>5.87</v>
      </c>
      <c r="C1373" s="17"/>
      <c r="F1373"/>
      <c r="G1373"/>
      <c r="H1373"/>
      <c r="I1373"/>
      <c r="J1373"/>
    </row>
    <row r="1374" spans="1:10" x14ac:dyDescent="0.25">
      <c r="A1374" s="90">
        <v>37151</v>
      </c>
      <c r="B1374" s="17">
        <v>5.44</v>
      </c>
      <c r="C1374" s="17"/>
      <c r="F1374"/>
      <c r="G1374"/>
      <c r="H1374"/>
      <c r="I1374"/>
      <c r="J1374"/>
    </row>
    <row r="1375" spans="1:10" x14ac:dyDescent="0.25">
      <c r="A1375" s="90">
        <v>37152</v>
      </c>
      <c r="B1375" s="17">
        <v>5.05</v>
      </c>
      <c r="C1375" s="17"/>
      <c r="F1375"/>
      <c r="G1375"/>
      <c r="H1375"/>
      <c r="I1375"/>
      <c r="J1375"/>
    </row>
    <row r="1376" spans="1:10" x14ac:dyDescent="0.25">
      <c r="A1376" s="90">
        <v>37153</v>
      </c>
      <c r="B1376" s="17">
        <v>5.03</v>
      </c>
      <c r="C1376" s="17"/>
      <c r="F1376"/>
      <c r="G1376"/>
      <c r="H1376"/>
      <c r="I1376"/>
      <c r="J1376"/>
    </row>
    <row r="1377" spans="1:10" x14ac:dyDescent="0.25">
      <c r="A1377" s="90">
        <v>37154</v>
      </c>
      <c r="B1377" s="17">
        <v>4.99</v>
      </c>
      <c r="C1377" s="17"/>
      <c r="F1377"/>
      <c r="G1377"/>
      <c r="H1377"/>
      <c r="I1377"/>
      <c r="J1377"/>
    </row>
    <row r="1378" spans="1:10" x14ac:dyDescent="0.25">
      <c r="A1378" s="90">
        <v>37155</v>
      </c>
      <c r="B1378" s="17">
        <v>4.34</v>
      </c>
      <c r="C1378" s="17"/>
      <c r="F1378"/>
      <c r="G1378"/>
      <c r="H1378"/>
      <c r="I1378"/>
      <c r="J1378"/>
    </row>
    <row r="1379" spans="1:10" x14ac:dyDescent="0.25">
      <c r="A1379" s="90">
        <v>37158</v>
      </c>
      <c r="B1379" s="17">
        <v>4.62</v>
      </c>
      <c r="C1379" s="17"/>
      <c r="F1379"/>
      <c r="G1379"/>
      <c r="H1379"/>
      <c r="I1379"/>
      <c r="J1379"/>
    </row>
    <row r="1380" spans="1:10" x14ac:dyDescent="0.25">
      <c r="A1380" s="90">
        <v>37159</v>
      </c>
      <c r="B1380" s="17">
        <v>4.6399999999999997</v>
      </c>
      <c r="C1380" s="17"/>
      <c r="F1380"/>
      <c r="G1380"/>
      <c r="H1380"/>
      <c r="I1380"/>
      <c r="J1380"/>
    </row>
    <row r="1381" spans="1:10" x14ac:dyDescent="0.25">
      <c r="A1381" s="90">
        <v>37160</v>
      </c>
      <c r="B1381" s="17">
        <v>4.05</v>
      </c>
      <c r="C1381" s="17"/>
      <c r="F1381"/>
      <c r="G1381"/>
      <c r="H1381"/>
      <c r="I1381"/>
      <c r="J1381"/>
    </row>
    <row r="1382" spans="1:10" x14ac:dyDescent="0.25">
      <c r="A1382" s="90">
        <v>37161</v>
      </c>
      <c r="B1382" s="17">
        <v>4.55</v>
      </c>
      <c r="C1382" s="17"/>
      <c r="F1382"/>
      <c r="G1382"/>
      <c r="H1382"/>
      <c r="I1382"/>
      <c r="J1382"/>
    </row>
    <row r="1383" spans="1:10" x14ac:dyDescent="0.25">
      <c r="A1383" s="90">
        <v>37162</v>
      </c>
      <c r="B1383" s="17">
        <v>4.41</v>
      </c>
      <c r="C1383" s="17"/>
      <c r="F1383"/>
      <c r="G1383"/>
      <c r="H1383"/>
      <c r="I1383"/>
      <c r="J1383"/>
    </row>
    <row r="1384" spans="1:10" x14ac:dyDescent="0.25">
      <c r="A1384" s="90">
        <v>37165</v>
      </c>
      <c r="B1384" s="17">
        <v>4.55</v>
      </c>
      <c r="C1384" s="17"/>
      <c r="F1384"/>
      <c r="G1384"/>
      <c r="H1384"/>
      <c r="I1384"/>
      <c r="J1384"/>
    </row>
    <row r="1385" spans="1:10" x14ac:dyDescent="0.25">
      <c r="A1385" s="90">
        <v>37166</v>
      </c>
      <c r="B1385" s="17">
        <v>4.62</v>
      </c>
      <c r="C1385" s="17"/>
      <c r="F1385"/>
      <c r="G1385"/>
      <c r="H1385"/>
      <c r="I1385"/>
      <c r="J1385"/>
    </row>
    <row r="1386" spans="1:10" x14ac:dyDescent="0.25">
      <c r="A1386" s="90">
        <v>37167</v>
      </c>
      <c r="B1386" s="17">
        <v>4.95</v>
      </c>
      <c r="C1386" s="17"/>
      <c r="F1386"/>
      <c r="G1386"/>
      <c r="H1386"/>
      <c r="I1386"/>
      <c r="J1386"/>
    </row>
    <row r="1387" spans="1:10" x14ac:dyDescent="0.25">
      <c r="A1387" s="90">
        <v>37168</v>
      </c>
      <c r="B1387" s="17">
        <v>5.34</v>
      </c>
      <c r="C1387" s="17"/>
      <c r="F1387"/>
      <c r="G1387"/>
      <c r="H1387"/>
      <c r="I1387"/>
      <c r="J1387"/>
    </row>
    <row r="1388" spans="1:10" x14ac:dyDescent="0.25">
      <c r="A1388" s="90">
        <v>37169</v>
      </c>
      <c r="B1388" s="17">
        <v>5.18</v>
      </c>
      <c r="C1388" s="17"/>
      <c r="F1388"/>
      <c r="G1388"/>
      <c r="H1388"/>
      <c r="I1388"/>
      <c r="J1388"/>
    </row>
    <row r="1389" spans="1:10" x14ac:dyDescent="0.25">
      <c r="A1389" s="90">
        <v>37172</v>
      </c>
      <c r="B1389" s="17">
        <v>5.24</v>
      </c>
      <c r="C1389" s="17"/>
      <c r="F1389"/>
      <c r="G1389"/>
      <c r="H1389"/>
      <c r="I1389"/>
      <c r="J1389"/>
    </row>
    <row r="1390" spans="1:10" x14ac:dyDescent="0.25">
      <c r="A1390" s="90">
        <v>37173</v>
      </c>
      <c r="B1390" s="17">
        <v>5.08</v>
      </c>
      <c r="C1390" s="17"/>
      <c r="F1390"/>
      <c r="G1390"/>
      <c r="H1390"/>
      <c r="I1390"/>
      <c r="J1390"/>
    </row>
    <row r="1391" spans="1:10" x14ac:dyDescent="0.25">
      <c r="A1391" s="90">
        <v>37174</v>
      </c>
      <c r="B1391" s="17">
        <v>5.47</v>
      </c>
      <c r="C1391" s="17"/>
      <c r="F1391"/>
      <c r="G1391"/>
      <c r="H1391"/>
      <c r="I1391"/>
      <c r="J1391"/>
    </row>
    <row r="1392" spans="1:10" x14ac:dyDescent="0.25">
      <c r="A1392" s="90">
        <v>37175</v>
      </c>
      <c r="B1392" s="17">
        <v>6.25</v>
      </c>
      <c r="C1392" s="17"/>
      <c r="F1392"/>
      <c r="G1392"/>
      <c r="H1392"/>
      <c r="I1392"/>
      <c r="J1392"/>
    </row>
    <row r="1393" spans="1:10" x14ac:dyDescent="0.25">
      <c r="A1393" s="90">
        <v>37176</v>
      </c>
      <c r="B1393" s="17">
        <v>6.04</v>
      </c>
      <c r="C1393" s="17"/>
      <c r="F1393"/>
      <c r="G1393"/>
      <c r="H1393"/>
      <c r="I1393"/>
      <c r="J1393"/>
    </row>
    <row r="1394" spans="1:10" x14ac:dyDescent="0.25">
      <c r="A1394" s="90">
        <v>37179</v>
      </c>
      <c r="B1394" s="17">
        <v>6.03</v>
      </c>
      <c r="C1394" s="17"/>
      <c r="F1394"/>
      <c r="G1394"/>
      <c r="H1394"/>
      <c r="I1394"/>
      <c r="J1394"/>
    </row>
    <row r="1395" spans="1:10" x14ac:dyDescent="0.25">
      <c r="A1395" s="90">
        <v>37180</v>
      </c>
      <c r="B1395" s="17">
        <v>6.25</v>
      </c>
      <c r="C1395" s="17"/>
      <c r="F1395"/>
      <c r="G1395"/>
      <c r="H1395"/>
      <c r="I1395"/>
      <c r="J1395"/>
    </row>
    <row r="1396" spans="1:10" x14ac:dyDescent="0.25">
      <c r="A1396" s="90">
        <v>37181</v>
      </c>
      <c r="B1396" s="17">
        <v>5.68</v>
      </c>
      <c r="C1396" s="17"/>
      <c r="F1396"/>
      <c r="G1396"/>
      <c r="H1396"/>
      <c r="I1396"/>
      <c r="J1396"/>
    </row>
    <row r="1397" spans="1:10" x14ac:dyDescent="0.25">
      <c r="A1397" s="90">
        <v>37182</v>
      </c>
      <c r="B1397" s="17">
        <v>5.64</v>
      </c>
      <c r="C1397" s="17"/>
      <c r="F1397"/>
      <c r="G1397"/>
      <c r="H1397"/>
      <c r="I1397"/>
      <c r="J1397"/>
    </row>
    <row r="1398" spans="1:10" x14ac:dyDescent="0.25">
      <c r="A1398" s="90">
        <v>37183</v>
      </c>
      <c r="B1398" s="17">
        <v>5.68</v>
      </c>
      <c r="C1398" s="17"/>
      <c r="F1398"/>
      <c r="G1398"/>
      <c r="H1398"/>
      <c r="I1398"/>
      <c r="J1398"/>
    </row>
    <row r="1399" spans="1:10" x14ac:dyDescent="0.25">
      <c r="A1399" s="90">
        <v>37186</v>
      </c>
      <c r="B1399" s="17">
        <v>5.89</v>
      </c>
      <c r="C1399" s="17"/>
      <c r="F1399"/>
      <c r="G1399"/>
      <c r="H1399"/>
      <c r="I1399"/>
      <c r="J1399"/>
    </row>
    <row r="1400" spans="1:10" x14ac:dyDescent="0.25">
      <c r="A1400" s="90">
        <v>37187</v>
      </c>
      <c r="B1400" s="17">
        <v>5.79</v>
      </c>
      <c r="C1400" s="17"/>
      <c r="F1400"/>
      <c r="G1400"/>
      <c r="H1400"/>
      <c r="I1400"/>
      <c r="J1400"/>
    </row>
    <row r="1401" spans="1:10" x14ac:dyDescent="0.25">
      <c r="A1401" s="90">
        <v>37188</v>
      </c>
      <c r="B1401" s="17">
        <v>5.97</v>
      </c>
      <c r="C1401" s="17"/>
      <c r="F1401"/>
      <c r="G1401"/>
      <c r="H1401"/>
      <c r="I1401"/>
      <c r="J1401"/>
    </row>
    <row r="1402" spans="1:10" x14ac:dyDescent="0.25">
      <c r="A1402" s="90">
        <v>37189</v>
      </c>
      <c r="B1402" s="17">
        <v>6.12</v>
      </c>
      <c r="C1402" s="17"/>
      <c r="F1402"/>
      <c r="G1402"/>
      <c r="H1402"/>
      <c r="I1402"/>
      <c r="J1402"/>
    </row>
    <row r="1403" spans="1:10" x14ac:dyDescent="0.25">
      <c r="A1403" s="90">
        <v>37190</v>
      </c>
      <c r="B1403" s="17">
        <v>6.03</v>
      </c>
      <c r="C1403" s="17"/>
      <c r="F1403"/>
      <c r="G1403"/>
      <c r="H1403"/>
      <c r="I1403"/>
      <c r="J1403"/>
    </row>
    <row r="1404" spans="1:10" x14ac:dyDescent="0.25">
      <c r="A1404" s="90">
        <v>37193</v>
      </c>
      <c r="B1404" s="17">
        <v>5.65</v>
      </c>
      <c r="C1404" s="17"/>
      <c r="F1404"/>
      <c r="G1404"/>
      <c r="H1404"/>
      <c r="I1404"/>
      <c r="J1404"/>
    </row>
    <row r="1405" spans="1:10" x14ac:dyDescent="0.25">
      <c r="A1405" s="90">
        <v>37194</v>
      </c>
      <c r="B1405" s="17">
        <v>5.55</v>
      </c>
      <c r="C1405" s="17"/>
      <c r="F1405"/>
      <c r="G1405"/>
      <c r="H1405"/>
      <c r="I1405"/>
      <c r="J1405"/>
    </row>
    <row r="1406" spans="1:10" x14ac:dyDescent="0.25">
      <c r="A1406" s="90">
        <v>37195</v>
      </c>
      <c r="B1406" s="17">
        <v>5.44</v>
      </c>
      <c r="C1406" s="17"/>
      <c r="F1406"/>
      <c r="G1406"/>
      <c r="H1406"/>
      <c r="I1406"/>
      <c r="J1406"/>
    </row>
    <row r="1407" spans="1:10" x14ac:dyDescent="0.25">
      <c r="A1407" s="90">
        <v>37196</v>
      </c>
      <c r="B1407" s="17">
        <v>5.6</v>
      </c>
      <c r="C1407" s="17"/>
      <c r="F1407"/>
      <c r="G1407"/>
      <c r="H1407"/>
      <c r="I1407"/>
      <c r="J1407"/>
    </row>
    <row r="1408" spans="1:10" x14ac:dyDescent="0.25">
      <c r="A1408" s="90">
        <v>37197</v>
      </c>
      <c r="B1408" s="17">
        <v>5.48</v>
      </c>
      <c r="C1408" s="17"/>
      <c r="F1408"/>
      <c r="G1408"/>
      <c r="H1408"/>
      <c r="I1408"/>
      <c r="J1408"/>
    </row>
    <row r="1409" spans="1:10" x14ac:dyDescent="0.25">
      <c r="A1409" s="90">
        <v>37200</v>
      </c>
      <c r="B1409" s="17">
        <v>5.99</v>
      </c>
      <c r="C1409" s="17"/>
      <c r="F1409"/>
      <c r="G1409"/>
      <c r="H1409"/>
      <c r="I1409"/>
      <c r="J1409"/>
    </row>
    <row r="1410" spans="1:10" x14ac:dyDescent="0.25">
      <c r="A1410" s="90">
        <v>37201</v>
      </c>
      <c r="B1410" s="17">
        <v>6.49</v>
      </c>
      <c r="C1410" s="17"/>
      <c r="F1410"/>
      <c r="G1410"/>
      <c r="H1410"/>
      <c r="I1410"/>
      <c r="J1410"/>
    </row>
    <row r="1411" spans="1:10" x14ac:dyDescent="0.25">
      <c r="A1411" s="90">
        <v>37202</v>
      </c>
      <c r="B1411" s="17">
        <v>6.72</v>
      </c>
      <c r="C1411" s="17"/>
      <c r="F1411"/>
      <c r="G1411"/>
      <c r="H1411"/>
      <c r="I1411"/>
      <c r="J1411"/>
    </row>
    <row r="1412" spans="1:10" x14ac:dyDescent="0.25">
      <c r="A1412" s="90">
        <v>37203</v>
      </c>
      <c r="B1412" s="17">
        <v>6.56</v>
      </c>
      <c r="C1412" s="17"/>
      <c r="F1412"/>
      <c r="G1412"/>
      <c r="H1412"/>
      <c r="I1412"/>
      <c r="J1412"/>
    </row>
    <row r="1413" spans="1:10" x14ac:dyDescent="0.25">
      <c r="A1413" s="90">
        <v>37204</v>
      </c>
      <c r="B1413" s="17">
        <v>6.86</v>
      </c>
      <c r="C1413" s="17"/>
      <c r="F1413"/>
      <c r="G1413"/>
      <c r="H1413"/>
      <c r="I1413"/>
      <c r="J1413"/>
    </row>
    <row r="1414" spans="1:10" x14ac:dyDescent="0.25">
      <c r="A1414" s="90">
        <v>37207</v>
      </c>
      <c r="B1414" s="17">
        <v>6.85</v>
      </c>
      <c r="C1414" s="17"/>
      <c r="F1414"/>
      <c r="G1414"/>
      <c r="H1414"/>
      <c r="I1414"/>
      <c r="J1414"/>
    </row>
    <row r="1415" spans="1:10" x14ac:dyDescent="0.25">
      <c r="A1415" s="90">
        <v>37208</v>
      </c>
      <c r="B1415" s="17">
        <v>6.99</v>
      </c>
      <c r="C1415" s="17"/>
      <c r="F1415"/>
      <c r="G1415"/>
      <c r="H1415"/>
      <c r="I1415"/>
      <c r="J1415"/>
    </row>
    <row r="1416" spans="1:10" x14ac:dyDescent="0.25">
      <c r="A1416" s="90">
        <v>37209</v>
      </c>
      <c r="B1416" s="17">
        <v>7.61</v>
      </c>
      <c r="C1416" s="17"/>
      <c r="F1416"/>
      <c r="G1416"/>
      <c r="H1416"/>
      <c r="I1416"/>
      <c r="J1416"/>
    </row>
    <row r="1417" spans="1:10" x14ac:dyDescent="0.25">
      <c r="A1417" s="90">
        <v>37210</v>
      </c>
      <c r="B1417" s="17">
        <v>7.41</v>
      </c>
      <c r="C1417" s="17"/>
      <c r="F1417"/>
      <c r="G1417"/>
      <c r="H1417"/>
      <c r="I1417"/>
      <c r="J1417"/>
    </row>
    <row r="1418" spans="1:10" x14ac:dyDescent="0.25">
      <c r="A1418" s="90">
        <v>37211</v>
      </c>
      <c r="B1418" s="17">
        <v>7.74</v>
      </c>
      <c r="C1418" s="17"/>
      <c r="F1418"/>
      <c r="G1418"/>
      <c r="H1418"/>
      <c r="I1418"/>
      <c r="J1418"/>
    </row>
    <row r="1419" spans="1:10" x14ac:dyDescent="0.25">
      <c r="A1419" s="90">
        <v>37214</v>
      </c>
      <c r="B1419" s="17">
        <v>8.14</v>
      </c>
      <c r="C1419" s="17"/>
      <c r="F1419"/>
      <c r="G1419"/>
      <c r="H1419"/>
      <c r="I1419"/>
      <c r="J1419"/>
    </row>
    <row r="1420" spans="1:10" x14ac:dyDescent="0.25">
      <c r="A1420" s="90">
        <v>37215</v>
      </c>
      <c r="B1420" s="17">
        <v>7.45</v>
      </c>
      <c r="C1420" s="17"/>
      <c r="F1420"/>
      <c r="G1420"/>
      <c r="H1420"/>
      <c r="I1420"/>
      <c r="J1420"/>
    </row>
    <row r="1421" spans="1:10" x14ac:dyDescent="0.25">
      <c r="A1421" s="90">
        <v>37216</v>
      </c>
      <c r="B1421" s="17">
        <v>7.47</v>
      </c>
      <c r="C1421" s="17"/>
      <c r="F1421"/>
      <c r="G1421"/>
      <c r="H1421"/>
      <c r="I1421"/>
      <c r="J1421"/>
    </row>
    <row r="1422" spans="1:10" x14ac:dyDescent="0.25">
      <c r="A1422" s="90">
        <v>37218</v>
      </c>
      <c r="B1422" s="17">
        <v>7.86</v>
      </c>
      <c r="C1422" s="17"/>
      <c r="F1422"/>
      <c r="G1422"/>
      <c r="H1422"/>
      <c r="I1422"/>
      <c r="J1422"/>
    </row>
    <row r="1423" spans="1:10" x14ac:dyDescent="0.25">
      <c r="A1423" s="90">
        <v>37221</v>
      </c>
      <c r="B1423" s="17">
        <v>9.0299999999999994</v>
      </c>
      <c r="C1423" s="17"/>
      <c r="F1423"/>
      <c r="G1423"/>
      <c r="H1423"/>
      <c r="I1423"/>
      <c r="J1423"/>
    </row>
    <row r="1424" spans="1:10" x14ac:dyDescent="0.25">
      <c r="A1424" s="90">
        <v>37222</v>
      </c>
      <c r="B1424" s="17">
        <v>8.6999999999999993</v>
      </c>
      <c r="C1424" s="17"/>
      <c r="F1424"/>
      <c r="G1424"/>
      <c r="H1424"/>
      <c r="I1424"/>
      <c r="J1424"/>
    </row>
    <row r="1425" spans="1:10" x14ac:dyDescent="0.25">
      <c r="A1425" s="90">
        <v>37223</v>
      </c>
      <c r="B1425" s="17">
        <v>8.1</v>
      </c>
      <c r="C1425" s="17"/>
      <c r="F1425"/>
      <c r="G1425"/>
      <c r="H1425"/>
      <c r="I1425"/>
      <c r="J1425"/>
    </row>
    <row r="1426" spans="1:10" x14ac:dyDescent="0.25">
      <c r="A1426" s="90">
        <v>37224</v>
      </c>
      <c r="B1426" s="17">
        <v>8.35</v>
      </c>
      <c r="C1426" s="17"/>
      <c r="F1426"/>
      <c r="G1426"/>
      <c r="H1426"/>
      <c r="I1426"/>
      <c r="J1426"/>
    </row>
    <row r="1427" spans="1:10" x14ac:dyDescent="0.25">
      <c r="A1427" s="90">
        <v>37225</v>
      </c>
      <c r="B1427" s="17">
        <v>7.78</v>
      </c>
      <c r="C1427" s="17"/>
      <c r="F1427"/>
      <c r="G1427"/>
      <c r="H1427"/>
      <c r="I1427"/>
      <c r="J1427"/>
    </row>
    <row r="1428" spans="1:10" x14ac:dyDescent="0.25">
      <c r="A1428" s="90">
        <v>37228</v>
      </c>
      <c r="B1428" s="17">
        <v>7.91</v>
      </c>
      <c r="C1428" s="17"/>
      <c r="F1428"/>
      <c r="G1428"/>
      <c r="H1428"/>
      <c r="I1428"/>
      <c r="J1428"/>
    </row>
    <row r="1429" spans="1:10" x14ac:dyDescent="0.25">
      <c r="A1429" s="90">
        <v>37229</v>
      </c>
      <c r="B1429" s="17">
        <v>8.48</v>
      </c>
      <c r="C1429" s="17"/>
      <c r="F1429"/>
      <c r="G1429"/>
      <c r="H1429"/>
      <c r="I1429"/>
      <c r="J1429"/>
    </row>
    <row r="1430" spans="1:10" x14ac:dyDescent="0.25">
      <c r="A1430" s="90">
        <v>37230</v>
      </c>
      <c r="B1430" s="17">
        <v>8.5299999999999994</v>
      </c>
      <c r="C1430" s="17"/>
      <c r="F1430"/>
      <c r="G1430"/>
      <c r="H1430"/>
      <c r="I1430"/>
      <c r="J1430"/>
    </row>
    <row r="1431" spans="1:10" x14ac:dyDescent="0.25">
      <c r="A1431" s="90">
        <v>37231</v>
      </c>
      <c r="B1431" s="17">
        <v>9.51</v>
      </c>
      <c r="C1431" s="17"/>
      <c r="F1431"/>
      <c r="G1431"/>
      <c r="H1431"/>
      <c r="I1431"/>
      <c r="J1431"/>
    </row>
    <row r="1432" spans="1:10" x14ac:dyDescent="0.25">
      <c r="A1432" s="90">
        <v>37232</v>
      </c>
      <c r="B1432" s="17">
        <v>8.84</v>
      </c>
      <c r="C1432" s="17"/>
      <c r="F1432"/>
      <c r="G1432"/>
      <c r="H1432"/>
      <c r="I1432"/>
      <c r="J1432"/>
    </row>
    <row r="1433" spans="1:10" x14ac:dyDescent="0.25">
      <c r="A1433" s="90">
        <v>37235</v>
      </c>
      <c r="B1433" s="17">
        <v>8.91</v>
      </c>
      <c r="C1433" s="17"/>
      <c r="F1433"/>
      <c r="G1433"/>
      <c r="H1433"/>
      <c r="I1433"/>
      <c r="J1433"/>
    </row>
    <row r="1434" spans="1:10" x14ac:dyDescent="0.25">
      <c r="A1434" s="90">
        <v>37236</v>
      </c>
      <c r="B1434" s="17">
        <v>9.2100000000000009</v>
      </c>
      <c r="C1434" s="17"/>
      <c r="F1434"/>
      <c r="G1434"/>
      <c r="H1434"/>
      <c r="I1434"/>
      <c r="J1434"/>
    </row>
    <row r="1435" spans="1:10" x14ac:dyDescent="0.25">
      <c r="A1435" s="90">
        <v>37237</v>
      </c>
      <c r="B1435" s="17">
        <v>9.57</v>
      </c>
      <c r="C1435" s="17"/>
      <c r="F1435"/>
      <c r="G1435"/>
      <c r="H1435"/>
      <c r="I1435"/>
      <c r="J1435"/>
    </row>
    <row r="1436" spans="1:10" x14ac:dyDescent="0.25">
      <c r="A1436" s="90">
        <v>37238</v>
      </c>
      <c r="B1436" s="17">
        <v>8.7899999999999991</v>
      </c>
      <c r="C1436" s="17"/>
      <c r="F1436"/>
      <c r="G1436"/>
      <c r="H1436"/>
      <c r="I1436"/>
      <c r="J1436"/>
    </row>
    <row r="1437" spans="1:10" x14ac:dyDescent="0.25">
      <c r="A1437" s="90">
        <v>37239</v>
      </c>
      <c r="B1437" s="17">
        <v>8.6</v>
      </c>
      <c r="C1437" s="17"/>
      <c r="F1437"/>
      <c r="G1437"/>
      <c r="H1437"/>
      <c r="I1437"/>
      <c r="J1437"/>
    </row>
    <row r="1438" spans="1:10" x14ac:dyDescent="0.25">
      <c r="A1438" s="90">
        <v>37242</v>
      </c>
      <c r="B1438" s="17">
        <v>8.93</v>
      </c>
      <c r="C1438" s="17"/>
      <c r="F1438"/>
      <c r="G1438"/>
      <c r="H1438"/>
      <c r="I1438"/>
      <c r="J1438"/>
    </row>
    <row r="1439" spans="1:10" x14ac:dyDescent="0.25">
      <c r="A1439" s="90">
        <v>37243</v>
      </c>
      <c r="B1439" s="17">
        <v>9.19</v>
      </c>
      <c r="C1439" s="17"/>
      <c r="F1439"/>
      <c r="G1439"/>
      <c r="H1439"/>
      <c r="I1439"/>
      <c r="J1439"/>
    </row>
    <row r="1440" spans="1:10" x14ac:dyDescent="0.25">
      <c r="A1440" s="90">
        <v>37244</v>
      </c>
      <c r="B1440" s="17">
        <v>8.85</v>
      </c>
      <c r="C1440" s="17"/>
      <c r="F1440"/>
      <c r="G1440"/>
      <c r="H1440"/>
      <c r="I1440"/>
      <c r="J1440"/>
    </row>
    <row r="1441" spans="1:10" x14ac:dyDescent="0.25">
      <c r="A1441" s="90">
        <v>37245</v>
      </c>
      <c r="B1441" s="17">
        <v>8.11</v>
      </c>
      <c r="C1441" s="17"/>
      <c r="F1441"/>
      <c r="G1441"/>
      <c r="H1441"/>
      <c r="I1441"/>
      <c r="J1441"/>
    </row>
    <row r="1442" spans="1:10" x14ac:dyDescent="0.25">
      <c r="A1442" s="90">
        <v>37246</v>
      </c>
      <c r="B1442" s="17">
        <v>8.4600000000000009</v>
      </c>
      <c r="C1442" s="17"/>
      <c r="F1442"/>
      <c r="G1442"/>
      <c r="H1442"/>
      <c r="I1442"/>
      <c r="J1442"/>
    </row>
    <row r="1443" spans="1:10" x14ac:dyDescent="0.25">
      <c r="A1443" s="90">
        <v>37249</v>
      </c>
      <c r="B1443" s="17">
        <v>8.34</v>
      </c>
      <c r="C1443" s="17"/>
      <c r="F1443"/>
      <c r="G1443"/>
      <c r="H1443"/>
      <c r="I1443"/>
      <c r="J1443"/>
    </row>
    <row r="1444" spans="1:10" x14ac:dyDescent="0.25">
      <c r="A1444" s="90">
        <v>37251</v>
      </c>
      <c r="B1444" s="17">
        <v>8.76</v>
      </c>
      <c r="C1444" s="17"/>
      <c r="F1444"/>
      <c r="G1444"/>
      <c r="H1444"/>
      <c r="I1444"/>
      <c r="J1444"/>
    </row>
    <row r="1445" spans="1:10" x14ac:dyDescent="0.25">
      <c r="A1445" s="90">
        <v>37252</v>
      </c>
      <c r="B1445" s="17">
        <v>8.89</v>
      </c>
      <c r="C1445" s="17"/>
      <c r="F1445"/>
      <c r="G1445"/>
      <c r="H1445"/>
      <c r="I1445"/>
      <c r="J1445"/>
    </row>
    <row r="1446" spans="1:10" x14ac:dyDescent="0.25">
      <c r="A1446" s="90">
        <v>37253</v>
      </c>
      <c r="B1446" s="17">
        <v>9.15</v>
      </c>
      <c r="C1446" s="17"/>
      <c r="F1446"/>
      <c r="G1446"/>
      <c r="H1446"/>
      <c r="I1446"/>
      <c r="J1446"/>
    </row>
    <row r="1447" spans="1:10" x14ac:dyDescent="0.25">
      <c r="A1447" s="90">
        <v>37256</v>
      </c>
      <c r="B1447" s="17">
        <v>8.8699999999999992</v>
      </c>
      <c r="C1447" s="17"/>
      <c r="F1447"/>
      <c r="G1447"/>
      <c r="H1447"/>
      <c r="I1447"/>
      <c r="J1447"/>
    </row>
    <row r="1448" spans="1:10" x14ac:dyDescent="0.25">
      <c r="A1448" s="90">
        <v>37258</v>
      </c>
      <c r="B1448" s="17">
        <v>9.31</v>
      </c>
      <c r="C1448" s="17"/>
      <c r="F1448"/>
      <c r="G1448"/>
      <c r="H1448"/>
      <c r="I1448"/>
      <c r="J1448"/>
    </row>
    <row r="1449" spans="1:10" x14ac:dyDescent="0.25">
      <c r="A1449" s="90">
        <v>37259</v>
      </c>
      <c r="B1449" s="17">
        <v>9.56</v>
      </c>
      <c r="C1449" s="17"/>
      <c r="F1449"/>
      <c r="G1449"/>
      <c r="H1449"/>
      <c r="I1449"/>
      <c r="J1449"/>
    </row>
    <row r="1450" spans="1:10" x14ac:dyDescent="0.25">
      <c r="A1450" s="90">
        <v>37260</v>
      </c>
      <c r="B1450" s="17">
        <v>9.4499999999999993</v>
      </c>
      <c r="C1450" s="17"/>
      <c r="F1450"/>
      <c r="G1450"/>
      <c r="H1450"/>
      <c r="I1450"/>
      <c r="J1450"/>
    </row>
    <row r="1451" spans="1:10" x14ac:dyDescent="0.25">
      <c r="A1451" s="90">
        <v>37263</v>
      </c>
      <c r="B1451" s="17">
        <v>9.86</v>
      </c>
      <c r="C1451" s="17"/>
      <c r="F1451"/>
      <c r="G1451"/>
      <c r="H1451"/>
      <c r="I1451"/>
      <c r="J1451"/>
    </row>
    <row r="1452" spans="1:10" x14ac:dyDescent="0.25">
      <c r="A1452" s="90">
        <v>37264</v>
      </c>
      <c r="B1452" s="17">
        <v>9.77</v>
      </c>
      <c r="C1452" s="17"/>
      <c r="F1452"/>
      <c r="G1452"/>
      <c r="H1452"/>
      <c r="I1452"/>
      <c r="J1452"/>
    </row>
    <row r="1453" spans="1:10" x14ac:dyDescent="0.25">
      <c r="A1453" s="90">
        <v>37265</v>
      </c>
      <c r="B1453" s="17">
        <v>10.119999999999999</v>
      </c>
      <c r="C1453" s="17"/>
      <c r="F1453"/>
      <c r="G1453"/>
      <c r="H1453"/>
      <c r="I1453"/>
      <c r="J1453"/>
    </row>
    <row r="1454" spans="1:10" x14ac:dyDescent="0.25">
      <c r="A1454" s="90">
        <v>37266</v>
      </c>
      <c r="B1454" s="17">
        <v>10.24</v>
      </c>
      <c r="C1454" s="17"/>
      <c r="F1454"/>
      <c r="G1454"/>
      <c r="H1454"/>
      <c r="I1454"/>
      <c r="J1454"/>
    </row>
    <row r="1455" spans="1:10" x14ac:dyDescent="0.25">
      <c r="A1455" s="90">
        <v>37267</v>
      </c>
      <c r="B1455" s="17">
        <v>10.08</v>
      </c>
      <c r="C1455" s="17"/>
      <c r="F1455"/>
      <c r="G1455"/>
      <c r="H1455"/>
      <c r="I1455"/>
      <c r="J1455"/>
    </row>
    <row r="1456" spans="1:10" x14ac:dyDescent="0.25">
      <c r="A1456" s="90">
        <v>37270</v>
      </c>
      <c r="B1456" s="17">
        <v>9.51</v>
      </c>
      <c r="C1456" s="17"/>
      <c r="F1456"/>
      <c r="G1456"/>
      <c r="H1456"/>
      <c r="I1456"/>
      <c r="J1456"/>
    </row>
    <row r="1457" spans="1:10" x14ac:dyDescent="0.25">
      <c r="A1457" s="90">
        <v>37271</v>
      </c>
      <c r="B1457" s="17">
        <v>9.73</v>
      </c>
      <c r="C1457" s="17"/>
      <c r="F1457"/>
      <c r="G1457"/>
      <c r="H1457"/>
      <c r="I1457"/>
      <c r="J1457"/>
    </row>
    <row r="1458" spans="1:10" x14ac:dyDescent="0.25">
      <c r="A1458" s="90">
        <v>37272</v>
      </c>
      <c r="B1458" s="17">
        <v>8.94</v>
      </c>
      <c r="C1458" s="17"/>
      <c r="F1458"/>
      <c r="G1458"/>
      <c r="H1458"/>
      <c r="I1458"/>
      <c r="J1458"/>
    </row>
    <row r="1459" spans="1:10" x14ac:dyDescent="0.25">
      <c r="A1459" s="90">
        <v>37273</v>
      </c>
      <c r="B1459" s="17">
        <v>10.06</v>
      </c>
      <c r="C1459" s="17"/>
      <c r="F1459"/>
      <c r="G1459"/>
      <c r="H1459"/>
      <c r="I1459"/>
      <c r="J1459"/>
    </row>
    <row r="1460" spans="1:10" x14ac:dyDescent="0.25">
      <c r="A1460" s="90">
        <v>37274</v>
      </c>
      <c r="B1460" s="17">
        <v>9.6</v>
      </c>
      <c r="C1460" s="17"/>
      <c r="F1460"/>
      <c r="G1460"/>
      <c r="H1460"/>
      <c r="I1460"/>
      <c r="J1460"/>
    </row>
    <row r="1461" spans="1:10" x14ac:dyDescent="0.25">
      <c r="A1461" s="90">
        <v>37278</v>
      </c>
      <c r="B1461" s="17">
        <v>9.2100000000000009</v>
      </c>
      <c r="C1461" s="17"/>
      <c r="F1461"/>
      <c r="G1461"/>
      <c r="H1461"/>
      <c r="I1461"/>
      <c r="J1461"/>
    </row>
    <row r="1462" spans="1:10" x14ac:dyDescent="0.25">
      <c r="A1462" s="90">
        <v>37279</v>
      </c>
      <c r="B1462" s="17">
        <v>9.2200000000000006</v>
      </c>
      <c r="C1462" s="17"/>
      <c r="F1462"/>
      <c r="G1462"/>
      <c r="H1462"/>
      <c r="I1462"/>
      <c r="J1462"/>
    </row>
    <row r="1463" spans="1:10" x14ac:dyDescent="0.25">
      <c r="A1463" s="90">
        <v>37280</v>
      </c>
      <c r="B1463" s="17">
        <v>9.1</v>
      </c>
      <c r="C1463" s="17"/>
      <c r="F1463"/>
      <c r="G1463"/>
      <c r="H1463"/>
      <c r="I1463"/>
      <c r="J1463"/>
    </row>
    <row r="1464" spans="1:10" x14ac:dyDescent="0.25">
      <c r="A1464" s="90">
        <v>37281</v>
      </c>
      <c r="B1464" s="17">
        <v>9.34</v>
      </c>
      <c r="C1464" s="17"/>
      <c r="F1464"/>
      <c r="G1464"/>
      <c r="H1464"/>
      <c r="I1464"/>
      <c r="J1464"/>
    </row>
    <row r="1465" spans="1:10" x14ac:dyDescent="0.25">
      <c r="A1465" s="90">
        <v>37284</v>
      </c>
      <c r="B1465" s="17">
        <v>9.35</v>
      </c>
      <c r="C1465" s="17"/>
      <c r="F1465"/>
      <c r="G1465"/>
      <c r="H1465"/>
      <c r="I1465"/>
      <c r="J1465"/>
    </row>
    <row r="1466" spans="1:10" x14ac:dyDescent="0.25">
      <c r="A1466" s="90">
        <v>37285</v>
      </c>
      <c r="B1466" s="17">
        <v>9.09</v>
      </c>
      <c r="C1466" s="17"/>
      <c r="F1466"/>
      <c r="G1466"/>
      <c r="H1466"/>
      <c r="I1466"/>
      <c r="J1466"/>
    </row>
    <row r="1467" spans="1:10" x14ac:dyDescent="0.25">
      <c r="A1467" s="90">
        <v>37286</v>
      </c>
      <c r="B1467" s="17">
        <v>8.6</v>
      </c>
      <c r="C1467" s="17"/>
      <c r="F1467"/>
      <c r="G1467"/>
      <c r="H1467"/>
      <c r="I1467"/>
      <c r="J1467"/>
    </row>
    <row r="1468" spans="1:10" x14ac:dyDescent="0.25">
      <c r="A1468" s="90">
        <v>37287</v>
      </c>
      <c r="B1468" s="17">
        <v>8.6199999999999992</v>
      </c>
      <c r="C1468" s="17"/>
      <c r="F1468"/>
      <c r="G1468"/>
      <c r="H1468"/>
      <c r="I1468"/>
      <c r="J1468"/>
    </row>
    <row r="1469" spans="1:10" x14ac:dyDescent="0.25">
      <c r="A1469" s="90">
        <v>37288</v>
      </c>
      <c r="B1469" s="17">
        <v>8.34</v>
      </c>
      <c r="C1469" s="17"/>
      <c r="F1469"/>
      <c r="G1469"/>
      <c r="H1469"/>
      <c r="I1469"/>
      <c r="J1469"/>
    </row>
    <row r="1470" spans="1:10" x14ac:dyDescent="0.25">
      <c r="A1470" s="90">
        <v>37291</v>
      </c>
      <c r="B1470" s="17">
        <v>7.88</v>
      </c>
      <c r="C1470" s="17"/>
      <c r="F1470"/>
      <c r="G1470"/>
      <c r="H1470"/>
      <c r="I1470"/>
      <c r="J1470"/>
    </row>
    <row r="1471" spans="1:10" x14ac:dyDescent="0.25">
      <c r="A1471" s="90">
        <v>37292</v>
      </c>
      <c r="B1471" s="17">
        <v>7.89</v>
      </c>
      <c r="C1471" s="17"/>
      <c r="F1471"/>
      <c r="G1471"/>
      <c r="H1471"/>
      <c r="I1471"/>
      <c r="J1471"/>
    </row>
    <row r="1472" spans="1:10" x14ac:dyDescent="0.25">
      <c r="A1472" s="90">
        <v>37293</v>
      </c>
      <c r="B1472" s="17">
        <v>7.95</v>
      </c>
      <c r="C1472" s="17"/>
      <c r="F1472"/>
      <c r="G1472"/>
      <c r="H1472"/>
      <c r="I1472"/>
      <c r="J1472"/>
    </row>
    <row r="1473" spans="1:10" x14ac:dyDescent="0.25">
      <c r="A1473" s="90">
        <v>37294</v>
      </c>
      <c r="B1473" s="17">
        <v>7.68</v>
      </c>
      <c r="C1473" s="17"/>
      <c r="F1473"/>
      <c r="G1473"/>
      <c r="H1473"/>
      <c r="I1473"/>
      <c r="J1473"/>
    </row>
    <row r="1474" spans="1:10" x14ac:dyDescent="0.25">
      <c r="A1474" s="90">
        <v>37295</v>
      </c>
      <c r="B1474" s="17">
        <v>8.32</v>
      </c>
      <c r="C1474" s="17"/>
      <c r="F1474"/>
      <c r="G1474"/>
      <c r="H1474"/>
      <c r="I1474"/>
      <c r="J1474"/>
    </row>
    <row r="1475" spans="1:10" x14ac:dyDescent="0.25">
      <c r="A1475" s="90">
        <v>37298</v>
      </c>
      <c r="B1475" s="17">
        <v>8.27</v>
      </c>
      <c r="C1475" s="17"/>
      <c r="F1475"/>
      <c r="G1475"/>
      <c r="H1475"/>
      <c r="I1475"/>
      <c r="J1475"/>
    </row>
    <row r="1476" spans="1:10" x14ac:dyDescent="0.25">
      <c r="A1476" s="90">
        <v>37299</v>
      </c>
      <c r="B1476" s="17">
        <v>8.16</v>
      </c>
      <c r="C1476" s="17"/>
      <c r="F1476"/>
      <c r="G1476"/>
      <c r="H1476"/>
      <c r="I1476"/>
      <c r="J1476"/>
    </row>
    <row r="1477" spans="1:10" x14ac:dyDescent="0.25">
      <c r="A1477" s="90">
        <v>37300</v>
      </c>
      <c r="B1477" s="17">
        <v>8.4</v>
      </c>
      <c r="C1477" s="17"/>
      <c r="F1477"/>
      <c r="G1477"/>
      <c r="H1477"/>
      <c r="I1477"/>
      <c r="J1477"/>
    </row>
    <row r="1478" spans="1:10" x14ac:dyDescent="0.25">
      <c r="A1478" s="90">
        <v>37301</v>
      </c>
      <c r="B1478" s="17">
        <v>8.2799999999999994</v>
      </c>
      <c r="C1478" s="17"/>
      <c r="F1478"/>
      <c r="G1478"/>
      <c r="H1478"/>
      <c r="I1478"/>
      <c r="J1478"/>
    </row>
    <row r="1479" spans="1:10" x14ac:dyDescent="0.25">
      <c r="A1479" s="90">
        <v>37302</v>
      </c>
      <c r="B1479" s="17">
        <v>7.84</v>
      </c>
      <c r="C1479" s="17"/>
      <c r="F1479"/>
      <c r="G1479"/>
      <c r="H1479"/>
      <c r="I1479"/>
      <c r="J1479"/>
    </row>
    <row r="1480" spans="1:10" x14ac:dyDescent="0.25">
      <c r="A1480" s="90">
        <v>37306</v>
      </c>
      <c r="B1480" s="17">
        <v>7.22</v>
      </c>
      <c r="C1480" s="17"/>
      <c r="F1480"/>
      <c r="G1480"/>
      <c r="H1480"/>
      <c r="I1480"/>
      <c r="J1480"/>
    </row>
    <row r="1481" spans="1:10" x14ac:dyDescent="0.25">
      <c r="A1481" s="90">
        <v>37307</v>
      </c>
      <c r="B1481" s="17">
        <v>7.64</v>
      </c>
      <c r="C1481" s="17"/>
      <c r="F1481"/>
      <c r="G1481"/>
      <c r="H1481"/>
      <c r="I1481"/>
      <c r="J1481"/>
    </row>
    <row r="1482" spans="1:10" x14ac:dyDescent="0.25">
      <c r="A1482" s="90">
        <v>37308</v>
      </c>
      <c r="B1482" s="17">
        <v>7.22</v>
      </c>
      <c r="C1482" s="17"/>
      <c r="F1482"/>
      <c r="G1482"/>
      <c r="H1482"/>
      <c r="I1482"/>
      <c r="J1482"/>
    </row>
    <row r="1483" spans="1:10" x14ac:dyDescent="0.25">
      <c r="A1483" s="90">
        <v>37309</v>
      </c>
      <c r="B1483" s="17">
        <v>7.23</v>
      </c>
      <c r="C1483" s="17"/>
      <c r="F1483"/>
      <c r="G1483"/>
      <c r="H1483"/>
      <c r="I1483"/>
      <c r="J1483"/>
    </row>
    <row r="1484" spans="1:10" x14ac:dyDescent="0.25">
      <c r="A1484" s="90">
        <v>37312</v>
      </c>
      <c r="B1484" s="17">
        <v>7.5</v>
      </c>
      <c r="C1484" s="17"/>
      <c r="F1484"/>
      <c r="G1484"/>
      <c r="H1484"/>
      <c r="I1484"/>
      <c r="J1484"/>
    </row>
    <row r="1485" spans="1:10" x14ac:dyDescent="0.25">
      <c r="A1485" s="90">
        <v>37313</v>
      </c>
      <c r="B1485" s="17">
        <v>7.47</v>
      </c>
      <c r="C1485" s="17"/>
      <c r="F1485"/>
      <c r="G1485"/>
      <c r="H1485"/>
      <c r="I1485"/>
      <c r="J1485"/>
    </row>
    <row r="1486" spans="1:10" x14ac:dyDescent="0.25">
      <c r="A1486" s="90">
        <v>37314</v>
      </c>
      <c r="B1486" s="17">
        <v>7.28</v>
      </c>
      <c r="C1486" s="17"/>
      <c r="F1486"/>
      <c r="G1486"/>
      <c r="H1486"/>
      <c r="I1486"/>
      <c r="J1486"/>
    </row>
    <row r="1487" spans="1:10" x14ac:dyDescent="0.25">
      <c r="A1487" s="90">
        <v>37315</v>
      </c>
      <c r="B1487" s="17">
        <v>7.23</v>
      </c>
      <c r="C1487" s="17"/>
      <c r="F1487"/>
      <c r="G1487"/>
      <c r="H1487"/>
      <c r="I1487"/>
      <c r="J1487"/>
    </row>
    <row r="1488" spans="1:10" x14ac:dyDescent="0.25">
      <c r="A1488" s="90">
        <v>37316</v>
      </c>
      <c r="B1488" s="17">
        <v>8.31</v>
      </c>
      <c r="C1488" s="17"/>
      <c r="F1488"/>
      <c r="G1488"/>
      <c r="H1488"/>
      <c r="I1488"/>
      <c r="J1488"/>
    </row>
    <row r="1489" spans="1:10" x14ac:dyDescent="0.25">
      <c r="A1489" s="90">
        <v>37319</v>
      </c>
      <c r="B1489" s="17">
        <v>8.9</v>
      </c>
      <c r="C1489" s="17"/>
      <c r="F1489"/>
      <c r="G1489"/>
      <c r="H1489"/>
      <c r="I1489"/>
      <c r="J1489"/>
    </row>
    <row r="1490" spans="1:10" x14ac:dyDescent="0.25">
      <c r="A1490" s="90">
        <v>37320</v>
      </c>
      <c r="B1490" s="17">
        <v>9.1</v>
      </c>
      <c r="C1490" s="17"/>
      <c r="F1490"/>
      <c r="G1490"/>
      <c r="H1490"/>
      <c r="I1490"/>
      <c r="J1490"/>
    </row>
    <row r="1491" spans="1:10" x14ac:dyDescent="0.25">
      <c r="A1491" s="90">
        <v>37321</v>
      </c>
      <c r="B1491" s="17">
        <v>9.1300000000000008</v>
      </c>
      <c r="C1491" s="17"/>
      <c r="F1491"/>
      <c r="G1491"/>
      <c r="H1491"/>
      <c r="I1491"/>
      <c r="J1491"/>
    </row>
    <row r="1492" spans="1:10" x14ac:dyDescent="0.25">
      <c r="A1492" s="90">
        <v>37322</v>
      </c>
      <c r="B1492" s="17">
        <v>8.9700000000000006</v>
      </c>
      <c r="C1492" s="17"/>
      <c r="F1492"/>
      <c r="G1492"/>
      <c r="H1492"/>
      <c r="I1492"/>
      <c r="J1492"/>
    </row>
    <row r="1493" spans="1:10" x14ac:dyDescent="0.25">
      <c r="A1493" s="90">
        <v>37323</v>
      </c>
      <c r="B1493" s="17">
        <v>9.4700000000000006</v>
      </c>
      <c r="C1493" s="17"/>
      <c r="F1493"/>
      <c r="G1493"/>
      <c r="H1493"/>
      <c r="I1493"/>
      <c r="J1493"/>
    </row>
    <row r="1494" spans="1:10" x14ac:dyDescent="0.25">
      <c r="A1494" s="90">
        <v>37326</v>
      </c>
      <c r="B1494" s="17">
        <v>10.25</v>
      </c>
      <c r="C1494" s="17"/>
      <c r="F1494"/>
      <c r="G1494"/>
      <c r="H1494"/>
      <c r="I1494"/>
      <c r="J1494"/>
    </row>
    <row r="1495" spans="1:10" x14ac:dyDescent="0.25">
      <c r="A1495" s="90">
        <v>37327</v>
      </c>
      <c r="B1495" s="17">
        <v>9.68</v>
      </c>
      <c r="C1495" s="17"/>
      <c r="F1495"/>
      <c r="G1495"/>
      <c r="H1495"/>
      <c r="I1495"/>
      <c r="J1495"/>
    </row>
    <row r="1496" spans="1:10" x14ac:dyDescent="0.25">
      <c r="A1496" s="90">
        <v>37328</v>
      </c>
      <c r="B1496" s="17">
        <v>9.61</v>
      </c>
      <c r="C1496" s="17"/>
      <c r="F1496"/>
      <c r="G1496"/>
      <c r="H1496"/>
      <c r="I1496"/>
      <c r="J1496"/>
    </row>
    <row r="1497" spans="1:10" x14ac:dyDescent="0.25">
      <c r="A1497" s="90">
        <v>37329</v>
      </c>
      <c r="B1497" s="17">
        <v>9.61</v>
      </c>
      <c r="C1497" s="17"/>
      <c r="F1497"/>
      <c r="G1497"/>
      <c r="H1497"/>
      <c r="I1497"/>
      <c r="J1497"/>
    </row>
    <row r="1498" spans="1:10" x14ac:dyDescent="0.25">
      <c r="A1498" s="90">
        <v>37330</v>
      </c>
      <c r="B1498" s="17">
        <v>9.36</v>
      </c>
      <c r="C1498" s="17"/>
      <c r="F1498"/>
      <c r="G1498"/>
      <c r="H1498"/>
      <c r="I1498"/>
      <c r="J1498"/>
    </row>
    <row r="1499" spans="1:10" x14ac:dyDescent="0.25">
      <c r="A1499" s="90">
        <v>37333</v>
      </c>
      <c r="B1499" s="17">
        <v>9.6</v>
      </c>
      <c r="C1499" s="17"/>
      <c r="F1499"/>
      <c r="G1499"/>
      <c r="H1499"/>
      <c r="I1499"/>
      <c r="J1499"/>
    </row>
    <row r="1500" spans="1:10" x14ac:dyDescent="0.25">
      <c r="A1500" s="90">
        <v>37334</v>
      </c>
      <c r="B1500" s="17">
        <v>9.5500000000000007</v>
      </c>
      <c r="C1500" s="17"/>
      <c r="F1500"/>
      <c r="G1500"/>
      <c r="H1500"/>
      <c r="I1500"/>
      <c r="J1500"/>
    </row>
    <row r="1501" spans="1:10" x14ac:dyDescent="0.25">
      <c r="A1501" s="90">
        <v>37335</v>
      </c>
      <c r="B1501" s="17">
        <v>9.1</v>
      </c>
      <c r="C1501" s="17"/>
      <c r="F1501"/>
      <c r="G1501"/>
      <c r="H1501"/>
      <c r="I1501"/>
      <c r="J1501"/>
    </row>
    <row r="1502" spans="1:10" x14ac:dyDescent="0.25">
      <c r="A1502" s="90">
        <v>37336</v>
      </c>
      <c r="B1502" s="17">
        <v>9.3000000000000007</v>
      </c>
      <c r="C1502" s="17"/>
      <c r="F1502"/>
      <c r="G1502"/>
      <c r="H1502"/>
      <c r="I1502"/>
      <c r="J1502"/>
    </row>
    <row r="1503" spans="1:10" x14ac:dyDescent="0.25">
      <c r="A1503" s="90">
        <v>37337</v>
      </c>
      <c r="B1503" s="17">
        <v>9.2200000000000006</v>
      </c>
      <c r="C1503" s="17"/>
      <c r="F1503"/>
      <c r="G1503"/>
      <c r="H1503"/>
      <c r="I1503"/>
      <c r="J1503"/>
    </row>
    <row r="1504" spans="1:10" x14ac:dyDescent="0.25">
      <c r="A1504" s="90">
        <v>37340</v>
      </c>
      <c r="B1504" s="17">
        <v>8.91</v>
      </c>
      <c r="C1504" s="17"/>
      <c r="F1504"/>
      <c r="G1504"/>
      <c r="H1504"/>
      <c r="I1504"/>
      <c r="J1504"/>
    </row>
    <row r="1505" spans="1:10" x14ac:dyDescent="0.25">
      <c r="A1505" s="90">
        <v>37341</v>
      </c>
      <c r="B1505" s="17">
        <v>8.85</v>
      </c>
      <c r="C1505" s="17"/>
      <c r="F1505"/>
      <c r="G1505"/>
      <c r="H1505"/>
      <c r="I1505"/>
      <c r="J1505"/>
    </row>
    <row r="1506" spans="1:10" x14ac:dyDescent="0.25">
      <c r="A1506" s="90">
        <v>37342</v>
      </c>
      <c r="B1506" s="17">
        <v>8.93</v>
      </c>
      <c r="C1506" s="17"/>
      <c r="F1506"/>
      <c r="G1506"/>
      <c r="H1506"/>
      <c r="I1506"/>
      <c r="J1506"/>
    </row>
    <row r="1507" spans="1:10" x14ac:dyDescent="0.25">
      <c r="A1507" s="90">
        <v>37343</v>
      </c>
      <c r="B1507" s="17">
        <v>9.23</v>
      </c>
      <c r="C1507" s="17"/>
      <c r="F1507"/>
      <c r="G1507"/>
      <c r="H1507"/>
      <c r="I1507"/>
      <c r="J1507"/>
    </row>
    <row r="1508" spans="1:10" x14ac:dyDescent="0.25">
      <c r="A1508" s="90">
        <v>37347</v>
      </c>
      <c r="B1508" s="17">
        <v>9.34</v>
      </c>
      <c r="C1508" s="17"/>
      <c r="F1508"/>
      <c r="G1508"/>
      <c r="H1508"/>
      <c r="I1508"/>
      <c r="J1508"/>
    </row>
    <row r="1509" spans="1:10" x14ac:dyDescent="0.25">
      <c r="A1509" s="90">
        <v>37348</v>
      </c>
      <c r="B1509" s="17">
        <v>9.02</v>
      </c>
      <c r="C1509" s="17"/>
      <c r="F1509"/>
      <c r="G1509"/>
      <c r="H1509"/>
      <c r="I1509"/>
      <c r="J1509"/>
    </row>
    <row r="1510" spans="1:10" x14ac:dyDescent="0.25">
      <c r="A1510" s="90">
        <v>37349</v>
      </c>
      <c r="B1510" s="17">
        <v>8.91</v>
      </c>
      <c r="C1510" s="17"/>
      <c r="F1510"/>
      <c r="G1510"/>
      <c r="H1510"/>
      <c r="I1510"/>
      <c r="J1510"/>
    </row>
    <row r="1511" spans="1:10" x14ac:dyDescent="0.25">
      <c r="A1511" s="90">
        <v>37350</v>
      </c>
      <c r="B1511" s="17">
        <v>8.83</v>
      </c>
      <c r="C1511" s="17"/>
      <c r="F1511"/>
      <c r="G1511"/>
      <c r="H1511"/>
      <c r="I1511"/>
      <c r="J1511"/>
    </row>
    <row r="1512" spans="1:10" x14ac:dyDescent="0.25">
      <c r="A1512" s="90">
        <v>37351</v>
      </c>
      <c r="B1512" s="17">
        <v>9.09</v>
      </c>
      <c r="C1512" s="17"/>
      <c r="F1512"/>
      <c r="G1512"/>
      <c r="H1512"/>
      <c r="I1512"/>
      <c r="J1512"/>
    </row>
    <row r="1513" spans="1:10" x14ac:dyDescent="0.25">
      <c r="A1513" s="90">
        <v>37354</v>
      </c>
      <c r="B1513" s="17">
        <v>9.42</v>
      </c>
      <c r="C1513" s="17"/>
      <c r="F1513"/>
      <c r="G1513"/>
      <c r="H1513"/>
      <c r="I1513"/>
      <c r="J1513"/>
    </row>
    <row r="1514" spans="1:10" x14ac:dyDescent="0.25">
      <c r="A1514" s="90">
        <v>37355</v>
      </c>
      <c r="B1514" s="17">
        <v>9.23</v>
      </c>
      <c r="C1514" s="17"/>
      <c r="F1514"/>
      <c r="G1514"/>
      <c r="H1514"/>
      <c r="I1514"/>
      <c r="J1514"/>
    </row>
    <row r="1515" spans="1:10" x14ac:dyDescent="0.25">
      <c r="A1515" s="90">
        <v>37356</v>
      </c>
      <c r="B1515" s="17">
        <v>9.2200000000000006</v>
      </c>
      <c r="C1515" s="17"/>
      <c r="F1515"/>
      <c r="G1515"/>
      <c r="H1515"/>
      <c r="I1515"/>
      <c r="J1515"/>
    </row>
    <row r="1516" spans="1:10" x14ac:dyDescent="0.25">
      <c r="A1516" s="90">
        <v>37357</v>
      </c>
      <c r="B1516" s="17">
        <v>7.72</v>
      </c>
      <c r="C1516" s="17"/>
      <c r="F1516"/>
      <c r="G1516"/>
      <c r="H1516"/>
      <c r="I1516"/>
      <c r="J1516"/>
    </row>
    <row r="1517" spans="1:10" x14ac:dyDescent="0.25">
      <c r="A1517" s="90">
        <v>37358</v>
      </c>
      <c r="B1517" s="17">
        <v>7.86</v>
      </c>
      <c r="C1517" s="17"/>
      <c r="F1517"/>
      <c r="G1517"/>
      <c r="H1517"/>
      <c r="I1517"/>
      <c r="J1517"/>
    </row>
    <row r="1518" spans="1:10" x14ac:dyDescent="0.25">
      <c r="A1518" s="90">
        <v>37361</v>
      </c>
      <c r="B1518" s="17">
        <v>7.7</v>
      </c>
      <c r="C1518" s="17"/>
      <c r="F1518"/>
      <c r="G1518"/>
      <c r="H1518"/>
      <c r="I1518"/>
      <c r="J1518"/>
    </row>
    <row r="1519" spans="1:10" x14ac:dyDescent="0.25">
      <c r="A1519" s="90">
        <v>37362</v>
      </c>
      <c r="B1519" s="17">
        <v>7.7</v>
      </c>
      <c r="C1519" s="17"/>
      <c r="F1519"/>
      <c r="G1519"/>
      <c r="H1519"/>
      <c r="I1519"/>
      <c r="J1519"/>
    </row>
    <row r="1520" spans="1:10" x14ac:dyDescent="0.25">
      <c r="A1520" s="90">
        <v>37363</v>
      </c>
      <c r="B1520" s="17">
        <v>7.95</v>
      </c>
      <c r="C1520" s="17"/>
      <c r="F1520"/>
      <c r="G1520"/>
      <c r="H1520"/>
      <c r="I1520"/>
      <c r="J1520"/>
    </row>
    <row r="1521" spans="1:10" x14ac:dyDescent="0.25">
      <c r="A1521" s="90">
        <v>37364</v>
      </c>
      <c r="B1521" s="17">
        <v>7.53</v>
      </c>
      <c r="C1521" s="17"/>
      <c r="F1521"/>
      <c r="G1521"/>
      <c r="H1521"/>
      <c r="I1521"/>
      <c r="J1521"/>
    </row>
    <row r="1522" spans="1:10" x14ac:dyDescent="0.25">
      <c r="A1522" s="90">
        <v>37365</v>
      </c>
      <c r="B1522" s="17">
        <v>7.38</v>
      </c>
      <c r="C1522" s="17"/>
      <c r="F1522"/>
      <c r="G1522"/>
      <c r="H1522"/>
      <c r="I1522"/>
      <c r="J1522"/>
    </row>
    <row r="1523" spans="1:10" x14ac:dyDescent="0.25">
      <c r="A1523" s="90">
        <v>37368</v>
      </c>
      <c r="B1523" s="17">
        <v>7.07</v>
      </c>
      <c r="C1523" s="17"/>
      <c r="F1523"/>
      <c r="G1523"/>
      <c r="H1523"/>
      <c r="I1523"/>
      <c r="J1523"/>
    </row>
    <row r="1524" spans="1:10" x14ac:dyDescent="0.25">
      <c r="A1524" s="90">
        <v>37369</v>
      </c>
      <c r="B1524" s="17">
        <v>7.09</v>
      </c>
      <c r="C1524" s="17"/>
      <c r="F1524"/>
      <c r="G1524"/>
      <c r="H1524"/>
      <c r="I1524"/>
      <c r="J1524"/>
    </row>
    <row r="1525" spans="1:10" x14ac:dyDescent="0.25">
      <c r="A1525" s="90">
        <v>37370</v>
      </c>
      <c r="B1525" s="17">
        <v>7.3</v>
      </c>
      <c r="C1525" s="17"/>
      <c r="F1525"/>
      <c r="G1525"/>
      <c r="H1525"/>
      <c r="I1525"/>
      <c r="J1525"/>
    </row>
    <row r="1526" spans="1:10" x14ac:dyDescent="0.25">
      <c r="A1526" s="90">
        <v>37371</v>
      </c>
      <c r="B1526" s="17">
        <v>7.18</v>
      </c>
      <c r="C1526" s="17"/>
      <c r="F1526"/>
      <c r="G1526"/>
      <c r="H1526"/>
      <c r="I1526"/>
      <c r="J1526"/>
    </row>
    <row r="1527" spans="1:10" x14ac:dyDescent="0.25">
      <c r="A1527" s="90">
        <v>37372</v>
      </c>
      <c r="B1527" s="17">
        <v>7.25</v>
      </c>
      <c r="C1527" s="17"/>
      <c r="F1527"/>
      <c r="G1527"/>
      <c r="H1527"/>
      <c r="I1527"/>
      <c r="J1527"/>
    </row>
    <row r="1528" spans="1:10" x14ac:dyDescent="0.25">
      <c r="A1528" s="90">
        <v>37375</v>
      </c>
      <c r="B1528" s="17">
        <v>7.11</v>
      </c>
      <c r="C1528" s="17"/>
      <c r="F1528"/>
      <c r="G1528"/>
      <c r="H1528"/>
      <c r="I1528"/>
      <c r="J1528"/>
    </row>
    <row r="1529" spans="1:10" x14ac:dyDescent="0.25">
      <c r="A1529" s="90">
        <v>37376</v>
      </c>
      <c r="B1529" s="17">
        <v>7.38</v>
      </c>
      <c r="C1529" s="17"/>
      <c r="F1529"/>
      <c r="G1529"/>
      <c r="H1529"/>
      <c r="I1529"/>
      <c r="J1529"/>
    </row>
    <row r="1530" spans="1:10" x14ac:dyDescent="0.25">
      <c r="A1530" s="90">
        <v>37377</v>
      </c>
      <c r="B1530" s="17">
        <v>7.82</v>
      </c>
      <c r="C1530" s="17"/>
      <c r="F1530"/>
      <c r="G1530"/>
      <c r="H1530"/>
      <c r="I1530"/>
      <c r="J1530"/>
    </row>
    <row r="1531" spans="1:10" x14ac:dyDescent="0.25">
      <c r="A1531" s="90">
        <v>37378</v>
      </c>
      <c r="B1531" s="17">
        <v>7.5</v>
      </c>
      <c r="C1531" s="17"/>
      <c r="F1531"/>
      <c r="G1531"/>
      <c r="H1531"/>
      <c r="I1531"/>
      <c r="J1531"/>
    </row>
    <row r="1532" spans="1:10" x14ac:dyDescent="0.25">
      <c r="A1532" s="90">
        <v>37379</v>
      </c>
      <c r="B1532" s="17">
        <v>7.39</v>
      </c>
      <c r="C1532" s="17"/>
      <c r="F1532"/>
      <c r="G1532"/>
      <c r="H1532"/>
      <c r="I1532"/>
      <c r="J1532"/>
    </row>
    <row r="1533" spans="1:10" x14ac:dyDescent="0.25">
      <c r="A1533" s="90">
        <v>37382</v>
      </c>
      <c r="B1533" s="17">
        <v>7.3</v>
      </c>
      <c r="C1533" s="17"/>
      <c r="F1533"/>
      <c r="G1533"/>
      <c r="H1533"/>
      <c r="I1533"/>
      <c r="J1533"/>
    </row>
    <row r="1534" spans="1:10" x14ac:dyDescent="0.25">
      <c r="A1534" s="90">
        <v>37383</v>
      </c>
      <c r="B1534" s="17">
        <v>7.37</v>
      </c>
      <c r="C1534" s="17"/>
      <c r="F1534"/>
      <c r="G1534"/>
      <c r="H1534"/>
      <c r="I1534"/>
      <c r="J1534"/>
    </row>
    <row r="1535" spans="1:10" x14ac:dyDescent="0.25">
      <c r="A1535" s="90">
        <v>37384</v>
      </c>
      <c r="B1535" s="17">
        <v>8.16</v>
      </c>
      <c r="C1535" s="17"/>
      <c r="F1535"/>
      <c r="G1535"/>
      <c r="H1535"/>
      <c r="I1535"/>
      <c r="J1535"/>
    </row>
    <row r="1536" spans="1:10" x14ac:dyDescent="0.25">
      <c r="A1536" s="90">
        <v>37385</v>
      </c>
      <c r="B1536" s="17">
        <v>8.19</v>
      </c>
      <c r="C1536" s="17"/>
      <c r="F1536"/>
      <c r="G1536"/>
      <c r="H1536"/>
      <c r="I1536"/>
      <c r="J1536"/>
    </row>
    <row r="1537" spans="1:10" x14ac:dyDescent="0.25">
      <c r="A1537" s="90">
        <v>37386</v>
      </c>
      <c r="B1537" s="17">
        <v>7.73</v>
      </c>
      <c r="C1537" s="17"/>
      <c r="F1537"/>
      <c r="G1537"/>
      <c r="H1537"/>
      <c r="I1537"/>
      <c r="J1537"/>
    </row>
    <row r="1538" spans="1:10" x14ac:dyDescent="0.25">
      <c r="A1538" s="90">
        <v>37389</v>
      </c>
      <c r="B1538" s="17">
        <v>7.99</v>
      </c>
      <c r="C1538" s="17"/>
      <c r="F1538"/>
      <c r="G1538"/>
      <c r="H1538"/>
      <c r="I1538"/>
      <c r="J1538"/>
    </row>
    <row r="1539" spans="1:10" x14ac:dyDescent="0.25">
      <c r="A1539" s="90">
        <v>37390</v>
      </c>
      <c r="B1539" s="17">
        <v>8.77</v>
      </c>
      <c r="C1539" s="17"/>
      <c r="F1539"/>
      <c r="G1539"/>
      <c r="H1539"/>
      <c r="I1539"/>
      <c r="J1539"/>
    </row>
    <row r="1540" spans="1:10" x14ac:dyDescent="0.25">
      <c r="A1540" s="90">
        <v>37391</v>
      </c>
      <c r="B1540" s="17">
        <v>8.89</v>
      </c>
      <c r="C1540" s="17"/>
      <c r="F1540"/>
      <c r="G1540"/>
      <c r="H1540"/>
      <c r="I1540"/>
      <c r="J1540"/>
    </row>
    <row r="1541" spans="1:10" x14ac:dyDescent="0.25">
      <c r="A1541" s="90">
        <v>37392</v>
      </c>
      <c r="B1541" s="17">
        <v>9.02</v>
      </c>
      <c r="C1541" s="17"/>
      <c r="F1541"/>
      <c r="G1541"/>
      <c r="H1541"/>
      <c r="I1541"/>
      <c r="J1541"/>
    </row>
    <row r="1542" spans="1:10" x14ac:dyDescent="0.25">
      <c r="A1542" s="90">
        <v>37393</v>
      </c>
      <c r="B1542" s="17">
        <v>9</v>
      </c>
      <c r="C1542" s="17"/>
      <c r="F1542"/>
      <c r="G1542"/>
      <c r="H1542"/>
      <c r="I1542"/>
      <c r="J1542"/>
    </row>
    <row r="1543" spans="1:10" x14ac:dyDescent="0.25">
      <c r="A1543" s="90">
        <v>37396</v>
      </c>
      <c r="B1543" s="17">
        <v>8.59</v>
      </c>
      <c r="C1543" s="17"/>
      <c r="F1543"/>
      <c r="G1543"/>
      <c r="H1543"/>
      <c r="I1543"/>
      <c r="J1543"/>
    </row>
    <row r="1544" spans="1:10" x14ac:dyDescent="0.25">
      <c r="A1544" s="90">
        <v>37397</v>
      </c>
      <c r="B1544" s="17">
        <v>8.36</v>
      </c>
      <c r="C1544" s="17"/>
      <c r="F1544"/>
      <c r="G1544"/>
      <c r="H1544"/>
      <c r="I1544"/>
      <c r="J1544"/>
    </row>
    <row r="1545" spans="1:10" x14ac:dyDescent="0.25">
      <c r="A1545" s="90">
        <v>37398</v>
      </c>
      <c r="B1545" s="17">
        <v>8.14</v>
      </c>
      <c r="C1545" s="17"/>
      <c r="F1545"/>
      <c r="G1545"/>
      <c r="H1545"/>
      <c r="I1545"/>
      <c r="J1545"/>
    </row>
    <row r="1546" spans="1:10" x14ac:dyDescent="0.25">
      <c r="A1546" s="90">
        <v>37399</v>
      </c>
      <c r="B1546" s="17">
        <v>8.5500000000000007</v>
      </c>
      <c r="C1546" s="17"/>
      <c r="F1546"/>
      <c r="G1546"/>
      <c r="H1546"/>
      <c r="I1546"/>
      <c r="J1546"/>
    </row>
    <row r="1547" spans="1:10" x14ac:dyDescent="0.25">
      <c r="A1547" s="90">
        <v>37400</v>
      </c>
      <c r="B1547" s="17">
        <v>8.51</v>
      </c>
      <c r="C1547" s="17"/>
      <c r="F1547"/>
      <c r="G1547"/>
      <c r="H1547"/>
      <c r="I1547"/>
      <c r="J1547"/>
    </row>
    <row r="1548" spans="1:10" x14ac:dyDescent="0.25">
      <c r="A1548" s="90">
        <v>37404</v>
      </c>
      <c r="B1548" s="17">
        <v>8.27</v>
      </c>
      <c r="C1548" s="17"/>
      <c r="F1548"/>
      <c r="G1548"/>
      <c r="H1548"/>
      <c r="I1548"/>
      <c r="J1548"/>
    </row>
    <row r="1549" spans="1:10" x14ac:dyDescent="0.25">
      <c r="A1549" s="90">
        <v>37405</v>
      </c>
      <c r="B1549" s="17">
        <v>8.2899999999999991</v>
      </c>
      <c r="C1549" s="17"/>
      <c r="F1549"/>
      <c r="G1549"/>
      <c r="H1549"/>
      <c r="I1549"/>
      <c r="J1549"/>
    </row>
    <row r="1550" spans="1:10" x14ac:dyDescent="0.25">
      <c r="A1550" s="90">
        <v>37406</v>
      </c>
      <c r="B1550" s="17">
        <v>8.2100000000000009</v>
      </c>
      <c r="C1550" s="17"/>
      <c r="F1550"/>
      <c r="G1550"/>
      <c r="H1550"/>
      <c r="I1550"/>
      <c r="J1550"/>
    </row>
    <row r="1551" spans="1:10" x14ac:dyDescent="0.25">
      <c r="A1551" s="90">
        <v>37407</v>
      </c>
      <c r="B1551" s="17">
        <v>8.01</v>
      </c>
      <c r="C1551" s="17"/>
      <c r="F1551"/>
      <c r="G1551"/>
      <c r="H1551"/>
      <c r="I1551"/>
      <c r="J1551"/>
    </row>
    <row r="1552" spans="1:10" x14ac:dyDescent="0.25">
      <c r="A1552" s="90">
        <v>37410</v>
      </c>
      <c r="B1552" s="17">
        <v>7.84</v>
      </c>
      <c r="C1552" s="17"/>
      <c r="F1552"/>
      <c r="G1552"/>
      <c r="H1552"/>
      <c r="I1552"/>
      <c r="J1552"/>
    </row>
    <row r="1553" spans="1:10" x14ac:dyDescent="0.25">
      <c r="A1553" s="90">
        <v>37411</v>
      </c>
      <c r="B1553" s="17">
        <v>8</v>
      </c>
      <c r="C1553" s="17"/>
      <c r="F1553"/>
      <c r="G1553"/>
      <c r="H1553"/>
      <c r="I1553"/>
      <c r="J1553"/>
    </row>
    <row r="1554" spans="1:10" x14ac:dyDescent="0.25">
      <c r="A1554" s="90">
        <v>37412</v>
      </c>
      <c r="B1554" s="17">
        <v>8.01</v>
      </c>
      <c r="C1554" s="17"/>
      <c r="F1554"/>
      <c r="G1554"/>
      <c r="H1554"/>
      <c r="I1554"/>
      <c r="J1554"/>
    </row>
    <row r="1555" spans="1:10" x14ac:dyDescent="0.25">
      <c r="A1555" s="90">
        <v>37413</v>
      </c>
      <c r="B1555" s="17">
        <v>7.99</v>
      </c>
      <c r="C1555" s="17"/>
      <c r="F1555"/>
      <c r="G1555"/>
      <c r="H1555"/>
      <c r="I1555"/>
      <c r="J1555"/>
    </row>
    <row r="1556" spans="1:10" x14ac:dyDescent="0.25">
      <c r="A1556" s="90">
        <v>37414</v>
      </c>
      <c r="B1556" s="17">
        <v>7.93</v>
      </c>
      <c r="C1556" s="17"/>
      <c r="F1556"/>
      <c r="G1556"/>
      <c r="H1556"/>
      <c r="I1556"/>
      <c r="J1556"/>
    </row>
    <row r="1557" spans="1:10" x14ac:dyDescent="0.25">
      <c r="A1557" s="90">
        <v>37417</v>
      </c>
      <c r="B1557" s="17">
        <v>7.92</v>
      </c>
      <c r="C1557" s="17"/>
      <c r="F1557"/>
      <c r="G1557"/>
      <c r="H1557"/>
      <c r="I1557"/>
      <c r="J1557"/>
    </row>
    <row r="1558" spans="1:10" x14ac:dyDescent="0.25">
      <c r="A1558" s="90">
        <v>37418</v>
      </c>
      <c r="B1558" s="17">
        <v>7.93</v>
      </c>
      <c r="C1558" s="17"/>
      <c r="F1558"/>
      <c r="G1558"/>
      <c r="H1558"/>
      <c r="I1558"/>
      <c r="J1558"/>
    </row>
    <row r="1559" spans="1:10" x14ac:dyDescent="0.25">
      <c r="A1559" s="90">
        <v>37419</v>
      </c>
      <c r="B1559" s="17">
        <v>7.91</v>
      </c>
      <c r="C1559" s="17"/>
      <c r="F1559"/>
      <c r="G1559"/>
      <c r="H1559"/>
      <c r="I1559"/>
      <c r="J1559"/>
    </row>
    <row r="1560" spans="1:10" x14ac:dyDescent="0.25">
      <c r="A1560" s="90">
        <v>37420</v>
      </c>
      <c r="B1560" s="17">
        <v>7.99</v>
      </c>
      <c r="C1560" s="17"/>
      <c r="F1560"/>
      <c r="G1560"/>
      <c r="H1560"/>
      <c r="I1560"/>
      <c r="J1560"/>
    </row>
    <row r="1561" spans="1:10" x14ac:dyDescent="0.25">
      <c r="A1561" s="90">
        <v>37421</v>
      </c>
      <c r="B1561" s="17">
        <v>7.98</v>
      </c>
      <c r="C1561" s="17"/>
      <c r="F1561"/>
      <c r="G1561"/>
      <c r="H1561"/>
      <c r="I1561"/>
      <c r="J1561"/>
    </row>
    <row r="1562" spans="1:10" x14ac:dyDescent="0.25">
      <c r="A1562" s="90">
        <v>37424</v>
      </c>
      <c r="B1562" s="17">
        <v>8.39</v>
      </c>
      <c r="C1562" s="17"/>
      <c r="F1562"/>
      <c r="G1562"/>
      <c r="H1562"/>
      <c r="I1562"/>
      <c r="J1562"/>
    </row>
    <row r="1563" spans="1:10" x14ac:dyDescent="0.25">
      <c r="A1563" s="90">
        <v>37425</v>
      </c>
      <c r="B1563" s="17">
        <v>8.32</v>
      </c>
      <c r="C1563" s="17"/>
      <c r="F1563"/>
      <c r="G1563"/>
      <c r="H1563"/>
      <c r="I1563"/>
      <c r="J1563"/>
    </row>
    <row r="1564" spans="1:10" x14ac:dyDescent="0.25">
      <c r="A1564" s="90">
        <v>37426</v>
      </c>
      <c r="B1564" s="17">
        <v>8.01</v>
      </c>
      <c r="C1564" s="17"/>
      <c r="F1564"/>
      <c r="G1564"/>
      <c r="H1564"/>
      <c r="I1564"/>
      <c r="J1564"/>
    </row>
    <row r="1565" spans="1:10" x14ac:dyDescent="0.25">
      <c r="A1565" s="90">
        <v>37427</v>
      </c>
      <c r="B1565" s="17">
        <v>7.82</v>
      </c>
      <c r="C1565" s="17"/>
      <c r="F1565"/>
      <c r="G1565"/>
      <c r="H1565"/>
      <c r="I1565"/>
      <c r="J1565"/>
    </row>
    <row r="1566" spans="1:10" x14ac:dyDescent="0.25">
      <c r="A1566" s="90">
        <v>37428</v>
      </c>
      <c r="B1566" s="17">
        <v>7.74</v>
      </c>
      <c r="C1566" s="17"/>
      <c r="F1566"/>
      <c r="G1566"/>
      <c r="H1566"/>
      <c r="I1566"/>
      <c r="J1566"/>
    </row>
    <row r="1567" spans="1:10" x14ac:dyDescent="0.25">
      <c r="A1567" s="90">
        <v>37431</v>
      </c>
      <c r="B1567" s="17">
        <v>7.54</v>
      </c>
      <c r="C1567" s="17"/>
      <c r="F1567"/>
      <c r="G1567"/>
      <c r="H1567"/>
      <c r="I1567"/>
      <c r="J1567"/>
    </row>
    <row r="1568" spans="1:10" x14ac:dyDescent="0.25">
      <c r="A1568" s="90">
        <v>37432</v>
      </c>
      <c r="B1568" s="17">
        <v>6.86</v>
      </c>
      <c r="C1568" s="17"/>
      <c r="F1568"/>
      <c r="G1568"/>
      <c r="H1568"/>
      <c r="I1568"/>
      <c r="J1568"/>
    </row>
    <row r="1569" spans="1:10" x14ac:dyDescent="0.25">
      <c r="A1569" s="90">
        <v>37433</v>
      </c>
      <c r="B1569" s="17">
        <v>7.09</v>
      </c>
      <c r="C1569" s="17"/>
      <c r="F1569"/>
      <c r="G1569"/>
      <c r="H1569"/>
      <c r="I1569"/>
      <c r="J1569"/>
    </row>
    <row r="1570" spans="1:10" x14ac:dyDescent="0.25">
      <c r="A1570" s="90">
        <v>37434</v>
      </c>
      <c r="B1570" s="17">
        <v>7.09</v>
      </c>
      <c r="C1570" s="17"/>
      <c r="F1570"/>
      <c r="G1570"/>
      <c r="H1570"/>
      <c r="I1570"/>
      <c r="J1570"/>
    </row>
    <row r="1571" spans="1:10" x14ac:dyDescent="0.25">
      <c r="A1571" s="90">
        <v>37435</v>
      </c>
      <c r="B1571" s="17">
        <v>7.38</v>
      </c>
      <c r="C1571" s="17"/>
      <c r="F1571"/>
      <c r="G1571"/>
      <c r="H1571"/>
      <c r="I1571"/>
      <c r="J1571"/>
    </row>
    <row r="1572" spans="1:10" x14ac:dyDescent="0.25">
      <c r="A1572" s="90">
        <v>37438</v>
      </c>
      <c r="B1572" s="17">
        <v>6.82</v>
      </c>
      <c r="C1572" s="17"/>
      <c r="F1572"/>
      <c r="G1572"/>
      <c r="H1572"/>
      <c r="I1572"/>
      <c r="J1572"/>
    </row>
    <row r="1573" spans="1:10" x14ac:dyDescent="0.25">
      <c r="A1573" s="90">
        <v>37439</v>
      </c>
      <c r="B1573" s="17">
        <v>5.94</v>
      </c>
      <c r="C1573" s="17"/>
      <c r="F1573"/>
      <c r="G1573"/>
      <c r="H1573"/>
      <c r="I1573"/>
      <c r="J1573"/>
    </row>
    <row r="1574" spans="1:10" x14ac:dyDescent="0.25">
      <c r="A1574" s="90">
        <v>37440</v>
      </c>
      <c r="B1574" s="17">
        <v>6.39</v>
      </c>
      <c r="C1574" s="17"/>
      <c r="F1574"/>
      <c r="G1574"/>
      <c r="H1574"/>
      <c r="I1574"/>
      <c r="J1574"/>
    </row>
    <row r="1575" spans="1:10" x14ac:dyDescent="0.25">
      <c r="A1575" s="90">
        <v>37442</v>
      </c>
      <c r="B1575" s="17">
        <v>6.81</v>
      </c>
      <c r="C1575" s="17"/>
      <c r="F1575"/>
      <c r="G1575"/>
      <c r="H1575"/>
      <c r="I1575"/>
      <c r="J1575"/>
    </row>
    <row r="1576" spans="1:10" x14ac:dyDescent="0.25">
      <c r="A1576" s="90">
        <v>37445</v>
      </c>
      <c r="B1576" s="17">
        <v>6.45</v>
      </c>
      <c r="C1576" s="17"/>
      <c r="F1576"/>
      <c r="G1576"/>
      <c r="H1576"/>
      <c r="I1576"/>
      <c r="J1576"/>
    </row>
    <row r="1577" spans="1:10" x14ac:dyDescent="0.25">
      <c r="A1577" s="90">
        <v>37446</v>
      </c>
      <c r="B1577" s="17">
        <v>6.35</v>
      </c>
      <c r="C1577" s="17"/>
      <c r="F1577"/>
      <c r="G1577"/>
      <c r="H1577"/>
      <c r="I1577"/>
      <c r="J1577"/>
    </row>
    <row r="1578" spans="1:10" x14ac:dyDescent="0.25">
      <c r="A1578" s="90">
        <v>37447</v>
      </c>
      <c r="B1578" s="17">
        <v>6.09</v>
      </c>
      <c r="C1578" s="17"/>
      <c r="F1578"/>
      <c r="G1578"/>
      <c r="H1578"/>
      <c r="I1578"/>
      <c r="J1578"/>
    </row>
    <row r="1579" spans="1:10" x14ac:dyDescent="0.25">
      <c r="A1579" s="90">
        <v>37448</v>
      </c>
      <c r="B1579" s="17">
        <v>6.46</v>
      </c>
      <c r="C1579" s="17"/>
      <c r="F1579"/>
      <c r="G1579"/>
      <c r="H1579"/>
      <c r="I1579"/>
      <c r="J1579"/>
    </row>
    <row r="1580" spans="1:10" x14ac:dyDescent="0.25">
      <c r="A1580" s="90">
        <v>37449</v>
      </c>
      <c r="B1580" s="17">
        <v>6.47</v>
      </c>
      <c r="C1580" s="17"/>
      <c r="F1580"/>
      <c r="G1580"/>
      <c r="H1580"/>
      <c r="I1580"/>
      <c r="J1580"/>
    </row>
    <row r="1581" spans="1:10" x14ac:dyDescent="0.25">
      <c r="A1581" s="90">
        <v>37452</v>
      </c>
      <c r="B1581" s="17">
        <v>6.53</v>
      </c>
      <c r="C1581" s="17"/>
      <c r="F1581"/>
      <c r="G1581"/>
      <c r="H1581"/>
      <c r="I1581"/>
      <c r="J1581"/>
    </row>
    <row r="1582" spans="1:10" x14ac:dyDescent="0.25">
      <c r="A1582" s="90">
        <v>37453</v>
      </c>
      <c r="B1582" s="17">
        <v>6.88</v>
      </c>
      <c r="C1582" s="17"/>
      <c r="F1582"/>
      <c r="G1582"/>
      <c r="H1582"/>
      <c r="I1582"/>
      <c r="J1582"/>
    </row>
    <row r="1583" spans="1:10" x14ac:dyDescent="0.25">
      <c r="A1583" s="90">
        <v>37454</v>
      </c>
      <c r="B1583" s="17">
        <v>7.13</v>
      </c>
      <c r="C1583" s="17"/>
      <c r="F1583"/>
      <c r="G1583"/>
      <c r="H1583"/>
      <c r="I1583"/>
      <c r="J1583"/>
    </row>
    <row r="1584" spans="1:10" x14ac:dyDescent="0.25">
      <c r="A1584" s="90">
        <v>37455</v>
      </c>
      <c r="B1584" s="17">
        <v>6.79</v>
      </c>
      <c r="C1584" s="17"/>
      <c r="F1584"/>
      <c r="G1584"/>
      <c r="H1584"/>
      <c r="I1584"/>
      <c r="J1584"/>
    </row>
    <row r="1585" spans="1:10" x14ac:dyDescent="0.25">
      <c r="A1585" s="90">
        <v>37456</v>
      </c>
      <c r="B1585" s="17">
        <v>6.68</v>
      </c>
      <c r="C1585" s="17"/>
      <c r="F1585"/>
      <c r="G1585"/>
      <c r="H1585"/>
      <c r="I1585"/>
      <c r="J1585"/>
    </row>
    <row r="1586" spans="1:10" x14ac:dyDescent="0.25">
      <c r="A1586" s="90">
        <v>37459</v>
      </c>
      <c r="B1586" s="17">
        <v>6.66</v>
      </c>
      <c r="C1586" s="17"/>
      <c r="F1586"/>
      <c r="G1586"/>
      <c r="H1586"/>
      <c r="I1586"/>
      <c r="J1586"/>
    </row>
    <row r="1587" spans="1:10" x14ac:dyDescent="0.25">
      <c r="A1587" s="90">
        <v>37460</v>
      </c>
      <c r="B1587" s="17">
        <v>6.33</v>
      </c>
      <c r="C1587" s="17"/>
      <c r="F1587"/>
      <c r="G1587"/>
      <c r="H1587"/>
      <c r="I1587"/>
      <c r="J1587"/>
    </row>
    <row r="1588" spans="1:10" x14ac:dyDescent="0.25">
      <c r="A1588" s="90">
        <v>37461</v>
      </c>
      <c r="B1588" s="17">
        <v>6.79</v>
      </c>
      <c r="C1588" s="17"/>
      <c r="F1588"/>
      <c r="G1588"/>
      <c r="H1588"/>
      <c r="I1588"/>
      <c r="J1588"/>
    </row>
    <row r="1589" spans="1:10" x14ac:dyDescent="0.25">
      <c r="A1589" s="90">
        <v>37462</v>
      </c>
      <c r="B1589" s="17">
        <v>6.08</v>
      </c>
      <c r="C1589" s="17"/>
      <c r="F1589"/>
      <c r="G1589"/>
      <c r="H1589"/>
      <c r="I1589"/>
      <c r="J1589"/>
    </row>
    <row r="1590" spans="1:10" x14ac:dyDescent="0.25">
      <c r="A1590" s="90">
        <v>37463</v>
      </c>
      <c r="B1590" s="17">
        <v>6.35</v>
      </c>
      <c r="C1590" s="17"/>
      <c r="F1590"/>
      <c r="G1590"/>
      <c r="H1590"/>
      <c r="I1590"/>
      <c r="J1590"/>
    </row>
    <row r="1591" spans="1:10" x14ac:dyDescent="0.25">
      <c r="A1591" s="90">
        <v>37466</v>
      </c>
      <c r="B1591" s="17">
        <v>6.59</v>
      </c>
      <c r="C1591" s="17"/>
      <c r="F1591"/>
      <c r="G1591"/>
      <c r="H1591"/>
      <c r="I1591"/>
      <c r="J1591"/>
    </row>
    <row r="1592" spans="1:10" x14ac:dyDescent="0.25">
      <c r="A1592" s="90">
        <v>37467</v>
      </c>
      <c r="B1592" s="17">
        <v>6.7</v>
      </c>
      <c r="C1592" s="17"/>
      <c r="F1592"/>
      <c r="G1592"/>
      <c r="H1592"/>
      <c r="I1592"/>
      <c r="J1592"/>
    </row>
    <row r="1593" spans="1:10" x14ac:dyDescent="0.25">
      <c r="A1593" s="90">
        <v>37468</v>
      </c>
      <c r="B1593" s="17">
        <v>6.59</v>
      </c>
      <c r="C1593" s="17"/>
      <c r="F1593"/>
      <c r="G1593"/>
      <c r="H1593"/>
      <c r="I1593"/>
      <c r="J1593"/>
    </row>
    <row r="1594" spans="1:10" x14ac:dyDescent="0.25">
      <c r="A1594" s="90">
        <v>37469</v>
      </c>
      <c r="B1594" s="17">
        <v>6.08</v>
      </c>
      <c r="C1594" s="17"/>
      <c r="F1594"/>
      <c r="G1594"/>
      <c r="H1594"/>
      <c r="I1594"/>
      <c r="J1594"/>
    </row>
    <row r="1595" spans="1:10" x14ac:dyDescent="0.25">
      <c r="A1595" s="90">
        <v>37470</v>
      </c>
      <c r="B1595" s="17">
        <v>5.79</v>
      </c>
      <c r="C1595" s="17"/>
      <c r="F1595"/>
      <c r="G1595"/>
      <c r="H1595"/>
      <c r="I1595"/>
      <c r="J1595"/>
    </row>
    <row r="1596" spans="1:10" x14ac:dyDescent="0.25">
      <c r="A1596" s="90">
        <v>37473</v>
      </c>
      <c r="B1596" s="17">
        <v>5.45</v>
      </c>
      <c r="C1596" s="17"/>
      <c r="F1596"/>
      <c r="G1596"/>
      <c r="H1596"/>
      <c r="I1596"/>
      <c r="J1596"/>
    </row>
    <row r="1597" spans="1:10" x14ac:dyDescent="0.25">
      <c r="A1597" s="90">
        <v>37474</v>
      </c>
      <c r="B1597" s="17">
        <v>5.75</v>
      </c>
      <c r="C1597" s="17"/>
      <c r="F1597"/>
      <c r="G1597"/>
      <c r="H1597"/>
      <c r="I1597"/>
      <c r="J1597"/>
    </row>
    <row r="1598" spans="1:10" x14ac:dyDescent="0.25">
      <c r="A1598" s="90">
        <v>37475</v>
      </c>
      <c r="B1598" s="17">
        <v>5.72</v>
      </c>
      <c r="C1598" s="17"/>
      <c r="F1598"/>
      <c r="G1598"/>
      <c r="H1598"/>
      <c r="I1598"/>
      <c r="J1598"/>
    </row>
    <row r="1599" spans="1:10" x14ac:dyDescent="0.25">
      <c r="A1599" s="90">
        <v>37476</v>
      </c>
      <c r="B1599" s="17">
        <v>5.98</v>
      </c>
      <c r="C1599" s="17"/>
      <c r="F1599"/>
      <c r="G1599"/>
      <c r="H1599"/>
      <c r="I1599"/>
      <c r="J1599"/>
    </row>
    <row r="1600" spans="1:10" x14ac:dyDescent="0.25">
      <c r="A1600" s="90">
        <v>37477</v>
      </c>
      <c r="B1600" s="17">
        <v>5.98</v>
      </c>
      <c r="C1600" s="17"/>
      <c r="F1600"/>
      <c r="G1600"/>
      <c r="H1600"/>
      <c r="I1600"/>
      <c r="J1600"/>
    </row>
    <row r="1601" spans="1:10" x14ac:dyDescent="0.25">
      <c r="A1601" s="90">
        <v>37480</v>
      </c>
      <c r="B1601" s="17">
        <v>5.99</v>
      </c>
      <c r="C1601" s="17"/>
      <c r="F1601"/>
      <c r="G1601"/>
      <c r="H1601"/>
      <c r="I1601"/>
      <c r="J1601"/>
    </row>
    <row r="1602" spans="1:10" x14ac:dyDescent="0.25">
      <c r="A1602" s="90">
        <v>37481</v>
      </c>
      <c r="B1602" s="17">
        <v>5.59</v>
      </c>
      <c r="C1602" s="17"/>
      <c r="F1602"/>
      <c r="G1602"/>
      <c r="H1602"/>
      <c r="I1602"/>
      <c r="J1602"/>
    </row>
    <row r="1603" spans="1:10" x14ac:dyDescent="0.25">
      <c r="A1603" s="90">
        <v>37482</v>
      </c>
      <c r="B1603" s="17">
        <v>5.86</v>
      </c>
      <c r="C1603" s="17"/>
      <c r="F1603"/>
      <c r="G1603"/>
      <c r="H1603"/>
      <c r="I1603"/>
      <c r="J1603"/>
    </row>
    <row r="1604" spans="1:10" x14ac:dyDescent="0.25">
      <c r="A1604" s="90">
        <v>37483</v>
      </c>
      <c r="B1604" s="17">
        <v>6.11</v>
      </c>
      <c r="C1604" s="17"/>
      <c r="F1604"/>
      <c r="G1604"/>
      <c r="H1604"/>
      <c r="I1604"/>
      <c r="J1604"/>
    </row>
    <row r="1605" spans="1:10" x14ac:dyDescent="0.25">
      <c r="A1605" s="90">
        <v>37484</v>
      </c>
      <c r="B1605" s="17">
        <v>6.05</v>
      </c>
      <c r="C1605" s="17"/>
      <c r="F1605"/>
      <c r="G1605"/>
      <c r="H1605"/>
      <c r="I1605"/>
      <c r="J1605"/>
    </row>
    <row r="1606" spans="1:10" x14ac:dyDescent="0.25">
      <c r="A1606" s="90">
        <v>37487</v>
      </c>
      <c r="B1606" s="17">
        <v>6.74</v>
      </c>
      <c r="C1606" s="17"/>
      <c r="F1606"/>
      <c r="G1606"/>
      <c r="H1606"/>
      <c r="I1606"/>
      <c r="J1606"/>
    </row>
    <row r="1607" spans="1:10" x14ac:dyDescent="0.25">
      <c r="A1607" s="90">
        <v>37488</v>
      </c>
      <c r="B1607" s="17">
        <v>6.55</v>
      </c>
      <c r="C1607" s="17"/>
      <c r="F1607"/>
      <c r="G1607"/>
      <c r="H1607"/>
      <c r="I1607"/>
      <c r="J1607"/>
    </row>
    <row r="1608" spans="1:10" x14ac:dyDescent="0.25">
      <c r="A1608" s="90">
        <v>37489</v>
      </c>
      <c r="B1608" s="17">
        <v>6.45</v>
      </c>
      <c r="C1608" s="17"/>
      <c r="F1608"/>
      <c r="G1608"/>
      <c r="H1608"/>
      <c r="I1608"/>
      <c r="J1608"/>
    </row>
    <row r="1609" spans="1:10" x14ac:dyDescent="0.25">
      <c r="A1609" s="90">
        <v>37490</v>
      </c>
      <c r="B1609" s="17">
        <v>6.4</v>
      </c>
      <c r="C1609" s="17"/>
      <c r="F1609"/>
      <c r="G1609"/>
      <c r="H1609"/>
      <c r="I1609"/>
      <c r="J1609"/>
    </row>
    <row r="1610" spans="1:10" x14ac:dyDescent="0.25">
      <c r="A1610" s="90">
        <v>37491</v>
      </c>
      <c r="B1610" s="17">
        <v>6.01</v>
      </c>
      <c r="C1610" s="17"/>
      <c r="F1610"/>
      <c r="G1610"/>
      <c r="H1610"/>
      <c r="I1610"/>
      <c r="J1610"/>
    </row>
    <row r="1611" spans="1:10" x14ac:dyDescent="0.25">
      <c r="A1611" s="90">
        <v>37494</v>
      </c>
      <c r="B1611" s="17">
        <v>5.66</v>
      </c>
      <c r="C1611" s="17"/>
      <c r="F1611"/>
      <c r="G1611"/>
      <c r="H1611"/>
      <c r="I1611"/>
      <c r="J1611"/>
    </row>
    <row r="1612" spans="1:10" x14ac:dyDescent="0.25">
      <c r="A1612" s="90">
        <v>37495</v>
      </c>
      <c r="B1612" s="17">
        <v>5.35</v>
      </c>
      <c r="C1612" s="17"/>
      <c r="F1612"/>
      <c r="G1612"/>
      <c r="H1612"/>
      <c r="I1612"/>
      <c r="J1612"/>
    </row>
    <row r="1613" spans="1:10" x14ac:dyDescent="0.25">
      <c r="A1613" s="90">
        <v>37496</v>
      </c>
      <c r="B1613" s="17">
        <v>4.57</v>
      </c>
      <c r="C1613" s="17"/>
      <c r="F1613"/>
      <c r="G1613"/>
      <c r="H1613"/>
      <c r="I1613"/>
      <c r="J1613"/>
    </row>
    <row r="1614" spans="1:10" x14ac:dyDescent="0.25">
      <c r="A1614" s="90">
        <v>37497</v>
      </c>
      <c r="B1614" s="17">
        <v>5.12</v>
      </c>
      <c r="C1614" s="17"/>
      <c r="F1614"/>
      <c r="G1614"/>
      <c r="H1614"/>
      <c r="I1614"/>
      <c r="J1614"/>
    </row>
    <row r="1615" spans="1:10" x14ac:dyDescent="0.25">
      <c r="A1615" s="90">
        <v>37498</v>
      </c>
      <c r="B1615" s="17">
        <v>5.14</v>
      </c>
      <c r="C1615" s="17"/>
      <c r="F1615"/>
      <c r="G1615"/>
      <c r="H1615"/>
      <c r="I1615"/>
      <c r="J1615"/>
    </row>
    <row r="1616" spans="1:10" x14ac:dyDescent="0.25">
      <c r="A1616" s="90">
        <v>37502</v>
      </c>
      <c r="B1616" s="17">
        <v>4.8600000000000003</v>
      </c>
      <c r="C1616" s="17"/>
      <c r="F1616"/>
      <c r="G1616"/>
      <c r="H1616"/>
      <c r="I1616"/>
      <c r="J1616"/>
    </row>
    <row r="1617" spans="1:10" x14ac:dyDescent="0.25">
      <c r="A1617" s="90">
        <v>37503</v>
      </c>
      <c r="B1617" s="17">
        <v>4.8899999999999997</v>
      </c>
      <c r="C1617" s="17"/>
      <c r="F1617"/>
      <c r="G1617"/>
      <c r="H1617"/>
      <c r="I1617"/>
      <c r="J1617"/>
    </row>
    <row r="1618" spans="1:10" x14ac:dyDescent="0.25">
      <c r="A1618" s="90">
        <v>37504</v>
      </c>
      <c r="B1618" s="17">
        <v>4.59</v>
      </c>
      <c r="C1618" s="17"/>
      <c r="F1618"/>
      <c r="G1618"/>
      <c r="H1618"/>
      <c r="I1618"/>
      <c r="J1618"/>
    </row>
    <row r="1619" spans="1:10" x14ac:dyDescent="0.25">
      <c r="A1619" s="90">
        <v>37505</v>
      </c>
      <c r="B1619" s="17">
        <v>4.97</v>
      </c>
      <c r="C1619" s="17"/>
      <c r="F1619"/>
      <c r="G1619"/>
      <c r="H1619"/>
      <c r="I1619"/>
      <c r="J1619"/>
    </row>
    <row r="1620" spans="1:10" x14ac:dyDescent="0.25">
      <c r="A1620" s="90">
        <v>37508</v>
      </c>
      <c r="B1620" s="17">
        <v>5.07</v>
      </c>
      <c r="C1620" s="17"/>
      <c r="F1620"/>
      <c r="G1620"/>
      <c r="H1620"/>
      <c r="I1620"/>
      <c r="J1620"/>
    </row>
    <row r="1621" spans="1:10" x14ac:dyDescent="0.25">
      <c r="A1621" s="90">
        <v>37509</v>
      </c>
      <c r="B1621" s="17">
        <v>5.23</v>
      </c>
      <c r="C1621" s="17"/>
      <c r="F1621"/>
      <c r="G1621"/>
      <c r="H1621"/>
      <c r="I1621"/>
      <c r="J1621"/>
    </row>
    <row r="1622" spans="1:10" x14ac:dyDescent="0.25">
      <c r="A1622" s="90">
        <v>37510</v>
      </c>
      <c r="B1622" s="17">
        <v>5.36</v>
      </c>
      <c r="C1622" s="17"/>
      <c r="F1622"/>
      <c r="G1622"/>
      <c r="H1622"/>
      <c r="I1622"/>
      <c r="J1622"/>
    </row>
    <row r="1623" spans="1:10" x14ac:dyDescent="0.25">
      <c r="A1623" s="90">
        <v>37511</v>
      </c>
      <c r="B1623" s="17">
        <v>5.18</v>
      </c>
      <c r="C1623" s="17"/>
      <c r="F1623"/>
      <c r="G1623"/>
      <c r="H1623"/>
      <c r="I1623"/>
      <c r="J1623"/>
    </row>
    <row r="1624" spans="1:10" x14ac:dyDescent="0.25">
      <c r="A1624" s="90">
        <v>37512</v>
      </c>
      <c r="B1624" s="17">
        <v>5.23</v>
      </c>
      <c r="C1624" s="17"/>
      <c r="F1624"/>
      <c r="G1624"/>
      <c r="H1624"/>
      <c r="I1624"/>
      <c r="J1624"/>
    </row>
    <row r="1625" spans="1:10" x14ac:dyDescent="0.25">
      <c r="A1625" s="90">
        <v>37515</v>
      </c>
      <c r="B1625" s="17">
        <v>5.09</v>
      </c>
      <c r="C1625" s="17"/>
      <c r="F1625"/>
      <c r="G1625"/>
      <c r="H1625"/>
      <c r="I1625"/>
      <c r="J1625"/>
    </row>
    <row r="1626" spans="1:10" x14ac:dyDescent="0.25">
      <c r="A1626" s="90">
        <v>37516</v>
      </c>
      <c r="B1626" s="17">
        <v>5.01</v>
      </c>
      <c r="C1626" s="17"/>
      <c r="F1626"/>
      <c r="G1626"/>
      <c r="H1626"/>
      <c r="I1626"/>
      <c r="J1626"/>
    </row>
    <row r="1627" spans="1:10" x14ac:dyDescent="0.25">
      <c r="A1627" s="90">
        <v>37517</v>
      </c>
      <c r="B1627" s="17">
        <v>5</v>
      </c>
      <c r="C1627" s="17"/>
      <c r="F1627"/>
      <c r="G1627"/>
      <c r="H1627"/>
      <c r="I1627"/>
      <c r="J1627"/>
    </row>
    <row r="1628" spans="1:10" x14ac:dyDescent="0.25">
      <c r="A1628" s="90">
        <v>37518</v>
      </c>
      <c r="B1628" s="17">
        <v>4.75</v>
      </c>
      <c r="C1628" s="17"/>
      <c r="F1628"/>
      <c r="G1628"/>
      <c r="H1628"/>
      <c r="I1628"/>
      <c r="J1628"/>
    </row>
    <row r="1629" spans="1:10" x14ac:dyDescent="0.25">
      <c r="A1629" s="90">
        <v>37519</v>
      </c>
      <c r="B1629" s="17">
        <v>4.88</v>
      </c>
      <c r="C1629" s="17"/>
      <c r="F1629"/>
      <c r="G1629"/>
      <c r="H1629"/>
      <c r="I1629"/>
      <c r="J1629"/>
    </row>
    <row r="1630" spans="1:10" x14ac:dyDescent="0.25">
      <c r="A1630" s="90">
        <v>37522</v>
      </c>
      <c r="B1630" s="17">
        <v>4.54</v>
      </c>
      <c r="C1630" s="17"/>
      <c r="F1630"/>
      <c r="G1630"/>
      <c r="H1630"/>
      <c r="I1630"/>
      <c r="J1630"/>
    </row>
    <row r="1631" spans="1:10" x14ac:dyDescent="0.25">
      <c r="A1631" s="90">
        <v>37523</v>
      </c>
      <c r="B1631" s="17">
        <v>4.5</v>
      </c>
      <c r="C1631" s="17"/>
      <c r="F1631"/>
      <c r="G1631"/>
      <c r="H1631"/>
      <c r="I1631"/>
      <c r="J1631"/>
    </row>
    <row r="1632" spans="1:10" x14ac:dyDescent="0.25">
      <c r="A1632" s="90">
        <v>37524</v>
      </c>
      <c r="B1632" s="17">
        <v>4.95</v>
      </c>
      <c r="C1632" s="17"/>
      <c r="F1632"/>
      <c r="G1632"/>
      <c r="H1632"/>
      <c r="I1632"/>
      <c r="J1632"/>
    </row>
    <row r="1633" spans="1:10" x14ac:dyDescent="0.25">
      <c r="A1633" s="90">
        <v>37525</v>
      </c>
      <c r="B1633" s="17">
        <v>5.3</v>
      </c>
      <c r="C1633" s="17"/>
      <c r="F1633"/>
      <c r="G1633"/>
      <c r="H1633"/>
      <c r="I1633"/>
      <c r="J1633"/>
    </row>
    <row r="1634" spans="1:10" x14ac:dyDescent="0.25">
      <c r="A1634" s="90">
        <v>37526</v>
      </c>
      <c r="B1634" s="17">
        <v>5.29</v>
      </c>
      <c r="C1634" s="17"/>
      <c r="F1634"/>
      <c r="G1634"/>
      <c r="H1634"/>
      <c r="I1634"/>
      <c r="J1634"/>
    </row>
    <row r="1635" spans="1:10" x14ac:dyDescent="0.25">
      <c r="A1635" s="90">
        <v>37529</v>
      </c>
      <c r="B1635" s="17">
        <v>4.78</v>
      </c>
      <c r="C1635" s="17"/>
      <c r="F1635"/>
      <c r="G1635"/>
      <c r="H1635"/>
      <c r="I1635"/>
      <c r="J1635"/>
    </row>
    <row r="1636" spans="1:10" x14ac:dyDescent="0.25">
      <c r="A1636" s="90">
        <v>37530</v>
      </c>
      <c r="B1636" s="17">
        <v>4.8499999999999996</v>
      </c>
      <c r="C1636" s="17"/>
      <c r="F1636"/>
      <c r="G1636"/>
      <c r="H1636"/>
      <c r="I1636"/>
      <c r="J1636"/>
    </row>
    <row r="1637" spans="1:10" x14ac:dyDescent="0.25">
      <c r="A1637" s="90">
        <v>37531</v>
      </c>
      <c r="B1637" s="17">
        <v>4.74</v>
      </c>
      <c r="C1637" s="17"/>
      <c r="F1637"/>
      <c r="G1637"/>
      <c r="H1637"/>
      <c r="I1637"/>
      <c r="J1637"/>
    </row>
    <row r="1638" spans="1:10" x14ac:dyDescent="0.25">
      <c r="A1638" s="90">
        <v>37532</v>
      </c>
      <c r="B1638" s="17">
        <v>4.7</v>
      </c>
      <c r="C1638" s="17"/>
      <c r="F1638"/>
      <c r="G1638"/>
      <c r="H1638"/>
      <c r="I1638"/>
      <c r="J1638"/>
    </row>
    <row r="1639" spans="1:10" x14ac:dyDescent="0.25">
      <c r="A1639" s="90">
        <v>37533</v>
      </c>
      <c r="B1639" s="17">
        <v>4.67</v>
      </c>
      <c r="C1639" s="17"/>
      <c r="F1639"/>
      <c r="G1639"/>
      <c r="H1639"/>
      <c r="I1639"/>
      <c r="J1639"/>
    </row>
    <row r="1640" spans="1:10" x14ac:dyDescent="0.25">
      <c r="A1640" s="90">
        <v>37536</v>
      </c>
      <c r="B1640" s="17">
        <v>4.54</v>
      </c>
      <c r="C1640" s="17"/>
      <c r="F1640"/>
      <c r="G1640"/>
      <c r="H1640"/>
      <c r="I1640"/>
      <c r="J1640"/>
    </row>
    <row r="1641" spans="1:10" x14ac:dyDescent="0.25">
      <c r="A1641" s="90">
        <v>37537</v>
      </c>
      <c r="B1641" s="17">
        <v>4.75</v>
      </c>
      <c r="C1641" s="17"/>
      <c r="F1641"/>
      <c r="G1641"/>
      <c r="H1641"/>
      <c r="I1641"/>
      <c r="J1641"/>
    </row>
    <row r="1642" spans="1:10" x14ac:dyDescent="0.25">
      <c r="A1642" s="90">
        <v>37538</v>
      </c>
      <c r="B1642" s="17">
        <v>4.99</v>
      </c>
      <c r="C1642" s="17"/>
      <c r="F1642"/>
      <c r="G1642"/>
      <c r="H1642"/>
      <c r="I1642"/>
      <c r="J1642"/>
    </row>
    <row r="1643" spans="1:10" x14ac:dyDescent="0.25">
      <c r="A1643" s="90">
        <v>37539</v>
      </c>
      <c r="B1643" s="17">
        <v>6.14</v>
      </c>
      <c r="C1643" s="17"/>
      <c r="F1643"/>
      <c r="G1643"/>
      <c r="H1643"/>
      <c r="I1643"/>
      <c r="J1643"/>
    </row>
    <row r="1644" spans="1:10" x14ac:dyDescent="0.25">
      <c r="A1644" s="90">
        <v>37540</v>
      </c>
      <c r="B1644" s="17">
        <v>6.68</v>
      </c>
      <c r="C1644" s="17"/>
      <c r="F1644"/>
      <c r="G1644"/>
      <c r="H1644"/>
      <c r="I1644"/>
      <c r="J1644"/>
    </row>
    <row r="1645" spans="1:10" x14ac:dyDescent="0.25">
      <c r="A1645" s="90">
        <v>37543</v>
      </c>
      <c r="B1645" s="17">
        <v>7.13</v>
      </c>
      <c r="C1645" s="17"/>
      <c r="F1645"/>
      <c r="G1645"/>
      <c r="H1645"/>
      <c r="I1645"/>
      <c r="J1645"/>
    </row>
    <row r="1646" spans="1:10" x14ac:dyDescent="0.25">
      <c r="A1646" s="90">
        <v>37544</v>
      </c>
      <c r="B1646" s="17">
        <v>7.21</v>
      </c>
      <c r="C1646" s="17"/>
      <c r="F1646"/>
      <c r="G1646"/>
      <c r="H1646"/>
      <c r="I1646"/>
      <c r="J1646"/>
    </row>
    <row r="1647" spans="1:10" x14ac:dyDescent="0.25">
      <c r="A1647" s="90">
        <v>37545</v>
      </c>
      <c r="B1647" s="17">
        <v>7.34</v>
      </c>
      <c r="C1647" s="17"/>
      <c r="F1647"/>
      <c r="G1647"/>
      <c r="H1647"/>
      <c r="I1647"/>
      <c r="J1647"/>
    </row>
    <row r="1648" spans="1:10" x14ac:dyDescent="0.25">
      <c r="A1648" s="90">
        <v>37546</v>
      </c>
      <c r="B1648" s="17">
        <v>7.34</v>
      </c>
      <c r="C1648" s="17"/>
      <c r="F1648"/>
      <c r="G1648"/>
      <c r="H1648"/>
      <c r="I1648"/>
      <c r="J1648"/>
    </row>
    <row r="1649" spans="1:10" x14ac:dyDescent="0.25">
      <c r="A1649" s="90">
        <v>37547</v>
      </c>
      <c r="B1649" s="17">
        <v>7.51</v>
      </c>
      <c r="C1649" s="17"/>
      <c r="F1649"/>
      <c r="G1649"/>
      <c r="H1649"/>
      <c r="I1649"/>
      <c r="J1649"/>
    </row>
    <row r="1650" spans="1:10" x14ac:dyDescent="0.25">
      <c r="A1650" s="90">
        <v>37550</v>
      </c>
      <c r="B1650" s="17">
        <v>7.48</v>
      </c>
      <c r="C1650" s="17"/>
      <c r="F1650"/>
      <c r="G1650"/>
      <c r="H1650"/>
      <c r="I1650"/>
      <c r="J1650"/>
    </row>
    <row r="1651" spans="1:10" x14ac:dyDescent="0.25">
      <c r="A1651" s="90">
        <v>37551</v>
      </c>
      <c r="B1651" s="17">
        <v>7.43</v>
      </c>
      <c r="C1651" s="17"/>
      <c r="F1651"/>
      <c r="G1651"/>
      <c r="H1651"/>
      <c r="I1651"/>
      <c r="J1651"/>
    </row>
    <row r="1652" spans="1:10" x14ac:dyDescent="0.25">
      <c r="A1652" s="90">
        <v>37552</v>
      </c>
      <c r="B1652" s="17">
        <v>7.53</v>
      </c>
      <c r="C1652" s="17"/>
      <c r="F1652"/>
      <c r="G1652"/>
      <c r="H1652"/>
      <c r="I1652"/>
      <c r="J1652"/>
    </row>
    <row r="1653" spans="1:10" x14ac:dyDescent="0.25">
      <c r="A1653" s="90">
        <v>37553</v>
      </c>
      <c r="B1653" s="17">
        <v>7.53</v>
      </c>
      <c r="C1653" s="17"/>
      <c r="F1653"/>
      <c r="G1653"/>
      <c r="H1653"/>
      <c r="I1653"/>
      <c r="J1653"/>
    </row>
    <row r="1654" spans="1:10" x14ac:dyDescent="0.25">
      <c r="A1654" s="90">
        <v>37554</v>
      </c>
      <c r="B1654" s="17">
        <v>7.46</v>
      </c>
      <c r="C1654" s="17"/>
      <c r="F1654"/>
      <c r="G1654"/>
      <c r="H1654"/>
      <c r="I1654"/>
      <c r="J1654"/>
    </row>
    <row r="1655" spans="1:10" x14ac:dyDescent="0.25">
      <c r="A1655" s="90">
        <v>37557</v>
      </c>
      <c r="B1655" s="17">
        <v>7.33</v>
      </c>
      <c r="C1655" s="17"/>
      <c r="F1655"/>
      <c r="G1655"/>
      <c r="H1655"/>
      <c r="I1655"/>
      <c r="J1655"/>
    </row>
    <row r="1656" spans="1:10" x14ac:dyDescent="0.25">
      <c r="A1656" s="90">
        <v>37558</v>
      </c>
      <c r="B1656" s="17">
        <v>7.15</v>
      </c>
      <c r="C1656" s="17"/>
      <c r="F1656"/>
      <c r="G1656"/>
      <c r="H1656"/>
      <c r="I1656"/>
      <c r="J1656"/>
    </row>
    <row r="1657" spans="1:10" x14ac:dyDescent="0.25">
      <c r="A1657" s="90">
        <v>37559</v>
      </c>
      <c r="B1657" s="17">
        <v>7.49</v>
      </c>
      <c r="C1657" s="17"/>
      <c r="F1657"/>
      <c r="G1657"/>
      <c r="H1657"/>
      <c r="I1657"/>
      <c r="J1657"/>
    </row>
    <row r="1658" spans="1:10" x14ac:dyDescent="0.25">
      <c r="A1658" s="90">
        <v>37560</v>
      </c>
      <c r="B1658" s="17">
        <v>7.46</v>
      </c>
      <c r="C1658" s="17"/>
      <c r="F1658"/>
      <c r="G1658"/>
      <c r="H1658"/>
      <c r="I1658"/>
      <c r="J1658"/>
    </row>
    <row r="1659" spans="1:10" x14ac:dyDescent="0.25">
      <c r="A1659" s="90">
        <v>37561</v>
      </c>
      <c r="B1659" s="17">
        <v>7.57</v>
      </c>
      <c r="C1659" s="17"/>
      <c r="F1659"/>
      <c r="G1659"/>
      <c r="H1659"/>
      <c r="I1659"/>
      <c r="J1659"/>
    </row>
    <row r="1660" spans="1:10" x14ac:dyDescent="0.25">
      <c r="A1660" s="90">
        <v>37564</v>
      </c>
      <c r="B1660" s="17">
        <v>8.39</v>
      </c>
      <c r="C1660" s="17"/>
      <c r="F1660"/>
      <c r="G1660"/>
      <c r="H1660"/>
      <c r="I1660"/>
      <c r="J1660"/>
    </row>
    <row r="1661" spans="1:10" x14ac:dyDescent="0.25">
      <c r="A1661" s="90">
        <v>37565</v>
      </c>
      <c r="B1661" s="17">
        <v>8.52</v>
      </c>
      <c r="C1661" s="17"/>
      <c r="F1661"/>
      <c r="G1661"/>
      <c r="H1661"/>
      <c r="I1661"/>
      <c r="J1661"/>
    </row>
    <row r="1662" spans="1:10" x14ac:dyDescent="0.25">
      <c r="A1662" s="90">
        <v>37566</v>
      </c>
      <c r="B1662" s="17">
        <v>8.69</v>
      </c>
      <c r="C1662" s="17"/>
      <c r="F1662"/>
      <c r="G1662"/>
      <c r="H1662"/>
      <c r="I1662"/>
      <c r="J1662"/>
    </row>
    <row r="1663" spans="1:10" x14ac:dyDescent="0.25">
      <c r="A1663" s="90">
        <v>37567</v>
      </c>
      <c r="B1663" s="17">
        <v>7.8</v>
      </c>
      <c r="C1663" s="17"/>
      <c r="F1663"/>
      <c r="G1663"/>
      <c r="H1663"/>
      <c r="I1663"/>
      <c r="J1663"/>
    </row>
    <row r="1664" spans="1:10" x14ac:dyDescent="0.25">
      <c r="A1664" s="90">
        <v>37568</v>
      </c>
      <c r="B1664" s="17">
        <v>7.84</v>
      </c>
      <c r="C1664" s="17"/>
      <c r="F1664"/>
      <c r="G1664"/>
      <c r="H1664"/>
      <c r="I1664"/>
      <c r="J1664"/>
    </row>
    <row r="1665" spans="1:10" x14ac:dyDescent="0.25">
      <c r="A1665" s="90">
        <v>37571</v>
      </c>
      <c r="B1665" s="17">
        <v>7.46</v>
      </c>
      <c r="C1665" s="17"/>
      <c r="F1665"/>
      <c r="G1665"/>
      <c r="H1665"/>
      <c r="I1665"/>
      <c r="J1665"/>
    </row>
    <row r="1666" spans="1:10" x14ac:dyDescent="0.25">
      <c r="A1666" s="90">
        <v>37572</v>
      </c>
      <c r="B1666" s="17">
        <v>7.74</v>
      </c>
      <c r="C1666" s="17"/>
      <c r="F1666"/>
      <c r="G1666"/>
      <c r="H1666"/>
      <c r="I1666"/>
      <c r="J1666"/>
    </row>
    <row r="1667" spans="1:10" x14ac:dyDescent="0.25">
      <c r="A1667" s="90">
        <v>37573</v>
      </c>
      <c r="B1667" s="17">
        <v>7.72</v>
      </c>
      <c r="C1667" s="17"/>
      <c r="F1667"/>
      <c r="G1667"/>
      <c r="H1667"/>
      <c r="I1667"/>
      <c r="J1667"/>
    </row>
    <row r="1668" spans="1:10" x14ac:dyDescent="0.25">
      <c r="A1668" s="90">
        <v>37574</v>
      </c>
      <c r="B1668" s="17">
        <v>8.35</v>
      </c>
      <c r="C1668" s="17"/>
      <c r="F1668"/>
      <c r="G1668"/>
      <c r="H1668"/>
      <c r="I1668"/>
      <c r="J1668"/>
    </row>
    <row r="1669" spans="1:10" x14ac:dyDescent="0.25">
      <c r="A1669" s="90">
        <v>37575</v>
      </c>
      <c r="B1669" s="17">
        <v>8.73</v>
      </c>
      <c r="C1669" s="17"/>
      <c r="F1669"/>
      <c r="G1669"/>
      <c r="H1669"/>
      <c r="I1669"/>
      <c r="J1669"/>
    </row>
    <row r="1670" spans="1:10" x14ac:dyDescent="0.25">
      <c r="A1670" s="90">
        <v>37578</v>
      </c>
      <c r="B1670" s="17">
        <v>8.8800000000000008</v>
      </c>
      <c r="C1670" s="17"/>
      <c r="F1670"/>
      <c r="G1670"/>
      <c r="H1670"/>
      <c r="I1670"/>
      <c r="J1670"/>
    </row>
    <row r="1671" spans="1:10" x14ac:dyDescent="0.25">
      <c r="A1671" s="90">
        <v>37579</v>
      </c>
      <c r="B1671" s="17">
        <v>8.3800000000000008</v>
      </c>
      <c r="C1671" s="17"/>
      <c r="F1671"/>
      <c r="G1671"/>
      <c r="H1671"/>
      <c r="I1671"/>
      <c r="J1671"/>
    </row>
    <row r="1672" spans="1:10" x14ac:dyDescent="0.25">
      <c r="A1672" s="90">
        <v>37580</v>
      </c>
      <c r="B1672" s="17">
        <v>9</v>
      </c>
      <c r="C1672" s="17"/>
      <c r="F1672"/>
      <c r="G1672"/>
      <c r="H1672"/>
      <c r="I1672"/>
      <c r="J1672"/>
    </row>
    <row r="1673" spans="1:10" x14ac:dyDescent="0.25">
      <c r="A1673" s="90">
        <v>37581</v>
      </c>
      <c r="B1673" s="17">
        <v>9.15</v>
      </c>
      <c r="C1673" s="17"/>
      <c r="F1673"/>
      <c r="G1673"/>
      <c r="H1673"/>
      <c r="I1673"/>
      <c r="J1673"/>
    </row>
    <row r="1674" spans="1:10" x14ac:dyDescent="0.25">
      <c r="A1674" s="90">
        <v>37582</v>
      </c>
      <c r="B1674" s="17">
        <v>9.1999999999999993</v>
      </c>
      <c r="C1674" s="17"/>
      <c r="F1674"/>
      <c r="G1674"/>
      <c r="H1674"/>
      <c r="I1674"/>
      <c r="J1674"/>
    </row>
    <row r="1675" spans="1:10" x14ac:dyDescent="0.25">
      <c r="A1675" s="90">
        <v>37585</v>
      </c>
      <c r="B1675" s="17">
        <v>9.19</v>
      </c>
      <c r="C1675" s="17"/>
      <c r="F1675"/>
      <c r="G1675"/>
      <c r="H1675"/>
      <c r="I1675"/>
      <c r="J1675"/>
    </row>
    <row r="1676" spans="1:10" x14ac:dyDescent="0.25">
      <c r="A1676" s="90">
        <v>37586</v>
      </c>
      <c r="B1676" s="17">
        <v>9.06</v>
      </c>
      <c r="C1676" s="17"/>
      <c r="F1676"/>
      <c r="G1676"/>
      <c r="H1676"/>
      <c r="I1676"/>
      <c r="J1676"/>
    </row>
    <row r="1677" spans="1:10" x14ac:dyDescent="0.25">
      <c r="A1677" s="90">
        <v>37587</v>
      </c>
      <c r="B1677" s="17">
        <v>9.19</v>
      </c>
      <c r="C1677" s="17"/>
      <c r="F1677"/>
      <c r="G1677"/>
      <c r="H1677"/>
      <c r="I1677"/>
      <c r="J1677"/>
    </row>
    <row r="1678" spans="1:10" x14ac:dyDescent="0.25">
      <c r="A1678" s="90">
        <v>37589</v>
      </c>
      <c r="B1678" s="17">
        <v>9.14</v>
      </c>
      <c r="C1678" s="17"/>
      <c r="F1678"/>
      <c r="G1678"/>
      <c r="H1678"/>
      <c r="I1678"/>
      <c r="J1678"/>
    </row>
    <row r="1679" spans="1:10" x14ac:dyDescent="0.25">
      <c r="A1679" s="90">
        <v>37592</v>
      </c>
      <c r="B1679" s="17">
        <v>9.02</v>
      </c>
      <c r="C1679" s="17"/>
      <c r="F1679"/>
      <c r="G1679"/>
      <c r="H1679"/>
      <c r="I1679"/>
      <c r="J1679"/>
    </row>
    <row r="1680" spans="1:10" x14ac:dyDescent="0.25">
      <c r="A1680" s="90">
        <v>37593</v>
      </c>
      <c r="B1680" s="17">
        <v>8.68</v>
      </c>
      <c r="C1680" s="17"/>
      <c r="F1680"/>
      <c r="G1680"/>
      <c r="H1680"/>
      <c r="I1680"/>
      <c r="J1680"/>
    </row>
    <row r="1681" spans="1:10" x14ac:dyDescent="0.25">
      <c r="A1681" s="90">
        <v>37594</v>
      </c>
      <c r="B1681" s="17">
        <v>8.3699999999999992</v>
      </c>
      <c r="C1681" s="17"/>
      <c r="F1681"/>
      <c r="G1681"/>
      <c r="H1681"/>
      <c r="I1681"/>
      <c r="J1681"/>
    </row>
    <row r="1682" spans="1:10" x14ac:dyDescent="0.25">
      <c r="A1682" s="90">
        <v>37595</v>
      </c>
      <c r="B1682" s="17">
        <v>8.27</v>
      </c>
      <c r="C1682" s="17"/>
      <c r="F1682"/>
      <c r="G1682"/>
      <c r="H1682"/>
      <c r="I1682"/>
      <c r="J1682"/>
    </row>
    <row r="1683" spans="1:10" x14ac:dyDescent="0.25">
      <c r="A1683" s="90">
        <v>37596</v>
      </c>
      <c r="B1683" s="17">
        <v>8.3699999999999992</v>
      </c>
      <c r="C1683" s="17"/>
      <c r="F1683"/>
      <c r="G1683"/>
      <c r="H1683"/>
      <c r="I1683"/>
      <c r="J1683"/>
    </row>
    <row r="1684" spans="1:10" x14ac:dyDescent="0.25">
      <c r="A1684" s="90">
        <v>37599</v>
      </c>
      <c r="B1684" s="17">
        <v>7.87</v>
      </c>
      <c r="C1684" s="17"/>
      <c r="F1684"/>
      <c r="G1684"/>
      <c r="H1684"/>
      <c r="I1684"/>
      <c r="J1684"/>
    </row>
    <row r="1685" spans="1:10" x14ac:dyDescent="0.25">
      <c r="A1685" s="90">
        <v>37600</v>
      </c>
      <c r="B1685" s="17">
        <v>8.14</v>
      </c>
      <c r="C1685" s="17"/>
      <c r="F1685"/>
      <c r="G1685"/>
      <c r="H1685"/>
      <c r="I1685"/>
      <c r="J1685"/>
    </row>
    <row r="1686" spans="1:10" x14ac:dyDescent="0.25">
      <c r="A1686" s="90">
        <v>37601</v>
      </c>
      <c r="B1686" s="17">
        <v>8.23</v>
      </c>
      <c r="C1686" s="17"/>
      <c r="F1686"/>
      <c r="G1686"/>
      <c r="H1686"/>
      <c r="I1686"/>
      <c r="J1686"/>
    </row>
    <row r="1687" spans="1:10" x14ac:dyDescent="0.25">
      <c r="A1687" s="90">
        <v>37602</v>
      </c>
      <c r="B1687" s="17">
        <v>8.84</v>
      </c>
      <c r="C1687" s="17"/>
      <c r="F1687"/>
      <c r="G1687"/>
      <c r="H1687"/>
      <c r="I1687"/>
      <c r="J1687"/>
    </row>
    <row r="1688" spans="1:10" x14ac:dyDescent="0.25">
      <c r="A1688" s="90">
        <v>37603</v>
      </c>
      <c r="B1688" s="17">
        <v>8.6999999999999993</v>
      </c>
      <c r="C1688" s="17"/>
      <c r="F1688"/>
      <c r="G1688"/>
      <c r="H1688"/>
      <c r="I1688"/>
      <c r="J1688"/>
    </row>
    <row r="1689" spans="1:10" x14ac:dyDescent="0.25">
      <c r="A1689" s="90">
        <v>37606</v>
      </c>
      <c r="B1689" s="17">
        <v>8.65</v>
      </c>
      <c r="C1689" s="17"/>
      <c r="F1689"/>
      <c r="G1689"/>
      <c r="H1689"/>
      <c r="I1689"/>
      <c r="J1689"/>
    </row>
    <row r="1690" spans="1:10" x14ac:dyDescent="0.25">
      <c r="A1690" s="90">
        <v>37607</v>
      </c>
      <c r="B1690" s="17">
        <v>8.76</v>
      </c>
      <c r="C1690" s="17"/>
      <c r="F1690"/>
      <c r="G1690"/>
      <c r="H1690"/>
      <c r="I1690"/>
      <c r="J1690"/>
    </row>
    <row r="1691" spans="1:10" x14ac:dyDescent="0.25">
      <c r="A1691" s="90">
        <v>37608</v>
      </c>
      <c r="B1691" s="17">
        <v>8.4</v>
      </c>
      <c r="C1691" s="17"/>
      <c r="F1691"/>
      <c r="G1691"/>
      <c r="H1691"/>
      <c r="I1691"/>
      <c r="J1691"/>
    </row>
    <row r="1692" spans="1:10" x14ac:dyDescent="0.25">
      <c r="A1692" s="90">
        <v>37609</v>
      </c>
      <c r="B1692" s="17">
        <v>8.35</v>
      </c>
      <c r="C1692" s="17"/>
      <c r="F1692"/>
      <c r="G1692"/>
      <c r="H1692"/>
      <c r="I1692"/>
      <c r="J1692"/>
    </row>
    <row r="1693" spans="1:10" x14ac:dyDescent="0.25">
      <c r="A1693" s="90">
        <v>37610</v>
      </c>
      <c r="B1693" s="17">
        <v>8.5399999999999991</v>
      </c>
      <c r="C1693" s="17"/>
      <c r="F1693"/>
      <c r="G1693"/>
      <c r="H1693"/>
      <c r="I1693"/>
      <c r="J1693"/>
    </row>
    <row r="1694" spans="1:10" x14ac:dyDescent="0.25">
      <c r="A1694" s="90">
        <v>37613</v>
      </c>
      <c r="B1694" s="17">
        <v>8.86</v>
      </c>
      <c r="C1694" s="17"/>
      <c r="F1694"/>
      <c r="G1694"/>
      <c r="H1694"/>
      <c r="I1694"/>
      <c r="J1694"/>
    </row>
    <row r="1695" spans="1:10" x14ac:dyDescent="0.25">
      <c r="A1695" s="90">
        <v>37614</v>
      </c>
      <c r="B1695" s="17">
        <v>8.69</v>
      </c>
      <c r="C1695" s="17"/>
      <c r="F1695"/>
      <c r="G1695"/>
      <c r="H1695"/>
      <c r="I1695"/>
      <c r="J1695"/>
    </row>
    <row r="1696" spans="1:10" x14ac:dyDescent="0.25">
      <c r="A1696" s="90">
        <v>37616</v>
      </c>
      <c r="B1696" s="17">
        <v>8.48</v>
      </c>
      <c r="C1696" s="17"/>
      <c r="F1696"/>
      <c r="G1696"/>
      <c r="H1696"/>
      <c r="I1696"/>
      <c r="J1696"/>
    </row>
    <row r="1697" spans="1:10" x14ac:dyDescent="0.25">
      <c r="A1697" s="90">
        <v>37617</v>
      </c>
      <c r="B1697" s="17">
        <v>8.2899999999999991</v>
      </c>
      <c r="C1697" s="17"/>
      <c r="F1697"/>
      <c r="G1697"/>
      <c r="H1697"/>
      <c r="I1697"/>
      <c r="J1697"/>
    </row>
    <row r="1698" spans="1:10" x14ac:dyDescent="0.25">
      <c r="A1698" s="90">
        <v>37620</v>
      </c>
      <c r="B1698" s="17">
        <v>8.24</v>
      </c>
      <c r="C1698" s="17"/>
      <c r="F1698"/>
      <c r="G1698"/>
      <c r="H1698"/>
      <c r="I1698"/>
      <c r="J1698"/>
    </row>
    <row r="1699" spans="1:10" x14ac:dyDescent="0.25">
      <c r="A1699" s="90">
        <v>37621</v>
      </c>
      <c r="B1699" s="17">
        <v>8.18</v>
      </c>
      <c r="C1699" s="17"/>
      <c r="F1699"/>
      <c r="G1699"/>
      <c r="H1699"/>
      <c r="I1699"/>
      <c r="J1699"/>
    </row>
    <row r="1700" spans="1:10" x14ac:dyDescent="0.25">
      <c r="A1700" s="90">
        <v>37623</v>
      </c>
      <c r="B1700" s="17">
        <v>8.8000000000000007</v>
      </c>
      <c r="C1700" s="17"/>
      <c r="F1700"/>
      <c r="G1700"/>
      <c r="H1700"/>
      <c r="I1700"/>
      <c r="J1700"/>
    </row>
    <row r="1701" spans="1:10" x14ac:dyDescent="0.25">
      <c r="A1701" s="90">
        <v>37624</v>
      </c>
      <c r="B1701" s="17">
        <v>9.0500000000000007</v>
      </c>
      <c r="C1701" s="17"/>
      <c r="F1701"/>
      <c r="G1701"/>
      <c r="H1701"/>
      <c r="I1701"/>
      <c r="J1701"/>
    </row>
    <row r="1702" spans="1:10" x14ac:dyDescent="0.25">
      <c r="A1702" s="90">
        <v>37627</v>
      </c>
      <c r="B1702" s="17">
        <v>9.4700000000000006</v>
      </c>
      <c r="C1702" s="17"/>
      <c r="F1702"/>
      <c r="G1702"/>
      <c r="H1702"/>
      <c r="I1702"/>
      <c r="J1702"/>
    </row>
    <row r="1703" spans="1:10" x14ac:dyDescent="0.25">
      <c r="A1703" s="90">
        <v>37628</v>
      </c>
      <c r="B1703" s="17">
        <v>9.57</v>
      </c>
      <c r="C1703" s="17"/>
      <c r="F1703"/>
      <c r="G1703"/>
      <c r="H1703"/>
      <c r="I1703"/>
      <c r="J1703"/>
    </row>
    <row r="1704" spans="1:10" x14ac:dyDescent="0.25">
      <c r="A1704" s="90">
        <v>37629</v>
      </c>
      <c r="B1704" s="17">
        <v>9.3800000000000008</v>
      </c>
      <c r="C1704" s="17"/>
      <c r="F1704"/>
      <c r="G1704"/>
      <c r="H1704"/>
      <c r="I1704"/>
      <c r="J1704"/>
    </row>
    <row r="1705" spans="1:10" x14ac:dyDescent="0.25">
      <c r="A1705" s="90">
        <v>37630</v>
      </c>
      <c r="B1705" s="17">
        <v>9.7200000000000006</v>
      </c>
      <c r="C1705" s="17"/>
      <c r="F1705"/>
      <c r="G1705"/>
      <c r="H1705"/>
      <c r="I1705"/>
      <c r="J1705"/>
    </row>
    <row r="1706" spans="1:10" x14ac:dyDescent="0.25">
      <c r="A1706" s="90">
        <v>37631</v>
      </c>
      <c r="B1706" s="17">
        <v>10</v>
      </c>
      <c r="C1706" s="17"/>
      <c r="F1706"/>
      <c r="G1706"/>
      <c r="H1706"/>
      <c r="I1706"/>
      <c r="J1706"/>
    </row>
    <row r="1707" spans="1:10" x14ac:dyDescent="0.25">
      <c r="A1707" s="90">
        <v>37634</v>
      </c>
      <c r="B1707" s="17">
        <v>9.84</v>
      </c>
      <c r="C1707" s="17"/>
      <c r="F1707"/>
      <c r="G1707"/>
      <c r="H1707"/>
      <c r="I1707"/>
      <c r="J1707"/>
    </row>
    <row r="1708" spans="1:10" x14ac:dyDescent="0.25">
      <c r="A1708" s="90">
        <v>37635</v>
      </c>
      <c r="B1708" s="17">
        <v>9.85</v>
      </c>
      <c r="C1708" s="17"/>
      <c r="F1708"/>
      <c r="G1708"/>
      <c r="H1708"/>
      <c r="I1708"/>
      <c r="J1708"/>
    </row>
    <row r="1709" spans="1:10" x14ac:dyDescent="0.25">
      <c r="A1709" s="90">
        <v>37636</v>
      </c>
      <c r="B1709" s="17">
        <v>9.7899999999999991</v>
      </c>
      <c r="C1709" s="17"/>
      <c r="F1709"/>
      <c r="G1709"/>
      <c r="H1709"/>
      <c r="I1709"/>
      <c r="J1709"/>
    </row>
    <row r="1710" spans="1:10" x14ac:dyDescent="0.25">
      <c r="A1710" s="90">
        <v>37637</v>
      </c>
      <c r="B1710" s="17">
        <v>9.3800000000000008</v>
      </c>
      <c r="C1710" s="17"/>
      <c r="F1710"/>
      <c r="G1710"/>
      <c r="H1710"/>
      <c r="I1710"/>
      <c r="J1710"/>
    </row>
    <row r="1711" spans="1:10" x14ac:dyDescent="0.25">
      <c r="A1711" s="90">
        <v>37638</v>
      </c>
      <c r="B1711" s="17">
        <v>9.19</v>
      </c>
      <c r="C1711" s="17"/>
      <c r="F1711"/>
      <c r="G1711"/>
      <c r="H1711"/>
      <c r="I1711"/>
      <c r="J1711"/>
    </row>
    <row r="1712" spans="1:10" x14ac:dyDescent="0.25">
      <c r="A1712" s="90">
        <v>37642</v>
      </c>
      <c r="B1712" s="17">
        <v>8.9600000000000009</v>
      </c>
      <c r="C1712" s="17"/>
      <c r="F1712"/>
      <c r="G1712"/>
      <c r="H1712"/>
      <c r="I1712"/>
      <c r="J1712"/>
    </row>
    <row r="1713" spans="1:10" x14ac:dyDescent="0.25">
      <c r="A1713" s="90">
        <v>37643</v>
      </c>
      <c r="B1713" s="17">
        <v>9.24</v>
      </c>
      <c r="C1713" s="17"/>
      <c r="F1713"/>
      <c r="G1713"/>
      <c r="H1713"/>
      <c r="I1713"/>
      <c r="J1713"/>
    </row>
    <row r="1714" spans="1:10" x14ac:dyDescent="0.25">
      <c r="A1714" s="90">
        <v>37644</v>
      </c>
      <c r="B1714" s="17">
        <v>9.5399999999999991</v>
      </c>
      <c r="C1714" s="17"/>
      <c r="F1714"/>
      <c r="G1714"/>
      <c r="H1714"/>
      <c r="I1714"/>
      <c r="J1714"/>
    </row>
    <row r="1715" spans="1:10" x14ac:dyDescent="0.25">
      <c r="A1715" s="90">
        <v>37645</v>
      </c>
      <c r="B1715" s="17">
        <v>9.39</v>
      </c>
      <c r="C1715" s="17"/>
      <c r="F1715"/>
      <c r="G1715"/>
      <c r="H1715"/>
      <c r="I1715"/>
      <c r="J1715"/>
    </row>
    <row r="1716" spans="1:10" x14ac:dyDescent="0.25">
      <c r="A1716" s="90">
        <v>37648</v>
      </c>
      <c r="B1716" s="17">
        <v>9.06</v>
      </c>
      <c r="C1716" s="17"/>
      <c r="F1716"/>
      <c r="G1716"/>
      <c r="H1716"/>
      <c r="I1716"/>
      <c r="J1716"/>
    </row>
    <row r="1717" spans="1:10" x14ac:dyDescent="0.25">
      <c r="A1717" s="90">
        <v>37649</v>
      </c>
      <c r="B1717" s="17">
        <v>9.31</v>
      </c>
      <c r="C1717" s="17"/>
      <c r="F1717"/>
      <c r="G1717"/>
      <c r="H1717"/>
      <c r="I1717"/>
      <c r="J1717"/>
    </row>
    <row r="1718" spans="1:10" x14ac:dyDescent="0.25">
      <c r="A1718" s="90">
        <v>37650</v>
      </c>
      <c r="B1718" s="17">
        <v>9.41</v>
      </c>
      <c r="C1718" s="17"/>
      <c r="F1718"/>
      <c r="G1718"/>
      <c r="H1718"/>
      <c r="I1718"/>
      <c r="J1718"/>
    </row>
    <row r="1719" spans="1:10" x14ac:dyDescent="0.25">
      <c r="A1719" s="90">
        <v>37651</v>
      </c>
      <c r="B1719" s="17">
        <v>9.0500000000000007</v>
      </c>
      <c r="C1719" s="17"/>
      <c r="F1719"/>
      <c r="G1719"/>
      <c r="H1719"/>
      <c r="I1719"/>
      <c r="J1719"/>
    </row>
    <row r="1720" spans="1:10" x14ac:dyDescent="0.25">
      <c r="A1720" s="90">
        <v>37652</v>
      </c>
      <c r="B1720" s="17">
        <v>9.1</v>
      </c>
      <c r="C1720" s="17"/>
      <c r="F1720"/>
      <c r="G1720"/>
      <c r="H1720"/>
      <c r="I1720"/>
      <c r="J1720"/>
    </row>
    <row r="1721" spans="1:10" x14ac:dyDescent="0.25">
      <c r="A1721" s="90">
        <v>37655</v>
      </c>
      <c r="B1721" s="17">
        <v>8.98</v>
      </c>
      <c r="C1721" s="17"/>
      <c r="F1721"/>
      <c r="G1721"/>
      <c r="H1721"/>
      <c r="I1721"/>
      <c r="J1721"/>
    </row>
    <row r="1722" spans="1:10" x14ac:dyDescent="0.25">
      <c r="A1722" s="90">
        <v>37656</v>
      </c>
      <c r="B1722" s="17">
        <v>8.8800000000000008</v>
      </c>
      <c r="C1722" s="17"/>
      <c r="F1722"/>
      <c r="G1722"/>
      <c r="H1722"/>
      <c r="I1722"/>
      <c r="J1722"/>
    </row>
    <row r="1723" spans="1:10" x14ac:dyDescent="0.25">
      <c r="A1723" s="90">
        <v>37657</v>
      </c>
      <c r="B1723" s="17">
        <v>8.9</v>
      </c>
      <c r="C1723" s="17"/>
      <c r="F1723"/>
      <c r="G1723"/>
      <c r="H1723"/>
      <c r="I1723"/>
      <c r="J1723"/>
    </row>
    <row r="1724" spans="1:10" x14ac:dyDescent="0.25">
      <c r="A1724" s="90">
        <v>37658</v>
      </c>
      <c r="B1724" s="17">
        <v>8.9700000000000006</v>
      </c>
      <c r="C1724" s="17"/>
      <c r="F1724"/>
      <c r="G1724"/>
      <c r="H1724"/>
      <c r="I1724"/>
      <c r="J1724"/>
    </row>
    <row r="1725" spans="1:10" x14ac:dyDescent="0.25">
      <c r="A1725" s="90">
        <v>37659</v>
      </c>
      <c r="B1725" s="17">
        <v>8.77</v>
      </c>
      <c r="C1725" s="17"/>
      <c r="F1725"/>
      <c r="G1725"/>
      <c r="H1725"/>
      <c r="I1725"/>
      <c r="J1725"/>
    </row>
    <row r="1726" spans="1:10" x14ac:dyDescent="0.25">
      <c r="A1726" s="90">
        <v>37662</v>
      </c>
      <c r="B1726" s="17">
        <v>8.9600000000000009</v>
      </c>
      <c r="C1726" s="17"/>
      <c r="F1726"/>
      <c r="G1726"/>
      <c r="H1726"/>
      <c r="I1726"/>
      <c r="J1726"/>
    </row>
    <row r="1727" spans="1:10" x14ac:dyDescent="0.25">
      <c r="A1727" s="90">
        <v>37663</v>
      </c>
      <c r="B1727" s="17">
        <v>9.15</v>
      </c>
      <c r="C1727" s="17"/>
      <c r="F1727"/>
      <c r="G1727"/>
      <c r="H1727"/>
      <c r="I1727"/>
      <c r="J1727"/>
    </row>
    <row r="1728" spans="1:10" x14ac:dyDescent="0.25">
      <c r="A1728" s="90">
        <v>37664</v>
      </c>
      <c r="B1728" s="17">
        <v>9.09</v>
      </c>
      <c r="C1728" s="17"/>
      <c r="F1728"/>
      <c r="G1728"/>
      <c r="H1728"/>
      <c r="I1728"/>
      <c r="J1728"/>
    </row>
    <row r="1729" spans="1:10" x14ac:dyDescent="0.25">
      <c r="A1729" s="90">
        <v>37665</v>
      </c>
      <c r="B1729" s="17">
        <v>9.02</v>
      </c>
      <c r="C1729" s="17"/>
      <c r="F1729"/>
      <c r="G1729"/>
      <c r="H1729"/>
      <c r="I1729"/>
      <c r="J1729"/>
    </row>
    <row r="1730" spans="1:10" x14ac:dyDescent="0.25">
      <c r="A1730" s="90">
        <v>37666</v>
      </c>
      <c r="B1730" s="17">
        <v>9.4499999999999993</v>
      </c>
      <c r="C1730" s="17"/>
      <c r="F1730"/>
      <c r="G1730"/>
      <c r="H1730"/>
      <c r="I1730"/>
      <c r="J1730"/>
    </row>
    <row r="1731" spans="1:10" x14ac:dyDescent="0.25">
      <c r="A1731" s="90">
        <v>37670</v>
      </c>
      <c r="B1731" s="17">
        <v>9.74</v>
      </c>
      <c r="C1731" s="17"/>
      <c r="F1731"/>
      <c r="G1731"/>
      <c r="H1731"/>
      <c r="I1731"/>
      <c r="J1731"/>
    </row>
    <row r="1732" spans="1:10" x14ac:dyDescent="0.25">
      <c r="A1732" s="90">
        <v>37671</v>
      </c>
      <c r="B1732" s="17">
        <v>9.69</v>
      </c>
      <c r="C1732" s="17"/>
      <c r="F1732"/>
      <c r="G1732"/>
      <c r="H1732"/>
      <c r="I1732"/>
      <c r="J1732"/>
    </row>
    <row r="1733" spans="1:10" x14ac:dyDescent="0.25">
      <c r="A1733" s="90">
        <v>37672</v>
      </c>
      <c r="B1733" s="17">
        <v>9.86</v>
      </c>
      <c r="C1733" s="17"/>
      <c r="F1733"/>
      <c r="G1733"/>
      <c r="H1733"/>
      <c r="I1733"/>
      <c r="J1733"/>
    </row>
    <row r="1734" spans="1:10" x14ac:dyDescent="0.25">
      <c r="A1734" s="90">
        <v>37673</v>
      </c>
      <c r="B1734" s="17">
        <v>9.91</v>
      </c>
      <c r="C1734" s="17"/>
      <c r="F1734"/>
      <c r="G1734"/>
      <c r="H1734"/>
      <c r="I1734"/>
      <c r="J1734"/>
    </row>
    <row r="1735" spans="1:10" x14ac:dyDescent="0.25">
      <c r="A1735" s="90">
        <v>37676</v>
      </c>
      <c r="B1735" s="17">
        <v>9.84</v>
      </c>
      <c r="C1735" s="17"/>
      <c r="F1735"/>
      <c r="G1735"/>
      <c r="H1735"/>
      <c r="I1735"/>
      <c r="J1735"/>
    </row>
    <row r="1736" spans="1:10" x14ac:dyDescent="0.25">
      <c r="A1736" s="90">
        <v>37677</v>
      </c>
      <c r="B1736" s="17">
        <v>10</v>
      </c>
      <c r="C1736" s="17"/>
      <c r="F1736"/>
      <c r="G1736"/>
      <c r="H1736"/>
      <c r="I1736"/>
      <c r="J1736"/>
    </row>
    <row r="1737" spans="1:10" x14ac:dyDescent="0.25">
      <c r="A1737" s="90">
        <v>37678</v>
      </c>
      <c r="B1737" s="17">
        <v>9.85</v>
      </c>
      <c r="C1737" s="17"/>
      <c r="F1737"/>
      <c r="G1737"/>
      <c r="H1737"/>
      <c r="I1737"/>
      <c r="J1737"/>
    </row>
    <row r="1738" spans="1:10" x14ac:dyDescent="0.25">
      <c r="A1738" s="90">
        <v>37679</v>
      </c>
      <c r="B1738" s="17">
        <v>10.039999999999999</v>
      </c>
      <c r="C1738" s="17"/>
      <c r="F1738"/>
      <c r="G1738"/>
      <c r="H1738"/>
      <c r="I1738"/>
      <c r="J1738"/>
    </row>
    <row r="1739" spans="1:10" x14ac:dyDescent="0.25">
      <c r="A1739" s="90">
        <v>37680</v>
      </c>
      <c r="B1739" s="17">
        <v>10.43</v>
      </c>
      <c r="C1739" s="17"/>
      <c r="F1739"/>
      <c r="G1739"/>
      <c r="H1739"/>
      <c r="I1739"/>
      <c r="J1739"/>
    </row>
    <row r="1740" spans="1:10" x14ac:dyDescent="0.25">
      <c r="A1740" s="90">
        <v>37683</v>
      </c>
      <c r="B1740" s="17">
        <v>9.9600000000000009</v>
      </c>
      <c r="C1740" s="17"/>
      <c r="F1740"/>
      <c r="G1740"/>
      <c r="H1740"/>
      <c r="I1740"/>
      <c r="J1740"/>
    </row>
    <row r="1741" spans="1:10" x14ac:dyDescent="0.25">
      <c r="A1741" s="90">
        <v>37684</v>
      </c>
      <c r="B1741" s="17">
        <v>9.94</v>
      </c>
      <c r="C1741" s="17"/>
      <c r="F1741"/>
      <c r="G1741"/>
      <c r="H1741"/>
      <c r="I1741"/>
      <c r="J1741"/>
    </row>
    <row r="1742" spans="1:10" x14ac:dyDescent="0.25">
      <c r="A1742" s="90">
        <v>37685</v>
      </c>
      <c r="B1742" s="17">
        <v>9.9499999999999993</v>
      </c>
      <c r="C1742" s="17"/>
      <c r="F1742"/>
      <c r="G1742"/>
      <c r="H1742"/>
      <c r="I1742"/>
      <c r="J1742"/>
    </row>
    <row r="1743" spans="1:10" x14ac:dyDescent="0.25">
      <c r="A1743" s="90">
        <v>37686</v>
      </c>
      <c r="B1743" s="17">
        <v>9.7200000000000006</v>
      </c>
      <c r="C1743" s="17"/>
      <c r="F1743"/>
      <c r="G1743"/>
      <c r="H1743"/>
      <c r="I1743"/>
      <c r="J1743"/>
    </row>
    <row r="1744" spans="1:10" x14ac:dyDescent="0.25">
      <c r="A1744" s="90">
        <v>37687</v>
      </c>
      <c r="B1744" s="17">
        <v>9.81</v>
      </c>
      <c r="C1744" s="17"/>
      <c r="F1744"/>
      <c r="G1744"/>
      <c r="H1744"/>
      <c r="I1744"/>
      <c r="J1744"/>
    </row>
    <row r="1745" spans="1:10" x14ac:dyDescent="0.25">
      <c r="A1745" s="90">
        <v>37690</v>
      </c>
      <c r="B1745" s="17">
        <v>9.6</v>
      </c>
      <c r="C1745" s="17"/>
      <c r="F1745"/>
      <c r="G1745"/>
      <c r="H1745"/>
      <c r="I1745"/>
      <c r="J1745"/>
    </row>
    <row r="1746" spans="1:10" x14ac:dyDescent="0.25">
      <c r="A1746" s="90">
        <v>37691</v>
      </c>
      <c r="B1746" s="17">
        <v>9.48</v>
      </c>
      <c r="C1746" s="17"/>
      <c r="F1746"/>
      <c r="G1746"/>
      <c r="H1746"/>
      <c r="I1746"/>
      <c r="J1746"/>
    </row>
    <row r="1747" spans="1:10" x14ac:dyDescent="0.25">
      <c r="A1747" s="90">
        <v>37692</v>
      </c>
      <c r="B1747" s="17">
        <v>9.6</v>
      </c>
      <c r="C1747" s="17"/>
      <c r="F1747"/>
      <c r="G1747"/>
      <c r="H1747"/>
      <c r="I1747"/>
      <c r="J1747"/>
    </row>
    <row r="1748" spans="1:10" x14ac:dyDescent="0.25">
      <c r="A1748" s="90">
        <v>37693</v>
      </c>
      <c r="B1748" s="17">
        <v>10.119999999999999</v>
      </c>
      <c r="C1748" s="17"/>
      <c r="F1748"/>
      <c r="G1748"/>
      <c r="H1748"/>
      <c r="I1748"/>
      <c r="J1748"/>
    </row>
    <row r="1749" spans="1:10" x14ac:dyDescent="0.25">
      <c r="A1749" s="90">
        <v>37694</v>
      </c>
      <c r="B1749" s="17">
        <v>10.35</v>
      </c>
      <c r="C1749" s="17"/>
      <c r="F1749"/>
      <c r="G1749"/>
      <c r="H1749"/>
      <c r="I1749"/>
      <c r="J1749"/>
    </row>
    <row r="1750" spans="1:10" x14ac:dyDescent="0.25">
      <c r="A1750" s="90">
        <v>37697</v>
      </c>
      <c r="B1750" s="17">
        <v>11.19</v>
      </c>
      <c r="C1750" s="17"/>
      <c r="F1750"/>
      <c r="G1750"/>
      <c r="H1750"/>
      <c r="I1750"/>
      <c r="J1750"/>
    </row>
    <row r="1751" spans="1:10" x14ac:dyDescent="0.25">
      <c r="A1751" s="90">
        <v>37698</v>
      </c>
      <c r="B1751" s="17">
        <v>10.98</v>
      </c>
      <c r="C1751" s="17"/>
      <c r="F1751"/>
      <c r="G1751"/>
      <c r="H1751"/>
      <c r="I1751"/>
      <c r="J1751"/>
    </row>
    <row r="1752" spans="1:10" x14ac:dyDescent="0.25">
      <c r="A1752" s="90">
        <v>37699</v>
      </c>
      <c r="B1752" s="17">
        <v>11.1</v>
      </c>
      <c r="C1752" s="17"/>
      <c r="F1752"/>
      <c r="G1752"/>
      <c r="H1752"/>
      <c r="I1752"/>
      <c r="J1752"/>
    </row>
    <row r="1753" spans="1:10" x14ac:dyDescent="0.25">
      <c r="A1753" s="90">
        <v>37700</v>
      </c>
      <c r="B1753" s="17">
        <v>11.43</v>
      </c>
      <c r="C1753" s="17"/>
      <c r="F1753"/>
      <c r="G1753"/>
      <c r="H1753"/>
      <c r="I1753"/>
      <c r="J1753"/>
    </row>
    <row r="1754" spans="1:10" x14ac:dyDescent="0.25">
      <c r="A1754" s="90">
        <v>37701</v>
      </c>
      <c r="B1754" s="17">
        <v>11.98</v>
      </c>
      <c r="C1754" s="17"/>
      <c r="F1754"/>
      <c r="G1754"/>
      <c r="H1754"/>
      <c r="I1754"/>
      <c r="J1754"/>
    </row>
    <row r="1755" spans="1:10" x14ac:dyDescent="0.25">
      <c r="A1755" s="90">
        <v>37704</v>
      </c>
      <c r="B1755" s="17">
        <v>11.68</v>
      </c>
      <c r="C1755" s="17"/>
      <c r="F1755"/>
      <c r="G1755"/>
      <c r="H1755"/>
      <c r="I1755"/>
      <c r="J1755"/>
    </row>
    <row r="1756" spans="1:10" x14ac:dyDescent="0.25">
      <c r="A1756" s="90">
        <v>37705</v>
      </c>
      <c r="B1756" s="17">
        <v>11.81</v>
      </c>
      <c r="C1756" s="17"/>
      <c r="F1756"/>
      <c r="G1756"/>
      <c r="H1756"/>
      <c r="I1756"/>
      <c r="J1756"/>
    </row>
    <row r="1757" spans="1:10" x14ac:dyDescent="0.25">
      <c r="A1757" s="90">
        <v>37706</v>
      </c>
      <c r="B1757" s="17">
        <v>12.38</v>
      </c>
      <c r="C1757" s="17"/>
      <c r="F1757"/>
      <c r="G1757"/>
      <c r="H1757"/>
      <c r="I1757"/>
      <c r="J1757"/>
    </row>
    <row r="1758" spans="1:10" x14ac:dyDescent="0.25">
      <c r="A1758" s="90">
        <v>37707</v>
      </c>
      <c r="B1758" s="17">
        <v>12.2</v>
      </c>
      <c r="C1758" s="17"/>
      <c r="F1758"/>
      <c r="G1758"/>
      <c r="H1758"/>
      <c r="I1758"/>
      <c r="J1758"/>
    </row>
    <row r="1759" spans="1:10" x14ac:dyDescent="0.25">
      <c r="A1759" s="90">
        <v>37708</v>
      </c>
      <c r="B1759" s="17">
        <v>12.19</v>
      </c>
      <c r="C1759" s="17"/>
      <c r="F1759"/>
      <c r="G1759"/>
      <c r="H1759"/>
      <c r="I1759"/>
      <c r="J1759"/>
    </row>
    <row r="1760" spans="1:10" x14ac:dyDescent="0.25">
      <c r="A1760" s="90">
        <v>37711</v>
      </c>
      <c r="B1760" s="17">
        <v>12.01</v>
      </c>
      <c r="C1760" s="17"/>
      <c r="F1760"/>
      <c r="G1760"/>
      <c r="H1760"/>
      <c r="I1760"/>
      <c r="J1760"/>
    </row>
    <row r="1761" spans="1:10" x14ac:dyDescent="0.25">
      <c r="A1761" s="90">
        <v>37712</v>
      </c>
      <c r="B1761" s="17">
        <v>11.4</v>
      </c>
      <c r="C1761" s="17"/>
      <c r="F1761"/>
      <c r="G1761"/>
      <c r="H1761"/>
      <c r="I1761"/>
      <c r="J1761"/>
    </row>
    <row r="1762" spans="1:10" x14ac:dyDescent="0.25">
      <c r="A1762" s="90">
        <v>37713</v>
      </c>
      <c r="B1762" s="17">
        <v>11.87</v>
      </c>
      <c r="C1762" s="17"/>
      <c r="F1762"/>
      <c r="G1762"/>
      <c r="H1762"/>
      <c r="I1762"/>
      <c r="J1762"/>
    </row>
    <row r="1763" spans="1:10" x14ac:dyDescent="0.25">
      <c r="A1763" s="90">
        <v>37714</v>
      </c>
      <c r="B1763" s="17">
        <v>12.17</v>
      </c>
      <c r="C1763" s="17"/>
      <c r="F1763"/>
      <c r="G1763"/>
      <c r="H1763"/>
      <c r="I1763"/>
      <c r="J1763"/>
    </row>
    <row r="1764" spans="1:10" x14ac:dyDescent="0.25">
      <c r="A1764" s="90">
        <v>37715</v>
      </c>
      <c r="B1764" s="17">
        <v>12.02</v>
      </c>
      <c r="C1764" s="17"/>
      <c r="F1764"/>
      <c r="G1764"/>
      <c r="H1764"/>
      <c r="I1764"/>
      <c r="J1764"/>
    </row>
    <row r="1765" spans="1:10" x14ac:dyDescent="0.25">
      <c r="A1765" s="90">
        <v>37718</v>
      </c>
      <c r="B1765" s="17">
        <v>12</v>
      </c>
      <c r="C1765" s="17"/>
      <c r="F1765"/>
      <c r="G1765"/>
      <c r="H1765"/>
      <c r="I1765"/>
      <c r="J1765"/>
    </row>
    <row r="1766" spans="1:10" x14ac:dyDescent="0.25">
      <c r="A1766" s="90">
        <v>37719</v>
      </c>
      <c r="B1766" s="17">
        <v>11.9</v>
      </c>
      <c r="C1766" s="17"/>
      <c r="F1766"/>
      <c r="G1766"/>
      <c r="H1766"/>
      <c r="I1766"/>
      <c r="J1766"/>
    </row>
    <row r="1767" spans="1:10" x14ac:dyDescent="0.25">
      <c r="A1767" s="90">
        <v>37720</v>
      </c>
      <c r="B1767" s="17">
        <v>11.44</v>
      </c>
      <c r="C1767" s="17"/>
      <c r="F1767"/>
      <c r="G1767"/>
      <c r="H1767"/>
      <c r="I1767"/>
      <c r="J1767"/>
    </row>
    <row r="1768" spans="1:10" x14ac:dyDescent="0.25">
      <c r="A1768" s="90">
        <v>37721</v>
      </c>
      <c r="B1768" s="17">
        <v>12.14</v>
      </c>
      <c r="C1768" s="17"/>
      <c r="F1768"/>
      <c r="G1768"/>
      <c r="H1768"/>
      <c r="I1768"/>
      <c r="J1768"/>
    </row>
    <row r="1769" spans="1:10" x14ac:dyDescent="0.25">
      <c r="A1769" s="90">
        <v>37722</v>
      </c>
      <c r="B1769" s="17">
        <v>12.22</v>
      </c>
      <c r="C1769" s="17"/>
      <c r="F1769"/>
      <c r="G1769"/>
      <c r="H1769"/>
      <c r="I1769"/>
      <c r="J1769"/>
    </row>
    <row r="1770" spans="1:10" x14ac:dyDescent="0.25">
      <c r="A1770" s="90">
        <v>37725</v>
      </c>
      <c r="B1770" s="17">
        <v>12.18</v>
      </c>
      <c r="C1770" s="17"/>
      <c r="F1770"/>
      <c r="G1770"/>
      <c r="H1770"/>
      <c r="I1770"/>
      <c r="J1770"/>
    </row>
    <row r="1771" spans="1:10" x14ac:dyDescent="0.25">
      <c r="A1771" s="90">
        <v>37726</v>
      </c>
      <c r="B1771" s="17">
        <v>12.4</v>
      </c>
      <c r="C1771" s="17"/>
      <c r="F1771"/>
      <c r="G1771"/>
      <c r="H1771"/>
      <c r="I1771"/>
      <c r="J1771"/>
    </row>
    <row r="1772" spans="1:10" x14ac:dyDescent="0.25">
      <c r="A1772" s="90">
        <v>37727</v>
      </c>
      <c r="B1772" s="17">
        <v>12.34</v>
      </c>
      <c r="C1772" s="17"/>
      <c r="F1772"/>
      <c r="G1772"/>
      <c r="H1772"/>
      <c r="I1772"/>
      <c r="J1772"/>
    </row>
    <row r="1773" spans="1:10" x14ac:dyDescent="0.25">
      <c r="A1773" s="90">
        <v>37728</v>
      </c>
      <c r="B1773" s="17">
        <v>12.55</v>
      </c>
      <c r="C1773" s="17"/>
      <c r="F1773"/>
      <c r="G1773"/>
      <c r="H1773"/>
      <c r="I1773"/>
      <c r="J1773"/>
    </row>
    <row r="1774" spans="1:10" x14ac:dyDescent="0.25">
      <c r="A1774" s="90">
        <v>37732</v>
      </c>
      <c r="B1774" s="17">
        <v>12.7</v>
      </c>
      <c r="C1774" s="17"/>
      <c r="F1774"/>
      <c r="G1774"/>
      <c r="H1774"/>
      <c r="I1774"/>
      <c r="J1774"/>
    </row>
    <row r="1775" spans="1:10" x14ac:dyDescent="0.25">
      <c r="A1775" s="90">
        <v>37733</v>
      </c>
      <c r="B1775" s="17">
        <v>12.83</v>
      </c>
      <c r="C1775" s="17"/>
      <c r="F1775"/>
      <c r="G1775"/>
      <c r="H1775"/>
      <c r="I1775"/>
      <c r="J1775"/>
    </row>
    <row r="1776" spans="1:10" x14ac:dyDescent="0.25">
      <c r="A1776" s="90">
        <v>37734</v>
      </c>
      <c r="B1776" s="17">
        <v>12.8</v>
      </c>
      <c r="C1776" s="17"/>
      <c r="F1776"/>
      <c r="G1776"/>
      <c r="H1776"/>
      <c r="I1776"/>
      <c r="J1776"/>
    </row>
    <row r="1777" spans="1:10" x14ac:dyDescent="0.25">
      <c r="A1777" s="90">
        <v>37735</v>
      </c>
      <c r="B1777" s="17">
        <v>12.73</v>
      </c>
      <c r="C1777" s="17"/>
      <c r="F1777"/>
      <c r="G1777"/>
      <c r="H1777"/>
      <c r="I1777"/>
      <c r="J1777"/>
    </row>
    <row r="1778" spans="1:10" x14ac:dyDescent="0.25">
      <c r="A1778" s="90">
        <v>37736</v>
      </c>
      <c r="B1778" s="17">
        <v>12.48</v>
      </c>
      <c r="C1778" s="17"/>
      <c r="F1778"/>
      <c r="G1778"/>
      <c r="H1778"/>
      <c r="I1778"/>
      <c r="J1778"/>
    </row>
    <row r="1779" spans="1:10" x14ac:dyDescent="0.25">
      <c r="A1779" s="90">
        <v>37739</v>
      </c>
      <c r="B1779" s="17">
        <v>12.65</v>
      </c>
      <c r="C1779" s="17"/>
      <c r="F1779"/>
      <c r="G1779"/>
      <c r="H1779"/>
      <c r="I1779"/>
      <c r="J1779"/>
    </row>
    <row r="1780" spans="1:10" x14ac:dyDescent="0.25">
      <c r="A1780" s="90">
        <v>37740</v>
      </c>
      <c r="B1780" s="17">
        <v>12.51</v>
      </c>
      <c r="C1780" s="17"/>
      <c r="F1780"/>
      <c r="G1780"/>
      <c r="H1780"/>
      <c r="I1780"/>
      <c r="J1780"/>
    </row>
    <row r="1781" spans="1:10" x14ac:dyDescent="0.25">
      <c r="A1781" s="90">
        <v>37741</v>
      </c>
      <c r="B1781" s="17">
        <v>12.39</v>
      </c>
      <c r="C1781" s="17"/>
      <c r="F1781"/>
      <c r="G1781"/>
      <c r="H1781"/>
      <c r="I1781"/>
      <c r="J1781"/>
    </row>
    <row r="1782" spans="1:10" x14ac:dyDescent="0.25">
      <c r="A1782" s="90">
        <v>37742</v>
      </c>
      <c r="B1782" s="17">
        <v>12.27</v>
      </c>
      <c r="C1782" s="17"/>
      <c r="F1782"/>
      <c r="G1782"/>
      <c r="H1782"/>
      <c r="I1782"/>
      <c r="J1782"/>
    </row>
    <row r="1783" spans="1:10" x14ac:dyDescent="0.25">
      <c r="A1783" s="90">
        <v>37743</v>
      </c>
      <c r="B1783" s="17">
        <v>12.57</v>
      </c>
      <c r="C1783" s="17"/>
      <c r="F1783"/>
      <c r="G1783"/>
      <c r="H1783"/>
      <c r="I1783"/>
      <c r="J1783"/>
    </row>
    <row r="1784" spans="1:10" x14ac:dyDescent="0.25">
      <c r="A1784" s="90">
        <v>37746</v>
      </c>
      <c r="B1784" s="17">
        <v>12.52</v>
      </c>
      <c r="C1784" s="17"/>
      <c r="F1784"/>
      <c r="G1784"/>
      <c r="H1784"/>
      <c r="I1784"/>
      <c r="J1784"/>
    </row>
    <row r="1785" spans="1:10" x14ac:dyDescent="0.25">
      <c r="A1785" s="90">
        <v>37747</v>
      </c>
      <c r="B1785" s="17">
        <v>12.57</v>
      </c>
      <c r="C1785" s="17"/>
      <c r="F1785"/>
      <c r="G1785"/>
      <c r="H1785"/>
      <c r="I1785"/>
      <c r="J1785"/>
    </row>
    <row r="1786" spans="1:10" x14ac:dyDescent="0.25">
      <c r="A1786" s="90">
        <v>37748</v>
      </c>
      <c r="B1786" s="17">
        <v>12.38</v>
      </c>
      <c r="C1786" s="17"/>
      <c r="F1786"/>
      <c r="G1786"/>
      <c r="H1786"/>
      <c r="I1786"/>
      <c r="J1786"/>
    </row>
    <row r="1787" spans="1:10" x14ac:dyDescent="0.25">
      <c r="A1787" s="90">
        <v>37749</v>
      </c>
      <c r="B1787" s="17">
        <v>12.54</v>
      </c>
      <c r="C1787" s="17"/>
      <c r="F1787"/>
      <c r="G1787"/>
      <c r="H1787"/>
      <c r="I1787"/>
      <c r="J1787"/>
    </row>
    <row r="1788" spans="1:10" x14ac:dyDescent="0.25">
      <c r="A1788" s="90">
        <v>37750</v>
      </c>
      <c r="B1788" s="17">
        <v>12.52</v>
      </c>
      <c r="C1788" s="17"/>
      <c r="F1788"/>
      <c r="G1788"/>
      <c r="H1788"/>
      <c r="I1788"/>
      <c r="J1788"/>
    </row>
    <row r="1789" spans="1:10" x14ac:dyDescent="0.25">
      <c r="A1789" s="90">
        <v>37753</v>
      </c>
      <c r="B1789" s="17">
        <v>13.09</v>
      </c>
      <c r="C1789" s="17"/>
      <c r="F1789"/>
      <c r="G1789"/>
      <c r="H1789"/>
      <c r="I1789"/>
      <c r="J1789"/>
    </row>
    <row r="1790" spans="1:10" x14ac:dyDescent="0.25">
      <c r="A1790" s="90">
        <v>37754</v>
      </c>
      <c r="B1790" s="17">
        <v>13.61</v>
      </c>
      <c r="C1790" s="17"/>
      <c r="F1790"/>
      <c r="G1790"/>
      <c r="H1790"/>
      <c r="I1790"/>
      <c r="J1790"/>
    </row>
    <row r="1791" spans="1:10" x14ac:dyDescent="0.25">
      <c r="A1791" s="90">
        <v>37755</v>
      </c>
      <c r="B1791" s="17">
        <v>13.55</v>
      </c>
      <c r="C1791" s="17"/>
      <c r="F1791"/>
      <c r="G1791"/>
      <c r="H1791"/>
      <c r="I1791"/>
      <c r="J1791"/>
    </row>
    <row r="1792" spans="1:10" x14ac:dyDescent="0.25">
      <c r="A1792" s="90">
        <v>37756</v>
      </c>
      <c r="B1792" s="17">
        <v>13.76</v>
      </c>
      <c r="C1792" s="17"/>
      <c r="F1792"/>
      <c r="G1792"/>
      <c r="H1792"/>
      <c r="I1792"/>
      <c r="J1792"/>
    </row>
    <row r="1793" spans="1:10" x14ac:dyDescent="0.25">
      <c r="A1793" s="90">
        <v>37757</v>
      </c>
      <c r="B1793" s="17">
        <v>13.88</v>
      </c>
      <c r="C1793" s="17"/>
      <c r="F1793"/>
      <c r="G1793"/>
      <c r="H1793"/>
      <c r="I1793"/>
      <c r="J1793"/>
    </row>
    <row r="1794" spans="1:10" x14ac:dyDescent="0.25">
      <c r="A1794" s="90">
        <v>37760</v>
      </c>
      <c r="B1794" s="17">
        <v>12.98</v>
      </c>
      <c r="C1794" s="17"/>
      <c r="F1794"/>
      <c r="G1794"/>
      <c r="H1794"/>
      <c r="I1794"/>
      <c r="J1794"/>
    </row>
    <row r="1795" spans="1:10" x14ac:dyDescent="0.25">
      <c r="A1795" s="90">
        <v>37761</v>
      </c>
      <c r="B1795" s="17">
        <v>13.29</v>
      </c>
      <c r="C1795" s="17"/>
      <c r="F1795"/>
      <c r="G1795"/>
      <c r="H1795"/>
      <c r="I1795"/>
      <c r="J1795"/>
    </row>
    <row r="1796" spans="1:10" x14ac:dyDescent="0.25">
      <c r="A1796" s="90">
        <v>37762</v>
      </c>
      <c r="B1796" s="17">
        <v>13.09</v>
      </c>
      <c r="C1796" s="17"/>
      <c r="F1796"/>
      <c r="G1796"/>
      <c r="H1796"/>
      <c r="I1796"/>
      <c r="J1796"/>
    </row>
    <row r="1797" spans="1:10" x14ac:dyDescent="0.25">
      <c r="A1797" s="90">
        <v>37763</v>
      </c>
      <c r="B1797" s="17">
        <v>13.45</v>
      </c>
      <c r="C1797" s="17"/>
      <c r="F1797"/>
      <c r="G1797"/>
      <c r="H1797"/>
      <c r="I1797"/>
      <c r="J1797"/>
    </row>
    <row r="1798" spans="1:10" x14ac:dyDescent="0.25">
      <c r="A1798" s="90">
        <v>37764</v>
      </c>
      <c r="B1798" s="17">
        <v>14.24</v>
      </c>
      <c r="C1798" s="17"/>
      <c r="F1798"/>
      <c r="G1798"/>
      <c r="H1798"/>
      <c r="I1798"/>
      <c r="J1798"/>
    </row>
    <row r="1799" spans="1:10" x14ac:dyDescent="0.25">
      <c r="A1799" s="90">
        <v>37768</v>
      </c>
      <c r="B1799" s="17">
        <v>14.98</v>
      </c>
      <c r="C1799" s="17"/>
      <c r="F1799"/>
      <c r="G1799"/>
      <c r="H1799"/>
      <c r="I1799"/>
      <c r="J1799"/>
    </row>
    <row r="1800" spans="1:10" x14ac:dyDescent="0.25">
      <c r="A1800" s="90">
        <v>37769</v>
      </c>
      <c r="B1800" s="17">
        <v>14.95</v>
      </c>
      <c r="C1800" s="17"/>
      <c r="F1800"/>
      <c r="G1800"/>
      <c r="H1800"/>
      <c r="I1800"/>
      <c r="J1800"/>
    </row>
    <row r="1801" spans="1:10" x14ac:dyDescent="0.25">
      <c r="A1801" s="90">
        <v>37770</v>
      </c>
      <c r="B1801" s="17">
        <v>15.07</v>
      </c>
      <c r="C1801" s="17"/>
      <c r="F1801"/>
      <c r="G1801"/>
      <c r="H1801"/>
      <c r="I1801"/>
      <c r="J1801"/>
    </row>
    <row r="1802" spans="1:10" x14ac:dyDescent="0.25">
      <c r="A1802" s="90">
        <v>37771</v>
      </c>
      <c r="B1802" s="17">
        <v>14.92</v>
      </c>
      <c r="C1802" s="17"/>
      <c r="F1802"/>
      <c r="G1802"/>
      <c r="H1802"/>
      <c r="I1802"/>
      <c r="J1802"/>
    </row>
    <row r="1803" spans="1:10" x14ac:dyDescent="0.25">
      <c r="A1803" s="90">
        <v>37774</v>
      </c>
      <c r="B1803" s="17">
        <v>14.33</v>
      </c>
      <c r="C1803" s="17"/>
      <c r="F1803"/>
      <c r="G1803"/>
      <c r="H1803"/>
      <c r="I1803"/>
      <c r="J1803"/>
    </row>
    <row r="1804" spans="1:10" x14ac:dyDescent="0.25">
      <c r="A1804" s="90">
        <v>37775</v>
      </c>
      <c r="B1804" s="17">
        <v>14.27</v>
      </c>
      <c r="C1804" s="17"/>
      <c r="F1804"/>
      <c r="G1804"/>
      <c r="H1804"/>
      <c r="I1804"/>
      <c r="J1804"/>
    </row>
    <row r="1805" spans="1:10" x14ac:dyDescent="0.25">
      <c r="A1805" s="90">
        <v>37776</v>
      </c>
      <c r="B1805" s="17">
        <v>14.8</v>
      </c>
      <c r="C1805" s="17"/>
      <c r="F1805"/>
      <c r="G1805"/>
      <c r="H1805"/>
      <c r="I1805"/>
      <c r="J1805"/>
    </row>
    <row r="1806" spans="1:10" x14ac:dyDescent="0.25">
      <c r="A1806" s="90">
        <v>37777</v>
      </c>
      <c r="B1806" s="17">
        <v>14.69</v>
      </c>
      <c r="C1806" s="17"/>
      <c r="F1806"/>
      <c r="G1806"/>
      <c r="H1806"/>
      <c r="I1806"/>
      <c r="J1806"/>
    </row>
    <row r="1807" spans="1:10" x14ac:dyDescent="0.25">
      <c r="A1807" s="90">
        <v>37778</v>
      </c>
      <c r="B1807" s="17">
        <v>13.98</v>
      </c>
      <c r="C1807" s="17"/>
      <c r="F1807"/>
      <c r="G1807"/>
      <c r="H1807"/>
      <c r="I1807"/>
      <c r="J1807"/>
    </row>
    <row r="1808" spans="1:10" x14ac:dyDescent="0.25">
      <c r="A1808" s="90">
        <v>37781</v>
      </c>
      <c r="B1808" s="17">
        <v>13.75</v>
      </c>
      <c r="C1808" s="17"/>
      <c r="F1808"/>
      <c r="G1808"/>
      <c r="H1808"/>
      <c r="I1808"/>
      <c r="J1808"/>
    </row>
    <row r="1809" spans="1:10" x14ac:dyDescent="0.25">
      <c r="A1809" s="90">
        <v>37782</v>
      </c>
      <c r="B1809" s="17">
        <v>13.95</v>
      </c>
      <c r="C1809" s="17"/>
      <c r="F1809"/>
      <c r="G1809"/>
      <c r="H1809"/>
      <c r="I1809"/>
      <c r="J1809"/>
    </row>
    <row r="1810" spans="1:10" x14ac:dyDescent="0.25">
      <c r="A1810" s="90">
        <v>37783</v>
      </c>
      <c r="B1810" s="17">
        <v>14.8</v>
      </c>
      <c r="C1810" s="17"/>
      <c r="F1810"/>
      <c r="G1810"/>
      <c r="H1810"/>
      <c r="I1810"/>
      <c r="J1810"/>
    </row>
    <row r="1811" spans="1:10" x14ac:dyDescent="0.25">
      <c r="A1811" s="90">
        <v>37784</v>
      </c>
      <c r="B1811" s="17">
        <v>14.85</v>
      </c>
      <c r="C1811" s="17"/>
      <c r="F1811"/>
      <c r="G1811"/>
      <c r="H1811"/>
      <c r="I1811"/>
      <c r="J1811"/>
    </row>
    <row r="1812" spans="1:10" x14ac:dyDescent="0.25">
      <c r="A1812" s="90">
        <v>37785</v>
      </c>
      <c r="B1812" s="17">
        <v>14.36</v>
      </c>
      <c r="C1812" s="17"/>
      <c r="F1812"/>
      <c r="G1812"/>
      <c r="H1812"/>
      <c r="I1812"/>
      <c r="J1812"/>
    </row>
    <row r="1813" spans="1:10" x14ac:dyDescent="0.25">
      <c r="A1813" s="90">
        <v>37788</v>
      </c>
      <c r="B1813" s="17">
        <v>15.33</v>
      </c>
      <c r="C1813" s="17"/>
      <c r="F1813"/>
      <c r="G1813"/>
      <c r="H1813"/>
      <c r="I1813"/>
      <c r="J1813"/>
    </row>
    <row r="1814" spans="1:10" x14ac:dyDescent="0.25">
      <c r="A1814" s="90">
        <v>37789</v>
      </c>
      <c r="B1814" s="17">
        <v>15.71</v>
      </c>
      <c r="C1814" s="17"/>
      <c r="F1814"/>
      <c r="G1814"/>
      <c r="H1814"/>
      <c r="I1814"/>
      <c r="J1814"/>
    </row>
    <row r="1815" spans="1:10" x14ac:dyDescent="0.25">
      <c r="A1815" s="90">
        <v>37790</v>
      </c>
      <c r="B1815" s="17">
        <v>16.149999999999999</v>
      </c>
      <c r="C1815" s="17"/>
      <c r="F1815"/>
      <c r="G1815"/>
      <c r="H1815"/>
      <c r="I1815"/>
      <c r="J1815"/>
    </row>
    <row r="1816" spans="1:10" x14ac:dyDescent="0.25">
      <c r="A1816" s="90">
        <v>37791</v>
      </c>
      <c r="B1816" s="17">
        <v>15.81</v>
      </c>
      <c r="C1816" s="17"/>
      <c r="F1816"/>
      <c r="G1816"/>
      <c r="H1816"/>
      <c r="I1816"/>
      <c r="J1816"/>
    </row>
    <row r="1817" spans="1:10" x14ac:dyDescent="0.25">
      <c r="A1817" s="90">
        <v>37792</v>
      </c>
      <c r="B1817" s="17">
        <v>16.07</v>
      </c>
      <c r="C1817" s="17"/>
      <c r="F1817"/>
      <c r="G1817"/>
      <c r="H1817"/>
      <c r="I1817"/>
      <c r="J1817"/>
    </row>
    <row r="1818" spans="1:10" x14ac:dyDescent="0.25">
      <c r="A1818" s="90">
        <v>37795</v>
      </c>
      <c r="B1818" s="17">
        <v>15.76</v>
      </c>
      <c r="C1818" s="17"/>
      <c r="F1818"/>
      <c r="G1818"/>
      <c r="H1818"/>
      <c r="I1818"/>
      <c r="J1818"/>
    </row>
    <row r="1819" spans="1:10" x14ac:dyDescent="0.25">
      <c r="A1819" s="90">
        <v>37796</v>
      </c>
      <c r="B1819" s="17">
        <v>15.68</v>
      </c>
      <c r="C1819" s="17"/>
      <c r="F1819"/>
      <c r="G1819"/>
      <c r="H1819"/>
      <c r="I1819"/>
      <c r="J1819"/>
    </row>
    <row r="1820" spans="1:10" x14ac:dyDescent="0.25">
      <c r="A1820" s="90">
        <v>37797</v>
      </c>
      <c r="B1820" s="17">
        <v>15.68</v>
      </c>
      <c r="C1820" s="17"/>
      <c r="F1820"/>
      <c r="G1820"/>
      <c r="H1820"/>
      <c r="I1820"/>
      <c r="J1820"/>
    </row>
    <row r="1821" spans="1:10" x14ac:dyDescent="0.25">
      <c r="A1821" s="90">
        <v>37798</v>
      </c>
      <c r="B1821" s="17">
        <v>16.45</v>
      </c>
      <c r="C1821" s="17"/>
      <c r="F1821"/>
      <c r="G1821"/>
      <c r="H1821"/>
      <c r="I1821"/>
      <c r="J1821"/>
    </row>
    <row r="1822" spans="1:10" x14ac:dyDescent="0.25">
      <c r="A1822" s="90">
        <v>37799</v>
      </c>
      <c r="B1822" s="17">
        <v>16.11</v>
      </c>
      <c r="C1822" s="17"/>
      <c r="F1822"/>
      <c r="G1822"/>
      <c r="H1822"/>
      <c r="I1822"/>
      <c r="J1822"/>
    </row>
    <row r="1823" spans="1:10" x14ac:dyDescent="0.25">
      <c r="A1823" s="90">
        <v>37802</v>
      </c>
      <c r="B1823" s="17">
        <v>16.350000000000001</v>
      </c>
      <c r="C1823" s="17"/>
      <c r="F1823"/>
      <c r="G1823"/>
      <c r="H1823"/>
      <c r="I1823"/>
      <c r="J1823"/>
    </row>
    <row r="1824" spans="1:10" x14ac:dyDescent="0.25">
      <c r="A1824" s="90">
        <v>37803</v>
      </c>
      <c r="B1824" s="17">
        <v>16.82</v>
      </c>
      <c r="C1824" s="17"/>
      <c r="F1824"/>
      <c r="G1824"/>
      <c r="H1824"/>
      <c r="I1824"/>
      <c r="J1824"/>
    </row>
    <row r="1825" spans="1:10" x14ac:dyDescent="0.25">
      <c r="A1825" s="90">
        <v>37804</v>
      </c>
      <c r="B1825" s="17">
        <v>17.170000000000002</v>
      </c>
      <c r="C1825" s="17"/>
      <c r="F1825"/>
      <c r="G1825"/>
      <c r="H1825"/>
      <c r="I1825"/>
      <c r="J1825"/>
    </row>
    <row r="1826" spans="1:10" x14ac:dyDescent="0.25">
      <c r="A1826" s="90">
        <v>37805</v>
      </c>
      <c r="B1826" s="17">
        <v>17.350000000000001</v>
      </c>
      <c r="C1826" s="17"/>
      <c r="F1826"/>
      <c r="G1826"/>
      <c r="H1826"/>
      <c r="I1826"/>
      <c r="J1826"/>
    </row>
    <row r="1827" spans="1:10" x14ac:dyDescent="0.25">
      <c r="A1827" s="90">
        <v>37809</v>
      </c>
      <c r="B1827" s="17">
        <v>17.64</v>
      </c>
      <c r="C1827" s="17"/>
      <c r="F1827"/>
      <c r="G1827"/>
      <c r="H1827"/>
      <c r="I1827"/>
      <c r="J1827"/>
    </row>
    <row r="1828" spans="1:10" x14ac:dyDescent="0.25">
      <c r="A1828" s="90">
        <v>37810</v>
      </c>
      <c r="B1828" s="17">
        <v>17.55</v>
      </c>
      <c r="C1828" s="17"/>
      <c r="F1828"/>
      <c r="G1828"/>
      <c r="H1828"/>
      <c r="I1828"/>
      <c r="J1828"/>
    </row>
    <row r="1829" spans="1:10" x14ac:dyDescent="0.25">
      <c r="A1829" s="90">
        <v>37811</v>
      </c>
      <c r="B1829" s="17">
        <v>17.649999999999999</v>
      </c>
      <c r="C1829" s="17"/>
      <c r="F1829"/>
      <c r="G1829"/>
      <c r="H1829"/>
      <c r="I1829"/>
      <c r="J1829"/>
    </row>
    <row r="1830" spans="1:10" x14ac:dyDescent="0.25">
      <c r="A1830" s="90">
        <v>37812</v>
      </c>
      <c r="B1830" s="17">
        <v>16.28</v>
      </c>
      <c r="C1830" s="17"/>
      <c r="F1830"/>
      <c r="G1830"/>
      <c r="H1830"/>
      <c r="I1830"/>
      <c r="J1830"/>
    </row>
    <row r="1831" spans="1:10" x14ac:dyDescent="0.25">
      <c r="A1831" s="90">
        <v>37813</v>
      </c>
      <c r="B1831" s="17">
        <v>16.09</v>
      </c>
      <c r="C1831" s="17"/>
      <c r="F1831"/>
      <c r="G1831"/>
      <c r="H1831"/>
      <c r="I1831"/>
      <c r="J1831"/>
    </row>
    <row r="1832" spans="1:10" x14ac:dyDescent="0.25">
      <c r="A1832" s="90">
        <v>37816</v>
      </c>
      <c r="B1832" s="17">
        <v>16.100000000000001</v>
      </c>
      <c r="C1832" s="17"/>
      <c r="F1832"/>
      <c r="G1832"/>
      <c r="H1832"/>
      <c r="I1832"/>
      <c r="J1832"/>
    </row>
    <row r="1833" spans="1:10" x14ac:dyDescent="0.25">
      <c r="A1833" s="90">
        <v>37817</v>
      </c>
      <c r="B1833" s="17">
        <v>16.18</v>
      </c>
      <c r="C1833" s="17"/>
      <c r="F1833"/>
      <c r="G1833"/>
      <c r="H1833"/>
      <c r="I1833"/>
      <c r="J1833"/>
    </row>
    <row r="1834" spans="1:10" x14ac:dyDescent="0.25">
      <c r="A1834" s="90">
        <v>37818</v>
      </c>
      <c r="B1834" s="17">
        <v>15.93</v>
      </c>
      <c r="C1834" s="17"/>
      <c r="F1834"/>
      <c r="G1834"/>
      <c r="H1834"/>
      <c r="I1834"/>
      <c r="J1834"/>
    </row>
    <row r="1835" spans="1:10" x14ac:dyDescent="0.25">
      <c r="A1835" s="90">
        <v>37819</v>
      </c>
      <c r="B1835" s="17">
        <v>15.31</v>
      </c>
      <c r="C1835" s="17"/>
      <c r="F1835"/>
      <c r="G1835"/>
      <c r="H1835"/>
      <c r="I1835"/>
      <c r="J1835"/>
    </row>
    <row r="1836" spans="1:10" x14ac:dyDescent="0.25">
      <c r="A1836" s="90">
        <v>37820</v>
      </c>
      <c r="B1836" s="17">
        <v>14.95</v>
      </c>
      <c r="C1836" s="17"/>
      <c r="F1836"/>
      <c r="G1836"/>
      <c r="H1836"/>
      <c r="I1836"/>
      <c r="J1836"/>
    </row>
    <row r="1837" spans="1:10" x14ac:dyDescent="0.25">
      <c r="A1837" s="90">
        <v>37823</v>
      </c>
      <c r="B1837" s="17">
        <v>15.52</v>
      </c>
      <c r="C1837" s="17"/>
      <c r="F1837"/>
      <c r="G1837"/>
      <c r="H1837"/>
      <c r="I1837"/>
      <c r="J1837"/>
    </row>
    <row r="1838" spans="1:10" x14ac:dyDescent="0.25">
      <c r="A1838" s="90">
        <v>37824</v>
      </c>
      <c r="B1838" s="17">
        <v>15.62</v>
      </c>
      <c r="C1838" s="17"/>
      <c r="F1838"/>
      <c r="G1838"/>
      <c r="H1838"/>
      <c r="I1838"/>
      <c r="J1838"/>
    </row>
    <row r="1839" spans="1:10" x14ac:dyDescent="0.25">
      <c r="A1839" s="90">
        <v>37825</v>
      </c>
      <c r="B1839" s="17">
        <v>16.059999999999999</v>
      </c>
      <c r="C1839" s="17"/>
      <c r="F1839"/>
      <c r="G1839"/>
      <c r="H1839"/>
      <c r="I1839"/>
      <c r="J1839"/>
    </row>
    <row r="1840" spans="1:10" x14ac:dyDescent="0.25">
      <c r="A1840" s="90">
        <v>37826</v>
      </c>
      <c r="B1840" s="17">
        <v>16.600000000000001</v>
      </c>
      <c r="C1840" s="17"/>
      <c r="F1840"/>
      <c r="G1840"/>
      <c r="H1840"/>
      <c r="I1840"/>
      <c r="J1840"/>
    </row>
    <row r="1841" spans="1:10" x14ac:dyDescent="0.25">
      <c r="A1841" s="90">
        <v>37827</v>
      </c>
      <c r="B1841" s="17">
        <v>16.399999999999999</v>
      </c>
      <c r="C1841" s="17"/>
      <c r="F1841"/>
      <c r="G1841"/>
      <c r="H1841"/>
      <c r="I1841"/>
      <c r="J1841"/>
    </row>
    <row r="1842" spans="1:10" x14ac:dyDescent="0.25">
      <c r="A1842" s="90">
        <v>37830</v>
      </c>
      <c r="B1842" s="17">
        <v>16.28</v>
      </c>
      <c r="C1842" s="17"/>
      <c r="F1842"/>
      <c r="G1842"/>
      <c r="H1842"/>
      <c r="I1842"/>
      <c r="J1842"/>
    </row>
    <row r="1843" spans="1:10" x14ac:dyDescent="0.25">
      <c r="A1843" s="90">
        <v>37831</v>
      </c>
      <c r="B1843" s="17">
        <v>15.78</v>
      </c>
      <c r="C1843" s="17"/>
      <c r="F1843"/>
      <c r="G1843"/>
      <c r="H1843"/>
      <c r="I1843"/>
      <c r="J1843"/>
    </row>
    <row r="1844" spans="1:10" x14ac:dyDescent="0.25">
      <c r="A1844" s="90">
        <v>37832</v>
      </c>
      <c r="B1844" s="17">
        <v>15.4</v>
      </c>
      <c r="C1844" s="17"/>
      <c r="F1844"/>
      <c r="G1844"/>
      <c r="H1844"/>
      <c r="I1844"/>
      <c r="J1844"/>
    </row>
    <row r="1845" spans="1:10" x14ac:dyDescent="0.25">
      <c r="A1845" s="90">
        <v>37833</v>
      </c>
      <c r="B1845" s="17">
        <v>15.56</v>
      </c>
      <c r="C1845" s="17"/>
      <c r="F1845"/>
      <c r="G1845"/>
      <c r="H1845"/>
      <c r="I1845"/>
      <c r="J1845"/>
    </row>
    <row r="1846" spans="1:10" x14ac:dyDescent="0.25">
      <c r="A1846" s="90">
        <v>37834</v>
      </c>
      <c r="B1846" s="17">
        <v>15.73</v>
      </c>
      <c r="C1846" s="17"/>
      <c r="F1846"/>
      <c r="G1846"/>
      <c r="H1846"/>
      <c r="I1846"/>
      <c r="J1846"/>
    </row>
    <row r="1847" spans="1:10" x14ac:dyDescent="0.25">
      <c r="A1847" s="90">
        <v>37837</v>
      </c>
      <c r="B1847" s="17">
        <v>15.39</v>
      </c>
      <c r="C1847" s="17"/>
      <c r="F1847"/>
      <c r="G1847"/>
      <c r="H1847"/>
      <c r="I1847"/>
      <c r="J1847"/>
    </row>
    <row r="1848" spans="1:10" x14ac:dyDescent="0.25">
      <c r="A1848" s="90">
        <v>37838</v>
      </c>
      <c r="B1848" s="17">
        <v>14.91</v>
      </c>
      <c r="C1848" s="17"/>
      <c r="F1848"/>
      <c r="G1848"/>
      <c r="H1848"/>
      <c r="I1848"/>
      <c r="J1848"/>
    </row>
    <row r="1849" spans="1:10" x14ac:dyDescent="0.25">
      <c r="A1849" s="90">
        <v>37839</v>
      </c>
      <c r="B1849" s="17">
        <v>14.73</v>
      </c>
      <c r="C1849" s="17"/>
      <c r="F1849"/>
      <c r="G1849"/>
      <c r="H1849"/>
      <c r="I1849"/>
      <c r="J1849"/>
    </row>
    <row r="1850" spans="1:10" x14ac:dyDescent="0.25">
      <c r="A1850" s="90">
        <v>37840</v>
      </c>
      <c r="B1850" s="17">
        <v>14.44</v>
      </c>
      <c r="C1850" s="17"/>
      <c r="F1850"/>
      <c r="G1850"/>
      <c r="H1850"/>
      <c r="I1850"/>
      <c r="J1850"/>
    </row>
    <row r="1851" spans="1:10" x14ac:dyDescent="0.25">
      <c r="A1851" s="90">
        <v>37841</v>
      </c>
      <c r="B1851" s="17">
        <v>14.5</v>
      </c>
      <c r="C1851" s="17"/>
      <c r="F1851"/>
      <c r="G1851"/>
      <c r="H1851"/>
      <c r="I1851"/>
      <c r="J1851"/>
    </row>
    <row r="1852" spans="1:10" x14ac:dyDescent="0.25">
      <c r="A1852" s="90">
        <v>37844</v>
      </c>
      <c r="B1852" s="17">
        <v>14.45</v>
      </c>
      <c r="C1852" s="17"/>
      <c r="F1852"/>
      <c r="G1852"/>
      <c r="H1852"/>
      <c r="I1852"/>
      <c r="J1852"/>
    </row>
    <row r="1853" spans="1:10" x14ac:dyDescent="0.25">
      <c r="A1853" s="90">
        <v>37845</v>
      </c>
      <c r="B1853" s="17">
        <v>14.93</v>
      </c>
      <c r="C1853" s="17"/>
      <c r="F1853"/>
      <c r="G1853"/>
      <c r="H1853"/>
      <c r="I1853"/>
      <c r="J1853"/>
    </row>
    <row r="1854" spans="1:10" x14ac:dyDescent="0.25">
      <c r="A1854" s="90">
        <v>37846</v>
      </c>
      <c r="B1854" s="17">
        <v>14.77</v>
      </c>
      <c r="C1854" s="17"/>
      <c r="F1854"/>
      <c r="G1854"/>
      <c r="H1854"/>
      <c r="I1854"/>
      <c r="J1854"/>
    </row>
    <row r="1855" spans="1:10" x14ac:dyDescent="0.25">
      <c r="A1855" s="90">
        <v>37847</v>
      </c>
      <c r="B1855" s="17">
        <v>14.89</v>
      </c>
      <c r="C1855" s="17"/>
      <c r="F1855"/>
      <c r="G1855"/>
      <c r="H1855"/>
      <c r="I1855"/>
      <c r="J1855"/>
    </row>
    <row r="1856" spans="1:10" x14ac:dyDescent="0.25">
      <c r="A1856" s="90">
        <v>37848</v>
      </c>
      <c r="B1856" s="17">
        <v>14.94</v>
      </c>
      <c r="C1856" s="17"/>
      <c r="F1856"/>
      <c r="G1856"/>
      <c r="H1856"/>
      <c r="I1856"/>
      <c r="J1856"/>
    </row>
    <row r="1857" spans="1:10" x14ac:dyDescent="0.25">
      <c r="A1857" s="90">
        <v>37851</v>
      </c>
      <c r="B1857" s="17">
        <v>15.65</v>
      </c>
      <c r="C1857" s="17"/>
      <c r="F1857"/>
      <c r="G1857"/>
      <c r="H1857"/>
      <c r="I1857"/>
      <c r="J1857"/>
    </row>
    <row r="1858" spans="1:10" x14ac:dyDescent="0.25">
      <c r="A1858" s="90">
        <v>37852</v>
      </c>
      <c r="B1858" s="17">
        <v>16.010000000000002</v>
      </c>
      <c r="C1858" s="17"/>
      <c r="F1858"/>
      <c r="G1858"/>
      <c r="H1858"/>
      <c r="I1858"/>
      <c r="J1858"/>
    </row>
    <row r="1859" spans="1:10" x14ac:dyDescent="0.25">
      <c r="A1859" s="90">
        <v>37853</v>
      </c>
      <c r="B1859" s="17">
        <v>15.99</v>
      </c>
      <c r="C1859" s="17"/>
      <c r="F1859"/>
      <c r="G1859"/>
      <c r="H1859"/>
      <c r="I1859"/>
      <c r="J1859"/>
    </row>
    <row r="1860" spans="1:10" x14ac:dyDescent="0.25">
      <c r="A1860" s="90">
        <v>37854</v>
      </c>
      <c r="B1860" s="17">
        <v>16.41</v>
      </c>
      <c r="C1860" s="17"/>
      <c r="F1860"/>
      <c r="G1860"/>
      <c r="H1860"/>
      <c r="I1860"/>
      <c r="J1860"/>
    </row>
    <row r="1861" spans="1:10" x14ac:dyDescent="0.25">
      <c r="A1861" s="90">
        <v>37855</v>
      </c>
      <c r="B1861" s="17">
        <v>15.91</v>
      </c>
      <c r="C1861" s="17"/>
      <c r="F1861"/>
      <c r="G1861"/>
      <c r="H1861"/>
      <c r="I1861"/>
      <c r="J1861"/>
    </row>
    <row r="1862" spans="1:10" x14ac:dyDescent="0.25">
      <c r="A1862" s="90">
        <v>37858</v>
      </c>
      <c r="B1862" s="17">
        <v>16.03</v>
      </c>
      <c r="C1862" s="17"/>
      <c r="F1862"/>
      <c r="G1862"/>
      <c r="H1862"/>
      <c r="I1862"/>
      <c r="J1862"/>
    </row>
    <row r="1863" spans="1:10" x14ac:dyDescent="0.25">
      <c r="A1863" s="90">
        <v>37859</v>
      </c>
      <c r="B1863" s="17">
        <v>16.03</v>
      </c>
      <c r="C1863" s="17"/>
      <c r="F1863"/>
      <c r="G1863"/>
      <c r="H1863"/>
      <c r="I1863"/>
      <c r="J1863"/>
    </row>
    <row r="1864" spans="1:10" x14ac:dyDescent="0.25">
      <c r="A1864" s="90">
        <v>37860</v>
      </c>
      <c r="B1864" s="17">
        <v>16.2</v>
      </c>
      <c r="C1864" s="17"/>
      <c r="F1864"/>
      <c r="G1864"/>
      <c r="H1864"/>
      <c r="I1864"/>
      <c r="J1864"/>
    </row>
    <row r="1865" spans="1:10" x14ac:dyDescent="0.25">
      <c r="A1865" s="90">
        <v>37861</v>
      </c>
      <c r="B1865" s="17">
        <v>16.170000000000002</v>
      </c>
      <c r="C1865" s="17"/>
      <c r="F1865"/>
      <c r="G1865"/>
      <c r="H1865"/>
      <c r="I1865"/>
      <c r="J1865"/>
    </row>
    <row r="1866" spans="1:10" x14ac:dyDescent="0.25">
      <c r="A1866" s="90">
        <v>37862</v>
      </c>
      <c r="B1866" s="17">
        <v>16.690000000000001</v>
      </c>
      <c r="C1866" s="17"/>
      <c r="F1866"/>
      <c r="G1866"/>
      <c r="H1866"/>
      <c r="I1866"/>
      <c r="J1866"/>
    </row>
    <row r="1867" spans="1:10" x14ac:dyDescent="0.25">
      <c r="A1867" s="90">
        <v>37866</v>
      </c>
      <c r="B1867" s="17">
        <v>17.09</v>
      </c>
      <c r="C1867" s="17"/>
      <c r="F1867"/>
      <c r="G1867"/>
      <c r="H1867"/>
      <c r="I1867"/>
      <c r="J1867"/>
    </row>
    <row r="1868" spans="1:10" x14ac:dyDescent="0.25">
      <c r="A1868" s="90">
        <v>37867</v>
      </c>
      <c r="B1868" s="17">
        <v>16.78</v>
      </c>
      <c r="C1868" s="17"/>
      <c r="F1868"/>
      <c r="G1868"/>
      <c r="H1868"/>
      <c r="I1868"/>
      <c r="J1868"/>
    </row>
    <row r="1869" spans="1:10" x14ac:dyDescent="0.25">
      <c r="A1869" s="90">
        <v>37868</v>
      </c>
      <c r="B1869" s="17">
        <v>17.420000000000002</v>
      </c>
      <c r="C1869" s="17"/>
      <c r="F1869"/>
      <c r="G1869"/>
      <c r="H1869"/>
      <c r="I1869"/>
      <c r="J1869"/>
    </row>
    <row r="1870" spans="1:10" x14ac:dyDescent="0.25">
      <c r="A1870" s="90">
        <v>37869</v>
      </c>
      <c r="B1870" s="17">
        <v>17.440000000000001</v>
      </c>
      <c r="C1870" s="17"/>
      <c r="F1870"/>
      <c r="G1870"/>
      <c r="H1870"/>
      <c r="I1870"/>
      <c r="J1870"/>
    </row>
    <row r="1871" spans="1:10" x14ac:dyDescent="0.25">
      <c r="A1871" s="90">
        <v>37872</v>
      </c>
      <c r="B1871" s="17">
        <v>17.77</v>
      </c>
      <c r="C1871" s="17"/>
      <c r="F1871"/>
      <c r="G1871"/>
      <c r="H1871"/>
      <c r="I1871"/>
      <c r="J1871"/>
    </row>
    <row r="1872" spans="1:10" x14ac:dyDescent="0.25">
      <c r="A1872" s="90">
        <v>37873</v>
      </c>
      <c r="B1872" s="17">
        <v>17.5</v>
      </c>
      <c r="C1872" s="17"/>
      <c r="F1872"/>
      <c r="G1872"/>
      <c r="H1872"/>
      <c r="I1872"/>
      <c r="J1872"/>
    </row>
    <row r="1873" spans="1:10" x14ac:dyDescent="0.25">
      <c r="A1873" s="90">
        <v>37874</v>
      </c>
      <c r="B1873" s="17">
        <v>17.22</v>
      </c>
      <c r="C1873" s="17"/>
      <c r="F1873"/>
      <c r="G1873"/>
      <c r="H1873"/>
      <c r="I1873"/>
      <c r="J1873"/>
    </row>
    <row r="1874" spans="1:10" x14ac:dyDescent="0.25">
      <c r="A1874" s="90">
        <v>37875</v>
      </c>
      <c r="B1874" s="17">
        <v>17.3</v>
      </c>
      <c r="C1874" s="17"/>
      <c r="F1874"/>
      <c r="G1874"/>
      <c r="H1874"/>
      <c r="I1874"/>
      <c r="J1874"/>
    </row>
    <row r="1875" spans="1:10" x14ac:dyDescent="0.25">
      <c r="A1875" s="90">
        <v>37876</v>
      </c>
      <c r="B1875" s="17">
        <v>17.41</v>
      </c>
      <c r="C1875" s="17"/>
      <c r="F1875"/>
      <c r="G1875"/>
      <c r="H1875"/>
      <c r="I1875"/>
      <c r="J1875"/>
    </row>
    <row r="1876" spans="1:10" x14ac:dyDescent="0.25">
      <c r="A1876" s="90">
        <v>37879</v>
      </c>
      <c r="B1876" s="17">
        <v>17.32</v>
      </c>
      <c r="C1876" s="17"/>
      <c r="F1876"/>
      <c r="G1876"/>
      <c r="H1876"/>
      <c r="I1876"/>
      <c r="J1876"/>
    </row>
    <row r="1877" spans="1:10" x14ac:dyDescent="0.25">
      <c r="A1877" s="90">
        <v>37880</v>
      </c>
      <c r="B1877" s="17">
        <v>17.91</v>
      </c>
      <c r="C1877" s="17"/>
      <c r="F1877"/>
      <c r="G1877"/>
      <c r="H1877"/>
      <c r="I1877"/>
      <c r="J1877"/>
    </row>
    <row r="1878" spans="1:10" x14ac:dyDescent="0.25">
      <c r="A1878" s="90">
        <v>37881</v>
      </c>
      <c r="B1878" s="17">
        <v>18</v>
      </c>
      <c r="C1878" s="17"/>
      <c r="F1878"/>
      <c r="G1878"/>
      <c r="H1878"/>
      <c r="I1878"/>
      <c r="J1878"/>
    </row>
    <row r="1879" spans="1:10" x14ac:dyDescent="0.25">
      <c r="A1879" s="90">
        <v>37882</v>
      </c>
      <c r="B1879" s="17">
        <v>18.79</v>
      </c>
      <c r="C1879" s="17"/>
      <c r="F1879"/>
      <c r="G1879"/>
      <c r="H1879"/>
      <c r="I1879"/>
      <c r="J1879"/>
    </row>
    <row r="1880" spans="1:10" x14ac:dyDescent="0.25">
      <c r="A1880" s="90">
        <v>37883</v>
      </c>
      <c r="B1880" s="17">
        <v>18.62</v>
      </c>
      <c r="C1880" s="17"/>
      <c r="F1880"/>
      <c r="G1880"/>
      <c r="H1880"/>
      <c r="I1880"/>
      <c r="J1880"/>
    </row>
    <row r="1881" spans="1:10" x14ac:dyDescent="0.25">
      <c r="A1881" s="90">
        <v>37886</v>
      </c>
      <c r="B1881" s="17">
        <v>18.29</v>
      </c>
      <c r="C1881" s="17"/>
      <c r="F1881"/>
      <c r="G1881"/>
      <c r="H1881"/>
      <c r="I1881"/>
      <c r="J1881"/>
    </row>
    <row r="1882" spans="1:10" x14ac:dyDescent="0.25">
      <c r="A1882" s="90">
        <v>37887</v>
      </c>
      <c r="B1882" s="17">
        <v>18.91</v>
      </c>
      <c r="C1882" s="17"/>
      <c r="F1882"/>
      <c r="G1882"/>
      <c r="H1882"/>
      <c r="I1882"/>
      <c r="J1882"/>
    </row>
    <row r="1883" spans="1:10" x14ac:dyDescent="0.25">
      <c r="A1883" s="90">
        <v>37888</v>
      </c>
      <c r="B1883" s="17">
        <v>18.309999999999999</v>
      </c>
      <c r="C1883" s="17"/>
      <c r="F1883"/>
      <c r="G1883"/>
      <c r="H1883"/>
      <c r="I1883"/>
      <c r="J1883"/>
    </row>
    <row r="1884" spans="1:10" x14ac:dyDescent="0.25">
      <c r="A1884" s="90">
        <v>37889</v>
      </c>
      <c r="B1884" s="17">
        <v>18.260000000000002</v>
      </c>
      <c r="C1884" s="17"/>
      <c r="F1884"/>
      <c r="G1884"/>
      <c r="H1884"/>
      <c r="I1884"/>
      <c r="J1884"/>
    </row>
    <row r="1885" spans="1:10" x14ac:dyDescent="0.25">
      <c r="A1885" s="90">
        <v>37890</v>
      </c>
      <c r="B1885" s="17">
        <v>17.54</v>
      </c>
      <c r="C1885" s="17"/>
      <c r="F1885"/>
      <c r="G1885"/>
      <c r="H1885"/>
      <c r="I1885"/>
      <c r="J1885"/>
    </row>
    <row r="1886" spans="1:10" x14ac:dyDescent="0.25">
      <c r="A1886" s="90">
        <v>37893</v>
      </c>
      <c r="B1886" s="17">
        <v>18.09</v>
      </c>
      <c r="C1886" s="17"/>
      <c r="F1886"/>
      <c r="G1886"/>
      <c r="H1886"/>
      <c r="I1886"/>
      <c r="J1886"/>
    </row>
    <row r="1887" spans="1:10" x14ac:dyDescent="0.25">
      <c r="A1887" s="90">
        <v>37894</v>
      </c>
      <c r="B1887" s="17">
        <v>17.690000000000001</v>
      </c>
      <c r="C1887" s="17"/>
      <c r="F1887"/>
      <c r="G1887"/>
      <c r="H1887"/>
      <c r="I1887"/>
      <c r="J1887"/>
    </row>
    <row r="1888" spans="1:10" x14ac:dyDescent="0.25">
      <c r="A1888" s="90">
        <v>37895</v>
      </c>
      <c r="B1888" s="17">
        <v>18.2</v>
      </c>
      <c r="C1888" s="17"/>
      <c r="F1888"/>
      <c r="G1888"/>
      <c r="H1888"/>
      <c r="I1888"/>
      <c r="J1888"/>
    </row>
    <row r="1889" spans="1:10" x14ac:dyDescent="0.25">
      <c r="A1889" s="90">
        <v>37896</v>
      </c>
      <c r="B1889" s="17">
        <v>18.95</v>
      </c>
      <c r="C1889" s="17"/>
      <c r="F1889"/>
      <c r="G1889"/>
      <c r="H1889"/>
      <c r="I1889"/>
      <c r="J1889"/>
    </row>
    <row r="1890" spans="1:10" x14ac:dyDescent="0.25">
      <c r="A1890" s="90">
        <v>37897</v>
      </c>
      <c r="B1890" s="17">
        <v>19.62</v>
      </c>
      <c r="C1890" s="17"/>
      <c r="F1890"/>
      <c r="G1890"/>
      <c r="H1890"/>
      <c r="I1890"/>
      <c r="J1890"/>
    </row>
    <row r="1891" spans="1:10" x14ac:dyDescent="0.25">
      <c r="A1891" s="90">
        <v>37900</v>
      </c>
      <c r="B1891" s="17">
        <v>19.89</v>
      </c>
      <c r="C1891" s="17"/>
      <c r="F1891"/>
      <c r="G1891"/>
      <c r="H1891"/>
      <c r="I1891"/>
      <c r="J1891"/>
    </row>
    <row r="1892" spans="1:10" x14ac:dyDescent="0.25">
      <c r="A1892" s="90">
        <v>37901</v>
      </c>
      <c r="B1892" s="17">
        <v>19.47</v>
      </c>
      <c r="C1892" s="17"/>
      <c r="F1892"/>
      <c r="G1892"/>
      <c r="H1892"/>
      <c r="I1892"/>
      <c r="J1892"/>
    </row>
    <row r="1893" spans="1:10" x14ac:dyDescent="0.25">
      <c r="A1893" s="90">
        <v>37902</v>
      </c>
      <c r="B1893" s="17">
        <v>19.399999999999999</v>
      </c>
      <c r="C1893" s="17"/>
      <c r="F1893"/>
      <c r="G1893"/>
      <c r="H1893"/>
      <c r="I1893"/>
      <c r="J1893"/>
    </row>
    <row r="1894" spans="1:10" x14ac:dyDescent="0.25">
      <c r="A1894" s="90">
        <v>37903</v>
      </c>
      <c r="B1894" s="17">
        <v>21.38</v>
      </c>
      <c r="C1894" s="17"/>
      <c r="F1894"/>
      <c r="G1894"/>
      <c r="H1894"/>
      <c r="I1894"/>
      <c r="J1894"/>
    </row>
    <row r="1895" spans="1:10" x14ac:dyDescent="0.25">
      <c r="A1895" s="90">
        <v>37904</v>
      </c>
      <c r="B1895" s="17">
        <v>21.58</v>
      </c>
      <c r="C1895" s="17"/>
      <c r="F1895"/>
      <c r="G1895"/>
      <c r="H1895"/>
      <c r="I1895"/>
      <c r="J1895"/>
    </row>
    <row r="1896" spans="1:10" x14ac:dyDescent="0.25">
      <c r="A1896" s="90">
        <v>37907</v>
      </c>
      <c r="B1896" s="17">
        <v>21.45</v>
      </c>
      <c r="C1896" s="17"/>
      <c r="F1896"/>
      <c r="G1896"/>
      <c r="H1896"/>
      <c r="I1896"/>
      <c r="J1896"/>
    </row>
    <row r="1897" spans="1:10" x14ac:dyDescent="0.25">
      <c r="A1897" s="90">
        <v>37908</v>
      </c>
      <c r="B1897" s="17">
        <v>21.15</v>
      </c>
      <c r="C1897" s="17"/>
      <c r="F1897"/>
      <c r="G1897"/>
      <c r="H1897"/>
      <c r="I1897"/>
      <c r="J1897"/>
    </row>
    <row r="1898" spans="1:10" x14ac:dyDescent="0.25">
      <c r="A1898" s="90">
        <v>37909</v>
      </c>
      <c r="B1898" s="17">
        <v>20.72</v>
      </c>
      <c r="C1898" s="17"/>
      <c r="F1898"/>
      <c r="G1898"/>
      <c r="H1898"/>
      <c r="I1898"/>
      <c r="J1898"/>
    </row>
    <row r="1899" spans="1:10" x14ac:dyDescent="0.25">
      <c r="A1899" s="90">
        <v>37910</v>
      </c>
      <c r="B1899" s="17">
        <v>21.1</v>
      </c>
      <c r="C1899" s="17"/>
      <c r="F1899"/>
      <c r="G1899"/>
      <c r="H1899"/>
      <c r="I1899"/>
      <c r="J1899"/>
    </row>
    <row r="1900" spans="1:10" x14ac:dyDescent="0.25">
      <c r="A1900" s="90">
        <v>37911</v>
      </c>
      <c r="B1900" s="17">
        <v>21.12</v>
      </c>
      <c r="C1900" s="17"/>
      <c r="F1900"/>
      <c r="G1900"/>
      <c r="H1900"/>
      <c r="I1900"/>
      <c r="J1900"/>
    </row>
    <row r="1901" spans="1:10" x14ac:dyDescent="0.25">
      <c r="A1901" s="90">
        <v>37914</v>
      </c>
      <c r="B1901" s="17">
        <v>21.18</v>
      </c>
      <c r="C1901" s="17"/>
      <c r="F1901"/>
      <c r="G1901"/>
      <c r="H1901"/>
      <c r="I1901"/>
      <c r="J1901"/>
    </row>
    <row r="1902" spans="1:10" x14ac:dyDescent="0.25">
      <c r="A1902" s="90">
        <v>37915</v>
      </c>
      <c r="B1902" s="17">
        <v>21.41</v>
      </c>
      <c r="C1902" s="17"/>
      <c r="F1902"/>
      <c r="G1902"/>
      <c r="H1902"/>
      <c r="I1902"/>
      <c r="J1902"/>
    </row>
    <row r="1903" spans="1:10" x14ac:dyDescent="0.25">
      <c r="A1903" s="90">
        <v>37916</v>
      </c>
      <c r="B1903" s="17">
        <v>20.89</v>
      </c>
      <c r="C1903" s="17"/>
      <c r="F1903"/>
      <c r="G1903"/>
      <c r="H1903"/>
      <c r="I1903"/>
      <c r="J1903"/>
    </row>
    <row r="1904" spans="1:10" x14ac:dyDescent="0.25">
      <c r="A1904" s="90">
        <v>37917</v>
      </c>
      <c r="B1904" s="17">
        <v>20.2</v>
      </c>
      <c r="C1904" s="17"/>
      <c r="F1904"/>
      <c r="G1904"/>
      <c r="H1904"/>
      <c r="I1904"/>
      <c r="J1904"/>
    </row>
    <row r="1905" spans="1:10" x14ac:dyDescent="0.25">
      <c r="A1905" s="90">
        <v>37918</v>
      </c>
      <c r="B1905" s="17">
        <v>20.260000000000002</v>
      </c>
      <c r="C1905" s="17"/>
      <c r="F1905"/>
      <c r="G1905"/>
      <c r="H1905"/>
      <c r="I1905"/>
      <c r="J1905"/>
    </row>
    <row r="1906" spans="1:10" x14ac:dyDescent="0.25">
      <c r="A1906" s="90">
        <v>37921</v>
      </c>
      <c r="B1906" s="17">
        <v>20.58</v>
      </c>
      <c r="C1906" s="17"/>
      <c r="F1906"/>
      <c r="G1906"/>
      <c r="H1906"/>
      <c r="I1906"/>
      <c r="J1906"/>
    </row>
    <row r="1907" spans="1:10" x14ac:dyDescent="0.25">
      <c r="A1907" s="90">
        <v>37922</v>
      </c>
      <c r="B1907" s="17">
        <v>21.51</v>
      </c>
      <c r="C1907" s="17"/>
      <c r="F1907"/>
      <c r="G1907"/>
      <c r="H1907"/>
      <c r="I1907"/>
      <c r="J1907"/>
    </row>
    <row r="1908" spans="1:10" x14ac:dyDescent="0.25">
      <c r="A1908" s="90">
        <v>37923</v>
      </c>
      <c r="B1908" s="17">
        <v>21.54</v>
      </c>
      <c r="C1908" s="17"/>
      <c r="F1908"/>
      <c r="G1908"/>
      <c r="H1908"/>
      <c r="I1908"/>
      <c r="J1908"/>
    </row>
    <row r="1909" spans="1:10" x14ac:dyDescent="0.25">
      <c r="A1909" s="90">
        <v>37924</v>
      </c>
      <c r="B1909" s="17">
        <v>21.86</v>
      </c>
      <c r="C1909" s="17"/>
      <c r="F1909"/>
      <c r="G1909"/>
      <c r="H1909"/>
      <c r="I1909"/>
      <c r="J1909"/>
    </row>
    <row r="1910" spans="1:10" x14ac:dyDescent="0.25">
      <c r="A1910" s="90">
        <v>37925</v>
      </c>
      <c r="B1910" s="17">
        <v>21.85</v>
      </c>
      <c r="C1910" s="17"/>
      <c r="F1910"/>
      <c r="G1910"/>
      <c r="H1910"/>
      <c r="I1910"/>
      <c r="J1910"/>
    </row>
    <row r="1911" spans="1:10" x14ac:dyDescent="0.25">
      <c r="A1911" s="90">
        <v>37928</v>
      </c>
      <c r="B1911" s="17">
        <v>21.97</v>
      </c>
      <c r="C1911" s="17"/>
      <c r="F1911"/>
      <c r="G1911"/>
      <c r="H1911"/>
      <c r="I1911"/>
      <c r="J1911"/>
    </row>
    <row r="1912" spans="1:10" x14ac:dyDescent="0.25">
      <c r="A1912" s="90">
        <v>37929</v>
      </c>
      <c r="B1912" s="17">
        <v>21.72</v>
      </c>
      <c r="C1912" s="17"/>
      <c r="F1912"/>
      <c r="G1912"/>
      <c r="H1912"/>
      <c r="I1912"/>
      <c r="J1912"/>
    </row>
    <row r="1913" spans="1:10" x14ac:dyDescent="0.25">
      <c r="A1913" s="90">
        <v>37930</v>
      </c>
      <c r="B1913" s="17">
        <v>22.02</v>
      </c>
      <c r="C1913" s="17"/>
      <c r="F1913"/>
      <c r="G1913"/>
      <c r="H1913"/>
      <c r="I1913"/>
      <c r="J1913"/>
    </row>
    <row r="1914" spans="1:10" x14ac:dyDescent="0.25">
      <c r="A1914" s="90">
        <v>37931</v>
      </c>
      <c r="B1914" s="17">
        <v>21.49</v>
      </c>
      <c r="C1914" s="17"/>
      <c r="F1914"/>
      <c r="G1914"/>
      <c r="H1914"/>
      <c r="I1914"/>
      <c r="J1914"/>
    </row>
    <row r="1915" spans="1:10" x14ac:dyDescent="0.25">
      <c r="A1915" s="90">
        <v>37932</v>
      </c>
      <c r="B1915" s="17">
        <v>21.17</v>
      </c>
      <c r="C1915" s="17"/>
      <c r="F1915"/>
      <c r="G1915"/>
      <c r="H1915"/>
      <c r="I1915"/>
      <c r="J1915"/>
    </row>
    <row r="1916" spans="1:10" x14ac:dyDescent="0.25">
      <c r="A1916" s="90">
        <v>37935</v>
      </c>
      <c r="B1916" s="17">
        <v>20.62</v>
      </c>
      <c r="C1916" s="17"/>
      <c r="F1916"/>
      <c r="G1916"/>
      <c r="H1916"/>
      <c r="I1916"/>
      <c r="J1916"/>
    </row>
    <row r="1917" spans="1:10" x14ac:dyDescent="0.25">
      <c r="A1917" s="90">
        <v>37936</v>
      </c>
      <c r="B1917" s="17">
        <v>20.309999999999999</v>
      </c>
      <c r="C1917" s="17"/>
      <c r="F1917"/>
      <c r="G1917"/>
      <c r="H1917"/>
      <c r="I1917"/>
      <c r="J1917"/>
    </row>
    <row r="1918" spans="1:10" x14ac:dyDescent="0.25">
      <c r="A1918" s="90">
        <v>37937</v>
      </c>
      <c r="B1918" s="17">
        <v>21.26</v>
      </c>
      <c r="C1918" s="17"/>
      <c r="F1918"/>
      <c r="G1918"/>
      <c r="H1918"/>
      <c r="I1918"/>
      <c r="J1918"/>
    </row>
    <row r="1919" spans="1:10" x14ac:dyDescent="0.25">
      <c r="A1919" s="90">
        <v>37938</v>
      </c>
      <c r="B1919" s="17">
        <v>21.65</v>
      </c>
      <c r="C1919" s="17"/>
      <c r="F1919"/>
      <c r="G1919"/>
      <c r="H1919"/>
      <c r="I1919"/>
      <c r="J1919"/>
    </row>
    <row r="1920" spans="1:10" x14ac:dyDescent="0.25">
      <c r="A1920" s="90">
        <v>37939</v>
      </c>
      <c r="B1920" s="17">
        <v>20.82</v>
      </c>
      <c r="C1920" s="17"/>
      <c r="F1920"/>
      <c r="G1920"/>
      <c r="H1920"/>
      <c r="I1920"/>
      <c r="J1920"/>
    </row>
    <row r="1921" spans="1:10" x14ac:dyDescent="0.25">
      <c r="A1921" s="90">
        <v>37942</v>
      </c>
      <c r="B1921" s="17">
        <v>20.18</v>
      </c>
      <c r="C1921" s="17"/>
      <c r="F1921"/>
      <c r="G1921"/>
      <c r="H1921"/>
      <c r="I1921"/>
      <c r="J1921"/>
    </row>
    <row r="1922" spans="1:10" x14ac:dyDescent="0.25">
      <c r="A1922" s="90">
        <v>37943</v>
      </c>
      <c r="B1922" s="17">
        <v>19</v>
      </c>
      <c r="C1922" s="17"/>
      <c r="F1922"/>
      <c r="G1922"/>
      <c r="H1922"/>
      <c r="I1922"/>
      <c r="J1922"/>
    </row>
    <row r="1923" spans="1:10" x14ac:dyDescent="0.25">
      <c r="A1923" s="90">
        <v>37944</v>
      </c>
      <c r="B1923" s="17">
        <v>19.64</v>
      </c>
      <c r="C1923" s="17"/>
      <c r="F1923"/>
      <c r="G1923"/>
      <c r="H1923"/>
      <c r="I1923"/>
      <c r="J1923"/>
    </row>
    <row r="1924" spans="1:10" x14ac:dyDescent="0.25">
      <c r="A1924" s="90">
        <v>37945</v>
      </c>
      <c r="B1924" s="17">
        <v>19.34</v>
      </c>
      <c r="C1924" s="17"/>
      <c r="F1924"/>
      <c r="G1924"/>
      <c r="H1924"/>
      <c r="I1924"/>
      <c r="J1924"/>
    </row>
    <row r="1925" spans="1:10" x14ac:dyDescent="0.25">
      <c r="A1925" s="90">
        <v>37946</v>
      </c>
      <c r="B1925" s="17">
        <v>19.739999999999998</v>
      </c>
      <c r="C1925" s="17"/>
      <c r="F1925"/>
      <c r="G1925"/>
      <c r="H1925"/>
      <c r="I1925"/>
      <c r="J1925"/>
    </row>
    <row r="1926" spans="1:10" x14ac:dyDescent="0.25">
      <c r="A1926" s="90">
        <v>37949</v>
      </c>
      <c r="B1926" s="17">
        <v>20.89</v>
      </c>
      <c r="C1926" s="17"/>
      <c r="F1926"/>
      <c r="G1926"/>
      <c r="H1926"/>
      <c r="I1926"/>
      <c r="J1926"/>
    </row>
    <row r="1927" spans="1:10" x14ac:dyDescent="0.25">
      <c r="A1927" s="90">
        <v>37950</v>
      </c>
      <c r="B1927" s="17">
        <v>21.02</v>
      </c>
      <c r="C1927" s="17"/>
      <c r="F1927"/>
      <c r="G1927"/>
      <c r="H1927"/>
      <c r="I1927"/>
      <c r="J1927"/>
    </row>
    <row r="1928" spans="1:10" x14ac:dyDescent="0.25">
      <c r="A1928" s="90">
        <v>37951</v>
      </c>
      <c r="B1928" s="17">
        <v>21.54</v>
      </c>
      <c r="C1928" s="17"/>
      <c r="F1928"/>
      <c r="G1928"/>
      <c r="H1928"/>
      <c r="I1928"/>
      <c r="J1928"/>
    </row>
    <row r="1929" spans="1:10" x14ac:dyDescent="0.25">
      <c r="A1929" s="90">
        <v>37953</v>
      </c>
      <c r="B1929" s="17">
        <v>21.5</v>
      </c>
      <c r="C1929" s="17"/>
      <c r="F1929"/>
      <c r="G1929"/>
      <c r="H1929"/>
      <c r="I1929"/>
      <c r="J1929"/>
    </row>
    <row r="1930" spans="1:10" x14ac:dyDescent="0.25">
      <c r="A1930" s="90">
        <v>37956</v>
      </c>
      <c r="B1930" s="17">
        <v>22.1</v>
      </c>
      <c r="C1930" s="17"/>
      <c r="F1930"/>
      <c r="G1930"/>
      <c r="H1930"/>
      <c r="I1930"/>
      <c r="J1930"/>
    </row>
    <row r="1931" spans="1:10" x14ac:dyDescent="0.25">
      <c r="A1931" s="90">
        <v>37957</v>
      </c>
      <c r="B1931" s="17">
        <v>21.75</v>
      </c>
      <c r="C1931" s="17"/>
      <c r="F1931"/>
      <c r="G1931"/>
      <c r="H1931"/>
      <c r="I1931"/>
      <c r="J1931"/>
    </row>
    <row r="1932" spans="1:10" x14ac:dyDescent="0.25">
      <c r="A1932" s="90">
        <v>37958</v>
      </c>
      <c r="B1932" s="17">
        <v>21.25</v>
      </c>
      <c r="C1932" s="17"/>
      <c r="F1932"/>
      <c r="G1932"/>
      <c r="H1932"/>
      <c r="I1932"/>
      <c r="J1932"/>
    </row>
    <row r="1933" spans="1:10" x14ac:dyDescent="0.25">
      <c r="A1933" s="90">
        <v>37959</v>
      </c>
      <c r="B1933" s="17">
        <v>21.57</v>
      </c>
      <c r="C1933" s="17"/>
      <c r="F1933"/>
      <c r="G1933"/>
      <c r="H1933"/>
      <c r="I1933"/>
      <c r="J1933"/>
    </row>
    <row r="1934" spans="1:10" x14ac:dyDescent="0.25">
      <c r="A1934" s="90">
        <v>37960</v>
      </c>
      <c r="B1934" s="17">
        <v>21.42</v>
      </c>
      <c r="C1934" s="17"/>
      <c r="F1934"/>
      <c r="G1934"/>
      <c r="H1934"/>
      <c r="I1934"/>
      <c r="J1934"/>
    </row>
    <row r="1935" spans="1:10" x14ac:dyDescent="0.25">
      <c r="A1935" s="90">
        <v>37963</v>
      </c>
      <c r="B1935" s="17">
        <v>21.39</v>
      </c>
      <c r="C1935" s="17"/>
      <c r="F1935"/>
      <c r="G1935"/>
      <c r="H1935"/>
      <c r="I1935"/>
      <c r="J1935"/>
    </row>
    <row r="1936" spans="1:10" x14ac:dyDescent="0.25">
      <c r="A1936" s="90">
        <v>37964</v>
      </c>
      <c r="B1936" s="17">
        <v>20.78</v>
      </c>
      <c r="C1936" s="17"/>
      <c r="F1936"/>
      <c r="G1936"/>
      <c r="H1936"/>
      <c r="I1936"/>
      <c r="J1936"/>
    </row>
    <row r="1937" spans="1:10" x14ac:dyDescent="0.25">
      <c r="A1937" s="90">
        <v>37965</v>
      </c>
      <c r="B1937" s="17">
        <v>20.58</v>
      </c>
      <c r="C1937" s="17"/>
      <c r="F1937"/>
      <c r="G1937"/>
      <c r="H1937"/>
      <c r="I1937"/>
      <c r="J1937"/>
    </row>
    <row r="1938" spans="1:10" x14ac:dyDescent="0.25">
      <c r="A1938" s="90">
        <v>37966</v>
      </c>
      <c r="B1938" s="17">
        <v>21.39</v>
      </c>
      <c r="C1938" s="17"/>
      <c r="F1938"/>
      <c r="G1938"/>
      <c r="H1938"/>
      <c r="I1938"/>
      <c r="J1938"/>
    </row>
    <row r="1939" spans="1:10" x14ac:dyDescent="0.25">
      <c r="A1939" s="90">
        <v>37967</v>
      </c>
      <c r="B1939" s="17">
        <v>21.49</v>
      </c>
      <c r="C1939" s="17"/>
      <c r="F1939"/>
      <c r="G1939"/>
      <c r="H1939"/>
      <c r="I1939"/>
      <c r="J1939"/>
    </row>
    <row r="1940" spans="1:10" x14ac:dyDescent="0.25">
      <c r="A1940" s="90">
        <v>37970</v>
      </c>
      <c r="B1940" s="17">
        <v>21.12</v>
      </c>
      <c r="C1940" s="17"/>
      <c r="F1940"/>
      <c r="G1940"/>
      <c r="H1940"/>
      <c r="I1940"/>
      <c r="J1940"/>
    </row>
    <row r="1941" spans="1:10" x14ac:dyDescent="0.25">
      <c r="A1941" s="90">
        <v>37971</v>
      </c>
      <c r="B1941" s="17">
        <v>20.350000000000001</v>
      </c>
      <c r="C1941" s="17"/>
      <c r="F1941"/>
      <c r="G1941"/>
      <c r="H1941"/>
      <c r="I1941"/>
      <c r="J1941"/>
    </row>
    <row r="1942" spans="1:10" x14ac:dyDescent="0.25">
      <c r="A1942" s="90">
        <v>37972</v>
      </c>
      <c r="B1942" s="17">
        <v>20.36</v>
      </c>
      <c r="C1942" s="17"/>
      <c r="F1942"/>
      <c r="G1942"/>
      <c r="H1942"/>
      <c r="I1942"/>
      <c r="J1942"/>
    </row>
    <row r="1943" spans="1:10" x14ac:dyDescent="0.25">
      <c r="A1943" s="90">
        <v>37973</v>
      </c>
      <c r="B1943" s="17">
        <v>20.94</v>
      </c>
      <c r="C1943" s="17"/>
      <c r="F1943"/>
      <c r="G1943"/>
      <c r="H1943"/>
      <c r="I1943"/>
      <c r="J1943"/>
    </row>
    <row r="1944" spans="1:10" x14ac:dyDescent="0.25">
      <c r="A1944" s="90">
        <v>37974</v>
      </c>
      <c r="B1944" s="17">
        <v>21.06</v>
      </c>
      <c r="C1944" s="17"/>
      <c r="F1944"/>
      <c r="G1944"/>
      <c r="H1944"/>
      <c r="I1944"/>
      <c r="J1944"/>
    </row>
    <row r="1945" spans="1:10" x14ac:dyDescent="0.25">
      <c r="A1945" s="90">
        <v>37977</v>
      </c>
      <c r="B1945" s="17">
        <v>21.3</v>
      </c>
      <c r="C1945" s="17"/>
      <c r="F1945"/>
      <c r="G1945"/>
      <c r="H1945"/>
      <c r="I1945"/>
      <c r="J1945"/>
    </row>
    <row r="1946" spans="1:10" x14ac:dyDescent="0.25">
      <c r="A1946" s="90">
        <v>37978</v>
      </c>
      <c r="B1946" s="17">
        <v>21.84</v>
      </c>
      <c r="C1946" s="17"/>
      <c r="F1946"/>
      <c r="G1946"/>
      <c r="H1946"/>
      <c r="I1946"/>
      <c r="J1946"/>
    </row>
    <row r="1947" spans="1:10" x14ac:dyDescent="0.25">
      <c r="A1947" s="90">
        <v>37979</v>
      </c>
      <c r="B1947" s="17">
        <v>22.39</v>
      </c>
      <c r="C1947" s="17"/>
      <c r="F1947"/>
      <c r="G1947"/>
      <c r="H1947"/>
      <c r="I1947"/>
      <c r="J1947"/>
    </row>
    <row r="1948" spans="1:10" x14ac:dyDescent="0.25">
      <c r="A1948" s="90">
        <v>37981</v>
      </c>
      <c r="B1948" s="17">
        <v>22.15</v>
      </c>
      <c r="C1948" s="17"/>
      <c r="F1948"/>
      <c r="G1948"/>
      <c r="H1948"/>
      <c r="I1948"/>
      <c r="J1948"/>
    </row>
    <row r="1949" spans="1:10" x14ac:dyDescent="0.25">
      <c r="A1949" s="90">
        <v>37984</v>
      </c>
      <c r="B1949" s="17">
        <v>22.49</v>
      </c>
      <c r="C1949" s="17"/>
      <c r="F1949"/>
      <c r="G1949"/>
      <c r="H1949"/>
      <c r="I1949"/>
      <c r="J1949"/>
    </row>
    <row r="1950" spans="1:10" x14ac:dyDescent="0.25">
      <c r="A1950" s="90">
        <v>37985</v>
      </c>
      <c r="B1950" s="17">
        <v>22.47</v>
      </c>
      <c r="C1950" s="17"/>
      <c r="F1950"/>
      <c r="G1950"/>
      <c r="H1950"/>
      <c r="I1950"/>
      <c r="J1950"/>
    </row>
    <row r="1951" spans="1:10" x14ac:dyDescent="0.25">
      <c r="A1951" s="90">
        <v>37986</v>
      </c>
      <c r="B1951" s="17">
        <v>22.51</v>
      </c>
      <c r="C1951" s="17"/>
      <c r="F1951"/>
      <c r="G1951"/>
      <c r="H1951"/>
      <c r="I1951"/>
      <c r="J1951"/>
    </row>
    <row r="1952" spans="1:10" x14ac:dyDescent="0.25">
      <c r="A1952" s="90">
        <v>37988</v>
      </c>
      <c r="B1952" s="17">
        <v>22.7</v>
      </c>
      <c r="C1952" s="17"/>
      <c r="F1952"/>
      <c r="G1952"/>
      <c r="H1952"/>
      <c r="I1952"/>
      <c r="J1952"/>
    </row>
    <row r="1953" spans="1:10" x14ac:dyDescent="0.25">
      <c r="A1953" s="90">
        <v>37991</v>
      </c>
      <c r="B1953" s="17">
        <v>23.45</v>
      </c>
      <c r="C1953" s="17"/>
      <c r="F1953"/>
      <c r="G1953"/>
      <c r="H1953"/>
      <c r="I1953"/>
      <c r="J1953"/>
    </row>
    <row r="1954" spans="1:10" x14ac:dyDescent="0.25">
      <c r="A1954" s="90">
        <v>37992</v>
      </c>
      <c r="B1954" s="17">
        <v>23.62</v>
      </c>
      <c r="C1954" s="17"/>
      <c r="F1954"/>
      <c r="G1954"/>
      <c r="H1954"/>
      <c r="I1954"/>
      <c r="J1954"/>
    </row>
    <row r="1955" spans="1:10" x14ac:dyDescent="0.25">
      <c r="A1955" s="90">
        <v>37993</v>
      </c>
      <c r="B1955" s="17">
        <v>23.83</v>
      </c>
      <c r="C1955" s="17"/>
      <c r="F1955"/>
      <c r="G1955"/>
      <c r="H1955"/>
      <c r="I1955"/>
      <c r="J1955"/>
    </row>
    <row r="1956" spans="1:10" x14ac:dyDescent="0.25">
      <c r="A1956" s="90">
        <v>37994</v>
      </c>
      <c r="B1956" s="17">
        <v>24.29</v>
      </c>
      <c r="C1956" s="17"/>
      <c r="F1956"/>
      <c r="G1956"/>
      <c r="H1956"/>
      <c r="I1956"/>
      <c r="J1956"/>
    </row>
    <row r="1957" spans="1:10" x14ac:dyDescent="0.25">
      <c r="A1957" s="90">
        <v>37995</v>
      </c>
      <c r="B1957" s="17">
        <v>24.06</v>
      </c>
      <c r="C1957" s="17"/>
      <c r="F1957"/>
      <c r="G1957"/>
      <c r="H1957"/>
      <c r="I1957"/>
      <c r="J1957"/>
    </row>
    <row r="1958" spans="1:10" x14ac:dyDescent="0.25">
      <c r="A1958" s="90">
        <v>37998</v>
      </c>
      <c r="B1958" s="17">
        <v>24.87</v>
      </c>
      <c r="C1958" s="17"/>
      <c r="F1958"/>
      <c r="G1958"/>
      <c r="H1958"/>
      <c r="I1958"/>
      <c r="J1958"/>
    </row>
    <row r="1959" spans="1:10" x14ac:dyDescent="0.25">
      <c r="A1959" s="90">
        <v>37999</v>
      </c>
      <c r="B1959" s="17">
        <v>24.4</v>
      </c>
      <c r="C1959" s="17"/>
      <c r="F1959"/>
      <c r="G1959"/>
      <c r="H1959"/>
      <c r="I1959"/>
      <c r="J1959"/>
    </row>
    <row r="1960" spans="1:10" x14ac:dyDescent="0.25">
      <c r="A1960" s="90">
        <v>38000</v>
      </c>
      <c r="B1960" s="17">
        <v>24.19</v>
      </c>
      <c r="C1960" s="17"/>
      <c r="F1960"/>
      <c r="G1960"/>
      <c r="H1960"/>
      <c r="I1960"/>
      <c r="J1960"/>
    </row>
    <row r="1961" spans="1:10" x14ac:dyDescent="0.25">
      <c r="A1961" s="90">
        <v>38001</v>
      </c>
      <c r="B1961" s="17">
        <v>24.05</v>
      </c>
      <c r="C1961" s="17"/>
      <c r="F1961"/>
      <c r="G1961"/>
      <c r="H1961"/>
      <c r="I1961"/>
      <c r="J1961"/>
    </row>
    <row r="1962" spans="1:10" x14ac:dyDescent="0.25">
      <c r="A1962" s="90">
        <v>38002</v>
      </c>
      <c r="B1962" s="17">
        <v>24.06</v>
      </c>
      <c r="C1962" s="17"/>
      <c r="F1962"/>
      <c r="G1962"/>
      <c r="H1962"/>
      <c r="I1962"/>
      <c r="J1962"/>
    </row>
    <row r="1963" spans="1:10" x14ac:dyDescent="0.25">
      <c r="A1963" s="90">
        <v>38006</v>
      </c>
      <c r="B1963" s="17">
        <v>23.83</v>
      </c>
      <c r="C1963" s="17"/>
      <c r="F1963"/>
      <c r="G1963"/>
      <c r="H1963"/>
      <c r="I1963"/>
      <c r="J1963"/>
    </row>
    <row r="1964" spans="1:10" x14ac:dyDescent="0.25">
      <c r="A1964" s="90">
        <v>38007</v>
      </c>
      <c r="B1964" s="17">
        <v>23.69</v>
      </c>
      <c r="C1964" s="17"/>
      <c r="F1964"/>
      <c r="G1964"/>
      <c r="H1964"/>
      <c r="I1964"/>
      <c r="J1964"/>
    </row>
    <row r="1965" spans="1:10" x14ac:dyDescent="0.25">
      <c r="A1965" s="90">
        <v>38008</v>
      </c>
      <c r="B1965" s="17">
        <v>23.59</v>
      </c>
      <c r="C1965" s="17"/>
      <c r="F1965"/>
      <c r="G1965"/>
      <c r="H1965"/>
      <c r="I1965"/>
      <c r="J1965"/>
    </row>
    <row r="1966" spans="1:10" x14ac:dyDescent="0.25">
      <c r="A1966" s="90">
        <v>38009</v>
      </c>
      <c r="B1966" s="17">
        <v>23.55</v>
      </c>
      <c r="C1966" s="17"/>
      <c r="F1966"/>
      <c r="G1966"/>
      <c r="H1966"/>
      <c r="I1966"/>
      <c r="J1966"/>
    </row>
    <row r="1967" spans="1:10" x14ac:dyDescent="0.25">
      <c r="A1967" s="90">
        <v>38012</v>
      </c>
      <c r="B1967" s="17">
        <v>24.08</v>
      </c>
      <c r="C1967" s="17"/>
      <c r="F1967"/>
      <c r="G1967"/>
      <c r="H1967"/>
      <c r="I1967"/>
      <c r="J1967"/>
    </row>
    <row r="1968" spans="1:10" x14ac:dyDescent="0.25">
      <c r="A1968" s="90">
        <v>38013</v>
      </c>
      <c r="B1968" s="17">
        <v>23.52</v>
      </c>
      <c r="C1968" s="17"/>
      <c r="F1968"/>
      <c r="G1968"/>
      <c r="H1968"/>
      <c r="I1968"/>
      <c r="J1968"/>
    </row>
    <row r="1969" spans="1:10" x14ac:dyDescent="0.25">
      <c r="A1969" s="90">
        <v>38014</v>
      </c>
      <c r="B1969" s="17">
        <v>23.09</v>
      </c>
      <c r="C1969" s="17"/>
      <c r="F1969"/>
      <c r="G1969"/>
      <c r="H1969"/>
      <c r="I1969"/>
      <c r="J1969"/>
    </row>
    <row r="1970" spans="1:10" x14ac:dyDescent="0.25">
      <c r="A1970" s="90">
        <v>38015</v>
      </c>
      <c r="B1970" s="17">
        <v>23.05</v>
      </c>
      <c r="C1970" s="17"/>
      <c r="F1970"/>
      <c r="G1970"/>
      <c r="H1970"/>
      <c r="I1970"/>
      <c r="J1970"/>
    </row>
    <row r="1971" spans="1:10" x14ac:dyDescent="0.25">
      <c r="A1971" s="90">
        <v>38016</v>
      </c>
      <c r="B1971" s="17">
        <v>23.49</v>
      </c>
      <c r="C1971" s="17"/>
      <c r="F1971"/>
      <c r="G1971"/>
      <c r="H1971"/>
      <c r="I1971"/>
      <c r="J1971"/>
    </row>
    <row r="1972" spans="1:10" x14ac:dyDescent="0.25">
      <c r="A1972" s="90">
        <v>38019</v>
      </c>
      <c r="B1972" s="17">
        <v>23.35</v>
      </c>
      <c r="C1972" s="17"/>
      <c r="F1972"/>
      <c r="G1972"/>
      <c r="H1972"/>
      <c r="I1972"/>
      <c r="J1972"/>
    </row>
    <row r="1973" spans="1:10" x14ac:dyDescent="0.25">
      <c r="A1973" s="90">
        <v>38020</v>
      </c>
      <c r="B1973" s="17">
        <v>22.75</v>
      </c>
      <c r="C1973" s="17"/>
      <c r="F1973"/>
      <c r="G1973"/>
      <c r="H1973"/>
      <c r="I1973"/>
      <c r="J1973"/>
    </row>
    <row r="1974" spans="1:10" x14ac:dyDescent="0.25">
      <c r="A1974" s="90">
        <v>38021</v>
      </c>
      <c r="B1974" s="17">
        <v>22.48</v>
      </c>
      <c r="C1974" s="17"/>
      <c r="F1974"/>
      <c r="G1974"/>
      <c r="H1974"/>
      <c r="I1974"/>
      <c r="J1974"/>
    </row>
    <row r="1975" spans="1:10" x14ac:dyDescent="0.25">
      <c r="A1975" s="90">
        <v>38022</v>
      </c>
      <c r="B1975" s="17">
        <v>23.05</v>
      </c>
      <c r="C1975" s="17"/>
      <c r="F1975"/>
      <c r="G1975"/>
      <c r="H1975"/>
      <c r="I1975"/>
      <c r="J1975"/>
    </row>
    <row r="1976" spans="1:10" x14ac:dyDescent="0.25">
      <c r="A1976" s="90">
        <v>38023</v>
      </c>
      <c r="B1976" s="17">
        <v>23.25</v>
      </c>
      <c r="C1976" s="17"/>
      <c r="F1976"/>
      <c r="G1976"/>
      <c r="H1976"/>
      <c r="I1976"/>
      <c r="J1976"/>
    </row>
    <row r="1977" spans="1:10" x14ac:dyDescent="0.25">
      <c r="A1977" s="90">
        <v>38026</v>
      </c>
      <c r="B1977" s="17">
        <v>23.46</v>
      </c>
      <c r="C1977" s="17"/>
      <c r="F1977"/>
      <c r="G1977"/>
      <c r="H1977"/>
      <c r="I1977"/>
      <c r="J1977"/>
    </row>
    <row r="1978" spans="1:10" x14ac:dyDescent="0.25">
      <c r="A1978" s="90">
        <v>38027</v>
      </c>
      <c r="B1978" s="17">
        <v>23.44</v>
      </c>
      <c r="C1978" s="17"/>
      <c r="F1978"/>
      <c r="G1978"/>
      <c r="H1978"/>
      <c r="I1978"/>
      <c r="J1978"/>
    </row>
    <row r="1979" spans="1:10" x14ac:dyDescent="0.25">
      <c r="A1979" s="90">
        <v>38028</v>
      </c>
      <c r="B1979" s="17">
        <v>23.93</v>
      </c>
      <c r="C1979" s="17"/>
      <c r="F1979"/>
      <c r="G1979"/>
      <c r="H1979"/>
      <c r="I1979"/>
      <c r="J1979"/>
    </row>
    <row r="1980" spans="1:10" x14ac:dyDescent="0.25">
      <c r="A1980" s="90">
        <v>38029</v>
      </c>
      <c r="B1980" s="17">
        <v>23.76</v>
      </c>
      <c r="C1980" s="17"/>
      <c r="F1980"/>
      <c r="G1980"/>
      <c r="H1980"/>
      <c r="I1980"/>
      <c r="J1980"/>
    </row>
    <row r="1981" spans="1:10" x14ac:dyDescent="0.25">
      <c r="A1981" s="90">
        <v>38030</v>
      </c>
      <c r="B1981" s="17">
        <v>23.2</v>
      </c>
      <c r="C1981" s="17"/>
      <c r="F1981"/>
      <c r="G1981"/>
      <c r="H1981"/>
      <c r="I1981"/>
      <c r="J1981"/>
    </row>
    <row r="1982" spans="1:10" x14ac:dyDescent="0.25">
      <c r="A1982" s="90">
        <v>38034</v>
      </c>
      <c r="B1982" s="17">
        <v>23.28</v>
      </c>
      <c r="C1982" s="17"/>
      <c r="F1982"/>
      <c r="G1982"/>
      <c r="H1982"/>
      <c r="I1982"/>
      <c r="J1982"/>
    </row>
    <row r="1983" spans="1:10" x14ac:dyDescent="0.25">
      <c r="A1983" s="90">
        <v>38035</v>
      </c>
      <c r="B1983" s="17">
        <v>23.05</v>
      </c>
      <c r="C1983" s="17"/>
      <c r="F1983"/>
      <c r="G1983"/>
      <c r="H1983"/>
      <c r="I1983"/>
      <c r="J1983"/>
    </row>
    <row r="1984" spans="1:10" x14ac:dyDescent="0.25">
      <c r="A1984" s="90">
        <v>38036</v>
      </c>
      <c r="B1984" s="17">
        <v>23</v>
      </c>
      <c r="C1984" s="17"/>
      <c r="F1984"/>
      <c r="G1984"/>
      <c r="H1984"/>
      <c r="I1984"/>
      <c r="J1984"/>
    </row>
    <row r="1985" spans="1:10" x14ac:dyDescent="0.25">
      <c r="A1985" s="90">
        <v>38037</v>
      </c>
      <c r="B1985" s="17">
        <v>23.25</v>
      </c>
      <c r="C1985" s="17"/>
      <c r="F1985"/>
      <c r="G1985"/>
      <c r="H1985"/>
      <c r="I1985"/>
      <c r="J1985"/>
    </row>
    <row r="1986" spans="1:10" x14ac:dyDescent="0.25">
      <c r="A1986" s="90">
        <v>38040</v>
      </c>
      <c r="B1986" s="17">
        <v>22.45</v>
      </c>
      <c r="C1986" s="17"/>
      <c r="F1986"/>
      <c r="G1986"/>
      <c r="H1986"/>
      <c r="I1986"/>
      <c r="J1986"/>
    </row>
    <row r="1987" spans="1:10" x14ac:dyDescent="0.25">
      <c r="A1987" s="90">
        <v>38041</v>
      </c>
      <c r="B1987" s="17">
        <v>21.88</v>
      </c>
      <c r="C1987" s="17"/>
      <c r="F1987"/>
      <c r="G1987"/>
      <c r="H1987"/>
      <c r="I1987"/>
      <c r="J1987"/>
    </row>
    <row r="1988" spans="1:10" x14ac:dyDescent="0.25">
      <c r="A1988" s="90">
        <v>38042</v>
      </c>
      <c r="B1988" s="17">
        <v>21.67</v>
      </c>
      <c r="C1988" s="17"/>
      <c r="F1988"/>
      <c r="G1988"/>
      <c r="H1988"/>
      <c r="I1988"/>
      <c r="J1988"/>
    </row>
    <row r="1989" spans="1:10" x14ac:dyDescent="0.25">
      <c r="A1989" s="90">
        <v>38043</v>
      </c>
      <c r="B1989" s="17">
        <v>21.77</v>
      </c>
      <c r="C1989" s="17"/>
      <c r="F1989"/>
      <c r="G1989"/>
      <c r="H1989"/>
      <c r="I1989"/>
      <c r="J1989"/>
    </row>
    <row r="1990" spans="1:10" x14ac:dyDescent="0.25">
      <c r="A1990" s="90">
        <v>38044</v>
      </c>
      <c r="B1990" s="17">
        <v>22.17</v>
      </c>
      <c r="C1990" s="17"/>
      <c r="F1990"/>
      <c r="G1990"/>
      <c r="H1990"/>
      <c r="I1990"/>
      <c r="J1990"/>
    </row>
    <row r="1991" spans="1:10" x14ac:dyDescent="0.25">
      <c r="A1991" s="90">
        <v>38047</v>
      </c>
      <c r="B1991" s="17">
        <v>22.04</v>
      </c>
      <c r="C1991" s="17"/>
      <c r="F1991"/>
      <c r="G1991"/>
      <c r="H1991"/>
      <c r="I1991"/>
      <c r="J1991"/>
    </row>
    <row r="1992" spans="1:10" x14ac:dyDescent="0.25">
      <c r="A1992" s="90">
        <v>38048</v>
      </c>
      <c r="B1992" s="17">
        <v>21.5</v>
      </c>
      <c r="C1992" s="17"/>
      <c r="F1992"/>
      <c r="G1992"/>
      <c r="H1992"/>
      <c r="I1992"/>
      <c r="J1992"/>
    </row>
    <row r="1993" spans="1:10" x14ac:dyDescent="0.25">
      <c r="A1993" s="90">
        <v>38049</v>
      </c>
      <c r="B1993" s="17">
        <v>21.68</v>
      </c>
      <c r="C1993" s="17"/>
      <c r="F1993"/>
      <c r="G1993"/>
      <c r="H1993"/>
      <c r="I1993"/>
      <c r="J1993"/>
    </row>
    <row r="1994" spans="1:10" x14ac:dyDescent="0.25">
      <c r="A1994" s="90">
        <v>38050</v>
      </c>
      <c r="B1994" s="17">
        <v>22.07</v>
      </c>
      <c r="C1994" s="17"/>
      <c r="F1994"/>
      <c r="G1994"/>
      <c r="H1994"/>
      <c r="I1994"/>
      <c r="J1994"/>
    </row>
    <row r="1995" spans="1:10" x14ac:dyDescent="0.25">
      <c r="A1995" s="90">
        <v>38051</v>
      </c>
      <c r="B1995" s="17">
        <v>22.2</v>
      </c>
      <c r="C1995" s="17"/>
      <c r="F1995"/>
      <c r="G1995"/>
      <c r="H1995"/>
      <c r="I1995"/>
      <c r="J1995"/>
    </row>
    <row r="1996" spans="1:10" x14ac:dyDescent="0.25">
      <c r="A1996" s="90">
        <v>38054</v>
      </c>
      <c r="B1996" s="17">
        <v>21.92</v>
      </c>
      <c r="C1996" s="17"/>
      <c r="F1996"/>
      <c r="G1996"/>
      <c r="H1996"/>
      <c r="I1996"/>
      <c r="J1996"/>
    </row>
    <row r="1997" spans="1:10" x14ac:dyDescent="0.25">
      <c r="A1997" s="90">
        <v>38055</v>
      </c>
      <c r="B1997" s="17">
        <v>21.67</v>
      </c>
      <c r="C1997" s="17"/>
      <c r="F1997"/>
      <c r="G1997"/>
      <c r="H1997"/>
      <c r="I1997"/>
      <c r="J1997"/>
    </row>
    <row r="1998" spans="1:10" x14ac:dyDescent="0.25">
      <c r="A1998" s="90">
        <v>38056</v>
      </c>
      <c r="B1998" s="17">
        <v>20.85</v>
      </c>
      <c r="C1998" s="17"/>
      <c r="F1998"/>
      <c r="G1998"/>
      <c r="H1998"/>
      <c r="I1998"/>
      <c r="J1998"/>
    </row>
    <row r="1999" spans="1:10" x14ac:dyDescent="0.25">
      <c r="A1999" s="90">
        <v>38057</v>
      </c>
      <c r="B1999" s="17">
        <v>20.83</v>
      </c>
      <c r="C1999" s="17"/>
      <c r="F1999"/>
      <c r="G1999"/>
      <c r="H1999"/>
      <c r="I1999"/>
      <c r="J1999"/>
    </row>
    <row r="2000" spans="1:10" x14ac:dyDescent="0.25">
      <c r="A2000" s="90">
        <v>38058</v>
      </c>
      <c r="B2000" s="17">
        <v>21.51</v>
      </c>
      <c r="C2000" s="17"/>
      <c r="F2000"/>
      <c r="G2000"/>
      <c r="H2000"/>
      <c r="I2000"/>
      <c r="J2000"/>
    </row>
    <row r="2001" spans="1:10" x14ac:dyDescent="0.25">
      <c r="A2001" s="90">
        <v>38061</v>
      </c>
      <c r="B2001" s="17">
        <v>20.88</v>
      </c>
      <c r="C2001" s="17"/>
      <c r="F2001"/>
      <c r="G2001"/>
      <c r="H2001"/>
      <c r="I2001"/>
      <c r="J2001"/>
    </row>
    <row r="2002" spans="1:10" x14ac:dyDescent="0.25">
      <c r="A2002" s="90">
        <v>38062</v>
      </c>
      <c r="B2002" s="17">
        <v>21.28</v>
      </c>
      <c r="C2002" s="17"/>
      <c r="F2002"/>
      <c r="G2002"/>
      <c r="H2002"/>
      <c r="I2002"/>
      <c r="J2002"/>
    </row>
    <row r="2003" spans="1:10" x14ac:dyDescent="0.25">
      <c r="A2003" s="90">
        <v>38063</v>
      </c>
      <c r="B2003" s="17">
        <v>22.42</v>
      </c>
      <c r="C2003" s="17"/>
      <c r="F2003"/>
      <c r="G2003"/>
      <c r="H2003"/>
      <c r="I2003"/>
      <c r="J2003"/>
    </row>
    <row r="2004" spans="1:10" x14ac:dyDescent="0.25">
      <c r="A2004" s="90">
        <v>38064</v>
      </c>
      <c r="B2004" s="17">
        <v>22.52</v>
      </c>
      <c r="C2004" s="17"/>
      <c r="F2004"/>
      <c r="G2004"/>
      <c r="H2004"/>
      <c r="I2004"/>
      <c r="J2004"/>
    </row>
    <row r="2005" spans="1:10" x14ac:dyDescent="0.25">
      <c r="A2005" s="90">
        <v>38065</v>
      </c>
      <c r="B2005" s="17">
        <v>22.88</v>
      </c>
      <c r="C2005" s="17"/>
      <c r="F2005"/>
      <c r="G2005"/>
      <c r="H2005"/>
      <c r="I2005"/>
      <c r="J2005"/>
    </row>
    <row r="2006" spans="1:10" x14ac:dyDescent="0.25">
      <c r="A2006" s="90">
        <v>38068</v>
      </c>
      <c r="B2006" s="17">
        <v>22.24</v>
      </c>
      <c r="C2006" s="17"/>
      <c r="F2006"/>
      <c r="G2006"/>
      <c r="H2006"/>
      <c r="I2006"/>
      <c r="J2006"/>
    </row>
    <row r="2007" spans="1:10" x14ac:dyDescent="0.25">
      <c r="A2007" s="90">
        <v>38069</v>
      </c>
      <c r="B2007" s="17">
        <v>22.04</v>
      </c>
      <c r="C2007" s="17"/>
      <c r="F2007"/>
      <c r="G2007"/>
      <c r="H2007"/>
      <c r="I2007"/>
      <c r="J2007"/>
    </row>
    <row r="2008" spans="1:10" x14ac:dyDescent="0.25">
      <c r="A2008" s="90">
        <v>38070</v>
      </c>
      <c r="B2008" s="17">
        <v>22.25</v>
      </c>
      <c r="C2008" s="17"/>
      <c r="F2008"/>
      <c r="G2008"/>
      <c r="H2008"/>
      <c r="I2008"/>
      <c r="J2008"/>
    </row>
    <row r="2009" spans="1:10" x14ac:dyDescent="0.25">
      <c r="A2009" s="90">
        <v>38071</v>
      </c>
      <c r="B2009" s="17">
        <v>23.47</v>
      </c>
      <c r="C2009" s="17"/>
      <c r="F2009"/>
      <c r="G2009"/>
      <c r="H2009"/>
      <c r="I2009"/>
      <c r="J2009"/>
    </row>
    <row r="2010" spans="1:10" x14ac:dyDescent="0.25">
      <c r="A2010" s="90">
        <v>38072</v>
      </c>
      <c r="B2010" s="17">
        <v>23.57</v>
      </c>
      <c r="C2010" s="17"/>
      <c r="F2010"/>
      <c r="G2010"/>
      <c r="H2010"/>
      <c r="I2010"/>
      <c r="J2010"/>
    </row>
    <row r="2011" spans="1:10" x14ac:dyDescent="0.25">
      <c r="A2011" s="90">
        <v>38075</v>
      </c>
      <c r="B2011" s="17">
        <v>23.84</v>
      </c>
      <c r="C2011" s="17"/>
      <c r="F2011"/>
      <c r="G2011"/>
      <c r="H2011"/>
      <c r="I2011"/>
      <c r="J2011"/>
    </row>
    <row r="2012" spans="1:10" x14ac:dyDescent="0.25">
      <c r="A2012" s="90">
        <v>38076</v>
      </c>
      <c r="B2012" s="17">
        <v>24.4</v>
      </c>
      <c r="C2012" s="17"/>
      <c r="F2012"/>
      <c r="G2012"/>
      <c r="H2012"/>
      <c r="I2012"/>
      <c r="J2012"/>
    </row>
    <row r="2013" spans="1:10" x14ac:dyDescent="0.25">
      <c r="A2013" s="90">
        <v>38077</v>
      </c>
      <c r="B2013" s="17">
        <v>24.24</v>
      </c>
      <c r="C2013" s="17"/>
      <c r="F2013"/>
      <c r="G2013"/>
      <c r="H2013"/>
      <c r="I2013"/>
      <c r="J2013"/>
    </row>
    <row r="2014" spans="1:10" x14ac:dyDescent="0.25">
      <c r="A2014" s="90">
        <v>38078</v>
      </c>
      <c r="B2014" s="17">
        <v>24.73</v>
      </c>
      <c r="C2014" s="17"/>
      <c r="F2014"/>
      <c r="G2014"/>
      <c r="H2014"/>
      <c r="I2014"/>
      <c r="J2014"/>
    </row>
    <row r="2015" spans="1:10" x14ac:dyDescent="0.25">
      <c r="A2015" s="90">
        <v>38079</v>
      </c>
      <c r="B2015" s="17">
        <v>25.08</v>
      </c>
      <c r="C2015" s="17"/>
      <c r="F2015"/>
      <c r="G2015"/>
      <c r="H2015"/>
      <c r="I2015"/>
      <c r="J2015"/>
    </row>
    <row r="2016" spans="1:10" x14ac:dyDescent="0.25">
      <c r="A2016" s="90">
        <v>38082</v>
      </c>
      <c r="B2016" s="17">
        <v>25</v>
      </c>
      <c r="C2016" s="17"/>
      <c r="F2016"/>
      <c r="G2016"/>
      <c r="H2016"/>
      <c r="I2016"/>
      <c r="J2016"/>
    </row>
    <row r="2017" spans="1:10" x14ac:dyDescent="0.25">
      <c r="A2017" s="90">
        <v>38083</v>
      </c>
      <c r="B2017" s="17">
        <v>24.39</v>
      </c>
      <c r="C2017" s="17"/>
      <c r="F2017"/>
      <c r="G2017"/>
      <c r="H2017"/>
      <c r="I2017"/>
      <c r="J2017"/>
    </row>
    <row r="2018" spans="1:10" x14ac:dyDescent="0.25">
      <c r="A2018" s="90">
        <v>38084</v>
      </c>
      <c r="B2018" s="17">
        <v>24.17</v>
      </c>
      <c r="C2018" s="17"/>
      <c r="F2018"/>
      <c r="G2018"/>
      <c r="H2018"/>
      <c r="I2018"/>
      <c r="J2018"/>
    </row>
    <row r="2019" spans="1:10" x14ac:dyDescent="0.25">
      <c r="A2019" s="90">
        <v>38085</v>
      </c>
      <c r="B2019" s="17">
        <v>28.1</v>
      </c>
      <c r="C2019" s="17"/>
      <c r="F2019"/>
      <c r="G2019"/>
      <c r="H2019"/>
      <c r="I2019"/>
      <c r="J2019"/>
    </row>
    <row r="2020" spans="1:10" x14ac:dyDescent="0.25">
      <c r="A2020" s="90">
        <v>38089</v>
      </c>
      <c r="B2020" s="17">
        <v>27.57</v>
      </c>
      <c r="C2020" s="17"/>
      <c r="F2020"/>
      <c r="G2020"/>
      <c r="H2020"/>
      <c r="I2020"/>
      <c r="J2020"/>
    </row>
    <row r="2021" spans="1:10" x14ac:dyDescent="0.25">
      <c r="A2021" s="90">
        <v>38090</v>
      </c>
      <c r="B2021" s="17">
        <v>27.07</v>
      </c>
      <c r="C2021" s="17"/>
      <c r="F2021"/>
      <c r="G2021"/>
      <c r="H2021"/>
      <c r="I2021"/>
      <c r="J2021"/>
    </row>
    <row r="2022" spans="1:10" x14ac:dyDescent="0.25">
      <c r="A2022" s="90">
        <v>38091</v>
      </c>
      <c r="B2022" s="17">
        <v>27.34</v>
      </c>
      <c r="C2022" s="17"/>
      <c r="F2022"/>
      <c r="G2022"/>
      <c r="H2022"/>
      <c r="I2022"/>
      <c r="J2022"/>
    </row>
    <row r="2023" spans="1:10" x14ac:dyDescent="0.25">
      <c r="A2023" s="90">
        <v>38092</v>
      </c>
      <c r="B2023" s="17">
        <v>26.95</v>
      </c>
      <c r="C2023" s="17"/>
      <c r="F2023"/>
      <c r="G2023"/>
      <c r="H2023"/>
      <c r="I2023"/>
      <c r="J2023"/>
    </row>
    <row r="2024" spans="1:10" x14ac:dyDescent="0.25">
      <c r="A2024" s="90">
        <v>38093</v>
      </c>
      <c r="B2024" s="17">
        <v>27.07</v>
      </c>
      <c r="C2024" s="17"/>
      <c r="F2024"/>
      <c r="G2024"/>
      <c r="H2024"/>
      <c r="I2024"/>
      <c r="J2024"/>
    </row>
    <row r="2025" spans="1:10" x14ac:dyDescent="0.25">
      <c r="A2025" s="90">
        <v>38096</v>
      </c>
      <c r="B2025" s="17">
        <v>27.84</v>
      </c>
      <c r="C2025" s="17"/>
      <c r="F2025"/>
      <c r="G2025"/>
      <c r="H2025"/>
      <c r="I2025"/>
      <c r="J2025"/>
    </row>
    <row r="2026" spans="1:10" x14ac:dyDescent="0.25">
      <c r="A2026" s="90">
        <v>38097</v>
      </c>
      <c r="B2026" s="17">
        <v>26.77</v>
      </c>
      <c r="C2026" s="17"/>
      <c r="F2026"/>
      <c r="G2026"/>
      <c r="H2026"/>
      <c r="I2026"/>
      <c r="J2026"/>
    </row>
    <row r="2027" spans="1:10" x14ac:dyDescent="0.25">
      <c r="A2027" s="90">
        <v>38098</v>
      </c>
      <c r="B2027" s="17">
        <v>27.29</v>
      </c>
      <c r="C2027" s="17"/>
      <c r="F2027"/>
      <c r="G2027"/>
      <c r="H2027"/>
      <c r="I2027"/>
      <c r="J2027"/>
    </row>
    <row r="2028" spans="1:10" x14ac:dyDescent="0.25">
      <c r="A2028" s="90">
        <v>38099</v>
      </c>
      <c r="B2028" s="17">
        <v>28.8</v>
      </c>
      <c r="C2028" s="17"/>
      <c r="F2028"/>
      <c r="G2028"/>
      <c r="H2028"/>
      <c r="I2028"/>
      <c r="J2028"/>
    </row>
    <row r="2029" spans="1:10" x14ac:dyDescent="0.25">
      <c r="A2029" s="90">
        <v>38100</v>
      </c>
      <c r="B2029" s="17">
        <v>28.38</v>
      </c>
      <c r="C2029" s="17"/>
      <c r="F2029"/>
      <c r="G2029"/>
      <c r="H2029"/>
      <c r="I2029"/>
      <c r="J2029"/>
    </row>
    <row r="2030" spans="1:10" x14ac:dyDescent="0.25">
      <c r="A2030" s="90">
        <v>38103</v>
      </c>
      <c r="B2030" s="17">
        <v>28.5</v>
      </c>
      <c r="C2030" s="17"/>
      <c r="F2030"/>
      <c r="G2030"/>
      <c r="H2030"/>
      <c r="I2030"/>
      <c r="J2030"/>
    </row>
    <row r="2031" spans="1:10" x14ac:dyDescent="0.25">
      <c r="A2031" s="90">
        <v>38104</v>
      </c>
      <c r="B2031" s="17">
        <v>28.77</v>
      </c>
      <c r="C2031" s="17"/>
      <c r="F2031"/>
      <c r="G2031"/>
      <c r="H2031"/>
      <c r="I2031"/>
      <c r="J2031"/>
    </row>
    <row r="2032" spans="1:10" x14ac:dyDescent="0.25">
      <c r="A2032" s="90">
        <v>38105</v>
      </c>
      <c r="B2032" s="17">
        <v>27.92</v>
      </c>
      <c r="C2032" s="17"/>
      <c r="F2032"/>
      <c r="G2032"/>
      <c r="H2032"/>
      <c r="I2032"/>
      <c r="J2032"/>
    </row>
    <row r="2033" spans="1:10" x14ac:dyDescent="0.25">
      <c r="A2033" s="90">
        <v>38106</v>
      </c>
      <c r="B2033" s="17">
        <v>27.35</v>
      </c>
      <c r="C2033" s="17"/>
      <c r="F2033"/>
      <c r="G2033"/>
      <c r="H2033"/>
      <c r="I2033"/>
      <c r="J2033"/>
    </row>
    <row r="2034" spans="1:10" x14ac:dyDescent="0.25">
      <c r="A2034" s="90">
        <v>38107</v>
      </c>
      <c r="B2034" s="17">
        <v>25.26</v>
      </c>
      <c r="C2034" s="17"/>
      <c r="F2034"/>
      <c r="G2034"/>
      <c r="H2034"/>
      <c r="I2034"/>
      <c r="J2034"/>
    </row>
    <row r="2035" spans="1:10" x14ac:dyDescent="0.25">
      <c r="A2035" s="90">
        <v>38110</v>
      </c>
      <c r="B2035" s="17">
        <v>26.15</v>
      </c>
      <c r="C2035" s="17"/>
      <c r="F2035"/>
      <c r="G2035"/>
      <c r="H2035"/>
      <c r="I2035"/>
      <c r="J2035"/>
    </row>
    <row r="2036" spans="1:10" x14ac:dyDescent="0.25">
      <c r="A2036" s="90">
        <v>38111</v>
      </c>
      <c r="B2036" s="17">
        <v>26.42</v>
      </c>
      <c r="C2036" s="17"/>
      <c r="F2036"/>
      <c r="G2036"/>
      <c r="H2036"/>
      <c r="I2036"/>
      <c r="J2036"/>
    </row>
    <row r="2037" spans="1:10" x14ac:dyDescent="0.25">
      <c r="A2037" s="90">
        <v>38112</v>
      </c>
      <c r="B2037" s="17">
        <v>26.58</v>
      </c>
      <c r="C2037" s="17"/>
      <c r="F2037"/>
      <c r="G2037"/>
      <c r="H2037"/>
      <c r="I2037"/>
      <c r="J2037"/>
    </row>
    <row r="2038" spans="1:10" x14ac:dyDescent="0.25">
      <c r="A2038" s="90">
        <v>38113</v>
      </c>
      <c r="B2038" s="17">
        <v>26.18</v>
      </c>
      <c r="C2038" s="17"/>
      <c r="F2038"/>
      <c r="G2038"/>
      <c r="H2038"/>
      <c r="I2038"/>
      <c r="J2038"/>
    </row>
    <row r="2039" spans="1:10" x14ac:dyDescent="0.25">
      <c r="A2039" s="90">
        <v>38114</v>
      </c>
      <c r="B2039" s="17">
        <v>26.4</v>
      </c>
      <c r="C2039" s="17"/>
      <c r="F2039"/>
      <c r="G2039"/>
      <c r="H2039"/>
      <c r="I2039"/>
      <c r="J2039"/>
    </row>
    <row r="2040" spans="1:10" x14ac:dyDescent="0.25">
      <c r="A2040" s="90">
        <v>38117</v>
      </c>
      <c r="B2040" s="17">
        <v>25.67</v>
      </c>
      <c r="C2040" s="17"/>
      <c r="F2040"/>
      <c r="G2040"/>
      <c r="H2040"/>
      <c r="I2040"/>
      <c r="J2040"/>
    </row>
    <row r="2041" spans="1:10" x14ac:dyDescent="0.25">
      <c r="A2041" s="90">
        <v>38118</v>
      </c>
      <c r="B2041" s="17">
        <v>26.76</v>
      </c>
      <c r="C2041" s="17"/>
      <c r="F2041"/>
      <c r="G2041"/>
      <c r="H2041"/>
      <c r="I2041"/>
      <c r="J2041"/>
    </row>
    <row r="2042" spans="1:10" x14ac:dyDescent="0.25">
      <c r="A2042" s="90">
        <v>38119</v>
      </c>
      <c r="B2042" s="17">
        <v>27.08</v>
      </c>
      <c r="C2042" s="17"/>
      <c r="F2042"/>
      <c r="G2042"/>
      <c r="H2042"/>
      <c r="I2042"/>
      <c r="J2042"/>
    </row>
    <row r="2043" spans="1:10" x14ac:dyDescent="0.25">
      <c r="A2043" s="90">
        <v>38120</v>
      </c>
      <c r="B2043" s="17">
        <v>27.1</v>
      </c>
      <c r="C2043" s="17"/>
      <c r="F2043"/>
      <c r="G2043"/>
      <c r="H2043"/>
      <c r="I2043"/>
      <c r="J2043"/>
    </row>
    <row r="2044" spans="1:10" x14ac:dyDescent="0.25">
      <c r="A2044" s="90">
        <v>38121</v>
      </c>
      <c r="B2044" s="17">
        <v>26.97</v>
      </c>
      <c r="C2044" s="17"/>
      <c r="F2044"/>
      <c r="G2044"/>
      <c r="H2044"/>
      <c r="I2044"/>
      <c r="J2044"/>
    </row>
    <row r="2045" spans="1:10" x14ac:dyDescent="0.25">
      <c r="A2045" s="90">
        <v>38124</v>
      </c>
      <c r="B2045" s="17">
        <v>27.02</v>
      </c>
      <c r="C2045" s="17"/>
      <c r="F2045"/>
      <c r="G2045"/>
      <c r="H2045"/>
      <c r="I2045"/>
      <c r="J2045"/>
    </row>
    <row r="2046" spans="1:10" x14ac:dyDescent="0.25">
      <c r="A2046" s="90">
        <v>38125</v>
      </c>
      <c r="B2046" s="17">
        <v>27.77</v>
      </c>
      <c r="C2046" s="17"/>
      <c r="F2046"/>
      <c r="G2046"/>
      <c r="H2046"/>
      <c r="I2046"/>
      <c r="J2046"/>
    </row>
    <row r="2047" spans="1:10" x14ac:dyDescent="0.25">
      <c r="A2047" s="90">
        <v>38126</v>
      </c>
      <c r="B2047" s="17">
        <v>27.95</v>
      </c>
      <c r="C2047" s="17"/>
      <c r="F2047"/>
      <c r="G2047"/>
      <c r="H2047"/>
      <c r="I2047"/>
      <c r="J2047"/>
    </row>
    <row r="2048" spans="1:10" x14ac:dyDescent="0.25">
      <c r="A2048" s="90">
        <v>38127</v>
      </c>
      <c r="B2048" s="17">
        <v>28.03</v>
      </c>
      <c r="C2048" s="17"/>
      <c r="F2048"/>
      <c r="G2048"/>
      <c r="H2048"/>
      <c r="I2048"/>
      <c r="J2048"/>
    </row>
    <row r="2049" spans="1:10" x14ac:dyDescent="0.25">
      <c r="A2049" s="90">
        <v>38128</v>
      </c>
      <c r="B2049" s="17">
        <v>28.55</v>
      </c>
      <c r="C2049" s="17"/>
      <c r="F2049"/>
      <c r="G2049"/>
      <c r="H2049"/>
      <c r="I2049"/>
      <c r="J2049"/>
    </row>
    <row r="2050" spans="1:10" x14ac:dyDescent="0.25">
      <c r="A2050" s="90">
        <v>38131</v>
      </c>
      <c r="B2050" s="17">
        <v>29.43</v>
      </c>
      <c r="C2050" s="17"/>
      <c r="F2050"/>
      <c r="G2050"/>
      <c r="H2050"/>
      <c r="I2050"/>
      <c r="J2050"/>
    </row>
    <row r="2051" spans="1:10" x14ac:dyDescent="0.25">
      <c r="A2051" s="90">
        <v>38132</v>
      </c>
      <c r="B2051" s="17">
        <v>30.28</v>
      </c>
      <c r="C2051" s="17"/>
      <c r="F2051"/>
      <c r="G2051"/>
      <c r="H2051"/>
      <c r="I2051"/>
      <c r="J2051"/>
    </row>
    <row r="2052" spans="1:10" x14ac:dyDescent="0.25">
      <c r="A2052" s="90">
        <v>38133</v>
      </c>
      <c r="B2052" s="17">
        <v>30.11</v>
      </c>
      <c r="C2052" s="17"/>
      <c r="F2052"/>
      <c r="G2052"/>
      <c r="H2052"/>
      <c r="I2052"/>
      <c r="J2052"/>
    </row>
    <row r="2053" spans="1:10" x14ac:dyDescent="0.25">
      <c r="A2053" s="90">
        <v>38134</v>
      </c>
      <c r="B2053" s="17">
        <v>30.56</v>
      </c>
      <c r="C2053" s="17"/>
      <c r="F2053"/>
      <c r="G2053"/>
      <c r="H2053"/>
      <c r="I2053"/>
      <c r="J2053"/>
    </row>
    <row r="2054" spans="1:10" x14ac:dyDescent="0.25">
      <c r="A2054" s="90">
        <v>38135</v>
      </c>
      <c r="B2054" s="17">
        <v>30.66</v>
      </c>
      <c r="C2054" s="17"/>
      <c r="F2054"/>
      <c r="G2054"/>
      <c r="H2054"/>
      <c r="I2054"/>
      <c r="J2054"/>
    </row>
    <row r="2055" spans="1:10" x14ac:dyDescent="0.25">
      <c r="A2055" s="90">
        <v>38139</v>
      </c>
      <c r="B2055" s="17">
        <v>32.479999999999997</v>
      </c>
      <c r="C2055" s="17"/>
      <c r="F2055"/>
      <c r="G2055"/>
      <c r="H2055"/>
      <c r="I2055"/>
      <c r="J2055"/>
    </row>
    <row r="2056" spans="1:10" x14ac:dyDescent="0.25">
      <c r="A2056" s="90">
        <v>38140</v>
      </c>
      <c r="B2056" s="17">
        <v>31.55</v>
      </c>
      <c r="C2056" s="17"/>
      <c r="F2056"/>
      <c r="G2056"/>
      <c r="H2056"/>
      <c r="I2056"/>
      <c r="J2056"/>
    </row>
    <row r="2057" spans="1:10" x14ac:dyDescent="0.25">
      <c r="A2057" s="90">
        <v>38141</v>
      </c>
      <c r="B2057" s="17">
        <v>31.19</v>
      </c>
      <c r="C2057" s="17"/>
      <c r="F2057"/>
      <c r="G2057"/>
      <c r="H2057"/>
      <c r="I2057"/>
      <c r="J2057"/>
    </row>
    <row r="2058" spans="1:10" x14ac:dyDescent="0.25">
      <c r="A2058" s="90">
        <v>38142</v>
      </c>
      <c r="B2058" s="17">
        <v>31.87</v>
      </c>
      <c r="C2058" s="17"/>
      <c r="F2058"/>
      <c r="G2058"/>
      <c r="H2058"/>
      <c r="I2058"/>
      <c r="J2058"/>
    </row>
    <row r="2059" spans="1:10" x14ac:dyDescent="0.25">
      <c r="A2059" s="90">
        <v>38145</v>
      </c>
      <c r="B2059" s="17">
        <v>32.51</v>
      </c>
      <c r="C2059" s="17"/>
      <c r="F2059"/>
      <c r="G2059"/>
      <c r="H2059"/>
      <c r="I2059"/>
      <c r="J2059"/>
    </row>
    <row r="2060" spans="1:10" x14ac:dyDescent="0.25">
      <c r="A2060" s="90">
        <v>38146</v>
      </c>
      <c r="B2060" s="17">
        <v>32.99</v>
      </c>
      <c r="C2060" s="17"/>
      <c r="F2060"/>
      <c r="G2060"/>
      <c r="H2060"/>
      <c r="I2060"/>
      <c r="J2060"/>
    </row>
    <row r="2061" spans="1:10" x14ac:dyDescent="0.25">
      <c r="A2061" s="90">
        <v>38147</v>
      </c>
      <c r="B2061" s="17">
        <v>32.32</v>
      </c>
      <c r="C2061" s="17"/>
      <c r="F2061"/>
      <c r="G2061"/>
      <c r="H2061"/>
      <c r="I2061"/>
      <c r="J2061"/>
    </row>
    <row r="2062" spans="1:10" x14ac:dyDescent="0.25">
      <c r="A2062" s="90">
        <v>38148</v>
      </c>
      <c r="B2062" s="17">
        <v>32.4</v>
      </c>
      <c r="C2062" s="17"/>
      <c r="F2062"/>
      <c r="G2062"/>
      <c r="H2062"/>
      <c r="I2062"/>
      <c r="J2062"/>
    </row>
    <row r="2063" spans="1:10" x14ac:dyDescent="0.25">
      <c r="A2063" s="90">
        <v>38152</v>
      </c>
      <c r="B2063" s="17">
        <v>31.65</v>
      </c>
      <c r="C2063" s="17"/>
      <c r="F2063"/>
      <c r="G2063"/>
      <c r="H2063"/>
      <c r="I2063"/>
      <c r="J2063"/>
    </row>
    <row r="2064" spans="1:10" x14ac:dyDescent="0.25">
      <c r="A2064" s="90">
        <v>38153</v>
      </c>
      <c r="B2064" s="17">
        <v>32.1</v>
      </c>
      <c r="C2064" s="17"/>
      <c r="F2064"/>
      <c r="G2064"/>
      <c r="H2064"/>
      <c r="I2064"/>
      <c r="J2064"/>
    </row>
    <row r="2065" spans="1:10" x14ac:dyDescent="0.25">
      <c r="A2065" s="90">
        <v>38154</v>
      </c>
      <c r="B2065" s="17">
        <v>32.47</v>
      </c>
      <c r="C2065" s="17"/>
      <c r="F2065"/>
      <c r="G2065"/>
      <c r="H2065"/>
      <c r="I2065"/>
      <c r="J2065"/>
    </row>
    <row r="2066" spans="1:10" x14ac:dyDescent="0.25">
      <c r="A2066" s="90">
        <v>38155</v>
      </c>
      <c r="B2066" s="17">
        <v>32.380000000000003</v>
      </c>
      <c r="C2066" s="17"/>
      <c r="F2066"/>
      <c r="G2066"/>
      <c r="H2066"/>
      <c r="I2066"/>
      <c r="J2066"/>
    </row>
    <row r="2067" spans="1:10" x14ac:dyDescent="0.25">
      <c r="A2067" s="90">
        <v>38156</v>
      </c>
      <c r="B2067" s="17">
        <v>32.07</v>
      </c>
      <c r="C2067" s="17"/>
      <c r="F2067"/>
      <c r="G2067"/>
      <c r="H2067"/>
      <c r="I2067"/>
      <c r="J2067"/>
    </row>
    <row r="2068" spans="1:10" x14ac:dyDescent="0.25">
      <c r="A2068" s="90">
        <v>38159</v>
      </c>
      <c r="B2068" s="17">
        <v>31.67</v>
      </c>
      <c r="C2068" s="17"/>
      <c r="F2068"/>
      <c r="G2068"/>
      <c r="H2068"/>
      <c r="I2068"/>
      <c r="J2068"/>
    </row>
    <row r="2069" spans="1:10" x14ac:dyDescent="0.25">
      <c r="A2069" s="90">
        <v>38160</v>
      </c>
      <c r="B2069" s="17">
        <v>32.54</v>
      </c>
      <c r="C2069" s="17"/>
      <c r="F2069"/>
      <c r="G2069"/>
      <c r="H2069"/>
      <c r="I2069"/>
      <c r="J2069"/>
    </row>
    <row r="2070" spans="1:10" x14ac:dyDescent="0.25">
      <c r="A2070" s="90">
        <v>38161</v>
      </c>
      <c r="B2070" s="17">
        <v>33.97</v>
      </c>
      <c r="C2070" s="17"/>
      <c r="F2070"/>
      <c r="G2070"/>
      <c r="H2070"/>
      <c r="I2070"/>
      <c r="J2070"/>
    </row>
    <row r="2071" spans="1:10" x14ac:dyDescent="0.25">
      <c r="A2071" s="90">
        <v>38162</v>
      </c>
      <c r="B2071" s="17">
        <v>34.11</v>
      </c>
      <c r="C2071" s="17"/>
      <c r="F2071"/>
      <c r="G2071"/>
      <c r="H2071"/>
      <c r="I2071"/>
      <c r="J2071"/>
    </row>
    <row r="2072" spans="1:10" x14ac:dyDescent="0.25">
      <c r="A2072" s="90">
        <v>38163</v>
      </c>
      <c r="B2072" s="17">
        <v>34.909999999999997</v>
      </c>
      <c r="C2072" s="17"/>
      <c r="F2072"/>
      <c r="G2072"/>
      <c r="H2072"/>
      <c r="I2072"/>
      <c r="J2072"/>
    </row>
    <row r="2073" spans="1:10" x14ac:dyDescent="0.25">
      <c r="A2073" s="90">
        <v>38166</v>
      </c>
      <c r="B2073" s="17">
        <v>35.479999999999997</v>
      </c>
      <c r="C2073" s="17"/>
      <c r="F2073"/>
      <c r="G2073"/>
      <c r="H2073"/>
      <c r="I2073"/>
      <c r="J2073"/>
    </row>
    <row r="2074" spans="1:10" x14ac:dyDescent="0.25">
      <c r="A2074" s="90">
        <v>38167</v>
      </c>
      <c r="B2074" s="17">
        <v>35.35</v>
      </c>
      <c r="C2074" s="17"/>
      <c r="F2074"/>
      <c r="G2074"/>
      <c r="H2074"/>
      <c r="I2074"/>
      <c r="J2074"/>
    </row>
    <row r="2075" spans="1:10" x14ac:dyDescent="0.25">
      <c r="A2075" s="90">
        <v>38168</v>
      </c>
      <c r="B2075" s="17">
        <v>36.4</v>
      </c>
      <c r="C2075" s="17"/>
      <c r="F2075"/>
      <c r="G2075"/>
      <c r="H2075"/>
      <c r="I2075"/>
      <c r="J2075"/>
    </row>
    <row r="2076" spans="1:10" x14ac:dyDescent="0.25">
      <c r="A2076" s="90">
        <v>38169</v>
      </c>
      <c r="B2076" s="17">
        <v>34.299999999999997</v>
      </c>
      <c r="C2076" s="17"/>
      <c r="F2076"/>
      <c r="G2076"/>
      <c r="H2076"/>
      <c r="I2076"/>
      <c r="J2076"/>
    </row>
    <row r="2077" spans="1:10" x14ac:dyDescent="0.25">
      <c r="A2077" s="90">
        <v>38170</v>
      </c>
      <c r="B2077" s="17">
        <v>33.94</v>
      </c>
      <c r="C2077" s="17"/>
      <c r="F2077"/>
      <c r="G2077"/>
      <c r="H2077"/>
      <c r="I2077"/>
      <c r="J2077"/>
    </row>
    <row r="2078" spans="1:10" x14ac:dyDescent="0.25">
      <c r="A2078" s="90">
        <v>38174</v>
      </c>
      <c r="B2078" s="17">
        <v>33.22</v>
      </c>
      <c r="C2078" s="17"/>
      <c r="F2078"/>
      <c r="G2078"/>
      <c r="H2078"/>
      <c r="I2078"/>
      <c r="J2078"/>
    </row>
    <row r="2079" spans="1:10" x14ac:dyDescent="0.25">
      <c r="A2079" s="90">
        <v>38175</v>
      </c>
      <c r="B2079" s="17">
        <v>32.6</v>
      </c>
      <c r="C2079" s="17"/>
      <c r="F2079"/>
      <c r="G2079"/>
      <c r="H2079"/>
      <c r="I2079"/>
      <c r="J2079"/>
    </row>
    <row r="2080" spans="1:10" x14ac:dyDescent="0.25">
      <c r="A2080" s="90">
        <v>38176</v>
      </c>
      <c r="B2080" s="17">
        <v>30.08</v>
      </c>
      <c r="C2080" s="17"/>
      <c r="F2080"/>
      <c r="G2080"/>
      <c r="H2080"/>
      <c r="I2080"/>
      <c r="J2080"/>
    </row>
    <row r="2081" spans="1:10" x14ac:dyDescent="0.25">
      <c r="A2081" s="90">
        <v>38177</v>
      </c>
      <c r="B2081" s="17">
        <v>30.11</v>
      </c>
      <c r="C2081" s="17"/>
      <c r="F2081"/>
      <c r="G2081"/>
      <c r="H2081"/>
      <c r="I2081"/>
      <c r="J2081"/>
    </row>
    <row r="2082" spans="1:10" x14ac:dyDescent="0.25">
      <c r="A2082" s="90">
        <v>38180</v>
      </c>
      <c r="B2082" s="17">
        <v>30.26</v>
      </c>
      <c r="C2082" s="17"/>
      <c r="F2082"/>
      <c r="G2082"/>
      <c r="H2082"/>
      <c r="I2082"/>
      <c r="J2082"/>
    </row>
    <row r="2083" spans="1:10" x14ac:dyDescent="0.25">
      <c r="A2083" s="90">
        <v>38181</v>
      </c>
      <c r="B2083" s="17">
        <v>30.34</v>
      </c>
      <c r="C2083" s="17"/>
      <c r="F2083"/>
      <c r="G2083"/>
      <c r="H2083"/>
      <c r="I2083"/>
      <c r="J2083"/>
    </row>
    <row r="2084" spans="1:10" x14ac:dyDescent="0.25">
      <c r="A2084" s="90">
        <v>38182</v>
      </c>
      <c r="B2084" s="17">
        <v>30.66</v>
      </c>
      <c r="C2084" s="17"/>
      <c r="F2084"/>
      <c r="G2084"/>
      <c r="H2084"/>
      <c r="I2084"/>
      <c r="J2084"/>
    </row>
    <row r="2085" spans="1:10" x14ac:dyDescent="0.25">
      <c r="A2085" s="90">
        <v>38183</v>
      </c>
      <c r="B2085" s="17">
        <v>30.25</v>
      </c>
      <c r="C2085" s="17"/>
      <c r="F2085"/>
      <c r="G2085"/>
      <c r="H2085"/>
      <c r="I2085"/>
      <c r="J2085"/>
    </row>
    <row r="2086" spans="1:10" x14ac:dyDescent="0.25">
      <c r="A2086" s="90">
        <v>38184</v>
      </c>
      <c r="B2086" s="17">
        <v>29.19</v>
      </c>
      <c r="C2086" s="17"/>
      <c r="F2086"/>
      <c r="G2086"/>
      <c r="H2086"/>
      <c r="I2086"/>
      <c r="J2086"/>
    </row>
    <row r="2087" spans="1:10" x14ac:dyDescent="0.25">
      <c r="A2087" s="90">
        <v>38187</v>
      </c>
      <c r="B2087" s="17">
        <v>28.11</v>
      </c>
      <c r="C2087" s="17"/>
      <c r="F2087"/>
      <c r="G2087"/>
      <c r="H2087"/>
      <c r="I2087"/>
      <c r="J2087"/>
    </row>
    <row r="2088" spans="1:10" x14ac:dyDescent="0.25">
      <c r="A2088" s="90">
        <v>38188</v>
      </c>
      <c r="B2088" s="17">
        <v>29.39</v>
      </c>
      <c r="C2088" s="17"/>
      <c r="F2088"/>
      <c r="G2088"/>
      <c r="H2088"/>
      <c r="I2088"/>
      <c r="J2088"/>
    </row>
    <row r="2089" spans="1:10" x14ac:dyDescent="0.25">
      <c r="A2089" s="90">
        <v>38189</v>
      </c>
      <c r="B2089" s="17">
        <v>28.13</v>
      </c>
      <c r="C2089" s="17"/>
      <c r="F2089"/>
      <c r="G2089"/>
      <c r="H2089"/>
      <c r="I2089"/>
      <c r="J2089"/>
    </row>
    <row r="2090" spans="1:10" x14ac:dyDescent="0.25">
      <c r="A2090" s="90">
        <v>38190</v>
      </c>
      <c r="B2090" s="17">
        <v>29.26</v>
      </c>
      <c r="C2090" s="17"/>
      <c r="F2090"/>
      <c r="G2090"/>
      <c r="H2090"/>
      <c r="I2090"/>
      <c r="J2090"/>
    </row>
    <row r="2091" spans="1:10" x14ac:dyDescent="0.25">
      <c r="A2091" s="90">
        <v>38191</v>
      </c>
      <c r="B2091" s="17">
        <v>28.19</v>
      </c>
      <c r="C2091" s="17"/>
      <c r="F2091"/>
      <c r="G2091"/>
      <c r="H2091"/>
      <c r="I2091"/>
      <c r="J2091"/>
    </row>
    <row r="2092" spans="1:10" x14ac:dyDescent="0.25">
      <c r="A2092" s="90">
        <v>38194</v>
      </c>
      <c r="B2092" s="17">
        <v>28.21</v>
      </c>
      <c r="C2092" s="17"/>
      <c r="F2092"/>
      <c r="G2092"/>
      <c r="H2092"/>
      <c r="I2092"/>
      <c r="J2092"/>
    </row>
    <row r="2093" spans="1:10" x14ac:dyDescent="0.25">
      <c r="A2093" s="90">
        <v>38195</v>
      </c>
      <c r="B2093" s="17">
        <v>30</v>
      </c>
      <c r="C2093" s="17"/>
      <c r="F2093"/>
      <c r="G2093"/>
      <c r="H2093"/>
      <c r="I2093"/>
      <c r="J2093"/>
    </row>
    <row r="2094" spans="1:10" x14ac:dyDescent="0.25">
      <c r="A2094" s="90">
        <v>38196</v>
      </c>
      <c r="B2094" s="17">
        <v>29.7</v>
      </c>
      <c r="C2094" s="17"/>
      <c r="F2094"/>
      <c r="G2094"/>
      <c r="H2094"/>
      <c r="I2094"/>
      <c r="J2094"/>
    </row>
    <row r="2095" spans="1:10" x14ac:dyDescent="0.25">
      <c r="A2095" s="90">
        <v>38197</v>
      </c>
      <c r="B2095" s="17">
        <v>30.49</v>
      </c>
      <c r="C2095" s="17"/>
      <c r="F2095"/>
      <c r="G2095"/>
      <c r="H2095"/>
      <c r="I2095"/>
      <c r="J2095"/>
    </row>
    <row r="2096" spans="1:10" x14ac:dyDescent="0.25">
      <c r="A2096" s="90">
        <v>38198</v>
      </c>
      <c r="B2096" s="17">
        <v>30.8</v>
      </c>
      <c r="C2096" s="17"/>
      <c r="F2096"/>
      <c r="G2096"/>
      <c r="H2096"/>
      <c r="I2096"/>
      <c r="J2096"/>
    </row>
    <row r="2097" spans="1:10" x14ac:dyDescent="0.25">
      <c r="A2097" s="90">
        <v>38201</v>
      </c>
      <c r="B2097" s="17">
        <v>30.42</v>
      </c>
      <c r="C2097" s="17"/>
      <c r="F2097"/>
      <c r="G2097"/>
      <c r="H2097"/>
      <c r="I2097"/>
      <c r="J2097"/>
    </row>
    <row r="2098" spans="1:10" x14ac:dyDescent="0.25">
      <c r="A2098" s="90">
        <v>38202</v>
      </c>
      <c r="B2098" s="17">
        <v>29.15</v>
      </c>
      <c r="C2098" s="17"/>
      <c r="F2098"/>
      <c r="G2098"/>
      <c r="H2098"/>
      <c r="I2098"/>
      <c r="J2098"/>
    </row>
    <row r="2099" spans="1:10" x14ac:dyDescent="0.25">
      <c r="A2099" s="90">
        <v>38203</v>
      </c>
      <c r="B2099" s="17">
        <v>27.91</v>
      </c>
      <c r="C2099" s="17"/>
      <c r="F2099"/>
      <c r="G2099"/>
      <c r="H2099"/>
      <c r="I2099"/>
      <c r="J2099"/>
    </row>
    <row r="2100" spans="1:10" x14ac:dyDescent="0.25">
      <c r="A2100" s="90">
        <v>38204</v>
      </c>
      <c r="B2100" s="17">
        <v>26.8</v>
      </c>
      <c r="C2100" s="17"/>
      <c r="F2100"/>
      <c r="G2100"/>
      <c r="H2100"/>
      <c r="I2100"/>
      <c r="J2100"/>
    </row>
    <row r="2101" spans="1:10" x14ac:dyDescent="0.25">
      <c r="A2101" s="90">
        <v>38205</v>
      </c>
      <c r="B2101" s="17">
        <v>26.02</v>
      </c>
      <c r="C2101" s="17"/>
      <c r="F2101"/>
      <c r="G2101"/>
      <c r="H2101"/>
      <c r="I2101"/>
      <c r="J2101"/>
    </row>
    <row r="2102" spans="1:10" x14ac:dyDescent="0.25">
      <c r="A2102" s="90">
        <v>38208</v>
      </c>
      <c r="B2102" s="17">
        <v>25.7</v>
      </c>
      <c r="C2102" s="17"/>
      <c r="F2102"/>
      <c r="G2102"/>
      <c r="H2102"/>
      <c r="I2102"/>
      <c r="J2102"/>
    </row>
    <row r="2103" spans="1:10" x14ac:dyDescent="0.25">
      <c r="A2103" s="90">
        <v>38209</v>
      </c>
      <c r="B2103" s="17">
        <v>27.15</v>
      </c>
      <c r="C2103" s="17"/>
      <c r="F2103"/>
      <c r="G2103"/>
      <c r="H2103"/>
      <c r="I2103"/>
      <c r="J2103"/>
    </row>
    <row r="2104" spans="1:10" x14ac:dyDescent="0.25">
      <c r="A2104" s="90">
        <v>38210</v>
      </c>
      <c r="B2104" s="17">
        <v>27.42</v>
      </c>
      <c r="C2104" s="17"/>
      <c r="F2104"/>
      <c r="G2104"/>
      <c r="H2104"/>
      <c r="I2104"/>
      <c r="J2104"/>
    </row>
    <row r="2105" spans="1:10" x14ac:dyDescent="0.25">
      <c r="A2105" s="90">
        <v>38211</v>
      </c>
      <c r="B2105" s="17">
        <v>27.55</v>
      </c>
      <c r="C2105" s="17"/>
      <c r="F2105"/>
      <c r="G2105"/>
      <c r="H2105"/>
      <c r="I2105"/>
      <c r="J2105"/>
    </row>
    <row r="2106" spans="1:10" x14ac:dyDescent="0.25">
      <c r="A2106" s="90">
        <v>38212</v>
      </c>
      <c r="B2106" s="17">
        <v>27.49</v>
      </c>
      <c r="C2106" s="17"/>
      <c r="F2106"/>
      <c r="G2106"/>
      <c r="H2106"/>
      <c r="I2106"/>
      <c r="J2106"/>
    </row>
    <row r="2107" spans="1:10" x14ac:dyDescent="0.25">
      <c r="A2107" s="90">
        <v>38215</v>
      </c>
      <c r="B2107" s="17">
        <v>28.25</v>
      </c>
      <c r="C2107" s="17"/>
      <c r="F2107"/>
      <c r="G2107"/>
      <c r="H2107"/>
      <c r="I2107"/>
      <c r="J2107"/>
    </row>
    <row r="2108" spans="1:10" x14ac:dyDescent="0.25">
      <c r="A2108" s="90">
        <v>38216</v>
      </c>
      <c r="B2108" s="17">
        <v>28.34</v>
      </c>
      <c r="C2108" s="17"/>
      <c r="F2108"/>
      <c r="G2108"/>
      <c r="H2108"/>
      <c r="I2108"/>
      <c r="J2108"/>
    </row>
    <row r="2109" spans="1:10" x14ac:dyDescent="0.25">
      <c r="A2109" s="90">
        <v>38217</v>
      </c>
      <c r="B2109" s="17">
        <v>28.48</v>
      </c>
      <c r="C2109" s="17"/>
      <c r="F2109"/>
      <c r="G2109"/>
      <c r="H2109"/>
      <c r="I2109"/>
      <c r="J2109"/>
    </row>
    <row r="2110" spans="1:10" x14ac:dyDescent="0.25">
      <c r="A2110" s="90">
        <v>38218</v>
      </c>
      <c r="B2110" s="17">
        <v>28.11</v>
      </c>
      <c r="C2110" s="17"/>
      <c r="F2110"/>
      <c r="G2110"/>
      <c r="H2110"/>
      <c r="I2110"/>
      <c r="J2110"/>
    </row>
    <row r="2111" spans="1:10" x14ac:dyDescent="0.25">
      <c r="A2111" s="90">
        <v>38219</v>
      </c>
      <c r="B2111" s="17">
        <v>28.61</v>
      </c>
      <c r="C2111" s="17"/>
      <c r="F2111"/>
      <c r="G2111"/>
      <c r="H2111"/>
      <c r="I2111"/>
      <c r="J2111"/>
    </row>
    <row r="2112" spans="1:10" x14ac:dyDescent="0.25">
      <c r="A2112" s="90">
        <v>38222</v>
      </c>
      <c r="B2112" s="17">
        <v>28.63</v>
      </c>
      <c r="C2112" s="17"/>
      <c r="F2112"/>
      <c r="G2112"/>
      <c r="H2112"/>
      <c r="I2112"/>
      <c r="J2112"/>
    </row>
    <row r="2113" spans="1:10" x14ac:dyDescent="0.25">
      <c r="A2113" s="90">
        <v>38223</v>
      </c>
      <c r="B2113" s="17">
        <v>28.41</v>
      </c>
      <c r="C2113" s="17"/>
      <c r="F2113"/>
      <c r="G2113"/>
      <c r="H2113"/>
      <c r="I2113"/>
      <c r="J2113"/>
    </row>
    <row r="2114" spans="1:10" x14ac:dyDescent="0.25">
      <c r="A2114" s="90">
        <v>38224</v>
      </c>
      <c r="B2114" s="17">
        <v>29.37</v>
      </c>
      <c r="C2114" s="17"/>
      <c r="F2114"/>
      <c r="G2114"/>
      <c r="H2114"/>
      <c r="I2114"/>
      <c r="J2114"/>
    </row>
    <row r="2115" spans="1:10" x14ac:dyDescent="0.25">
      <c r="A2115" s="90">
        <v>38225</v>
      </c>
      <c r="B2115" s="17">
        <v>29.17</v>
      </c>
      <c r="C2115" s="17"/>
      <c r="F2115"/>
      <c r="G2115"/>
      <c r="H2115"/>
      <c r="I2115"/>
      <c r="J2115"/>
    </row>
    <row r="2116" spans="1:10" x14ac:dyDescent="0.25">
      <c r="A2116" s="90">
        <v>38226</v>
      </c>
      <c r="B2116" s="17">
        <v>29.3</v>
      </c>
      <c r="C2116" s="17"/>
      <c r="F2116"/>
      <c r="G2116"/>
      <c r="H2116"/>
      <c r="I2116"/>
      <c r="J2116"/>
    </row>
    <row r="2117" spans="1:10" x14ac:dyDescent="0.25">
      <c r="A2117" s="90">
        <v>38229</v>
      </c>
      <c r="B2117" s="17">
        <v>28.46</v>
      </c>
      <c r="C2117" s="17"/>
      <c r="F2117"/>
      <c r="G2117"/>
      <c r="H2117"/>
      <c r="I2117"/>
      <c r="J2117"/>
    </row>
    <row r="2118" spans="1:10" x14ac:dyDescent="0.25">
      <c r="A2118" s="90">
        <v>38230</v>
      </c>
      <c r="B2118" s="17">
        <v>28.51</v>
      </c>
      <c r="C2118" s="17"/>
      <c r="F2118"/>
      <c r="G2118"/>
      <c r="H2118"/>
      <c r="I2118"/>
      <c r="J2118"/>
    </row>
    <row r="2119" spans="1:10" x14ac:dyDescent="0.25">
      <c r="A2119" s="90">
        <v>38231</v>
      </c>
      <c r="B2119" s="17">
        <v>29.01</v>
      </c>
      <c r="C2119" s="17"/>
      <c r="F2119"/>
      <c r="G2119"/>
      <c r="H2119"/>
      <c r="I2119"/>
      <c r="J2119"/>
    </row>
    <row r="2120" spans="1:10" x14ac:dyDescent="0.25">
      <c r="A2120" s="90">
        <v>38232</v>
      </c>
      <c r="B2120" s="17">
        <v>29.84</v>
      </c>
      <c r="C2120" s="17"/>
      <c r="F2120"/>
      <c r="G2120"/>
      <c r="H2120"/>
      <c r="I2120"/>
      <c r="J2120"/>
    </row>
    <row r="2121" spans="1:10" x14ac:dyDescent="0.25">
      <c r="A2121" s="90">
        <v>38233</v>
      </c>
      <c r="B2121" s="17">
        <v>29.46</v>
      </c>
      <c r="C2121" s="17"/>
      <c r="F2121"/>
      <c r="G2121"/>
      <c r="H2121"/>
      <c r="I2121"/>
      <c r="J2121"/>
    </row>
    <row r="2122" spans="1:10" x14ac:dyDescent="0.25">
      <c r="A2122" s="90">
        <v>38237</v>
      </c>
      <c r="B2122" s="17">
        <v>29.64</v>
      </c>
      <c r="C2122" s="17"/>
      <c r="F2122"/>
      <c r="G2122"/>
      <c r="H2122"/>
      <c r="I2122"/>
      <c r="J2122"/>
    </row>
    <row r="2123" spans="1:10" x14ac:dyDescent="0.25">
      <c r="A2123" s="90">
        <v>38238</v>
      </c>
      <c r="B2123" s="17">
        <v>30.38</v>
      </c>
      <c r="C2123" s="17"/>
      <c r="F2123"/>
      <c r="G2123"/>
      <c r="H2123"/>
      <c r="I2123"/>
      <c r="J2123"/>
    </row>
    <row r="2124" spans="1:10" x14ac:dyDescent="0.25">
      <c r="A2124" s="90">
        <v>38239</v>
      </c>
      <c r="B2124" s="17">
        <v>30.49</v>
      </c>
      <c r="C2124" s="17"/>
      <c r="F2124"/>
      <c r="G2124"/>
      <c r="H2124"/>
      <c r="I2124"/>
      <c r="J2124"/>
    </row>
    <row r="2125" spans="1:10" x14ac:dyDescent="0.25">
      <c r="A2125" s="90">
        <v>38240</v>
      </c>
      <c r="B2125" s="17">
        <v>31.08</v>
      </c>
      <c r="C2125" s="17"/>
      <c r="F2125"/>
      <c r="G2125"/>
      <c r="H2125"/>
      <c r="I2125"/>
      <c r="J2125"/>
    </row>
    <row r="2126" spans="1:10" x14ac:dyDescent="0.25">
      <c r="A2126" s="90">
        <v>38243</v>
      </c>
      <c r="B2126" s="17">
        <v>31.87</v>
      </c>
      <c r="C2126" s="17"/>
      <c r="F2126"/>
      <c r="G2126"/>
      <c r="H2126"/>
      <c r="I2126"/>
      <c r="J2126"/>
    </row>
    <row r="2127" spans="1:10" x14ac:dyDescent="0.25">
      <c r="A2127" s="90">
        <v>38244</v>
      </c>
      <c r="B2127" s="17">
        <v>33.200000000000003</v>
      </c>
      <c r="C2127" s="17"/>
      <c r="F2127"/>
      <c r="G2127"/>
      <c r="H2127"/>
      <c r="I2127"/>
      <c r="J2127"/>
    </row>
    <row r="2128" spans="1:10" x14ac:dyDescent="0.25">
      <c r="A2128" s="90">
        <v>38245</v>
      </c>
      <c r="B2128" s="17">
        <v>32.9</v>
      </c>
      <c r="C2128" s="17"/>
      <c r="F2128"/>
      <c r="G2128"/>
      <c r="H2128"/>
      <c r="I2128"/>
      <c r="J2128"/>
    </row>
    <row r="2129" spans="1:10" x14ac:dyDescent="0.25">
      <c r="A2129" s="90">
        <v>38246</v>
      </c>
      <c r="B2129" s="17">
        <v>32.79</v>
      </c>
      <c r="C2129" s="17"/>
      <c r="F2129"/>
      <c r="G2129"/>
      <c r="H2129"/>
      <c r="I2129"/>
      <c r="J2129"/>
    </row>
    <row r="2130" spans="1:10" x14ac:dyDescent="0.25">
      <c r="A2130" s="90">
        <v>38247</v>
      </c>
      <c r="B2130" s="17">
        <v>33.46</v>
      </c>
      <c r="C2130" s="17"/>
      <c r="F2130"/>
      <c r="G2130"/>
      <c r="H2130"/>
      <c r="I2130"/>
      <c r="J2130"/>
    </row>
    <row r="2131" spans="1:10" x14ac:dyDescent="0.25">
      <c r="A2131" s="90">
        <v>38250</v>
      </c>
      <c r="B2131" s="17">
        <v>33.26</v>
      </c>
      <c r="C2131" s="17"/>
      <c r="F2131"/>
      <c r="G2131"/>
      <c r="H2131"/>
      <c r="I2131"/>
      <c r="J2131"/>
    </row>
    <row r="2132" spans="1:10" x14ac:dyDescent="0.25">
      <c r="A2132" s="90">
        <v>38251</v>
      </c>
      <c r="B2132" s="17">
        <v>33.26</v>
      </c>
      <c r="C2132" s="17"/>
      <c r="F2132"/>
      <c r="G2132"/>
      <c r="H2132"/>
      <c r="I2132"/>
      <c r="J2132"/>
    </row>
    <row r="2133" spans="1:10" x14ac:dyDescent="0.25">
      <c r="A2133" s="90">
        <v>38252</v>
      </c>
      <c r="B2133" s="17">
        <v>32.47</v>
      </c>
      <c r="C2133" s="17"/>
      <c r="F2133"/>
      <c r="G2133"/>
      <c r="H2133"/>
      <c r="I2133"/>
      <c r="J2133"/>
    </row>
    <row r="2134" spans="1:10" x14ac:dyDescent="0.25">
      <c r="A2134" s="90">
        <v>38253</v>
      </c>
      <c r="B2134" s="17">
        <v>33.04</v>
      </c>
      <c r="C2134" s="17"/>
      <c r="F2134"/>
      <c r="G2134"/>
      <c r="H2134"/>
      <c r="I2134"/>
      <c r="J2134"/>
    </row>
    <row r="2135" spans="1:10" x14ac:dyDescent="0.25">
      <c r="A2135" s="90">
        <v>38254</v>
      </c>
      <c r="B2135" s="17">
        <v>32.58</v>
      </c>
      <c r="C2135" s="17"/>
      <c r="F2135"/>
      <c r="G2135"/>
      <c r="H2135"/>
      <c r="I2135"/>
      <c r="J2135"/>
    </row>
    <row r="2136" spans="1:10" x14ac:dyDescent="0.25">
      <c r="A2136" s="90">
        <v>38257</v>
      </c>
      <c r="B2136" s="17">
        <v>31.82</v>
      </c>
      <c r="C2136" s="17"/>
      <c r="F2136"/>
      <c r="G2136"/>
      <c r="H2136"/>
      <c r="I2136"/>
      <c r="J2136"/>
    </row>
    <row r="2137" spans="1:10" x14ac:dyDescent="0.25">
      <c r="A2137" s="90">
        <v>38258</v>
      </c>
      <c r="B2137" s="17">
        <v>32.799999999999997</v>
      </c>
      <c r="C2137" s="17"/>
      <c r="F2137"/>
      <c r="G2137"/>
      <c r="H2137"/>
      <c r="I2137"/>
      <c r="J2137"/>
    </row>
    <row r="2138" spans="1:10" x14ac:dyDescent="0.25">
      <c r="A2138" s="90">
        <v>38259</v>
      </c>
      <c r="B2138" s="17">
        <v>34</v>
      </c>
      <c r="C2138" s="17"/>
      <c r="F2138"/>
      <c r="G2138"/>
      <c r="H2138"/>
      <c r="I2138"/>
      <c r="J2138"/>
    </row>
    <row r="2139" spans="1:10" x14ac:dyDescent="0.25">
      <c r="A2139" s="90">
        <v>38260</v>
      </c>
      <c r="B2139" s="17">
        <v>33.909999999999997</v>
      </c>
      <c r="C2139" s="17"/>
      <c r="F2139"/>
      <c r="G2139"/>
      <c r="H2139"/>
      <c r="I2139"/>
      <c r="J2139"/>
    </row>
    <row r="2140" spans="1:10" x14ac:dyDescent="0.25">
      <c r="A2140" s="90">
        <v>38261</v>
      </c>
      <c r="B2140" s="17">
        <v>35.03</v>
      </c>
      <c r="C2140" s="17"/>
      <c r="F2140"/>
      <c r="G2140"/>
      <c r="H2140"/>
      <c r="I2140"/>
      <c r="J2140"/>
    </row>
    <row r="2141" spans="1:10" x14ac:dyDescent="0.25">
      <c r="A2141" s="90">
        <v>38264</v>
      </c>
      <c r="B2141" s="17">
        <v>34.909999999999997</v>
      </c>
      <c r="C2141" s="17"/>
      <c r="F2141"/>
      <c r="G2141"/>
      <c r="H2141"/>
      <c r="I2141"/>
      <c r="J2141"/>
    </row>
    <row r="2142" spans="1:10" x14ac:dyDescent="0.25">
      <c r="A2142" s="90">
        <v>38265</v>
      </c>
      <c r="B2142" s="17">
        <v>34.96</v>
      </c>
      <c r="C2142" s="17"/>
      <c r="F2142"/>
      <c r="G2142"/>
      <c r="H2142"/>
      <c r="I2142"/>
      <c r="J2142"/>
    </row>
    <row r="2143" spans="1:10" x14ac:dyDescent="0.25">
      <c r="A2143" s="90">
        <v>38266</v>
      </c>
      <c r="B2143" s="17">
        <v>34.96</v>
      </c>
      <c r="C2143" s="17"/>
      <c r="F2143"/>
      <c r="G2143"/>
      <c r="H2143"/>
      <c r="I2143"/>
      <c r="J2143"/>
    </row>
    <row r="2144" spans="1:10" x14ac:dyDescent="0.25">
      <c r="A2144" s="90">
        <v>38267</v>
      </c>
      <c r="B2144" s="17">
        <v>34.78</v>
      </c>
      <c r="C2144" s="17"/>
      <c r="F2144"/>
      <c r="G2144"/>
      <c r="H2144"/>
      <c r="I2144"/>
      <c r="J2144"/>
    </row>
    <row r="2145" spans="1:10" x14ac:dyDescent="0.25">
      <c r="A2145" s="90">
        <v>38268</v>
      </c>
      <c r="B2145" s="17">
        <v>34.17</v>
      </c>
      <c r="C2145" s="17"/>
      <c r="F2145"/>
      <c r="G2145"/>
      <c r="H2145"/>
      <c r="I2145"/>
      <c r="J2145"/>
    </row>
    <row r="2146" spans="1:10" x14ac:dyDescent="0.25">
      <c r="A2146" s="90">
        <v>38271</v>
      </c>
      <c r="B2146" s="17">
        <v>34.020000000000003</v>
      </c>
      <c r="C2146" s="17"/>
      <c r="F2146"/>
      <c r="G2146"/>
      <c r="H2146"/>
      <c r="I2146"/>
      <c r="J2146"/>
    </row>
    <row r="2147" spans="1:10" x14ac:dyDescent="0.25">
      <c r="A2147" s="90">
        <v>38272</v>
      </c>
      <c r="B2147" s="17">
        <v>34.229999999999997</v>
      </c>
      <c r="C2147" s="17"/>
      <c r="F2147"/>
      <c r="G2147"/>
      <c r="H2147"/>
      <c r="I2147"/>
      <c r="J2147"/>
    </row>
    <row r="2148" spans="1:10" x14ac:dyDescent="0.25">
      <c r="A2148" s="90">
        <v>38273</v>
      </c>
      <c r="B2148" s="17">
        <v>34.96</v>
      </c>
      <c r="C2148" s="17"/>
      <c r="F2148"/>
      <c r="G2148"/>
      <c r="H2148"/>
      <c r="I2148"/>
      <c r="J2148"/>
    </row>
    <row r="2149" spans="1:10" x14ac:dyDescent="0.25">
      <c r="A2149" s="90">
        <v>38274</v>
      </c>
      <c r="B2149" s="17">
        <v>34.96</v>
      </c>
      <c r="C2149" s="17"/>
      <c r="F2149"/>
      <c r="G2149"/>
      <c r="H2149"/>
      <c r="I2149"/>
      <c r="J2149"/>
    </row>
    <row r="2150" spans="1:10" x14ac:dyDescent="0.25">
      <c r="A2150" s="90">
        <v>38275</v>
      </c>
      <c r="B2150" s="17">
        <v>34.520000000000003</v>
      </c>
      <c r="C2150" s="17"/>
      <c r="F2150"/>
      <c r="G2150"/>
      <c r="H2150"/>
      <c r="I2150"/>
      <c r="J2150"/>
    </row>
    <row r="2151" spans="1:10" x14ac:dyDescent="0.25">
      <c r="A2151" s="90">
        <v>38278</v>
      </c>
      <c r="B2151" s="17">
        <v>35.299999999999997</v>
      </c>
      <c r="C2151" s="17"/>
      <c r="F2151"/>
      <c r="G2151"/>
      <c r="H2151"/>
      <c r="I2151"/>
      <c r="J2151"/>
    </row>
    <row r="2152" spans="1:10" x14ac:dyDescent="0.25">
      <c r="A2152" s="90">
        <v>38279</v>
      </c>
      <c r="B2152" s="17">
        <v>34.64</v>
      </c>
      <c r="C2152" s="17"/>
      <c r="F2152"/>
      <c r="G2152"/>
      <c r="H2152"/>
      <c r="I2152"/>
      <c r="J2152"/>
    </row>
    <row r="2153" spans="1:10" x14ac:dyDescent="0.25">
      <c r="A2153" s="90">
        <v>38280</v>
      </c>
      <c r="B2153" s="17">
        <v>34.49</v>
      </c>
      <c r="C2153" s="17"/>
      <c r="F2153"/>
      <c r="G2153"/>
      <c r="H2153"/>
      <c r="I2153"/>
      <c r="J2153"/>
    </row>
    <row r="2154" spans="1:10" x14ac:dyDescent="0.25">
      <c r="A2154" s="90">
        <v>38281</v>
      </c>
      <c r="B2154" s="17">
        <v>35.700000000000003</v>
      </c>
      <c r="C2154" s="17"/>
      <c r="F2154"/>
      <c r="G2154"/>
      <c r="H2154"/>
      <c r="I2154"/>
      <c r="J2154"/>
    </row>
    <row r="2155" spans="1:10" x14ac:dyDescent="0.25">
      <c r="A2155" s="90">
        <v>38282</v>
      </c>
      <c r="B2155" s="17">
        <v>34.96</v>
      </c>
      <c r="C2155" s="17"/>
      <c r="F2155"/>
      <c r="G2155"/>
      <c r="H2155"/>
      <c r="I2155"/>
      <c r="J2155"/>
    </row>
    <row r="2156" spans="1:10" x14ac:dyDescent="0.25">
      <c r="A2156" s="90">
        <v>38285</v>
      </c>
      <c r="B2156" s="17">
        <v>35.200000000000003</v>
      </c>
      <c r="C2156" s="17"/>
      <c r="F2156"/>
      <c r="G2156"/>
      <c r="H2156"/>
      <c r="I2156"/>
      <c r="J2156"/>
    </row>
    <row r="2157" spans="1:10" x14ac:dyDescent="0.25">
      <c r="A2157" s="90">
        <v>38286</v>
      </c>
      <c r="B2157" s="17">
        <v>35.090000000000003</v>
      </c>
      <c r="C2157" s="17"/>
      <c r="F2157"/>
      <c r="G2157"/>
      <c r="H2157"/>
      <c r="I2157"/>
      <c r="J2157"/>
    </row>
    <row r="2158" spans="1:10" x14ac:dyDescent="0.25">
      <c r="A2158" s="90">
        <v>38287</v>
      </c>
      <c r="B2158" s="17">
        <v>36.18</v>
      </c>
      <c r="C2158" s="17"/>
      <c r="F2158"/>
      <c r="G2158"/>
      <c r="H2158"/>
      <c r="I2158"/>
      <c r="J2158"/>
    </row>
    <row r="2159" spans="1:10" x14ac:dyDescent="0.25">
      <c r="A2159" s="90">
        <v>38288</v>
      </c>
      <c r="B2159" s="17">
        <v>36.450000000000003</v>
      </c>
      <c r="C2159" s="17"/>
      <c r="F2159"/>
      <c r="G2159"/>
      <c r="H2159"/>
      <c r="I2159"/>
      <c r="J2159"/>
    </row>
    <row r="2160" spans="1:10" x14ac:dyDescent="0.25">
      <c r="A2160" s="90">
        <v>38289</v>
      </c>
      <c r="B2160" s="17">
        <v>36.19</v>
      </c>
      <c r="C2160" s="17"/>
      <c r="F2160"/>
      <c r="G2160"/>
      <c r="H2160"/>
      <c r="I2160"/>
      <c r="J2160"/>
    </row>
    <row r="2161" spans="1:10" x14ac:dyDescent="0.25">
      <c r="A2161" s="90">
        <v>38292</v>
      </c>
      <c r="B2161" s="17">
        <v>36.92</v>
      </c>
      <c r="C2161" s="17"/>
      <c r="F2161"/>
      <c r="G2161"/>
      <c r="H2161"/>
      <c r="I2161"/>
      <c r="J2161"/>
    </row>
    <row r="2162" spans="1:10" x14ac:dyDescent="0.25">
      <c r="A2162" s="90">
        <v>38293</v>
      </c>
      <c r="B2162" s="17">
        <v>37.74</v>
      </c>
      <c r="C2162" s="17"/>
      <c r="F2162"/>
      <c r="G2162"/>
      <c r="H2162"/>
      <c r="I2162"/>
      <c r="J2162"/>
    </row>
    <row r="2163" spans="1:10" x14ac:dyDescent="0.25">
      <c r="A2163" s="90">
        <v>38294</v>
      </c>
      <c r="B2163" s="17">
        <v>37.97</v>
      </c>
      <c r="C2163" s="17"/>
      <c r="F2163"/>
      <c r="G2163"/>
      <c r="H2163"/>
      <c r="I2163"/>
      <c r="J2163"/>
    </row>
    <row r="2164" spans="1:10" x14ac:dyDescent="0.25">
      <c r="A2164" s="90">
        <v>38295</v>
      </c>
      <c r="B2164" s="17">
        <v>37.659999999999997</v>
      </c>
      <c r="C2164" s="17"/>
      <c r="F2164"/>
      <c r="G2164"/>
      <c r="H2164"/>
      <c r="I2164"/>
      <c r="J2164"/>
    </row>
    <row r="2165" spans="1:10" x14ac:dyDescent="0.25">
      <c r="A2165" s="90">
        <v>38296</v>
      </c>
      <c r="B2165" s="17">
        <v>36.35</v>
      </c>
      <c r="C2165" s="17"/>
      <c r="F2165"/>
      <c r="G2165"/>
      <c r="H2165"/>
      <c r="I2165"/>
      <c r="J2165"/>
    </row>
    <row r="2166" spans="1:10" x14ac:dyDescent="0.25">
      <c r="A2166" s="90">
        <v>38299</v>
      </c>
      <c r="B2166" s="17">
        <v>37.14</v>
      </c>
      <c r="C2166" s="17"/>
      <c r="F2166"/>
      <c r="G2166"/>
      <c r="H2166"/>
      <c r="I2166"/>
      <c r="J2166"/>
    </row>
    <row r="2167" spans="1:10" x14ac:dyDescent="0.25">
      <c r="A2167" s="90">
        <v>38300</v>
      </c>
      <c r="B2167" s="17">
        <v>37.03</v>
      </c>
      <c r="C2167" s="17"/>
      <c r="F2167"/>
      <c r="G2167"/>
      <c r="H2167"/>
      <c r="I2167"/>
      <c r="J2167"/>
    </row>
    <row r="2168" spans="1:10" x14ac:dyDescent="0.25">
      <c r="A2168" s="90">
        <v>38301</v>
      </c>
      <c r="B2168" s="17">
        <v>36.659999999999997</v>
      </c>
      <c r="C2168" s="17"/>
      <c r="F2168"/>
      <c r="G2168"/>
      <c r="H2168"/>
      <c r="I2168"/>
      <c r="J2168"/>
    </row>
    <row r="2169" spans="1:10" x14ac:dyDescent="0.25">
      <c r="A2169" s="90">
        <v>38302</v>
      </c>
      <c r="B2169" s="17">
        <v>37.79</v>
      </c>
      <c r="C2169" s="17"/>
      <c r="F2169"/>
      <c r="G2169"/>
      <c r="H2169"/>
      <c r="I2169"/>
      <c r="J2169"/>
    </row>
    <row r="2170" spans="1:10" x14ac:dyDescent="0.25">
      <c r="A2170" s="90">
        <v>38303</v>
      </c>
      <c r="B2170" s="17">
        <v>37.799999999999997</v>
      </c>
      <c r="C2170" s="17"/>
      <c r="F2170"/>
      <c r="G2170"/>
      <c r="H2170"/>
      <c r="I2170"/>
      <c r="J2170"/>
    </row>
    <row r="2171" spans="1:10" x14ac:dyDescent="0.25">
      <c r="A2171" s="90">
        <v>38306</v>
      </c>
      <c r="B2171" s="17">
        <v>37.630000000000003</v>
      </c>
      <c r="C2171" s="17"/>
      <c r="F2171"/>
      <c r="G2171"/>
      <c r="H2171"/>
      <c r="I2171"/>
      <c r="J2171"/>
    </row>
    <row r="2172" spans="1:10" x14ac:dyDescent="0.25">
      <c r="A2172" s="90">
        <v>38307</v>
      </c>
      <c r="B2172" s="17">
        <v>36.74</v>
      </c>
      <c r="C2172" s="17"/>
      <c r="F2172"/>
      <c r="G2172"/>
      <c r="H2172"/>
      <c r="I2172"/>
      <c r="J2172"/>
    </row>
    <row r="2173" spans="1:10" x14ac:dyDescent="0.25">
      <c r="A2173" s="90">
        <v>38308</v>
      </c>
      <c r="B2173" s="17">
        <v>36.950000000000003</v>
      </c>
      <c r="C2173" s="17"/>
      <c r="F2173"/>
      <c r="G2173"/>
      <c r="H2173"/>
      <c r="I2173"/>
      <c r="J2173"/>
    </row>
    <row r="2174" spans="1:10" x14ac:dyDescent="0.25">
      <c r="A2174" s="90">
        <v>38309</v>
      </c>
      <c r="B2174" s="17">
        <v>37.19</v>
      </c>
      <c r="C2174" s="17"/>
      <c r="F2174"/>
      <c r="G2174"/>
      <c r="H2174"/>
      <c r="I2174"/>
      <c r="J2174"/>
    </row>
    <row r="2175" spans="1:10" x14ac:dyDescent="0.25">
      <c r="A2175" s="90">
        <v>38310</v>
      </c>
      <c r="B2175" s="17">
        <v>36.15</v>
      </c>
      <c r="C2175" s="17"/>
      <c r="F2175"/>
      <c r="G2175"/>
      <c r="H2175"/>
      <c r="I2175"/>
      <c r="J2175"/>
    </row>
    <row r="2176" spans="1:10" x14ac:dyDescent="0.25">
      <c r="A2176" s="90">
        <v>38313</v>
      </c>
      <c r="B2176" s="17">
        <v>36.450000000000003</v>
      </c>
      <c r="C2176" s="17"/>
      <c r="F2176"/>
      <c r="G2176"/>
      <c r="H2176"/>
      <c r="I2176"/>
      <c r="J2176"/>
    </row>
    <row r="2177" spans="1:10" x14ac:dyDescent="0.25">
      <c r="A2177" s="90">
        <v>38314</v>
      </c>
      <c r="B2177" s="17">
        <v>36.4</v>
      </c>
      <c r="C2177" s="17"/>
      <c r="F2177"/>
      <c r="G2177"/>
      <c r="H2177"/>
      <c r="I2177"/>
      <c r="J2177"/>
    </row>
    <row r="2178" spans="1:10" x14ac:dyDescent="0.25">
      <c r="A2178" s="90">
        <v>38315</v>
      </c>
      <c r="B2178" s="17">
        <v>37.61</v>
      </c>
      <c r="C2178" s="17"/>
      <c r="F2178"/>
      <c r="G2178"/>
      <c r="H2178"/>
      <c r="I2178"/>
      <c r="J2178"/>
    </row>
    <row r="2179" spans="1:10" x14ac:dyDescent="0.25">
      <c r="A2179" s="90">
        <v>38317</v>
      </c>
      <c r="B2179" s="17">
        <v>37.81</v>
      </c>
      <c r="C2179" s="17"/>
      <c r="F2179"/>
      <c r="G2179"/>
      <c r="H2179"/>
      <c r="I2179"/>
      <c r="J2179"/>
    </row>
    <row r="2180" spans="1:10" x14ac:dyDescent="0.25">
      <c r="A2180" s="90">
        <v>38320</v>
      </c>
      <c r="B2180" s="17">
        <v>38.119999999999997</v>
      </c>
      <c r="C2180" s="17"/>
      <c r="F2180"/>
      <c r="G2180"/>
      <c r="H2180"/>
      <c r="I2180"/>
      <c r="J2180"/>
    </row>
    <row r="2181" spans="1:10" x14ac:dyDescent="0.25">
      <c r="A2181" s="90">
        <v>38321</v>
      </c>
      <c r="B2181" s="17">
        <v>37.619999999999997</v>
      </c>
      <c r="C2181" s="17"/>
      <c r="F2181"/>
      <c r="G2181"/>
      <c r="H2181"/>
      <c r="I2181"/>
      <c r="J2181"/>
    </row>
    <row r="2182" spans="1:10" x14ac:dyDescent="0.25">
      <c r="A2182" s="90">
        <v>38322</v>
      </c>
      <c r="B2182" s="17">
        <v>38</v>
      </c>
      <c r="C2182" s="17"/>
      <c r="F2182"/>
      <c r="G2182"/>
      <c r="H2182"/>
      <c r="I2182"/>
      <c r="J2182"/>
    </row>
    <row r="2183" spans="1:10" x14ac:dyDescent="0.25">
      <c r="A2183" s="90">
        <v>38323</v>
      </c>
      <c r="B2183" s="17">
        <v>39.14</v>
      </c>
      <c r="C2183" s="17"/>
      <c r="F2183"/>
      <c r="G2183"/>
      <c r="H2183"/>
      <c r="I2183"/>
      <c r="J2183"/>
    </row>
    <row r="2184" spans="1:10" x14ac:dyDescent="0.25">
      <c r="A2184" s="90">
        <v>38324</v>
      </c>
      <c r="B2184" s="17">
        <v>39.020000000000003</v>
      </c>
      <c r="C2184" s="17"/>
      <c r="F2184"/>
      <c r="G2184"/>
      <c r="H2184"/>
      <c r="I2184"/>
      <c r="J2184"/>
    </row>
    <row r="2185" spans="1:10" x14ac:dyDescent="0.25">
      <c r="A2185" s="90">
        <v>38327</v>
      </c>
      <c r="B2185" s="17">
        <v>38.840000000000003</v>
      </c>
      <c r="C2185" s="17"/>
      <c r="F2185"/>
      <c r="G2185"/>
      <c r="H2185"/>
      <c r="I2185"/>
      <c r="J2185"/>
    </row>
    <row r="2186" spans="1:10" x14ac:dyDescent="0.25">
      <c r="A2186" s="90">
        <v>38328</v>
      </c>
      <c r="B2186" s="17">
        <v>37.08</v>
      </c>
      <c r="C2186" s="17"/>
      <c r="F2186"/>
      <c r="G2186"/>
      <c r="H2186"/>
      <c r="I2186"/>
      <c r="J2186"/>
    </row>
    <row r="2187" spans="1:10" x14ac:dyDescent="0.25">
      <c r="A2187" s="90">
        <v>38329</v>
      </c>
      <c r="B2187" s="17">
        <v>37.049999999999997</v>
      </c>
      <c r="C2187" s="17"/>
      <c r="F2187"/>
      <c r="G2187"/>
      <c r="H2187"/>
      <c r="I2187"/>
      <c r="J2187"/>
    </row>
    <row r="2188" spans="1:10" x14ac:dyDescent="0.25">
      <c r="A2188" s="90">
        <v>38330</v>
      </c>
      <c r="B2188" s="17">
        <v>38.31</v>
      </c>
      <c r="C2188" s="17"/>
      <c r="F2188"/>
      <c r="G2188"/>
      <c r="H2188"/>
      <c r="I2188"/>
      <c r="J2188"/>
    </row>
    <row r="2189" spans="1:10" x14ac:dyDescent="0.25">
      <c r="A2189" s="90">
        <v>38331</v>
      </c>
      <c r="B2189" s="17">
        <v>38.020000000000003</v>
      </c>
      <c r="C2189" s="17"/>
      <c r="F2189"/>
      <c r="G2189"/>
      <c r="H2189"/>
      <c r="I2189"/>
      <c r="J2189"/>
    </row>
    <row r="2190" spans="1:10" x14ac:dyDescent="0.25">
      <c r="A2190" s="90">
        <v>38334</v>
      </c>
      <c r="B2190" s="17">
        <v>38.090000000000003</v>
      </c>
      <c r="C2190" s="17"/>
      <c r="F2190"/>
      <c r="G2190"/>
      <c r="H2190"/>
      <c r="I2190"/>
      <c r="J2190"/>
    </row>
    <row r="2191" spans="1:10" x14ac:dyDescent="0.25">
      <c r="A2191" s="90">
        <v>38335</v>
      </c>
      <c r="B2191" s="17">
        <v>38.26</v>
      </c>
      <c r="C2191" s="17"/>
      <c r="F2191"/>
      <c r="G2191"/>
      <c r="H2191"/>
      <c r="I2191"/>
      <c r="J2191"/>
    </row>
    <row r="2192" spans="1:10" x14ac:dyDescent="0.25">
      <c r="A2192" s="90">
        <v>38336</v>
      </c>
      <c r="B2192" s="17">
        <v>38.29</v>
      </c>
      <c r="C2192" s="17"/>
      <c r="F2192"/>
      <c r="G2192"/>
      <c r="H2192"/>
      <c r="I2192"/>
      <c r="J2192"/>
    </row>
    <row r="2193" spans="1:10" x14ac:dyDescent="0.25">
      <c r="A2193" s="90">
        <v>38337</v>
      </c>
      <c r="B2193" s="17">
        <v>37.08</v>
      </c>
      <c r="C2193" s="17"/>
      <c r="F2193"/>
      <c r="G2193"/>
      <c r="H2193"/>
      <c r="I2193"/>
      <c r="J2193"/>
    </row>
    <row r="2194" spans="1:10" x14ac:dyDescent="0.25">
      <c r="A2194" s="90">
        <v>38338</v>
      </c>
      <c r="B2194" s="17">
        <v>36.770000000000003</v>
      </c>
      <c r="C2194" s="17"/>
      <c r="F2194"/>
      <c r="G2194"/>
      <c r="H2194"/>
      <c r="I2194"/>
      <c r="J2194"/>
    </row>
    <row r="2195" spans="1:10" x14ac:dyDescent="0.25">
      <c r="A2195" s="90">
        <v>38341</v>
      </c>
      <c r="B2195" s="17">
        <v>36.659999999999997</v>
      </c>
      <c r="C2195" s="17"/>
      <c r="F2195"/>
      <c r="G2195"/>
      <c r="H2195"/>
      <c r="I2195"/>
      <c r="J2195"/>
    </row>
    <row r="2196" spans="1:10" x14ac:dyDescent="0.25">
      <c r="A2196" s="90">
        <v>38342</v>
      </c>
      <c r="B2196" s="17">
        <v>36.659999999999997</v>
      </c>
      <c r="C2196" s="17"/>
      <c r="F2196"/>
      <c r="G2196"/>
      <c r="H2196"/>
      <c r="I2196"/>
      <c r="J2196"/>
    </row>
    <row r="2197" spans="1:10" x14ac:dyDescent="0.25">
      <c r="A2197" s="90">
        <v>38343</v>
      </c>
      <c r="B2197" s="17">
        <v>37.29</v>
      </c>
      <c r="C2197" s="17"/>
      <c r="F2197"/>
      <c r="G2197"/>
      <c r="H2197"/>
      <c r="I2197"/>
      <c r="J2197"/>
    </row>
    <row r="2198" spans="1:10" x14ac:dyDescent="0.25">
      <c r="A2198" s="90">
        <v>38344</v>
      </c>
      <c r="B2198" s="17">
        <v>37.25</v>
      </c>
      <c r="C2198" s="17"/>
      <c r="F2198"/>
      <c r="G2198"/>
      <c r="H2198"/>
      <c r="I2198"/>
      <c r="J2198"/>
    </row>
    <row r="2199" spans="1:10" x14ac:dyDescent="0.25">
      <c r="A2199" s="90">
        <v>38348</v>
      </c>
      <c r="B2199" s="17">
        <v>37.74</v>
      </c>
      <c r="C2199" s="17"/>
      <c r="F2199"/>
      <c r="G2199"/>
      <c r="H2199"/>
      <c r="I2199"/>
      <c r="J2199"/>
    </row>
    <row r="2200" spans="1:10" x14ac:dyDescent="0.25">
      <c r="A2200" s="90">
        <v>38349</v>
      </c>
      <c r="B2200" s="17">
        <v>37.9</v>
      </c>
      <c r="C2200" s="17"/>
      <c r="F2200"/>
      <c r="G2200"/>
      <c r="H2200"/>
      <c r="I2200"/>
      <c r="J2200"/>
    </row>
    <row r="2201" spans="1:10" x14ac:dyDescent="0.25">
      <c r="A2201" s="90">
        <v>38350</v>
      </c>
      <c r="B2201" s="17">
        <v>37.85</v>
      </c>
      <c r="C2201" s="17"/>
      <c r="F2201"/>
      <c r="G2201"/>
      <c r="H2201"/>
      <c r="I2201"/>
      <c r="J2201"/>
    </row>
    <row r="2202" spans="1:10" x14ac:dyDescent="0.25">
      <c r="A2202" s="90">
        <v>38351</v>
      </c>
      <c r="B2202" s="17">
        <v>37.869999999999997</v>
      </c>
      <c r="C2202" s="17"/>
      <c r="F2202"/>
      <c r="G2202"/>
      <c r="H2202"/>
      <c r="I2202"/>
      <c r="J2202"/>
    </row>
    <row r="2203" spans="1:10" x14ac:dyDescent="0.25">
      <c r="A2203" s="90">
        <v>38352</v>
      </c>
      <c r="B2203" s="17">
        <v>37.68</v>
      </c>
      <c r="C2203" s="17"/>
      <c r="F2203"/>
      <c r="G2203"/>
      <c r="H2203"/>
      <c r="I2203"/>
      <c r="J2203"/>
    </row>
    <row r="2204" spans="1:10" x14ac:dyDescent="0.25">
      <c r="A2204" s="90">
        <v>38355</v>
      </c>
      <c r="B2204" s="17">
        <v>38.18</v>
      </c>
      <c r="C2204" s="17"/>
      <c r="F2204"/>
      <c r="G2204"/>
      <c r="H2204"/>
      <c r="I2204"/>
      <c r="J2204"/>
    </row>
    <row r="2205" spans="1:10" x14ac:dyDescent="0.25">
      <c r="A2205" s="90">
        <v>38356</v>
      </c>
      <c r="B2205" s="17">
        <v>36.58</v>
      </c>
      <c r="C2205" s="17"/>
      <c r="F2205"/>
      <c r="G2205"/>
      <c r="H2205"/>
      <c r="I2205"/>
      <c r="J2205"/>
    </row>
    <row r="2206" spans="1:10" x14ac:dyDescent="0.25">
      <c r="A2206" s="90">
        <v>38357</v>
      </c>
      <c r="B2206" s="17">
        <v>36.130000000000003</v>
      </c>
      <c r="C2206" s="17"/>
      <c r="F2206"/>
      <c r="G2206"/>
      <c r="H2206"/>
      <c r="I2206"/>
      <c r="J2206"/>
    </row>
    <row r="2207" spans="1:10" x14ac:dyDescent="0.25">
      <c r="A2207" s="90">
        <v>38358</v>
      </c>
      <c r="B2207" s="17">
        <v>35.43</v>
      </c>
      <c r="C2207" s="17"/>
      <c r="F2207"/>
      <c r="G2207"/>
      <c r="H2207"/>
      <c r="I2207"/>
      <c r="J2207"/>
    </row>
    <row r="2208" spans="1:10" x14ac:dyDescent="0.25">
      <c r="A2208" s="90">
        <v>38359</v>
      </c>
      <c r="B2208" s="17">
        <v>35.96</v>
      </c>
      <c r="C2208" s="17"/>
      <c r="F2208"/>
      <c r="G2208"/>
      <c r="H2208"/>
      <c r="I2208"/>
      <c r="J2208"/>
    </row>
    <row r="2209" spans="1:10" x14ac:dyDescent="0.25">
      <c r="A2209" s="90">
        <v>38362</v>
      </c>
      <c r="B2209" s="17">
        <v>36.32</v>
      </c>
      <c r="C2209" s="17"/>
      <c r="F2209"/>
      <c r="G2209"/>
      <c r="H2209"/>
      <c r="I2209"/>
      <c r="J2209"/>
    </row>
    <row r="2210" spans="1:10" x14ac:dyDescent="0.25">
      <c r="A2210" s="90">
        <v>38363</v>
      </c>
      <c r="B2210" s="17">
        <v>35.659999999999997</v>
      </c>
      <c r="C2210" s="17"/>
      <c r="F2210"/>
      <c r="G2210"/>
      <c r="H2210"/>
      <c r="I2210"/>
      <c r="J2210"/>
    </row>
    <row r="2211" spans="1:10" x14ac:dyDescent="0.25">
      <c r="A2211" s="90">
        <v>38364</v>
      </c>
      <c r="B2211" s="17">
        <v>36.14</v>
      </c>
      <c r="C2211" s="17"/>
      <c r="F2211"/>
      <c r="G2211"/>
      <c r="H2211"/>
      <c r="I2211"/>
      <c r="J2211"/>
    </row>
    <row r="2212" spans="1:10" x14ac:dyDescent="0.25">
      <c r="A2212" s="90">
        <v>38365</v>
      </c>
      <c r="B2212" s="17">
        <v>35.33</v>
      </c>
      <c r="C2212" s="17"/>
      <c r="F2212"/>
      <c r="G2212"/>
      <c r="H2212"/>
      <c r="I2212"/>
      <c r="J2212"/>
    </row>
    <row r="2213" spans="1:10" x14ac:dyDescent="0.25">
      <c r="A2213" s="90">
        <v>38366</v>
      </c>
      <c r="B2213" s="17">
        <v>36.700000000000003</v>
      </c>
      <c r="C2213" s="17"/>
      <c r="F2213"/>
      <c r="G2213"/>
      <c r="H2213"/>
      <c r="I2213"/>
      <c r="J2213"/>
    </row>
    <row r="2214" spans="1:10" x14ac:dyDescent="0.25">
      <c r="A2214" s="90">
        <v>38370</v>
      </c>
      <c r="B2214" s="17">
        <v>37.18</v>
      </c>
      <c r="C2214" s="17"/>
      <c r="F2214"/>
      <c r="G2214"/>
      <c r="H2214"/>
      <c r="I2214"/>
      <c r="J2214"/>
    </row>
    <row r="2215" spans="1:10" x14ac:dyDescent="0.25">
      <c r="A2215" s="90">
        <v>38371</v>
      </c>
      <c r="B2215" s="17">
        <v>36.450000000000003</v>
      </c>
      <c r="C2215" s="17"/>
      <c r="F2215"/>
      <c r="G2215"/>
      <c r="H2215"/>
      <c r="I2215"/>
      <c r="J2215"/>
    </row>
    <row r="2216" spans="1:10" x14ac:dyDescent="0.25">
      <c r="A2216" s="90">
        <v>38372</v>
      </c>
      <c r="B2216" s="17">
        <v>35.78</v>
      </c>
      <c r="C2216" s="17"/>
      <c r="F2216"/>
      <c r="G2216"/>
      <c r="H2216"/>
      <c r="I2216"/>
      <c r="J2216"/>
    </row>
    <row r="2217" spans="1:10" x14ac:dyDescent="0.25">
      <c r="A2217" s="90">
        <v>38373</v>
      </c>
      <c r="B2217" s="17">
        <v>35.299999999999997</v>
      </c>
      <c r="C2217" s="17"/>
      <c r="F2217"/>
      <c r="G2217"/>
      <c r="H2217"/>
      <c r="I2217"/>
      <c r="J2217"/>
    </row>
    <row r="2218" spans="1:10" x14ac:dyDescent="0.25">
      <c r="A2218" s="90">
        <v>38376</v>
      </c>
      <c r="B2218" s="17">
        <v>33.93</v>
      </c>
      <c r="C2218" s="17"/>
      <c r="F2218"/>
      <c r="G2218"/>
      <c r="H2218"/>
      <c r="I2218"/>
      <c r="J2218"/>
    </row>
    <row r="2219" spans="1:10" x14ac:dyDescent="0.25">
      <c r="A2219" s="90">
        <v>38377</v>
      </c>
      <c r="B2219" s="17">
        <v>34.04</v>
      </c>
      <c r="C2219" s="17"/>
      <c r="F2219"/>
      <c r="G2219"/>
      <c r="H2219"/>
      <c r="I2219"/>
      <c r="J2219"/>
    </row>
    <row r="2220" spans="1:10" x14ac:dyDescent="0.25">
      <c r="A2220" s="90">
        <v>38378</v>
      </c>
      <c r="B2220" s="17">
        <v>35.47</v>
      </c>
      <c r="C2220" s="17"/>
      <c r="F2220"/>
      <c r="G2220"/>
      <c r="H2220"/>
      <c r="I2220"/>
      <c r="J2220"/>
    </row>
    <row r="2221" spans="1:10" x14ac:dyDescent="0.25">
      <c r="A2221" s="90">
        <v>38379</v>
      </c>
      <c r="B2221" s="17">
        <v>34.729999999999997</v>
      </c>
      <c r="C2221" s="17"/>
      <c r="F2221"/>
      <c r="G2221"/>
      <c r="H2221"/>
      <c r="I2221"/>
      <c r="J2221"/>
    </row>
    <row r="2222" spans="1:10" x14ac:dyDescent="0.25">
      <c r="A2222" s="90">
        <v>38380</v>
      </c>
      <c r="B2222" s="17">
        <v>34.619999999999997</v>
      </c>
      <c r="C2222" s="17"/>
      <c r="F2222"/>
      <c r="G2222"/>
      <c r="H2222"/>
      <c r="I2222"/>
      <c r="J2222"/>
    </row>
    <row r="2223" spans="1:10" x14ac:dyDescent="0.25">
      <c r="A2223" s="90">
        <v>38383</v>
      </c>
      <c r="B2223" s="17">
        <v>35.21</v>
      </c>
      <c r="C2223" s="17"/>
      <c r="F2223"/>
      <c r="G2223"/>
      <c r="H2223"/>
      <c r="I2223"/>
      <c r="J2223"/>
    </row>
    <row r="2224" spans="1:10" x14ac:dyDescent="0.25">
      <c r="A2224" s="90">
        <v>38384</v>
      </c>
      <c r="B2224" s="17">
        <v>34.75</v>
      </c>
      <c r="C2224" s="17"/>
      <c r="F2224"/>
      <c r="G2224"/>
      <c r="H2224"/>
      <c r="I2224"/>
      <c r="J2224"/>
    </row>
    <row r="2225" spans="1:10" x14ac:dyDescent="0.25">
      <c r="A2225" s="90">
        <v>38385</v>
      </c>
      <c r="B2225" s="17">
        <v>35.54</v>
      </c>
      <c r="C2225" s="17"/>
      <c r="F2225"/>
      <c r="G2225"/>
      <c r="H2225"/>
      <c r="I2225"/>
      <c r="J2225"/>
    </row>
    <row r="2226" spans="1:10" x14ac:dyDescent="0.25">
      <c r="A2226" s="90">
        <v>38386</v>
      </c>
      <c r="B2226" s="17">
        <v>35.090000000000003</v>
      </c>
      <c r="C2226" s="17"/>
      <c r="F2226"/>
      <c r="G2226"/>
      <c r="H2226"/>
      <c r="I2226"/>
      <c r="J2226"/>
    </row>
    <row r="2227" spans="1:10" x14ac:dyDescent="0.25">
      <c r="A2227" s="90">
        <v>38387</v>
      </c>
      <c r="B2227" s="17">
        <v>35.020000000000003</v>
      </c>
      <c r="C2227" s="17"/>
      <c r="F2227"/>
      <c r="G2227"/>
      <c r="H2227"/>
      <c r="I2227"/>
      <c r="J2227"/>
    </row>
    <row r="2228" spans="1:10" x14ac:dyDescent="0.25">
      <c r="A2228" s="90">
        <v>38390</v>
      </c>
      <c r="B2228" s="17">
        <v>34.47</v>
      </c>
      <c r="C2228" s="17"/>
      <c r="F2228"/>
      <c r="G2228"/>
      <c r="H2228"/>
      <c r="I2228"/>
      <c r="J2228"/>
    </row>
    <row r="2229" spans="1:10" x14ac:dyDescent="0.25">
      <c r="A2229" s="90">
        <v>38391</v>
      </c>
      <c r="B2229" s="17">
        <v>34.36</v>
      </c>
      <c r="C2229" s="17"/>
      <c r="F2229"/>
      <c r="G2229"/>
      <c r="H2229"/>
      <c r="I2229"/>
      <c r="J2229"/>
    </row>
    <row r="2230" spans="1:10" x14ac:dyDescent="0.25">
      <c r="A2230" s="90">
        <v>38392</v>
      </c>
      <c r="B2230" s="17">
        <v>33.590000000000003</v>
      </c>
      <c r="C2230" s="17"/>
      <c r="F2230"/>
      <c r="G2230"/>
      <c r="H2230"/>
      <c r="I2230"/>
      <c r="J2230"/>
    </row>
    <row r="2231" spans="1:10" x14ac:dyDescent="0.25">
      <c r="A2231" s="90">
        <v>38393</v>
      </c>
      <c r="B2231" s="17">
        <v>33.44</v>
      </c>
      <c r="C2231" s="17"/>
      <c r="F2231"/>
      <c r="G2231"/>
      <c r="H2231"/>
      <c r="I2231"/>
      <c r="J2231"/>
    </row>
    <row r="2232" spans="1:10" x14ac:dyDescent="0.25">
      <c r="A2232" s="90">
        <v>38394</v>
      </c>
      <c r="B2232" s="17">
        <v>34.15</v>
      </c>
      <c r="C2232" s="17"/>
      <c r="F2232"/>
      <c r="G2232"/>
      <c r="H2232"/>
      <c r="I2232"/>
      <c r="J2232"/>
    </row>
    <row r="2233" spans="1:10" x14ac:dyDescent="0.25">
      <c r="A2233" s="90">
        <v>38397</v>
      </c>
      <c r="B2233" s="17">
        <v>34.33</v>
      </c>
      <c r="C2233" s="17"/>
      <c r="F2233"/>
      <c r="G2233"/>
      <c r="H2233"/>
      <c r="I2233"/>
      <c r="J2233"/>
    </row>
    <row r="2234" spans="1:10" x14ac:dyDescent="0.25">
      <c r="A2234" s="90">
        <v>38398</v>
      </c>
      <c r="B2234" s="17">
        <v>33.979999999999997</v>
      </c>
      <c r="C2234" s="17"/>
      <c r="F2234"/>
      <c r="G2234"/>
      <c r="H2234"/>
      <c r="I2234"/>
      <c r="J2234"/>
    </row>
    <row r="2235" spans="1:10" x14ac:dyDescent="0.25">
      <c r="A2235" s="90">
        <v>38399</v>
      </c>
      <c r="B2235" s="17">
        <v>34.42</v>
      </c>
      <c r="C2235" s="17"/>
      <c r="F2235"/>
      <c r="G2235"/>
      <c r="H2235"/>
      <c r="I2235"/>
      <c r="J2235"/>
    </row>
    <row r="2236" spans="1:10" x14ac:dyDescent="0.25">
      <c r="A2236" s="90">
        <v>38400</v>
      </c>
      <c r="B2236" s="17">
        <v>33.82</v>
      </c>
      <c r="C2236" s="17"/>
      <c r="F2236"/>
      <c r="G2236"/>
      <c r="H2236"/>
      <c r="I2236"/>
      <c r="J2236"/>
    </row>
    <row r="2237" spans="1:10" x14ac:dyDescent="0.25">
      <c r="A2237" s="90">
        <v>38401</v>
      </c>
      <c r="B2237" s="17">
        <v>33.6</v>
      </c>
      <c r="C2237" s="17"/>
      <c r="F2237"/>
      <c r="G2237"/>
      <c r="H2237"/>
      <c r="I2237"/>
      <c r="J2237"/>
    </row>
    <row r="2238" spans="1:10" x14ac:dyDescent="0.25">
      <c r="A2238" s="90">
        <v>38405</v>
      </c>
      <c r="B2238" s="17">
        <v>32.79</v>
      </c>
      <c r="C2238" s="17"/>
      <c r="F2238"/>
      <c r="G2238"/>
      <c r="H2238"/>
      <c r="I2238"/>
      <c r="J2238"/>
    </row>
    <row r="2239" spans="1:10" x14ac:dyDescent="0.25">
      <c r="A2239" s="90">
        <v>38406</v>
      </c>
      <c r="B2239" s="17">
        <v>32.119999999999997</v>
      </c>
      <c r="C2239" s="17"/>
      <c r="F2239"/>
      <c r="G2239"/>
      <c r="H2239"/>
      <c r="I2239"/>
      <c r="J2239"/>
    </row>
    <row r="2240" spans="1:10" x14ac:dyDescent="0.25">
      <c r="A2240" s="90">
        <v>38407</v>
      </c>
      <c r="B2240" s="17">
        <v>31.48</v>
      </c>
      <c r="C2240" s="17"/>
      <c r="F2240"/>
      <c r="G2240"/>
      <c r="H2240"/>
      <c r="I2240"/>
      <c r="J2240"/>
    </row>
    <row r="2241" spans="1:10" x14ac:dyDescent="0.25">
      <c r="A2241" s="90">
        <v>38408</v>
      </c>
      <c r="B2241" s="17">
        <v>31.73</v>
      </c>
      <c r="C2241" s="17"/>
      <c r="F2241"/>
      <c r="G2241"/>
      <c r="H2241"/>
      <c r="I2241"/>
      <c r="J2241"/>
    </row>
    <row r="2242" spans="1:10" x14ac:dyDescent="0.25">
      <c r="A2242" s="90">
        <v>38411</v>
      </c>
      <c r="B2242" s="17">
        <v>32.270000000000003</v>
      </c>
      <c r="C2242" s="17"/>
      <c r="F2242"/>
      <c r="G2242"/>
      <c r="H2242"/>
      <c r="I2242"/>
      <c r="J2242"/>
    </row>
    <row r="2243" spans="1:10" x14ac:dyDescent="0.25">
      <c r="A2243" s="90">
        <v>38412</v>
      </c>
      <c r="B2243" s="17">
        <v>32.299999999999997</v>
      </c>
      <c r="C2243" s="17"/>
      <c r="F2243"/>
      <c r="G2243"/>
      <c r="H2243"/>
      <c r="I2243"/>
      <c r="J2243"/>
    </row>
    <row r="2244" spans="1:10" x14ac:dyDescent="0.25">
      <c r="A2244" s="90">
        <v>38413</v>
      </c>
      <c r="B2244" s="17">
        <v>32.229999999999997</v>
      </c>
      <c r="C2244" s="17"/>
      <c r="F2244"/>
      <c r="G2244"/>
      <c r="H2244"/>
      <c r="I2244"/>
      <c r="J2244"/>
    </row>
    <row r="2245" spans="1:10" x14ac:dyDescent="0.25">
      <c r="A2245" s="90">
        <v>38414</v>
      </c>
      <c r="B2245" s="17">
        <v>32.31</v>
      </c>
      <c r="C2245" s="17"/>
      <c r="F2245"/>
      <c r="G2245"/>
      <c r="H2245"/>
      <c r="I2245"/>
      <c r="J2245"/>
    </row>
    <row r="2246" spans="1:10" x14ac:dyDescent="0.25">
      <c r="A2246" s="90">
        <v>38415</v>
      </c>
      <c r="B2246" s="17">
        <v>32.36</v>
      </c>
      <c r="C2246" s="17"/>
      <c r="F2246"/>
      <c r="G2246"/>
      <c r="H2246"/>
      <c r="I2246"/>
      <c r="J2246"/>
    </row>
    <row r="2247" spans="1:10" x14ac:dyDescent="0.25">
      <c r="A2247" s="90">
        <v>38418</v>
      </c>
      <c r="B2247" s="17">
        <v>33.090000000000003</v>
      </c>
      <c r="C2247" s="17"/>
      <c r="F2247"/>
      <c r="G2247"/>
      <c r="H2247"/>
      <c r="I2247"/>
      <c r="J2247"/>
    </row>
    <row r="2248" spans="1:10" x14ac:dyDescent="0.25">
      <c r="A2248" s="90">
        <v>38419</v>
      </c>
      <c r="B2248" s="17">
        <v>33.159999999999997</v>
      </c>
      <c r="C2248" s="17"/>
      <c r="F2248"/>
      <c r="G2248"/>
      <c r="H2248"/>
      <c r="I2248"/>
      <c r="J2248"/>
    </row>
    <row r="2249" spans="1:10" x14ac:dyDescent="0.25">
      <c r="A2249" s="90">
        <v>38420</v>
      </c>
      <c r="B2249" s="17">
        <v>32.32</v>
      </c>
      <c r="C2249" s="17"/>
      <c r="F2249"/>
      <c r="G2249"/>
      <c r="H2249"/>
      <c r="I2249"/>
      <c r="J2249"/>
    </row>
    <row r="2250" spans="1:10" x14ac:dyDescent="0.25">
      <c r="A2250" s="90">
        <v>38421</v>
      </c>
      <c r="B2250" s="17">
        <v>31.91</v>
      </c>
      <c r="C2250" s="17"/>
      <c r="F2250"/>
      <c r="G2250"/>
      <c r="H2250"/>
      <c r="I2250"/>
      <c r="J2250"/>
    </row>
    <row r="2251" spans="1:10" x14ac:dyDescent="0.25">
      <c r="A2251" s="90">
        <v>38422</v>
      </c>
      <c r="B2251" s="17">
        <v>31.65</v>
      </c>
      <c r="C2251" s="17"/>
      <c r="F2251"/>
      <c r="G2251"/>
      <c r="H2251"/>
      <c r="I2251"/>
      <c r="J2251"/>
    </row>
    <row r="2252" spans="1:10" x14ac:dyDescent="0.25">
      <c r="A2252" s="90">
        <v>38425</v>
      </c>
      <c r="B2252" s="17">
        <v>31.32</v>
      </c>
      <c r="C2252" s="17"/>
      <c r="F2252"/>
      <c r="G2252"/>
      <c r="H2252"/>
      <c r="I2252"/>
      <c r="J2252"/>
    </row>
    <row r="2253" spans="1:10" x14ac:dyDescent="0.25">
      <c r="A2253" s="90">
        <v>38426</v>
      </c>
      <c r="B2253" s="17">
        <v>31.94</v>
      </c>
      <c r="C2253" s="17"/>
      <c r="F2253"/>
      <c r="G2253"/>
      <c r="H2253"/>
      <c r="I2253"/>
      <c r="J2253"/>
    </row>
    <row r="2254" spans="1:10" x14ac:dyDescent="0.25">
      <c r="A2254" s="90">
        <v>38427</v>
      </c>
      <c r="B2254" s="17">
        <v>31.58</v>
      </c>
      <c r="C2254" s="17"/>
      <c r="F2254"/>
      <c r="G2254"/>
      <c r="H2254"/>
      <c r="I2254"/>
      <c r="J2254"/>
    </row>
    <row r="2255" spans="1:10" x14ac:dyDescent="0.25">
      <c r="A2255" s="90">
        <v>38428</v>
      </c>
      <c r="B2255" s="17">
        <v>31.61</v>
      </c>
      <c r="C2255" s="17"/>
      <c r="F2255"/>
      <c r="G2255"/>
      <c r="H2255"/>
      <c r="I2255"/>
      <c r="J2255"/>
    </row>
    <row r="2256" spans="1:10" x14ac:dyDescent="0.25">
      <c r="A2256" s="90">
        <v>38429</v>
      </c>
      <c r="B2256" s="17">
        <v>31.11</v>
      </c>
      <c r="C2256" s="17"/>
      <c r="F2256"/>
      <c r="G2256"/>
      <c r="H2256"/>
      <c r="I2256"/>
      <c r="J2256"/>
    </row>
    <row r="2257" spans="1:10" x14ac:dyDescent="0.25">
      <c r="A2257" s="90">
        <v>38432</v>
      </c>
      <c r="B2257" s="17">
        <v>31.62</v>
      </c>
      <c r="C2257" s="17"/>
      <c r="F2257"/>
      <c r="G2257"/>
      <c r="H2257"/>
      <c r="I2257"/>
      <c r="J2257"/>
    </row>
    <row r="2258" spans="1:10" x14ac:dyDescent="0.25">
      <c r="A2258" s="90">
        <v>38433</v>
      </c>
      <c r="B2258" s="17">
        <v>30.99</v>
      </c>
      <c r="C2258" s="17"/>
      <c r="F2258"/>
      <c r="G2258"/>
      <c r="H2258"/>
      <c r="I2258"/>
      <c r="J2258"/>
    </row>
    <row r="2259" spans="1:10" x14ac:dyDescent="0.25">
      <c r="A2259" s="90">
        <v>38434</v>
      </c>
      <c r="B2259" s="17">
        <v>30.87</v>
      </c>
      <c r="C2259" s="17"/>
      <c r="F2259"/>
      <c r="G2259"/>
      <c r="H2259"/>
      <c r="I2259"/>
      <c r="J2259"/>
    </row>
    <row r="2260" spans="1:10" x14ac:dyDescent="0.25">
      <c r="A2260" s="90">
        <v>38435</v>
      </c>
      <c r="B2260" s="17">
        <v>31.41</v>
      </c>
      <c r="C2260" s="17"/>
      <c r="F2260"/>
      <c r="G2260"/>
      <c r="H2260"/>
      <c r="I2260"/>
      <c r="J2260"/>
    </row>
    <row r="2261" spans="1:10" x14ac:dyDescent="0.25">
      <c r="A2261" s="90">
        <v>38439</v>
      </c>
      <c r="B2261" s="17">
        <v>32.25</v>
      </c>
      <c r="C2261" s="17"/>
      <c r="F2261"/>
      <c r="G2261"/>
      <c r="H2261"/>
      <c r="I2261"/>
      <c r="J2261"/>
    </row>
    <row r="2262" spans="1:10" x14ac:dyDescent="0.25">
      <c r="A2262" s="90">
        <v>38440</v>
      </c>
      <c r="B2262" s="17">
        <v>32.159999999999997</v>
      </c>
      <c r="C2262" s="17"/>
      <c r="F2262"/>
      <c r="G2262"/>
      <c r="H2262"/>
      <c r="I2262"/>
      <c r="J2262"/>
    </row>
    <row r="2263" spans="1:10" x14ac:dyDescent="0.25">
      <c r="A2263" s="90">
        <v>38441</v>
      </c>
      <c r="B2263" s="17">
        <v>33.479999999999997</v>
      </c>
      <c r="C2263" s="17"/>
      <c r="F2263"/>
      <c r="G2263"/>
      <c r="H2263"/>
      <c r="I2263"/>
      <c r="J2263"/>
    </row>
    <row r="2264" spans="1:10" x14ac:dyDescent="0.25">
      <c r="A2264" s="90">
        <v>38442</v>
      </c>
      <c r="B2264" s="17">
        <v>33.9</v>
      </c>
      <c r="C2264" s="17"/>
      <c r="F2264"/>
      <c r="G2264"/>
      <c r="H2264"/>
      <c r="I2264"/>
      <c r="J2264"/>
    </row>
    <row r="2265" spans="1:10" x14ac:dyDescent="0.25">
      <c r="A2265" s="90">
        <v>38443</v>
      </c>
      <c r="B2265" s="17">
        <v>34.28</v>
      </c>
      <c r="C2265" s="17"/>
      <c r="F2265"/>
      <c r="G2265"/>
      <c r="H2265"/>
      <c r="I2265"/>
      <c r="J2265"/>
    </row>
    <row r="2266" spans="1:10" x14ac:dyDescent="0.25">
      <c r="A2266" s="90">
        <v>38446</v>
      </c>
      <c r="B2266" s="17">
        <v>35.07</v>
      </c>
      <c r="C2266" s="17"/>
      <c r="F2266"/>
      <c r="G2266"/>
      <c r="H2266"/>
      <c r="I2266"/>
      <c r="J2266"/>
    </row>
    <row r="2267" spans="1:10" x14ac:dyDescent="0.25">
      <c r="A2267" s="90">
        <v>38447</v>
      </c>
      <c r="B2267" s="17">
        <v>35.15</v>
      </c>
      <c r="C2267" s="17"/>
      <c r="F2267"/>
      <c r="G2267"/>
      <c r="H2267"/>
      <c r="I2267"/>
      <c r="J2267"/>
    </row>
    <row r="2268" spans="1:10" x14ac:dyDescent="0.25">
      <c r="A2268" s="90">
        <v>38448</v>
      </c>
      <c r="B2268" s="17">
        <v>34.49</v>
      </c>
      <c r="C2268" s="17"/>
      <c r="F2268"/>
      <c r="G2268"/>
      <c r="H2268"/>
      <c r="I2268"/>
      <c r="J2268"/>
    </row>
    <row r="2269" spans="1:10" x14ac:dyDescent="0.25">
      <c r="A2269" s="90">
        <v>38449</v>
      </c>
      <c r="B2269" s="17">
        <v>35.07</v>
      </c>
      <c r="C2269" s="17"/>
      <c r="F2269"/>
      <c r="G2269"/>
      <c r="H2269"/>
      <c r="I2269"/>
      <c r="J2269"/>
    </row>
    <row r="2270" spans="1:10" x14ac:dyDescent="0.25">
      <c r="A2270" s="90">
        <v>38450</v>
      </c>
      <c r="B2270" s="17">
        <v>34.76</v>
      </c>
      <c r="C2270" s="17"/>
      <c r="F2270"/>
      <c r="G2270"/>
      <c r="H2270"/>
      <c r="I2270"/>
      <c r="J2270"/>
    </row>
    <row r="2271" spans="1:10" x14ac:dyDescent="0.25">
      <c r="A2271" s="90">
        <v>38453</v>
      </c>
      <c r="B2271" s="17">
        <v>34.6</v>
      </c>
      <c r="C2271" s="17"/>
      <c r="F2271"/>
      <c r="G2271"/>
      <c r="H2271"/>
      <c r="I2271"/>
      <c r="J2271"/>
    </row>
    <row r="2272" spans="1:10" x14ac:dyDescent="0.25">
      <c r="A2272" s="90">
        <v>38454</v>
      </c>
      <c r="B2272" s="17">
        <v>34.28</v>
      </c>
      <c r="C2272" s="17"/>
      <c r="F2272"/>
      <c r="G2272"/>
      <c r="H2272"/>
      <c r="I2272"/>
      <c r="J2272"/>
    </row>
    <row r="2273" spans="1:10" x14ac:dyDescent="0.25">
      <c r="A2273" s="90">
        <v>38455</v>
      </c>
      <c r="B2273" s="17">
        <v>33.6</v>
      </c>
      <c r="C2273" s="17"/>
      <c r="F2273"/>
      <c r="G2273"/>
      <c r="H2273"/>
      <c r="I2273"/>
      <c r="J2273"/>
    </row>
    <row r="2274" spans="1:10" x14ac:dyDescent="0.25">
      <c r="A2274" s="90">
        <v>38456</v>
      </c>
      <c r="B2274" s="17">
        <v>33.46</v>
      </c>
      <c r="C2274" s="17"/>
      <c r="F2274"/>
      <c r="G2274"/>
      <c r="H2274"/>
      <c r="I2274"/>
      <c r="J2274"/>
    </row>
    <row r="2275" spans="1:10" x14ac:dyDescent="0.25">
      <c r="A2275" s="90">
        <v>38457</v>
      </c>
      <c r="B2275" s="17">
        <v>32.46</v>
      </c>
      <c r="C2275" s="17"/>
      <c r="F2275"/>
      <c r="G2275"/>
      <c r="H2275"/>
      <c r="I2275"/>
      <c r="J2275"/>
    </row>
    <row r="2276" spans="1:10" x14ac:dyDescent="0.25">
      <c r="A2276" s="90">
        <v>38460</v>
      </c>
      <c r="B2276" s="17">
        <v>32.549999999999997</v>
      </c>
      <c r="C2276" s="17"/>
      <c r="F2276"/>
      <c r="G2276"/>
      <c r="H2276"/>
      <c r="I2276"/>
      <c r="J2276"/>
    </row>
    <row r="2277" spans="1:10" x14ac:dyDescent="0.25">
      <c r="A2277" s="90">
        <v>38461</v>
      </c>
      <c r="B2277" s="17">
        <v>33.22</v>
      </c>
      <c r="C2277" s="17"/>
      <c r="F2277"/>
      <c r="G2277"/>
      <c r="H2277"/>
      <c r="I2277"/>
      <c r="J2277"/>
    </row>
    <row r="2278" spans="1:10" x14ac:dyDescent="0.25">
      <c r="A2278" s="90">
        <v>38462</v>
      </c>
      <c r="B2278" s="17">
        <v>34.65</v>
      </c>
      <c r="C2278" s="17"/>
      <c r="F2278"/>
      <c r="G2278"/>
      <c r="H2278"/>
      <c r="I2278"/>
      <c r="J2278"/>
    </row>
    <row r="2279" spans="1:10" x14ac:dyDescent="0.25">
      <c r="A2279" s="90">
        <v>38463</v>
      </c>
      <c r="B2279" s="17">
        <v>35.869999999999997</v>
      </c>
      <c r="C2279" s="17"/>
      <c r="F2279"/>
      <c r="G2279"/>
      <c r="H2279"/>
      <c r="I2279"/>
      <c r="J2279"/>
    </row>
    <row r="2280" spans="1:10" x14ac:dyDescent="0.25">
      <c r="A2280" s="90">
        <v>38464</v>
      </c>
      <c r="B2280" s="17">
        <v>34.869999999999997</v>
      </c>
      <c r="C2280" s="17"/>
      <c r="F2280"/>
      <c r="G2280"/>
      <c r="H2280"/>
      <c r="I2280"/>
      <c r="J2280"/>
    </row>
    <row r="2281" spans="1:10" x14ac:dyDescent="0.25">
      <c r="A2281" s="90">
        <v>38467</v>
      </c>
      <c r="B2281" s="17">
        <v>35.49</v>
      </c>
      <c r="C2281" s="17"/>
      <c r="F2281"/>
      <c r="G2281"/>
      <c r="H2281"/>
      <c r="I2281"/>
      <c r="J2281"/>
    </row>
    <row r="2282" spans="1:10" x14ac:dyDescent="0.25">
      <c r="A2282" s="90">
        <v>38468</v>
      </c>
      <c r="B2282" s="17">
        <v>35</v>
      </c>
      <c r="C2282" s="17"/>
      <c r="F2282"/>
      <c r="G2282"/>
      <c r="H2282"/>
      <c r="I2282"/>
      <c r="J2282"/>
    </row>
    <row r="2283" spans="1:10" x14ac:dyDescent="0.25">
      <c r="A2283" s="90">
        <v>38469</v>
      </c>
      <c r="B2283" s="17">
        <v>34.950000000000003</v>
      </c>
      <c r="C2283" s="17"/>
      <c r="F2283"/>
      <c r="G2283"/>
      <c r="H2283"/>
      <c r="I2283"/>
      <c r="J2283"/>
    </row>
    <row r="2284" spans="1:10" x14ac:dyDescent="0.25">
      <c r="A2284" s="90">
        <v>38470</v>
      </c>
      <c r="B2284" s="17">
        <v>34.33</v>
      </c>
      <c r="C2284" s="17"/>
      <c r="F2284"/>
      <c r="G2284"/>
      <c r="H2284"/>
      <c r="I2284"/>
      <c r="J2284"/>
    </row>
    <row r="2285" spans="1:10" x14ac:dyDescent="0.25">
      <c r="A2285" s="90">
        <v>38471</v>
      </c>
      <c r="B2285" s="17">
        <v>34.5</v>
      </c>
      <c r="C2285" s="17"/>
      <c r="F2285"/>
      <c r="G2285"/>
      <c r="H2285"/>
      <c r="I2285"/>
      <c r="J2285"/>
    </row>
    <row r="2286" spans="1:10" x14ac:dyDescent="0.25">
      <c r="A2286" s="90">
        <v>38474</v>
      </c>
      <c r="B2286" s="17">
        <v>34.380000000000003</v>
      </c>
      <c r="C2286" s="17"/>
      <c r="F2286"/>
      <c r="G2286"/>
      <c r="H2286"/>
      <c r="I2286"/>
      <c r="J2286"/>
    </row>
    <row r="2287" spans="1:10" x14ac:dyDescent="0.25">
      <c r="A2287" s="90">
        <v>38475</v>
      </c>
      <c r="B2287" s="17">
        <v>34.28</v>
      </c>
      <c r="C2287" s="17"/>
      <c r="F2287"/>
      <c r="G2287"/>
      <c r="H2287"/>
      <c r="I2287"/>
      <c r="J2287"/>
    </row>
    <row r="2288" spans="1:10" x14ac:dyDescent="0.25">
      <c r="A2288" s="90">
        <v>38476</v>
      </c>
      <c r="B2288" s="17">
        <v>35.18</v>
      </c>
      <c r="C2288" s="17"/>
      <c r="F2288"/>
      <c r="G2288"/>
      <c r="H2288"/>
      <c r="I2288"/>
      <c r="J2288"/>
    </row>
    <row r="2289" spans="1:10" x14ac:dyDescent="0.25">
      <c r="A2289" s="90">
        <v>38477</v>
      </c>
      <c r="B2289" s="17">
        <v>34.71</v>
      </c>
      <c r="C2289" s="17"/>
      <c r="F2289"/>
      <c r="G2289"/>
      <c r="H2289"/>
      <c r="I2289"/>
      <c r="J2289"/>
    </row>
    <row r="2290" spans="1:10" x14ac:dyDescent="0.25">
      <c r="A2290" s="90">
        <v>38478</v>
      </c>
      <c r="B2290" s="17">
        <v>34.520000000000003</v>
      </c>
      <c r="C2290" s="17"/>
      <c r="F2290"/>
      <c r="G2290"/>
      <c r="H2290"/>
      <c r="I2290"/>
      <c r="J2290"/>
    </row>
    <row r="2291" spans="1:10" x14ac:dyDescent="0.25">
      <c r="A2291" s="90">
        <v>38481</v>
      </c>
      <c r="B2291" s="17">
        <v>34.590000000000003</v>
      </c>
      <c r="C2291" s="17"/>
      <c r="F2291"/>
      <c r="G2291"/>
      <c r="H2291"/>
      <c r="I2291"/>
      <c r="J2291"/>
    </row>
    <row r="2292" spans="1:10" x14ac:dyDescent="0.25">
      <c r="A2292" s="90">
        <v>38482</v>
      </c>
      <c r="B2292" s="17">
        <v>34.06</v>
      </c>
      <c r="C2292" s="17"/>
      <c r="F2292"/>
      <c r="G2292"/>
      <c r="H2292"/>
      <c r="I2292"/>
      <c r="J2292"/>
    </row>
    <row r="2293" spans="1:10" x14ac:dyDescent="0.25">
      <c r="A2293" s="90">
        <v>38483</v>
      </c>
      <c r="B2293" s="17">
        <v>34.880000000000003</v>
      </c>
      <c r="C2293" s="17"/>
      <c r="F2293"/>
      <c r="G2293"/>
      <c r="H2293"/>
      <c r="I2293"/>
      <c r="J2293"/>
    </row>
    <row r="2294" spans="1:10" x14ac:dyDescent="0.25">
      <c r="A2294" s="90">
        <v>38484</v>
      </c>
      <c r="B2294" s="17">
        <v>34.71</v>
      </c>
      <c r="C2294" s="17"/>
      <c r="F2294"/>
      <c r="G2294"/>
      <c r="H2294"/>
      <c r="I2294"/>
      <c r="J2294"/>
    </row>
    <row r="2295" spans="1:10" x14ac:dyDescent="0.25">
      <c r="A2295" s="90">
        <v>38485</v>
      </c>
      <c r="B2295" s="17">
        <v>34.82</v>
      </c>
      <c r="C2295" s="17"/>
      <c r="F2295"/>
      <c r="G2295"/>
      <c r="H2295"/>
      <c r="I2295"/>
      <c r="J2295"/>
    </row>
    <row r="2296" spans="1:10" x14ac:dyDescent="0.25">
      <c r="A2296" s="90">
        <v>38488</v>
      </c>
      <c r="B2296" s="17">
        <v>35.450000000000003</v>
      </c>
      <c r="C2296" s="17"/>
      <c r="F2296"/>
      <c r="G2296"/>
      <c r="H2296"/>
      <c r="I2296"/>
      <c r="J2296"/>
    </row>
    <row r="2297" spans="1:10" x14ac:dyDescent="0.25">
      <c r="A2297" s="90">
        <v>38489</v>
      </c>
      <c r="B2297" s="17">
        <v>35.68</v>
      </c>
      <c r="C2297" s="17"/>
      <c r="F2297"/>
      <c r="G2297"/>
      <c r="H2297"/>
      <c r="I2297"/>
      <c r="J2297"/>
    </row>
    <row r="2298" spans="1:10" x14ac:dyDescent="0.25">
      <c r="A2298" s="90">
        <v>38490</v>
      </c>
      <c r="B2298" s="17">
        <v>35.950000000000003</v>
      </c>
      <c r="C2298" s="17"/>
      <c r="F2298"/>
      <c r="G2298"/>
      <c r="H2298"/>
      <c r="I2298"/>
      <c r="J2298"/>
    </row>
    <row r="2299" spans="1:10" x14ac:dyDescent="0.25">
      <c r="A2299" s="90">
        <v>38491</v>
      </c>
      <c r="B2299" s="17">
        <v>36.75</v>
      </c>
      <c r="C2299" s="17"/>
      <c r="F2299"/>
      <c r="G2299"/>
      <c r="H2299"/>
      <c r="I2299"/>
      <c r="J2299"/>
    </row>
    <row r="2300" spans="1:10" x14ac:dyDescent="0.25">
      <c r="A2300" s="90">
        <v>38492</v>
      </c>
      <c r="B2300" s="17">
        <v>36.33</v>
      </c>
      <c r="C2300" s="17"/>
      <c r="F2300"/>
      <c r="G2300"/>
      <c r="H2300"/>
      <c r="I2300"/>
      <c r="J2300"/>
    </row>
    <row r="2301" spans="1:10" x14ac:dyDescent="0.25">
      <c r="A2301" s="90">
        <v>38495</v>
      </c>
      <c r="B2301" s="17">
        <v>36.799999999999997</v>
      </c>
      <c r="C2301" s="17"/>
      <c r="F2301"/>
      <c r="G2301"/>
      <c r="H2301"/>
      <c r="I2301"/>
      <c r="J2301"/>
    </row>
    <row r="2302" spans="1:10" x14ac:dyDescent="0.25">
      <c r="A2302" s="90">
        <v>38496</v>
      </c>
      <c r="B2302" s="17">
        <v>36.630000000000003</v>
      </c>
      <c r="C2302" s="17"/>
      <c r="F2302"/>
      <c r="G2302"/>
      <c r="H2302"/>
      <c r="I2302"/>
      <c r="J2302"/>
    </row>
    <row r="2303" spans="1:10" x14ac:dyDescent="0.25">
      <c r="A2303" s="90">
        <v>38497</v>
      </c>
      <c r="B2303" s="17">
        <v>36.270000000000003</v>
      </c>
      <c r="C2303" s="17"/>
      <c r="F2303"/>
      <c r="G2303"/>
      <c r="H2303"/>
      <c r="I2303"/>
      <c r="J2303"/>
    </row>
    <row r="2304" spans="1:10" x14ac:dyDescent="0.25">
      <c r="A2304" s="90">
        <v>38498</v>
      </c>
      <c r="B2304" s="17">
        <v>37.14</v>
      </c>
      <c r="C2304" s="17"/>
      <c r="F2304"/>
      <c r="G2304"/>
      <c r="H2304"/>
      <c r="I2304"/>
      <c r="J2304"/>
    </row>
    <row r="2305" spans="1:10" x14ac:dyDescent="0.25">
      <c r="A2305" s="90">
        <v>38499</v>
      </c>
      <c r="B2305" s="17">
        <v>37.270000000000003</v>
      </c>
      <c r="C2305" s="17"/>
      <c r="F2305"/>
      <c r="G2305"/>
      <c r="H2305"/>
      <c r="I2305"/>
      <c r="J2305"/>
    </row>
    <row r="2306" spans="1:10" x14ac:dyDescent="0.25">
      <c r="A2306" s="90">
        <v>38503</v>
      </c>
      <c r="B2306" s="17">
        <v>37.200000000000003</v>
      </c>
      <c r="C2306" s="17"/>
      <c r="F2306"/>
      <c r="G2306"/>
      <c r="H2306"/>
      <c r="I2306"/>
      <c r="J2306"/>
    </row>
    <row r="2307" spans="1:10" x14ac:dyDescent="0.25">
      <c r="A2307" s="90">
        <v>38504</v>
      </c>
      <c r="B2307" s="17">
        <v>38.42</v>
      </c>
      <c r="C2307" s="17"/>
      <c r="F2307"/>
      <c r="G2307"/>
      <c r="H2307"/>
      <c r="I2307"/>
      <c r="J2307"/>
    </row>
    <row r="2308" spans="1:10" x14ac:dyDescent="0.25">
      <c r="A2308" s="90">
        <v>38505</v>
      </c>
      <c r="B2308" s="17">
        <v>38.5</v>
      </c>
      <c r="C2308" s="17"/>
      <c r="F2308"/>
      <c r="G2308"/>
      <c r="H2308"/>
      <c r="I2308"/>
      <c r="J2308"/>
    </row>
    <row r="2309" spans="1:10" x14ac:dyDescent="0.25">
      <c r="A2309" s="90">
        <v>38506</v>
      </c>
      <c r="B2309" s="17">
        <v>37.92</v>
      </c>
      <c r="C2309" s="17"/>
      <c r="F2309"/>
      <c r="G2309"/>
      <c r="H2309"/>
      <c r="I2309"/>
      <c r="J2309"/>
    </row>
    <row r="2310" spans="1:10" x14ac:dyDescent="0.25">
      <c r="A2310" s="90">
        <v>38509</v>
      </c>
      <c r="B2310" s="17">
        <v>38.520000000000003</v>
      </c>
      <c r="C2310" s="17"/>
      <c r="F2310"/>
      <c r="G2310"/>
      <c r="H2310"/>
      <c r="I2310"/>
      <c r="J2310"/>
    </row>
    <row r="2311" spans="1:10" x14ac:dyDescent="0.25">
      <c r="A2311" s="90">
        <v>38510</v>
      </c>
      <c r="B2311" s="17">
        <v>37.44</v>
      </c>
      <c r="C2311" s="17"/>
      <c r="F2311"/>
      <c r="G2311"/>
      <c r="H2311"/>
      <c r="I2311"/>
      <c r="J2311"/>
    </row>
    <row r="2312" spans="1:10" x14ac:dyDescent="0.25">
      <c r="A2312" s="90">
        <v>38511</v>
      </c>
      <c r="B2312" s="17">
        <v>36.630000000000003</v>
      </c>
      <c r="C2312" s="17"/>
      <c r="F2312"/>
      <c r="G2312"/>
      <c r="H2312"/>
      <c r="I2312"/>
      <c r="J2312"/>
    </row>
    <row r="2313" spans="1:10" x14ac:dyDescent="0.25">
      <c r="A2313" s="90">
        <v>38512</v>
      </c>
      <c r="B2313" s="17">
        <v>37.450000000000003</v>
      </c>
      <c r="C2313" s="17"/>
      <c r="F2313"/>
      <c r="G2313"/>
      <c r="H2313"/>
      <c r="I2313"/>
      <c r="J2313"/>
    </row>
    <row r="2314" spans="1:10" x14ac:dyDescent="0.25">
      <c r="A2314" s="90">
        <v>38513</v>
      </c>
      <c r="B2314" s="17">
        <v>36.81</v>
      </c>
      <c r="C2314" s="17"/>
      <c r="F2314"/>
      <c r="G2314"/>
      <c r="H2314"/>
      <c r="I2314"/>
      <c r="J2314"/>
    </row>
    <row r="2315" spans="1:10" x14ac:dyDescent="0.25">
      <c r="A2315" s="90">
        <v>38516</v>
      </c>
      <c r="B2315" s="17">
        <v>36.9</v>
      </c>
      <c r="C2315" s="17"/>
      <c r="F2315"/>
      <c r="G2315"/>
      <c r="H2315"/>
      <c r="I2315"/>
      <c r="J2315"/>
    </row>
    <row r="2316" spans="1:10" x14ac:dyDescent="0.25">
      <c r="A2316" s="90">
        <v>38517</v>
      </c>
      <c r="B2316" s="17">
        <v>36.799999999999997</v>
      </c>
      <c r="C2316" s="17"/>
      <c r="F2316"/>
      <c r="G2316"/>
      <c r="H2316"/>
      <c r="I2316"/>
      <c r="J2316"/>
    </row>
    <row r="2317" spans="1:10" x14ac:dyDescent="0.25">
      <c r="A2317" s="90">
        <v>38518</v>
      </c>
      <c r="B2317" s="17">
        <v>36.32</v>
      </c>
      <c r="C2317" s="17"/>
      <c r="F2317"/>
      <c r="G2317"/>
      <c r="H2317"/>
      <c r="I2317"/>
      <c r="J2317"/>
    </row>
    <row r="2318" spans="1:10" x14ac:dyDescent="0.25">
      <c r="A2318" s="90">
        <v>38519</v>
      </c>
      <c r="B2318" s="17">
        <v>36.4</v>
      </c>
      <c r="C2318" s="17"/>
      <c r="F2318"/>
      <c r="G2318"/>
      <c r="H2318"/>
      <c r="I2318"/>
      <c r="J2318"/>
    </row>
    <row r="2319" spans="1:10" x14ac:dyDescent="0.25">
      <c r="A2319" s="90">
        <v>38520</v>
      </c>
      <c r="B2319" s="17">
        <v>36.299999999999997</v>
      </c>
      <c r="C2319" s="17"/>
      <c r="F2319"/>
      <c r="G2319"/>
      <c r="H2319"/>
      <c r="I2319"/>
      <c r="J2319"/>
    </row>
    <row r="2320" spans="1:10" x14ac:dyDescent="0.25">
      <c r="A2320" s="90">
        <v>38523</v>
      </c>
      <c r="B2320" s="17">
        <v>36.450000000000003</v>
      </c>
      <c r="C2320" s="17"/>
      <c r="F2320"/>
      <c r="G2320"/>
      <c r="H2320"/>
      <c r="I2320"/>
      <c r="J2320"/>
    </row>
    <row r="2321" spans="1:10" x14ac:dyDescent="0.25">
      <c r="A2321" s="90">
        <v>38524</v>
      </c>
      <c r="B2321" s="17">
        <v>36.950000000000003</v>
      </c>
      <c r="C2321" s="17"/>
      <c r="F2321"/>
      <c r="G2321"/>
      <c r="H2321"/>
      <c r="I2321"/>
      <c r="J2321"/>
    </row>
    <row r="2322" spans="1:10" x14ac:dyDescent="0.25">
      <c r="A2322" s="90">
        <v>38525</v>
      </c>
      <c r="B2322" s="17">
        <v>36.9</v>
      </c>
      <c r="C2322" s="17"/>
      <c r="F2322"/>
      <c r="G2322"/>
      <c r="H2322"/>
      <c r="I2322"/>
      <c r="J2322"/>
    </row>
    <row r="2323" spans="1:10" x14ac:dyDescent="0.25">
      <c r="A2323" s="90">
        <v>38526</v>
      </c>
      <c r="B2323" s="17">
        <v>36.200000000000003</v>
      </c>
      <c r="C2323" s="17"/>
      <c r="F2323"/>
      <c r="G2323"/>
      <c r="H2323"/>
      <c r="I2323"/>
      <c r="J2323"/>
    </row>
    <row r="2324" spans="1:10" x14ac:dyDescent="0.25">
      <c r="A2324" s="90">
        <v>38527</v>
      </c>
      <c r="B2324" s="17">
        <v>36.090000000000003</v>
      </c>
      <c r="C2324" s="17"/>
      <c r="F2324"/>
      <c r="G2324"/>
      <c r="H2324"/>
      <c r="I2324"/>
      <c r="J2324"/>
    </row>
    <row r="2325" spans="1:10" x14ac:dyDescent="0.25">
      <c r="A2325" s="90">
        <v>38530</v>
      </c>
      <c r="B2325" s="17">
        <v>35.68</v>
      </c>
      <c r="C2325" s="17"/>
      <c r="F2325"/>
      <c r="G2325"/>
      <c r="H2325"/>
      <c r="I2325"/>
      <c r="J2325"/>
    </row>
    <row r="2326" spans="1:10" x14ac:dyDescent="0.25">
      <c r="A2326" s="90">
        <v>38531</v>
      </c>
      <c r="B2326" s="17">
        <v>35.799999999999997</v>
      </c>
      <c r="C2326" s="17"/>
      <c r="F2326"/>
      <c r="G2326"/>
      <c r="H2326"/>
      <c r="I2326"/>
      <c r="J2326"/>
    </row>
    <row r="2327" spans="1:10" x14ac:dyDescent="0.25">
      <c r="A2327" s="90">
        <v>38532</v>
      </c>
      <c r="B2327" s="17">
        <v>34.94</v>
      </c>
      <c r="C2327" s="17"/>
      <c r="F2327"/>
      <c r="G2327"/>
      <c r="H2327"/>
      <c r="I2327"/>
      <c r="J2327"/>
    </row>
    <row r="2328" spans="1:10" x14ac:dyDescent="0.25">
      <c r="A2328" s="90">
        <v>38533</v>
      </c>
      <c r="B2328" s="17">
        <v>34.65</v>
      </c>
      <c r="C2328" s="17"/>
      <c r="F2328"/>
      <c r="G2328"/>
      <c r="H2328"/>
      <c r="I2328"/>
      <c r="J2328"/>
    </row>
    <row r="2329" spans="1:10" x14ac:dyDescent="0.25">
      <c r="A2329" s="90">
        <v>38534</v>
      </c>
      <c r="B2329" s="17">
        <v>34.44</v>
      </c>
      <c r="C2329" s="17"/>
      <c r="F2329"/>
      <c r="G2329"/>
      <c r="H2329"/>
      <c r="I2329"/>
      <c r="J2329"/>
    </row>
    <row r="2330" spans="1:10" x14ac:dyDescent="0.25">
      <c r="A2330" s="90">
        <v>38538</v>
      </c>
      <c r="B2330" s="17">
        <v>34.6</v>
      </c>
      <c r="C2330" s="17"/>
      <c r="F2330"/>
      <c r="G2330"/>
      <c r="H2330"/>
      <c r="I2330"/>
      <c r="J2330"/>
    </row>
    <row r="2331" spans="1:10" x14ac:dyDescent="0.25">
      <c r="A2331" s="90">
        <v>38539</v>
      </c>
      <c r="B2331" s="17">
        <v>34.119999999999997</v>
      </c>
      <c r="C2331" s="17"/>
      <c r="F2331"/>
      <c r="G2331"/>
      <c r="H2331"/>
      <c r="I2331"/>
      <c r="J2331"/>
    </row>
    <row r="2332" spans="1:10" x14ac:dyDescent="0.25">
      <c r="A2332" s="90">
        <v>38540</v>
      </c>
      <c r="B2332" s="17">
        <v>34.630000000000003</v>
      </c>
      <c r="C2332" s="17"/>
      <c r="F2332"/>
      <c r="G2332"/>
      <c r="H2332"/>
      <c r="I2332"/>
      <c r="J2332"/>
    </row>
    <row r="2333" spans="1:10" x14ac:dyDescent="0.25">
      <c r="A2333" s="90">
        <v>38541</v>
      </c>
      <c r="B2333" s="17">
        <v>34.619999999999997</v>
      </c>
      <c r="C2333" s="17"/>
      <c r="F2333"/>
      <c r="G2333"/>
      <c r="H2333"/>
      <c r="I2333"/>
      <c r="J2333"/>
    </row>
    <row r="2334" spans="1:10" x14ac:dyDescent="0.25">
      <c r="A2334" s="90">
        <v>38544</v>
      </c>
      <c r="B2334" s="17">
        <v>35.76</v>
      </c>
      <c r="C2334" s="17"/>
      <c r="F2334"/>
      <c r="G2334"/>
      <c r="H2334"/>
      <c r="I2334"/>
      <c r="J2334"/>
    </row>
    <row r="2335" spans="1:10" x14ac:dyDescent="0.25">
      <c r="A2335" s="90">
        <v>38545</v>
      </c>
      <c r="B2335" s="17">
        <v>36.229999999999997</v>
      </c>
      <c r="C2335" s="17"/>
      <c r="F2335"/>
      <c r="G2335"/>
      <c r="H2335"/>
      <c r="I2335"/>
      <c r="J2335"/>
    </row>
    <row r="2336" spans="1:10" x14ac:dyDescent="0.25">
      <c r="A2336" s="90">
        <v>38546</v>
      </c>
      <c r="B2336" s="17">
        <v>36.729999999999997</v>
      </c>
      <c r="C2336" s="17"/>
      <c r="F2336"/>
      <c r="G2336"/>
      <c r="H2336"/>
      <c r="I2336"/>
      <c r="J2336"/>
    </row>
    <row r="2337" spans="1:10" x14ac:dyDescent="0.25">
      <c r="A2337" s="90">
        <v>38547</v>
      </c>
      <c r="B2337" s="17">
        <v>36.86</v>
      </c>
      <c r="C2337" s="17"/>
      <c r="F2337"/>
      <c r="G2337"/>
      <c r="H2337"/>
      <c r="I2337"/>
      <c r="J2337"/>
    </row>
    <row r="2338" spans="1:10" x14ac:dyDescent="0.25">
      <c r="A2338" s="90">
        <v>38548</v>
      </c>
      <c r="B2338" s="17">
        <v>36.58</v>
      </c>
      <c r="C2338" s="17"/>
      <c r="F2338"/>
      <c r="G2338"/>
      <c r="H2338"/>
      <c r="I2338"/>
      <c r="J2338"/>
    </row>
    <row r="2339" spans="1:10" x14ac:dyDescent="0.25">
      <c r="A2339" s="90">
        <v>38551</v>
      </c>
      <c r="B2339" s="17">
        <v>36.58</v>
      </c>
      <c r="C2339" s="17"/>
      <c r="F2339"/>
      <c r="G2339"/>
      <c r="H2339"/>
      <c r="I2339"/>
      <c r="J2339"/>
    </row>
    <row r="2340" spans="1:10" x14ac:dyDescent="0.25">
      <c r="A2340" s="90">
        <v>38552</v>
      </c>
      <c r="B2340" s="17">
        <v>37.729999999999997</v>
      </c>
      <c r="C2340" s="17"/>
      <c r="F2340"/>
      <c r="G2340"/>
      <c r="H2340"/>
      <c r="I2340"/>
      <c r="J2340"/>
    </row>
    <row r="2341" spans="1:10" x14ac:dyDescent="0.25">
      <c r="A2341" s="90">
        <v>38553</v>
      </c>
      <c r="B2341" s="17">
        <v>33.4</v>
      </c>
      <c r="C2341" s="17"/>
      <c r="F2341"/>
      <c r="G2341"/>
      <c r="H2341"/>
      <c r="I2341"/>
      <c r="J2341"/>
    </row>
    <row r="2342" spans="1:10" x14ac:dyDescent="0.25">
      <c r="A2342" s="90">
        <v>38554</v>
      </c>
      <c r="B2342" s="17">
        <v>32.94</v>
      </c>
      <c r="C2342" s="17"/>
      <c r="F2342"/>
      <c r="G2342"/>
      <c r="H2342"/>
      <c r="I2342"/>
      <c r="J2342"/>
    </row>
    <row r="2343" spans="1:10" x14ac:dyDescent="0.25">
      <c r="A2343" s="90">
        <v>38555</v>
      </c>
      <c r="B2343" s="17">
        <v>33.53</v>
      </c>
      <c r="C2343" s="17"/>
      <c r="F2343"/>
      <c r="G2343"/>
      <c r="H2343"/>
      <c r="I2343"/>
      <c r="J2343"/>
    </row>
    <row r="2344" spans="1:10" x14ac:dyDescent="0.25">
      <c r="A2344" s="90">
        <v>38558</v>
      </c>
      <c r="B2344" s="17">
        <v>33.85</v>
      </c>
      <c r="C2344" s="17"/>
      <c r="F2344"/>
      <c r="G2344"/>
      <c r="H2344"/>
      <c r="I2344"/>
      <c r="J2344"/>
    </row>
    <row r="2345" spans="1:10" x14ac:dyDescent="0.25">
      <c r="A2345" s="90">
        <v>38559</v>
      </c>
      <c r="B2345" s="17">
        <v>34.15</v>
      </c>
      <c r="C2345" s="17"/>
      <c r="F2345"/>
      <c r="G2345"/>
      <c r="H2345"/>
      <c r="I2345"/>
      <c r="J2345"/>
    </row>
    <row r="2346" spans="1:10" x14ac:dyDescent="0.25">
      <c r="A2346" s="90">
        <v>38560</v>
      </c>
      <c r="B2346" s="17">
        <v>34.29</v>
      </c>
      <c r="C2346" s="17"/>
      <c r="F2346"/>
      <c r="G2346"/>
      <c r="H2346"/>
      <c r="I2346"/>
      <c r="J2346"/>
    </row>
    <row r="2347" spans="1:10" x14ac:dyDescent="0.25">
      <c r="A2347" s="90">
        <v>38561</v>
      </c>
      <c r="B2347" s="17">
        <v>34.01</v>
      </c>
      <c r="C2347" s="17"/>
      <c r="F2347"/>
      <c r="G2347"/>
      <c r="H2347"/>
      <c r="I2347"/>
      <c r="J2347"/>
    </row>
    <row r="2348" spans="1:10" x14ac:dyDescent="0.25">
      <c r="A2348" s="90">
        <v>38562</v>
      </c>
      <c r="B2348" s="17">
        <v>33.340000000000003</v>
      </c>
      <c r="C2348" s="17"/>
      <c r="F2348"/>
      <c r="G2348"/>
      <c r="H2348"/>
      <c r="I2348"/>
      <c r="J2348"/>
    </row>
    <row r="2349" spans="1:10" x14ac:dyDescent="0.25">
      <c r="A2349" s="90">
        <v>38565</v>
      </c>
      <c r="B2349" s="17">
        <v>33.33</v>
      </c>
      <c r="C2349" s="17"/>
      <c r="F2349"/>
      <c r="G2349"/>
      <c r="H2349"/>
      <c r="I2349"/>
      <c r="J2349"/>
    </row>
    <row r="2350" spans="1:10" x14ac:dyDescent="0.25">
      <c r="A2350" s="90">
        <v>38566</v>
      </c>
      <c r="B2350" s="17">
        <v>33.880000000000003</v>
      </c>
      <c r="C2350" s="17"/>
      <c r="F2350"/>
      <c r="G2350"/>
      <c r="H2350"/>
      <c r="I2350"/>
      <c r="J2350"/>
    </row>
    <row r="2351" spans="1:10" x14ac:dyDescent="0.25">
      <c r="A2351" s="90">
        <v>38567</v>
      </c>
      <c r="B2351" s="17">
        <v>34.51</v>
      </c>
      <c r="C2351" s="17"/>
      <c r="F2351"/>
      <c r="G2351"/>
      <c r="H2351"/>
      <c r="I2351"/>
      <c r="J2351"/>
    </row>
    <row r="2352" spans="1:10" x14ac:dyDescent="0.25">
      <c r="A2352" s="90">
        <v>38568</v>
      </c>
      <c r="B2352" s="17">
        <v>34.06</v>
      </c>
      <c r="C2352" s="17"/>
      <c r="F2352"/>
      <c r="G2352"/>
      <c r="H2352"/>
      <c r="I2352"/>
      <c r="J2352"/>
    </row>
    <row r="2353" spans="1:10" x14ac:dyDescent="0.25">
      <c r="A2353" s="90">
        <v>38569</v>
      </c>
      <c r="B2353" s="17">
        <v>33.520000000000003</v>
      </c>
      <c r="C2353" s="17"/>
      <c r="F2353"/>
      <c r="G2353"/>
      <c r="H2353"/>
      <c r="I2353"/>
      <c r="J2353"/>
    </row>
    <row r="2354" spans="1:10" x14ac:dyDescent="0.25">
      <c r="A2354" s="90">
        <v>38572</v>
      </c>
      <c r="B2354" s="17">
        <v>33.94</v>
      </c>
      <c r="C2354" s="17"/>
      <c r="F2354"/>
      <c r="G2354"/>
      <c r="H2354"/>
      <c r="I2354"/>
      <c r="J2354"/>
    </row>
    <row r="2355" spans="1:10" x14ac:dyDescent="0.25">
      <c r="A2355" s="90">
        <v>38573</v>
      </c>
      <c r="B2355" s="17">
        <v>34.06</v>
      </c>
      <c r="C2355" s="17"/>
      <c r="F2355"/>
      <c r="G2355"/>
      <c r="H2355"/>
      <c r="I2355"/>
      <c r="J2355"/>
    </row>
    <row r="2356" spans="1:10" x14ac:dyDescent="0.25">
      <c r="A2356" s="90">
        <v>38574</v>
      </c>
      <c r="B2356" s="17">
        <v>34.19</v>
      </c>
      <c r="C2356" s="17"/>
      <c r="F2356"/>
      <c r="G2356"/>
      <c r="H2356"/>
      <c r="I2356"/>
      <c r="J2356"/>
    </row>
    <row r="2357" spans="1:10" x14ac:dyDescent="0.25">
      <c r="A2357" s="90">
        <v>38575</v>
      </c>
      <c r="B2357" s="17">
        <v>34.94</v>
      </c>
      <c r="C2357" s="17"/>
      <c r="F2357"/>
      <c r="G2357"/>
      <c r="H2357"/>
      <c r="I2357"/>
      <c r="J2357"/>
    </row>
    <row r="2358" spans="1:10" x14ac:dyDescent="0.25">
      <c r="A2358" s="90">
        <v>38576</v>
      </c>
      <c r="B2358" s="17">
        <v>34.6</v>
      </c>
      <c r="C2358" s="17"/>
      <c r="F2358"/>
      <c r="G2358"/>
      <c r="H2358"/>
      <c r="I2358"/>
      <c r="J2358"/>
    </row>
    <row r="2359" spans="1:10" x14ac:dyDescent="0.25">
      <c r="A2359" s="90">
        <v>38579</v>
      </c>
      <c r="B2359" s="17">
        <v>34.6</v>
      </c>
      <c r="C2359" s="17"/>
      <c r="F2359"/>
      <c r="G2359"/>
      <c r="H2359"/>
      <c r="I2359"/>
      <c r="J2359"/>
    </row>
    <row r="2360" spans="1:10" x14ac:dyDescent="0.25">
      <c r="A2360" s="90">
        <v>38580</v>
      </c>
      <c r="B2360" s="17">
        <v>34.229999999999997</v>
      </c>
      <c r="C2360" s="17"/>
      <c r="F2360"/>
      <c r="G2360"/>
      <c r="H2360"/>
      <c r="I2360"/>
      <c r="J2360"/>
    </row>
    <row r="2361" spans="1:10" x14ac:dyDescent="0.25">
      <c r="A2361" s="90">
        <v>38581</v>
      </c>
      <c r="B2361" s="17">
        <v>34.39</v>
      </c>
      <c r="C2361" s="17"/>
      <c r="F2361"/>
      <c r="G2361"/>
      <c r="H2361"/>
      <c r="I2361"/>
      <c r="J2361"/>
    </row>
    <row r="2362" spans="1:10" x14ac:dyDescent="0.25">
      <c r="A2362" s="90">
        <v>38582</v>
      </c>
      <c r="B2362" s="17">
        <v>34.36</v>
      </c>
      <c r="C2362" s="17"/>
      <c r="F2362"/>
      <c r="G2362"/>
      <c r="H2362"/>
      <c r="I2362"/>
      <c r="J2362"/>
    </row>
    <row r="2363" spans="1:10" x14ac:dyDescent="0.25">
      <c r="A2363" s="90">
        <v>38583</v>
      </c>
      <c r="B2363" s="17">
        <v>34</v>
      </c>
      <c r="C2363" s="17"/>
      <c r="F2363"/>
      <c r="G2363"/>
      <c r="H2363"/>
      <c r="I2363"/>
      <c r="J2363"/>
    </row>
    <row r="2364" spans="1:10" x14ac:dyDescent="0.25">
      <c r="A2364" s="90">
        <v>38586</v>
      </c>
      <c r="B2364" s="17">
        <v>33.200000000000003</v>
      </c>
      <c r="C2364" s="17"/>
      <c r="F2364"/>
      <c r="G2364"/>
      <c r="H2364"/>
      <c r="I2364"/>
      <c r="J2364"/>
    </row>
    <row r="2365" spans="1:10" x14ac:dyDescent="0.25">
      <c r="A2365" s="90">
        <v>38587</v>
      </c>
      <c r="B2365" s="17">
        <v>33.11</v>
      </c>
      <c r="C2365" s="17"/>
      <c r="F2365"/>
      <c r="G2365"/>
      <c r="H2365"/>
      <c r="I2365"/>
      <c r="J2365"/>
    </row>
    <row r="2366" spans="1:10" x14ac:dyDescent="0.25">
      <c r="A2366" s="90">
        <v>38588</v>
      </c>
      <c r="B2366" s="17">
        <v>33.47</v>
      </c>
      <c r="C2366" s="17"/>
      <c r="F2366"/>
      <c r="G2366"/>
      <c r="H2366"/>
      <c r="I2366"/>
      <c r="J2366"/>
    </row>
    <row r="2367" spans="1:10" x14ac:dyDescent="0.25">
      <c r="A2367" s="90">
        <v>38589</v>
      </c>
      <c r="B2367" s="17">
        <v>33.479999999999997</v>
      </c>
      <c r="C2367" s="17"/>
      <c r="F2367"/>
      <c r="G2367"/>
      <c r="H2367"/>
      <c r="I2367"/>
      <c r="J2367"/>
    </row>
    <row r="2368" spans="1:10" x14ac:dyDescent="0.25">
      <c r="A2368" s="90">
        <v>38590</v>
      </c>
      <c r="B2368" s="17">
        <v>33.57</v>
      </c>
      <c r="C2368" s="17"/>
      <c r="F2368"/>
      <c r="G2368"/>
      <c r="H2368"/>
      <c r="I2368"/>
      <c r="J2368"/>
    </row>
    <row r="2369" spans="1:10" x14ac:dyDescent="0.25">
      <c r="A2369" s="90">
        <v>38593</v>
      </c>
      <c r="B2369" s="17">
        <v>33.68</v>
      </c>
      <c r="C2369" s="17"/>
      <c r="F2369"/>
      <c r="G2369"/>
      <c r="H2369"/>
      <c r="I2369"/>
      <c r="J2369"/>
    </row>
    <row r="2370" spans="1:10" x14ac:dyDescent="0.25">
      <c r="A2370" s="90">
        <v>38594</v>
      </c>
      <c r="B2370" s="17">
        <v>33.18</v>
      </c>
      <c r="C2370" s="17"/>
      <c r="F2370"/>
      <c r="G2370"/>
      <c r="H2370"/>
      <c r="I2370"/>
      <c r="J2370"/>
    </row>
    <row r="2371" spans="1:10" x14ac:dyDescent="0.25">
      <c r="A2371" s="90">
        <v>38595</v>
      </c>
      <c r="B2371" s="17">
        <v>33.32</v>
      </c>
      <c r="C2371" s="17"/>
      <c r="F2371"/>
      <c r="G2371"/>
      <c r="H2371"/>
      <c r="I2371"/>
      <c r="J2371"/>
    </row>
    <row r="2372" spans="1:10" x14ac:dyDescent="0.25">
      <c r="A2372" s="90">
        <v>38596</v>
      </c>
      <c r="B2372" s="17">
        <v>33.24</v>
      </c>
      <c r="C2372" s="17"/>
      <c r="F2372"/>
      <c r="G2372"/>
      <c r="H2372"/>
      <c r="I2372"/>
      <c r="J2372"/>
    </row>
    <row r="2373" spans="1:10" x14ac:dyDescent="0.25">
      <c r="A2373" s="90">
        <v>38597</v>
      </c>
      <c r="B2373" s="17">
        <v>33.17</v>
      </c>
      <c r="C2373" s="17"/>
      <c r="F2373"/>
      <c r="G2373"/>
      <c r="H2373"/>
      <c r="I2373"/>
      <c r="J2373"/>
    </row>
    <row r="2374" spans="1:10" x14ac:dyDescent="0.25">
      <c r="A2374" s="90">
        <v>38601</v>
      </c>
      <c r="B2374" s="17">
        <v>33.68</v>
      </c>
      <c r="C2374" s="17"/>
      <c r="F2374"/>
      <c r="G2374"/>
      <c r="H2374"/>
      <c r="I2374"/>
      <c r="J2374"/>
    </row>
    <row r="2375" spans="1:10" x14ac:dyDescent="0.25">
      <c r="A2375" s="90">
        <v>38602</v>
      </c>
      <c r="B2375" s="17">
        <v>34.06</v>
      </c>
      <c r="C2375" s="17"/>
      <c r="F2375"/>
      <c r="G2375"/>
      <c r="H2375"/>
      <c r="I2375"/>
      <c r="J2375"/>
    </row>
    <row r="2376" spans="1:10" x14ac:dyDescent="0.25">
      <c r="A2376" s="90">
        <v>38603</v>
      </c>
      <c r="B2376" s="17">
        <v>33.340000000000003</v>
      </c>
      <c r="C2376" s="17"/>
      <c r="F2376"/>
      <c r="G2376"/>
      <c r="H2376"/>
      <c r="I2376"/>
      <c r="J2376"/>
    </row>
    <row r="2377" spans="1:10" x14ac:dyDescent="0.25">
      <c r="A2377" s="90">
        <v>38604</v>
      </c>
      <c r="B2377" s="17">
        <v>33.46</v>
      </c>
      <c r="C2377" s="17"/>
      <c r="F2377"/>
      <c r="G2377"/>
      <c r="H2377"/>
      <c r="I2377"/>
      <c r="J2377"/>
    </row>
    <row r="2378" spans="1:10" x14ac:dyDescent="0.25">
      <c r="A2378" s="90">
        <v>38607</v>
      </c>
      <c r="B2378" s="17">
        <v>33.909999999999997</v>
      </c>
      <c r="C2378" s="17"/>
      <c r="F2378"/>
      <c r="G2378"/>
      <c r="H2378"/>
      <c r="I2378"/>
      <c r="J2378"/>
    </row>
    <row r="2379" spans="1:10" x14ac:dyDescent="0.25">
      <c r="A2379" s="90">
        <v>38608</v>
      </c>
      <c r="B2379" s="17">
        <v>34.299999999999997</v>
      </c>
      <c r="C2379" s="17"/>
      <c r="F2379"/>
      <c r="G2379"/>
      <c r="H2379"/>
      <c r="I2379"/>
      <c r="J2379"/>
    </row>
    <row r="2380" spans="1:10" x14ac:dyDescent="0.25">
      <c r="A2380" s="90">
        <v>38609</v>
      </c>
      <c r="B2380" s="17">
        <v>33.799999999999997</v>
      </c>
      <c r="C2380" s="17"/>
      <c r="F2380"/>
      <c r="G2380"/>
      <c r="H2380"/>
      <c r="I2380"/>
      <c r="J2380"/>
    </row>
    <row r="2381" spans="1:10" x14ac:dyDescent="0.25">
      <c r="A2381" s="90">
        <v>38610</v>
      </c>
      <c r="B2381" s="17">
        <v>33.57</v>
      </c>
      <c r="C2381" s="17"/>
      <c r="F2381"/>
      <c r="G2381"/>
      <c r="H2381"/>
      <c r="I2381"/>
      <c r="J2381"/>
    </row>
    <row r="2382" spans="1:10" x14ac:dyDescent="0.25">
      <c r="A2382" s="90">
        <v>38611</v>
      </c>
      <c r="B2382" s="17">
        <v>33.17</v>
      </c>
      <c r="C2382" s="17"/>
      <c r="F2382"/>
      <c r="G2382"/>
      <c r="H2382"/>
      <c r="I2382"/>
      <c r="J2382"/>
    </row>
    <row r="2383" spans="1:10" x14ac:dyDescent="0.25">
      <c r="A2383" s="90">
        <v>38614</v>
      </c>
      <c r="B2383" s="17">
        <v>32.75</v>
      </c>
      <c r="C2383" s="17"/>
      <c r="F2383"/>
      <c r="G2383"/>
      <c r="H2383"/>
      <c r="I2383"/>
      <c r="J2383"/>
    </row>
    <row r="2384" spans="1:10" x14ac:dyDescent="0.25">
      <c r="A2384" s="90">
        <v>38615</v>
      </c>
      <c r="B2384" s="17">
        <v>32.64</v>
      </c>
      <c r="C2384" s="17"/>
      <c r="F2384"/>
      <c r="G2384"/>
      <c r="H2384"/>
      <c r="I2384"/>
      <c r="J2384"/>
    </row>
    <row r="2385" spans="1:10" x14ac:dyDescent="0.25">
      <c r="A2385" s="90">
        <v>38616</v>
      </c>
      <c r="B2385" s="17">
        <v>31.97</v>
      </c>
      <c r="C2385" s="17"/>
      <c r="F2385"/>
      <c r="G2385"/>
      <c r="H2385"/>
      <c r="I2385"/>
      <c r="J2385"/>
    </row>
    <row r="2386" spans="1:10" x14ac:dyDescent="0.25">
      <c r="A2386" s="90">
        <v>38617</v>
      </c>
      <c r="B2386" s="17">
        <v>32.04</v>
      </c>
      <c r="C2386" s="17"/>
      <c r="F2386"/>
      <c r="G2386"/>
      <c r="H2386"/>
      <c r="I2386"/>
      <c r="J2386"/>
    </row>
    <row r="2387" spans="1:10" x14ac:dyDescent="0.25">
      <c r="A2387" s="90">
        <v>38618</v>
      </c>
      <c r="B2387" s="17">
        <v>32.130000000000003</v>
      </c>
      <c r="C2387" s="17"/>
      <c r="F2387"/>
      <c r="G2387"/>
      <c r="H2387"/>
      <c r="I2387"/>
      <c r="J2387"/>
    </row>
    <row r="2388" spans="1:10" x14ac:dyDescent="0.25">
      <c r="A2388" s="90">
        <v>38621</v>
      </c>
      <c r="B2388" s="17">
        <v>32.18</v>
      </c>
      <c r="C2388" s="17"/>
      <c r="F2388"/>
      <c r="G2388"/>
      <c r="H2388"/>
      <c r="I2388"/>
      <c r="J2388"/>
    </row>
    <row r="2389" spans="1:10" x14ac:dyDescent="0.25">
      <c r="A2389" s="90">
        <v>38622</v>
      </c>
      <c r="B2389" s="17">
        <v>32.479999999999997</v>
      </c>
      <c r="C2389" s="17"/>
      <c r="F2389"/>
      <c r="G2389"/>
      <c r="H2389"/>
      <c r="I2389"/>
      <c r="J2389"/>
    </row>
    <row r="2390" spans="1:10" x14ac:dyDescent="0.25">
      <c r="A2390" s="90">
        <v>38623</v>
      </c>
      <c r="B2390" s="17">
        <v>32.35</v>
      </c>
      <c r="C2390" s="17"/>
      <c r="F2390"/>
      <c r="G2390"/>
      <c r="H2390"/>
      <c r="I2390"/>
      <c r="J2390"/>
    </row>
    <row r="2391" spans="1:10" x14ac:dyDescent="0.25">
      <c r="A2391" s="90">
        <v>38624</v>
      </c>
      <c r="B2391" s="17">
        <v>33.46</v>
      </c>
      <c r="C2391" s="17"/>
      <c r="F2391"/>
      <c r="G2391"/>
      <c r="H2391"/>
      <c r="I2391"/>
      <c r="J2391"/>
    </row>
    <row r="2392" spans="1:10" x14ac:dyDescent="0.25">
      <c r="A2392" s="90">
        <v>38625</v>
      </c>
      <c r="B2392" s="17">
        <v>33.840000000000003</v>
      </c>
      <c r="C2392" s="17"/>
      <c r="F2392"/>
      <c r="G2392"/>
      <c r="H2392"/>
      <c r="I2392"/>
      <c r="J2392"/>
    </row>
    <row r="2393" spans="1:10" x14ac:dyDescent="0.25">
      <c r="A2393" s="90">
        <v>38628</v>
      </c>
      <c r="B2393" s="17">
        <v>33.770000000000003</v>
      </c>
      <c r="C2393" s="17"/>
      <c r="F2393"/>
      <c r="G2393"/>
      <c r="H2393"/>
      <c r="I2393"/>
      <c r="J2393"/>
    </row>
    <row r="2394" spans="1:10" x14ac:dyDescent="0.25">
      <c r="A2394" s="90">
        <v>38629</v>
      </c>
      <c r="B2394" s="17">
        <v>33.57</v>
      </c>
      <c r="C2394" s="17"/>
      <c r="F2394"/>
      <c r="G2394"/>
      <c r="H2394"/>
      <c r="I2394"/>
      <c r="J2394"/>
    </row>
    <row r="2395" spans="1:10" x14ac:dyDescent="0.25">
      <c r="A2395" s="90">
        <v>38630</v>
      </c>
      <c r="B2395" s="17">
        <v>33.49</v>
      </c>
      <c r="C2395" s="17"/>
      <c r="F2395"/>
      <c r="G2395"/>
      <c r="H2395"/>
      <c r="I2395"/>
      <c r="J2395"/>
    </row>
    <row r="2396" spans="1:10" x14ac:dyDescent="0.25">
      <c r="A2396" s="90">
        <v>38631</v>
      </c>
      <c r="B2396" s="17">
        <v>33.799999999999997</v>
      </c>
      <c r="C2396" s="17"/>
      <c r="F2396"/>
      <c r="G2396"/>
      <c r="H2396"/>
      <c r="I2396"/>
      <c r="J2396"/>
    </row>
    <row r="2397" spans="1:10" x14ac:dyDescent="0.25">
      <c r="A2397" s="90">
        <v>38632</v>
      </c>
      <c r="B2397" s="17">
        <v>34.159999999999997</v>
      </c>
      <c r="C2397" s="17"/>
      <c r="F2397"/>
      <c r="G2397"/>
      <c r="H2397"/>
      <c r="I2397"/>
      <c r="J2397"/>
    </row>
    <row r="2398" spans="1:10" x14ac:dyDescent="0.25">
      <c r="A2398" s="90">
        <v>38635</v>
      </c>
      <c r="B2398" s="17">
        <v>34.53</v>
      </c>
      <c r="C2398" s="17"/>
      <c r="F2398"/>
      <c r="G2398"/>
      <c r="H2398"/>
      <c r="I2398"/>
      <c r="J2398"/>
    </row>
    <row r="2399" spans="1:10" x14ac:dyDescent="0.25">
      <c r="A2399" s="90">
        <v>38636</v>
      </c>
      <c r="B2399" s="17">
        <v>34.1</v>
      </c>
      <c r="C2399" s="17"/>
      <c r="F2399"/>
      <c r="G2399"/>
      <c r="H2399"/>
      <c r="I2399"/>
      <c r="J2399"/>
    </row>
    <row r="2400" spans="1:10" x14ac:dyDescent="0.25">
      <c r="A2400" s="90">
        <v>38637</v>
      </c>
      <c r="B2400" s="17">
        <v>33.93</v>
      </c>
      <c r="C2400" s="17"/>
      <c r="F2400"/>
      <c r="G2400"/>
      <c r="H2400"/>
      <c r="I2400"/>
      <c r="J2400"/>
    </row>
    <row r="2401" spans="1:10" x14ac:dyDescent="0.25">
      <c r="A2401" s="90">
        <v>38638</v>
      </c>
      <c r="B2401" s="17">
        <v>33.369999999999997</v>
      </c>
      <c r="C2401" s="17"/>
      <c r="F2401"/>
      <c r="G2401"/>
      <c r="H2401"/>
      <c r="I2401"/>
      <c r="J2401"/>
    </row>
    <row r="2402" spans="1:10" x14ac:dyDescent="0.25">
      <c r="A2402" s="90">
        <v>38639</v>
      </c>
      <c r="B2402" s="17">
        <v>33.520000000000003</v>
      </c>
      <c r="C2402" s="17"/>
      <c r="F2402"/>
      <c r="G2402"/>
      <c r="H2402"/>
      <c r="I2402"/>
      <c r="J2402"/>
    </row>
    <row r="2403" spans="1:10" x14ac:dyDescent="0.25">
      <c r="A2403" s="90">
        <v>38642</v>
      </c>
      <c r="B2403" s="17">
        <v>34.159999999999997</v>
      </c>
      <c r="C2403" s="17"/>
      <c r="F2403"/>
      <c r="G2403"/>
      <c r="H2403"/>
      <c r="I2403"/>
      <c r="J2403"/>
    </row>
    <row r="2404" spans="1:10" x14ac:dyDescent="0.25">
      <c r="A2404" s="90">
        <v>38643</v>
      </c>
      <c r="B2404" s="17">
        <v>33.700000000000003</v>
      </c>
      <c r="C2404" s="17"/>
      <c r="F2404"/>
      <c r="G2404"/>
      <c r="H2404"/>
      <c r="I2404"/>
      <c r="J2404"/>
    </row>
    <row r="2405" spans="1:10" x14ac:dyDescent="0.25">
      <c r="A2405" s="90">
        <v>38644</v>
      </c>
      <c r="B2405" s="17">
        <v>35.909999999999997</v>
      </c>
      <c r="C2405" s="17"/>
      <c r="F2405"/>
      <c r="G2405"/>
      <c r="H2405"/>
      <c r="I2405"/>
      <c r="J2405"/>
    </row>
    <row r="2406" spans="1:10" x14ac:dyDescent="0.25">
      <c r="A2406" s="90">
        <v>38645</v>
      </c>
      <c r="B2406" s="17">
        <v>35.26</v>
      </c>
      <c r="C2406" s="17"/>
      <c r="F2406"/>
      <c r="G2406"/>
      <c r="H2406"/>
      <c r="I2406"/>
      <c r="J2406"/>
    </row>
    <row r="2407" spans="1:10" x14ac:dyDescent="0.25">
      <c r="A2407" s="90">
        <v>38646</v>
      </c>
      <c r="B2407" s="17">
        <v>35.29</v>
      </c>
      <c r="C2407" s="17"/>
      <c r="F2407"/>
      <c r="G2407"/>
      <c r="H2407"/>
      <c r="I2407"/>
      <c r="J2407"/>
    </row>
    <row r="2408" spans="1:10" x14ac:dyDescent="0.25">
      <c r="A2408" s="90">
        <v>38649</v>
      </c>
      <c r="B2408" s="17">
        <v>35.28</v>
      </c>
      <c r="C2408" s="17"/>
      <c r="F2408"/>
      <c r="G2408"/>
      <c r="H2408"/>
      <c r="I2408"/>
      <c r="J2408"/>
    </row>
    <row r="2409" spans="1:10" x14ac:dyDescent="0.25">
      <c r="A2409" s="90">
        <v>38650</v>
      </c>
      <c r="B2409" s="17">
        <v>35.119999999999997</v>
      </c>
      <c r="C2409" s="17"/>
      <c r="F2409"/>
      <c r="G2409"/>
      <c r="H2409"/>
      <c r="I2409"/>
      <c r="J2409"/>
    </row>
    <row r="2410" spans="1:10" x14ac:dyDescent="0.25">
      <c r="A2410" s="90">
        <v>38651</v>
      </c>
      <c r="B2410" s="17">
        <v>35.46</v>
      </c>
      <c r="C2410" s="17"/>
      <c r="F2410"/>
      <c r="G2410"/>
      <c r="H2410"/>
      <c r="I2410"/>
      <c r="J2410"/>
    </row>
    <row r="2411" spans="1:10" x14ac:dyDescent="0.25">
      <c r="A2411" s="90">
        <v>38652</v>
      </c>
      <c r="B2411" s="17">
        <v>35.450000000000003</v>
      </c>
      <c r="C2411" s="17"/>
      <c r="F2411"/>
      <c r="G2411"/>
      <c r="H2411"/>
      <c r="I2411"/>
      <c r="J2411"/>
    </row>
    <row r="2412" spans="1:10" x14ac:dyDescent="0.25">
      <c r="A2412" s="90">
        <v>38653</v>
      </c>
      <c r="B2412" s="17">
        <v>35.58</v>
      </c>
      <c r="C2412" s="17"/>
      <c r="F2412"/>
      <c r="G2412"/>
      <c r="H2412"/>
      <c r="I2412"/>
      <c r="J2412"/>
    </row>
    <row r="2413" spans="1:10" x14ac:dyDescent="0.25">
      <c r="A2413" s="90">
        <v>38656</v>
      </c>
      <c r="B2413" s="17">
        <v>36.97</v>
      </c>
      <c r="C2413" s="17"/>
      <c r="F2413"/>
      <c r="G2413"/>
      <c r="H2413"/>
      <c r="I2413"/>
      <c r="J2413"/>
    </row>
    <row r="2414" spans="1:10" x14ac:dyDescent="0.25">
      <c r="A2414" s="90">
        <v>38657</v>
      </c>
      <c r="B2414" s="17">
        <v>37.72</v>
      </c>
      <c r="C2414" s="17"/>
      <c r="F2414"/>
      <c r="G2414"/>
      <c r="H2414"/>
      <c r="I2414"/>
      <c r="J2414"/>
    </row>
    <row r="2415" spans="1:10" x14ac:dyDescent="0.25">
      <c r="A2415" s="90">
        <v>38658</v>
      </c>
      <c r="B2415" s="17">
        <v>37.99</v>
      </c>
      <c r="C2415" s="17"/>
      <c r="F2415"/>
      <c r="G2415"/>
      <c r="H2415"/>
      <c r="I2415"/>
      <c r="J2415"/>
    </row>
    <row r="2416" spans="1:10" x14ac:dyDescent="0.25">
      <c r="A2416" s="90">
        <v>38659</v>
      </c>
      <c r="B2416" s="17">
        <v>37.450000000000003</v>
      </c>
      <c r="C2416" s="17"/>
      <c r="F2416"/>
      <c r="G2416"/>
      <c r="H2416"/>
      <c r="I2416"/>
      <c r="J2416"/>
    </row>
    <row r="2417" spans="1:10" x14ac:dyDescent="0.25">
      <c r="A2417" s="90">
        <v>38660</v>
      </c>
      <c r="B2417" s="17">
        <v>37.869999999999997</v>
      </c>
      <c r="C2417" s="17"/>
      <c r="F2417"/>
      <c r="G2417"/>
      <c r="H2417"/>
      <c r="I2417"/>
      <c r="J2417"/>
    </row>
    <row r="2418" spans="1:10" x14ac:dyDescent="0.25">
      <c r="A2418" s="90">
        <v>38663</v>
      </c>
      <c r="B2418" s="17">
        <v>37.9</v>
      </c>
      <c r="C2418" s="17"/>
      <c r="F2418"/>
      <c r="G2418"/>
      <c r="H2418"/>
      <c r="I2418"/>
      <c r="J2418"/>
    </row>
    <row r="2419" spans="1:10" x14ac:dyDescent="0.25">
      <c r="A2419" s="90">
        <v>38664</v>
      </c>
      <c r="B2419" s="17">
        <v>37.97</v>
      </c>
      <c r="C2419" s="17"/>
      <c r="F2419"/>
      <c r="G2419"/>
      <c r="H2419"/>
      <c r="I2419"/>
      <c r="J2419"/>
    </row>
    <row r="2420" spans="1:10" x14ac:dyDescent="0.25">
      <c r="A2420" s="90">
        <v>38665</v>
      </c>
      <c r="B2420" s="17">
        <v>37.75</v>
      </c>
      <c r="C2420" s="17"/>
      <c r="F2420"/>
      <c r="G2420"/>
      <c r="H2420"/>
      <c r="I2420"/>
      <c r="J2420"/>
    </row>
    <row r="2421" spans="1:10" x14ac:dyDescent="0.25">
      <c r="A2421" s="90">
        <v>38666</v>
      </c>
      <c r="B2421" s="17">
        <v>38.69</v>
      </c>
      <c r="C2421" s="17"/>
      <c r="F2421"/>
      <c r="G2421"/>
      <c r="H2421"/>
      <c r="I2421"/>
      <c r="J2421"/>
    </row>
    <row r="2422" spans="1:10" x14ac:dyDescent="0.25">
      <c r="A2422" s="90">
        <v>38667</v>
      </c>
      <c r="B2422" s="17">
        <v>38.49</v>
      </c>
      <c r="C2422" s="17"/>
      <c r="F2422"/>
      <c r="G2422"/>
      <c r="H2422"/>
      <c r="I2422"/>
      <c r="J2422"/>
    </row>
    <row r="2423" spans="1:10" x14ac:dyDescent="0.25">
      <c r="A2423" s="90">
        <v>38670</v>
      </c>
      <c r="B2423" s="17">
        <v>38.450000000000003</v>
      </c>
      <c r="C2423" s="17"/>
      <c r="F2423"/>
      <c r="G2423"/>
      <c r="H2423"/>
      <c r="I2423"/>
      <c r="J2423"/>
    </row>
    <row r="2424" spans="1:10" x14ac:dyDescent="0.25">
      <c r="A2424" s="90">
        <v>38671</v>
      </c>
      <c r="B2424" s="17">
        <v>37.65</v>
      </c>
      <c r="C2424" s="17"/>
      <c r="F2424"/>
      <c r="G2424"/>
      <c r="H2424"/>
      <c r="I2424"/>
      <c r="J2424"/>
    </row>
    <row r="2425" spans="1:10" x14ac:dyDescent="0.25">
      <c r="A2425" s="90">
        <v>38672</v>
      </c>
      <c r="B2425" s="17">
        <v>40.04</v>
      </c>
      <c r="C2425" s="17"/>
      <c r="F2425"/>
      <c r="G2425"/>
      <c r="H2425"/>
      <c r="I2425"/>
      <c r="J2425"/>
    </row>
    <row r="2426" spans="1:10" x14ac:dyDescent="0.25">
      <c r="A2426" s="90">
        <v>38673</v>
      </c>
      <c r="B2426" s="17">
        <v>42.23</v>
      </c>
      <c r="C2426" s="17"/>
      <c r="F2426"/>
      <c r="G2426"/>
      <c r="H2426"/>
      <c r="I2426"/>
      <c r="J2426"/>
    </row>
    <row r="2427" spans="1:10" x14ac:dyDescent="0.25">
      <c r="A2427" s="90">
        <v>38674</v>
      </c>
      <c r="B2427" s="17">
        <v>41.54</v>
      </c>
      <c r="C2427" s="17"/>
      <c r="F2427"/>
      <c r="G2427"/>
      <c r="H2427"/>
      <c r="I2427"/>
      <c r="J2427"/>
    </row>
    <row r="2428" spans="1:10" x14ac:dyDescent="0.25">
      <c r="A2428" s="90">
        <v>38677</v>
      </c>
      <c r="B2428" s="17">
        <v>42.27</v>
      </c>
      <c r="C2428" s="17"/>
      <c r="F2428"/>
      <c r="G2428"/>
      <c r="H2428"/>
      <c r="I2428"/>
      <c r="J2428"/>
    </row>
    <row r="2429" spans="1:10" x14ac:dyDescent="0.25">
      <c r="A2429" s="90">
        <v>38678</v>
      </c>
      <c r="B2429" s="17">
        <v>42.36</v>
      </c>
      <c r="C2429" s="17"/>
      <c r="F2429"/>
      <c r="G2429"/>
      <c r="H2429"/>
      <c r="I2429"/>
      <c r="J2429"/>
    </row>
    <row r="2430" spans="1:10" x14ac:dyDescent="0.25">
      <c r="A2430" s="90">
        <v>38679</v>
      </c>
      <c r="B2430" s="17">
        <v>42.5</v>
      </c>
      <c r="C2430" s="17"/>
      <c r="F2430"/>
      <c r="G2430"/>
      <c r="H2430"/>
      <c r="I2430"/>
      <c r="J2430"/>
    </row>
    <row r="2431" spans="1:10" x14ac:dyDescent="0.25">
      <c r="A2431" s="90">
        <v>38681</v>
      </c>
      <c r="B2431" s="17">
        <v>42.13</v>
      </c>
      <c r="C2431" s="17"/>
      <c r="F2431"/>
      <c r="G2431"/>
      <c r="H2431"/>
      <c r="I2431"/>
      <c r="J2431"/>
    </row>
    <row r="2432" spans="1:10" x14ac:dyDescent="0.25">
      <c r="A2432" s="90">
        <v>38684</v>
      </c>
      <c r="B2432" s="17">
        <v>41.11</v>
      </c>
      <c r="C2432" s="17"/>
      <c r="F2432"/>
      <c r="G2432"/>
      <c r="H2432"/>
      <c r="I2432"/>
      <c r="J2432"/>
    </row>
    <row r="2433" spans="1:10" x14ac:dyDescent="0.25">
      <c r="A2433" s="90">
        <v>38685</v>
      </c>
      <c r="B2433" s="17">
        <v>40.19</v>
      </c>
      <c r="C2433" s="17"/>
      <c r="F2433"/>
      <c r="G2433"/>
      <c r="H2433"/>
      <c r="I2433"/>
      <c r="J2433"/>
    </row>
    <row r="2434" spans="1:10" x14ac:dyDescent="0.25">
      <c r="A2434" s="90">
        <v>38686</v>
      </c>
      <c r="B2434" s="17">
        <v>40.229999999999997</v>
      </c>
      <c r="C2434" s="17"/>
      <c r="F2434"/>
      <c r="G2434"/>
      <c r="H2434"/>
      <c r="I2434"/>
      <c r="J2434"/>
    </row>
    <row r="2435" spans="1:10" x14ac:dyDescent="0.25">
      <c r="A2435" s="90">
        <v>38687</v>
      </c>
      <c r="B2435" s="17">
        <v>41.07</v>
      </c>
      <c r="C2435" s="17"/>
      <c r="F2435"/>
      <c r="G2435"/>
      <c r="H2435"/>
      <c r="I2435"/>
      <c r="J2435"/>
    </row>
    <row r="2436" spans="1:10" x14ac:dyDescent="0.25">
      <c r="A2436" s="90">
        <v>38688</v>
      </c>
      <c r="B2436" s="17">
        <v>41.21</v>
      </c>
      <c r="C2436" s="17"/>
      <c r="F2436"/>
      <c r="G2436"/>
      <c r="H2436"/>
      <c r="I2436"/>
      <c r="J2436"/>
    </row>
    <row r="2437" spans="1:10" x14ac:dyDescent="0.25">
      <c r="A2437" s="90">
        <v>38691</v>
      </c>
      <c r="B2437" s="17">
        <v>40.47</v>
      </c>
      <c r="C2437" s="17"/>
      <c r="F2437"/>
      <c r="G2437"/>
      <c r="H2437"/>
      <c r="I2437"/>
      <c r="J2437"/>
    </row>
    <row r="2438" spans="1:10" x14ac:dyDescent="0.25">
      <c r="A2438" s="90">
        <v>38692</v>
      </c>
      <c r="B2438" s="17">
        <v>40.19</v>
      </c>
      <c r="C2438" s="17"/>
      <c r="F2438"/>
      <c r="G2438"/>
      <c r="H2438"/>
      <c r="I2438"/>
      <c r="J2438"/>
    </row>
    <row r="2439" spans="1:10" x14ac:dyDescent="0.25">
      <c r="A2439" s="90">
        <v>38693</v>
      </c>
      <c r="B2439" s="17">
        <v>40.11</v>
      </c>
      <c r="C2439" s="17"/>
      <c r="F2439"/>
      <c r="G2439"/>
      <c r="H2439"/>
      <c r="I2439"/>
      <c r="J2439"/>
    </row>
    <row r="2440" spans="1:10" x14ac:dyDescent="0.25">
      <c r="A2440" s="90">
        <v>38694</v>
      </c>
      <c r="B2440" s="17">
        <v>40.35</v>
      </c>
      <c r="C2440" s="17"/>
      <c r="F2440"/>
      <c r="G2440"/>
      <c r="H2440"/>
      <c r="I2440"/>
      <c r="J2440"/>
    </row>
    <row r="2441" spans="1:10" x14ac:dyDescent="0.25">
      <c r="A2441" s="90">
        <v>38695</v>
      </c>
      <c r="B2441" s="17">
        <v>40.31</v>
      </c>
      <c r="C2441" s="17"/>
      <c r="F2441"/>
      <c r="G2441"/>
      <c r="H2441"/>
      <c r="I2441"/>
      <c r="J2441"/>
    </row>
    <row r="2442" spans="1:10" x14ac:dyDescent="0.25">
      <c r="A2442" s="90">
        <v>38698</v>
      </c>
      <c r="B2442" s="17">
        <v>40.08</v>
      </c>
      <c r="C2442" s="17"/>
      <c r="F2442"/>
      <c r="G2442"/>
      <c r="H2442"/>
      <c r="I2442"/>
      <c r="J2442"/>
    </row>
    <row r="2443" spans="1:10" x14ac:dyDescent="0.25">
      <c r="A2443" s="90">
        <v>38699</v>
      </c>
      <c r="B2443" s="17">
        <v>41.2</v>
      </c>
      <c r="C2443" s="17"/>
      <c r="F2443"/>
      <c r="G2443"/>
      <c r="H2443"/>
      <c r="I2443"/>
      <c r="J2443"/>
    </row>
    <row r="2444" spans="1:10" x14ac:dyDescent="0.25">
      <c r="A2444" s="90">
        <v>38700</v>
      </c>
      <c r="B2444" s="17">
        <v>41.3</v>
      </c>
      <c r="C2444" s="17"/>
      <c r="F2444"/>
      <c r="G2444"/>
      <c r="H2444"/>
      <c r="I2444"/>
      <c r="J2444"/>
    </row>
    <row r="2445" spans="1:10" x14ac:dyDescent="0.25">
      <c r="A2445" s="90">
        <v>38701</v>
      </c>
      <c r="B2445" s="17">
        <v>41.75</v>
      </c>
      <c r="C2445" s="17"/>
      <c r="F2445"/>
      <c r="G2445"/>
      <c r="H2445"/>
      <c r="I2445"/>
      <c r="J2445"/>
    </row>
    <row r="2446" spans="1:10" x14ac:dyDescent="0.25">
      <c r="A2446" s="90">
        <v>38702</v>
      </c>
      <c r="B2446" s="17">
        <v>42.32</v>
      </c>
      <c r="C2446" s="17"/>
      <c r="F2446"/>
      <c r="G2446"/>
      <c r="H2446"/>
      <c r="I2446"/>
      <c r="J2446"/>
    </row>
    <row r="2447" spans="1:10" x14ac:dyDescent="0.25">
      <c r="A2447" s="90">
        <v>38705</v>
      </c>
      <c r="B2447" s="17">
        <v>41.05</v>
      </c>
      <c r="C2447" s="17"/>
      <c r="F2447"/>
      <c r="G2447"/>
      <c r="H2447"/>
      <c r="I2447"/>
      <c r="J2447"/>
    </row>
    <row r="2448" spans="1:10" x14ac:dyDescent="0.25">
      <c r="A2448" s="90">
        <v>38706</v>
      </c>
      <c r="B2448" s="17">
        <v>40.68</v>
      </c>
      <c r="C2448" s="17"/>
      <c r="F2448"/>
      <c r="G2448"/>
      <c r="H2448"/>
      <c r="I2448"/>
      <c r="J2448"/>
    </row>
    <row r="2449" spans="1:10" x14ac:dyDescent="0.25">
      <c r="A2449" s="90">
        <v>38707</v>
      </c>
      <c r="B2449" s="17">
        <v>40.47</v>
      </c>
      <c r="C2449" s="17"/>
      <c r="F2449"/>
      <c r="G2449"/>
      <c r="H2449"/>
      <c r="I2449"/>
      <c r="J2449"/>
    </row>
    <row r="2450" spans="1:10" x14ac:dyDescent="0.25">
      <c r="A2450" s="90">
        <v>38708</v>
      </c>
      <c r="B2450" s="17">
        <v>40.83</v>
      </c>
      <c r="C2450" s="17"/>
      <c r="F2450"/>
      <c r="G2450"/>
      <c r="H2450"/>
      <c r="I2450"/>
      <c r="J2450"/>
    </row>
    <row r="2451" spans="1:10" x14ac:dyDescent="0.25">
      <c r="A2451" s="90">
        <v>38709</v>
      </c>
      <c r="B2451" s="17">
        <v>40.630000000000003</v>
      </c>
      <c r="C2451" s="17"/>
      <c r="F2451"/>
      <c r="G2451"/>
      <c r="H2451"/>
      <c r="I2451"/>
      <c r="J2451"/>
    </row>
    <row r="2452" spans="1:10" x14ac:dyDescent="0.25">
      <c r="A2452" s="90">
        <v>38713</v>
      </c>
      <c r="B2452" s="17">
        <v>39.94</v>
      </c>
      <c r="C2452" s="17"/>
      <c r="F2452"/>
      <c r="G2452"/>
      <c r="H2452"/>
      <c r="I2452"/>
      <c r="J2452"/>
    </row>
    <row r="2453" spans="1:10" x14ac:dyDescent="0.25">
      <c r="A2453" s="90">
        <v>38714</v>
      </c>
      <c r="B2453" s="17">
        <v>40.25</v>
      </c>
      <c r="C2453" s="17"/>
      <c r="F2453"/>
      <c r="G2453"/>
      <c r="H2453"/>
      <c r="I2453"/>
      <c r="J2453"/>
    </row>
    <row r="2454" spans="1:10" x14ac:dyDescent="0.25">
      <c r="A2454" s="90">
        <v>38715</v>
      </c>
      <c r="B2454" s="17">
        <v>39.56</v>
      </c>
      <c r="C2454" s="17"/>
      <c r="F2454"/>
      <c r="G2454"/>
      <c r="H2454"/>
      <c r="I2454"/>
      <c r="J2454"/>
    </row>
    <row r="2455" spans="1:10" x14ac:dyDescent="0.25">
      <c r="A2455" s="90">
        <v>38716</v>
      </c>
      <c r="B2455" s="17">
        <v>39.18</v>
      </c>
      <c r="C2455" s="17"/>
      <c r="F2455"/>
      <c r="G2455"/>
      <c r="H2455"/>
      <c r="I2455"/>
      <c r="J2455"/>
    </row>
    <row r="2456" spans="1:10" x14ac:dyDescent="0.25">
      <c r="A2456" s="90">
        <v>38720</v>
      </c>
      <c r="B2456" s="17">
        <v>40.909999999999997</v>
      </c>
      <c r="C2456" s="17"/>
      <c r="F2456"/>
      <c r="G2456"/>
      <c r="H2456"/>
      <c r="I2456"/>
      <c r="J2456"/>
    </row>
    <row r="2457" spans="1:10" x14ac:dyDescent="0.25">
      <c r="A2457" s="90">
        <v>38721</v>
      </c>
      <c r="B2457" s="17">
        <v>40.97</v>
      </c>
      <c r="C2457" s="17"/>
      <c r="F2457"/>
      <c r="G2457"/>
      <c r="H2457"/>
      <c r="I2457"/>
      <c r="J2457"/>
    </row>
    <row r="2458" spans="1:10" x14ac:dyDescent="0.25">
      <c r="A2458" s="90">
        <v>38722</v>
      </c>
      <c r="B2458" s="17">
        <v>41.53</v>
      </c>
      <c r="C2458" s="17"/>
      <c r="F2458"/>
      <c r="G2458"/>
      <c r="H2458"/>
      <c r="I2458"/>
      <c r="J2458"/>
    </row>
    <row r="2459" spans="1:10" x14ac:dyDescent="0.25">
      <c r="A2459" s="90">
        <v>38723</v>
      </c>
      <c r="B2459" s="17">
        <v>43.21</v>
      </c>
      <c r="C2459" s="17"/>
      <c r="F2459"/>
      <c r="G2459"/>
      <c r="H2459"/>
      <c r="I2459"/>
      <c r="J2459"/>
    </row>
    <row r="2460" spans="1:10" x14ac:dyDescent="0.25">
      <c r="A2460" s="90">
        <v>38726</v>
      </c>
      <c r="B2460" s="17">
        <v>43.42</v>
      </c>
      <c r="C2460" s="17"/>
      <c r="F2460"/>
      <c r="G2460"/>
      <c r="H2460"/>
      <c r="I2460"/>
      <c r="J2460"/>
    </row>
    <row r="2461" spans="1:10" x14ac:dyDescent="0.25">
      <c r="A2461" s="90">
        <v>38727</v>
      </c>
      <c r="B2461" s="17">
        <v>42.98</v>
      </c>
      <c r="C2461" s="17"/>
      <c r="F2461"/>
      <c r="G2461"/>
      <c r="H2461"/>
      <c r="I2461"/>
      <c r="J2461"/>
    </row>
    <row r="2462" spans="1:10" x14ac:dyDescent="0.25">
      <c r="A2462" s="90">
        <v>38728</v>
      </c>
      <c r="B2462" s="17">
        <v>41.87</v>
      </c>
      <c r="C2462" s="17"/>
      <c r="F2462"/>
      <c r="G2462"/>
      <c r="H2462"/>
      <c r="I2462"/>
      <c r="J2462"/>
    </row>
    <row r="2463" spans="1:10" x14ac:dyDescent="0.25">
      <c r="A2463" s="90">
        <v>38729</v>
      </c>
      <c r="B2463" s="17">
        <v>40.89</v>
      </c>
      <c r="C2463" s="17"/>
      <c r="F2463"/>
      <c r="G2463"/>
      <c r="H2463"/>
      <c r="I2463"/>
      <c r="J2463"/>
    </row>
    <row r="2464" spans="1:10" x14ac:dyDescent="0.25">
      <c r="A2464" s="90">
        <v>38730</v>
      </c>
      <c r="B2464" s="17">
        <v>39.9</v>
      </c>
      <c r="C2464" s="17"/>
      <c r="F2464"/>
      <c r="G2464"/>
      <c r="H2464"/>
      <c r="I2464"/>
      <c r="J2464"/>
    </row>
    <row r="2465" spans="1:10" x14ac:dyDescent="0.25">
      <c r="A2465" s="90">
        <v>38734</v>
      </c>
      <c r="B2465" s="17">
        <v>40.11</v>
      </c>
      <c r="C2465" s="17"/>
      <c r="F2465"/>
      <c r="G2465"/>
      <c r="H2465"/>
      <c r="I2465"/>
      <c r="J2465"/>
    </row>
    <row r="2466" spans="1:10" x14ac:dyDescent="0.25">
      <c r="A2466" s="90">
        <v>38735</v>
      </c>
      <c r="B2466" s="17">
        <v>35.18</v>
      </c>
      <c r="C2466" s="17"/>
      <c r="F2466"/>
      <c r="G2466"/>
      <c r="H2466"/>
      <c r="I2466"/>
      <c r="J2466"/>
    </row>
    <row r="2467" spans="1:10" x14ac:dyDescent="0.25">
      <c r="A2467" s="90">
        <v>38736</v>
      </c>
      <c r="B2467" s="17">
        <v>34.33</v>
      </c>
      <c r="C2467" s="17"/>
      <c r="F2467"/>
      <c r="G2467"/>
      <c r="H2467"/>
      <c r="I2467"/>
      <c r="J2467"/>
    </row>
    <row r="2468" spans="1:10" x14ac:dyDescent="0.25">
      <c r="A2468" s="90">
        <v>38737</v>
      </c>
      <c r="B2468" s="17">
        <v>33.74</v>
      </c>
      <c r="C2468" s="17"/>
      <c r="F2468"/>
      <c r="G2468"/>
      <c r="H2468"/>
      <c r="I2468"/>
      <c r="J2468"/>
    </row>
    <row r="2469" spans="1:10" x14ac:dyDescent="0.25">
      <c r="A2469" s="90">
        <v>38740</v>
      </c>
      <c r="B2469" s="17">
        <v>34.17</v>
      </c>
      <c r="C2469" s="17"/>
      <c r="F2469"/>
      <c r="G2469"/>
      <c r="H2469"/>
      <c r="I2469"/>
      <c r="J2469"/>
    </row>
    <row r="2470" spans="1:10" x14ac:dyDescent="0.25">
      <c r="A2470" s="90">
        <v>38741</v>
      </c>
      <c r="B2470" s="17">
        <v>34.869999999999997</v>
      </c>
      <c r="C2470" s="17"/>
      <c r="F2470"/>
      <c r="G2470"/>
      <c r="H2470"/>
      <c r="I2470"/>
      <c r="J2470"/>
    </row>
    <row r="2471" spans="1:10" x14ac:dyDescent="0.25">
      <c r="A2471" s="90">
        <v>38742</v>
      </c>
      <c r="B2471" s="17">
        <v>34.49</v>
      </c>
      <c r="C2471" s="17"/>
      <c r="F2471"/>
      <c r="G2471"/>
      <c r="H2471"/>
      <c r="I2471"/>
      <c r="J2471"/>
    </row>
    <row r="2472" spans="1:10" x14ac:dyDescent="0.25">
      <c r="A2472" s="90">
        <v>38743</v>
      </c>
      <c r="B2472" s="17">
        <v>35.17</v>
      </c>
      <c r="C2472" s="17"/>
      <c r="F2472"/>
      <c r="G2472"/>
      <c r="H2472"/>
      <c r="I2472"/>
      <c r="J2472"/>
    </row>
    <row r="2473" spans="1:10" x14ac:dyDescent="0.25">
      <c r="A2473" s="90">
        <v>38744</v>
      </c>
      <c r="B2473" s="17">
        <v>35.090000000000003</v>
      </c>
      <c r="C2473" s="17"/>
      <c r="F2473"/>
      <c r="G2473"/>
      <c r="H2473"/>
      <c r="I2473"/>
      <c r="J2473"/>
    </row>
    <row r="2474" spans="1:10" x14ac:dyDescent="0.25">
      <c r="A2474" s="90">
        <v>38747</v>
      </c>
      <c r="B2474" s="17">
        <v>35.049999999999997</v>
      </c>
      <c r="C2474" s="17"/>
      <c r="F2474"/>
      <c r="G2474"/>
      <c r="H2474"/>
      <c r="I2474"/>
      <c r="J2474"/>
    </row>
    <row r="2475" spans="1:10" x14ac:dyDescent="0.25">
      <c r="A2475" s="90">
        <v>38748</v>
      </c>
      <c r="B2475" s="17">
        <v>34.380000000000003</v>
      </c>
      <c r="C2475" s="17"/>
      <c r="F2475"/>
      <c r="G2475"/>
      <c r="H2475"/>
      <c r="I2475"/>
      <c r="J2475"/>
    </row>
    <row r="2476" spans="1:10" x14ac:dyDescent="0.25">
      <c r="A2476" s="90">
        <v>38749</v>
      </c>
      <c r="B2476" s="17">
        <v>35</v>
      </c>
      <c r="C2476" s="17"/>
      <c r="F2476"/>
      <c r="G2476"/>
      <c r="H2476"/>
      <c r="I2476"/>
      <c r="J2476"/>
    </row>
    <row r="2477" spans="1:10" x14ac:dyDescent="0.25">
      <c r="A2477" s="90">
        <v>38750</v>
      </c>
      <c r="B2477" s="17">
        <v>34.25</v>
      </c>
      <c r="C2477" s="17"/>
      <c r="F2477"/>
      <c r="G2477"/>
      <c r="H2477"/>
      <c r="I2477"/>
      <c r="J2477"/>
    </row>
    <row r="2478" spans="1:10" x14ac:dyDescent="0.25">
      <c r="A2478" s="90">
        <v>38751</v>
      </c>
      <c r="B2478" s="17">
        <v>33.54</v>
      </c>
      <c r="C2478" s="17"/>
      <c r="F2478"/>
      <c r="G2478"/>
      <c r="H2478"/>
      <c r="I2478"/>
      <c r="J2478"/>
    </row>
    <row r="2479" spans="1:10" x14ac:dyDescent="0.25">
      <c r="A2479" s="90">
        <v>38754</v>
      </c>
      <c r="B2479" s="17">
        <v>32.92</v>
      </c>
      <c r="C2479" s="17"/>
      <c r="F2479"/>
      <c r="G2479"/>
      <c r="H2479"/>
      <c r="I2479"/>
      <c r="J2479"/>
    </row>
    <row r="2480" spans="1:10" x14ac:dyDescent="0.25">
      <c r="A2480" s="90">
        <v>38755</v>
      </c>
      <c r="B2480" s="17">
        <v>33.020000000000003</v>
      </c>
      <c r="C2480" s="17"/>
      <c r="F2480"/>
      <c r="G2480"/>
      <c r="H2480"/>
      <c r="I2480"/>
      <c r="J2480"/>
    </row>
    <row r="2481" spans="1:10" x14ac:dyDescent="0.25">
      <c r="A2481" s="90">
        <v>38756</v>
      </c>
      <c r="B2481" s="17">
        <v>33</v>
      </c>
      <c r="C2481" s="17"/>
      <c r="F2481"/>
      <c r="G2481"/>
      <c r="H2481"/>
      <c r="I2481"/>
      <c r="J2481"/>
    </row>
    <row r="2482" spans="1:10" x14ac:dyDescent="0.25">
      <c r="A2482" s="90">
        <v>38757</v>
      </c>
      <c r="B2482" s="17">
        <v>32.5</v>
      </c>
      <c r="C2482" s="17"/>
      <c r="F2482"/>
      <c r="G2482"/>
      <c r="H2482"/>
      <c r="I2482"/>
      <c r="J2482"/>
    </row>
    <row r="2483" spans="1:10" x14ac:dyDescent="0.25">
      <c r="A2483" s="90">
        <v>38758</v>
      </c>
      <c r="B2483" s="17">
        <v>32.51</v>
      </c>
      <c r="C2483" s="17"/>
      <c r="F2483"/>
      <c r="G2483"/>
      <c r="H2483"/>
      <c r="I2483"/>
      <c r="J2483"/>
    </row>
    <row r="2484" spans="1:10" x14ac:dyDescent="0.25">
      <c r="A2484" s="90">
        <v>38761</v>
      </c>
      <c r="B2484" s="17">
        <v>32.04</v>
      </c>
      <c r="C2484" s="17"/>
      <c r="F2484"/>
      <c r="G2484"/>
      <c r="H2484"/>
      <c r="I2484"/>
      <c r="J2484"/>
    </row>
    <row r="2485" spans="1:10" x14ac:dyDescent="0.25">
      <c r="A2485" s="90">
        <v>38762</v>
      </c>
      <c r="B2485" s="17">
        <v>32.72</v>
      </c>
      <c r="C2485" s="17"/>
      <c r="F2485"/>
      <c r="G2485"/>
      <c r="H2485"/>
      <c r="I2485"/>
      <c r="J2485"/>
    </row>
    <row r="2486" spans="1:10" x14ac:dyDescent="0.25">
      <c r="A2486" s="90">
        <v>38763</v>
      </c>
      <c r="B2486" s="17">
        <v>33.020000000000003</v>
      </c>
      <c r="C2486" s="17"/>
      <c r="F2486"/>
      <c r="G2486"/>
      <c r="H2486"/>
      <c r="I2486"/>
      <c r="J2486"/>
    </row>
    <row r="2487" spans="1:10" x14ac:dyDescent="0.25">
      <c r="A2487" s="90">
        <v>38764</v>
      </c>
      <c r="B2487" s="17">
        <v>32.75</v>
      </c>
      <c r="C2487" s="17"/>
      <c r="F2487"/>
      <c r="G2487"/>
      <c r="H2487"/>
      <c r="I2487"/>
      <c r="J2487"/>
    </row>
    <row r="2488" spans="1:10" x14ac:dyDescent="0.25">
      <c r="A2488" s="90">
        <v>38765</v>
      </c>
      <c r="B2488" s="17">
        <v>32.76</v>
      </c>
      <c r="C2488" s="17"/>
      <c r="F2488"/>
      <c r="G2488"/>
      <c r="H2488"/>
      <c r="I2488"/>
      <c r="J2488"/>
    </row>
    <row r="2489" spans="1:10" x14ac:dyDescent="0.25">
      <c r="A2489" s="90">
        <v>38769</v>
      </c>
      <c r="B2489" s="17">
        <v>32.39</v>
      </c>
      <c r="C2489" s="17"/>
      <c r="F2489"/>
      <c r="G2489"/>
      <c r="H2489"/>
      <c r="I2489"/>
      <c r="J2489"/>
    </row>
    <row r="2490" spans="1:10" x14ac:dyDescent="0.25">
      <c r="A2490" s="90">
        <v>38770</v>
      </c>
      <c r="B2490" s="17">
        <v>33.159999999999997</v>
      </c>
      <c r="C2490" s="17"/>
      <c r="F2490"/>
      <c r="G2490"/>
      <c r="H2490"/>
      <c r="I2490"/>
      <c r="J2490"/>
    </row>
    <row r="2491" spans="1:10" x14ac:dyDescent="0.25">
      <c r="A2491" s="90">
        <v>38771</v>
      </c>
      <c r="B2491" s="17">
        <v>33.15</v>
      </c>
      <c r="C2491" s="17"/>
      <c r="F2491"/>
      <c r="G2491"/>
      <c r="H2491"/>
      <c r="I2491"/>
      <c r="J2491"/>
    </row>
    <row r="2492" spans="1:10" x14ac:dyDescent="0.25">
      <c r="A2492" s="90">
        <v>38772</v>
      </c>
      <c r="B2492" s="17">
        <v>33.01</v>
      </c>
      <c r="C2492" s="17"/>
      <c r="F2492"/>
      <c r="G2492"/>
      <c r="H2492"/>
      <c r="I2492"/>
      <c r="J2492"/>
    </row>
    <row r="2493" spans="1:10" x14ac:dyDescent="0.25">
      <c r="A2493" s="90">
        <v>38775</v>
      </c>
      <c r="B2493" s="17">
        <v>32.74</v>
      </c>
      <c r="C2493" s="17"/>
      <c r="F2493"/>
      <c r="G2493"/>
      <c r="H2493"/>
      <c r="I2493"/>
      <c r="J2493"/>
    </row>
    <row r="2494" spans="1:10" x14ac:dyDescent="0.25">
      <c r="A2494" s="90">
        <v>38776</v>
      </c>
      <c r="B2494" s="17">
        <v>32.06</v>
      </c>
      <c r="C2494" s="17"/>
      <c r="F2494"/>
      <c r="G2494"/>
      <c r="H2494"/>
      <c r="I2494"/>
      <c r="J2494"/>
    </row>
    <row r="2495" spans="1:10" x14ac:dyDescent="0.25">
      <c r="A2495" s="90">
        <v>38777</v>
      </c>
      <c r="B2495" s="17">
        <v>32.18</v>
      </c>
      <c r="C2495" s="17"/>
      <c r="F2495"/>
      <c r="G2495"/>
      <c r="H2495"/>
      <c r="I2495"/>
      <c r="J2495"/>
    </row>
    <row r="2496" spans="1:10" x14ac:dyDescent="0.25">
      <c r="A2496" s="90">
        <v>38778</v>
      </c>
      <c r="B2496" s="17">
        <v>31.7</v>
      </c>
      <c r="C2496" s="17"/>
      <c r="F2496"/>
      <c r="G2496"/>
      <c r="H2496"/>
      <c r="I2496"/>
      <c r="J2496"/>
    </row>
    <row r="2497" spans="1:10" x14ac:dyDescent="0.25">
      <c r="A2497" s="90">
        <v>38779</v>
      </c>
      <c r="B2497" s="17">
        <v>31.45</v>
      </c>
      <c r="C2497" s="17"/>
      <c r="F2497"/>
      <c r="G2497"/>
      <c r="H2497"/>
      <c r="I2497"/>
      <c r="J2497"/>
    </row>
    <row r="2498" spans="1:10" x14ac:dyDescent="0.25">
      <c r="A2498" s="90">
        <v>38782</v>
      </c>
      <c r="B2498" s="17">
        <v>31.57</v>
      </c>
      <c r="C2498" s="17"/>
      <c r="F2498"/>
      <c r="G2498"/>
      <c r="H2498"/>
      <c r="I2498"/>
      <c r="J2498"/>
    </row>
    <row r="2499" spans="1:10" x14ac:dyDescent="0.25">
      <c r="A2499" s="90">
        <v>38783</v>
      </c>
      <c r="B2499" s="17">
        <v>31.43</v>
      </c>
      <c r="C2499" s="17"/>
      <c r="F2499"/>
      <c r="G2499"/>
      <c r="H2499"/>
      <c r="I2499"/>
      <c r="J2499"/>
    </row>
    <row r="2500" spans="1:10" x14ac:dyDescent="0.25">
      <c r="A2500" s="90">
        <v>38784</v>
      </c>
      <c r="B2500" s="17">
        <v>30.99</v>
      </c>
      <c r="C2500" s="17"/>
      <c r="F2500"/>
      <c r="G2500"/>
      <c r="H2500"/>
      <c r="I2500"/>
      <c r="J2500"/>
    </row>
    <row r="2501" spans="1:10" x14ac:dyDescent="0.25">
      <c r="A2501" s="90">
        <v>38785</v>
      </c>
      <c r="B2501" s="17">
        <v>30.28</v>
      </c>
      <c r="C2501" s="17"/>
      <c r="F2501"/>
      <c r="G2501"/>
      <c r="H2501"/>
      <c r="I2501"/>
      <c r="J2501"/>
    </row>
    <row r="2502" spans="1:10" x14ac:dyDescent="0.25">
      <c r="A2502" s="90">
        <v>38786</v>
      </c>
      <c r="B2502" s="17">
        <v>30.58</v>
      </c>
      <c r="C2502" s="17"/>
      <c r="F2502"/>
      <c r="G2502"/>
      <c r="H2502"/>
      <c r="I2502"/>
      <c r="J2502"/>
    </row>
    <row r="2503" spans="1:10" x14ac:dyDescent="0.25">
      <c r="A2503" s="90">
        <v>38789</v>
      </c>
      <c r="B2503" s="17">
        <v>30.15</v>
      </c>
      <c r="C2503" s="17"/>
      <c r="F2503"/>
      <c r="G2503"/>
      <c r="H2503"/>
      <c r="I2503"/>
      <c r="J2503"/>
    </row>
    <row r="2504" spans="1:10" x14ac:dyDescent="0.25">
      <c r="A2504" s="90">
        <v>38790</v>
      </c>
      <c r="B2504" s="17">
        <v>30.99</v>
      </c>
      <c r="C2504" s="17"/>
      <c r="F2504"/>
      <c r="G2504"/>
      <c r="H2504"/>
      <c r="I2504"/>
      <c r="J2504"/>
    </row>
    <row r="2505" spans="1:10" x14ac:dyDescent="0.25">
      <c r="A2505" s="90">
        <v>38791</v>
      </c>
      <c r="B2505" s="17">
        <v>30.53</v>
      </c>
      <c r="C2505" s="17"/>
      <c r="F2505"/>
      <c r="G2505"/>
      <c r="H2505"/>
      <c r="I2505"/>
      <c r="J2505"/>
    </row>
    <row r="2506" spans="1:10" x14ac:dyDescent="0.25">
      <c r="A2506" s="90">
        <v>38792</v>
      </c>
      <c r="B2506" s="17">
        <v>30.13</v>
      </c>
      <c r="C2506" s="17"/>
      <c r="F2506"/>
      <c r="G2506"/>
      <c r="H2506"/>
      <c r="I2506"/>
      <c r="J2506"/>
    </row>
    <row r="2507" spans="1:10" x14ac:dyDescent="0.25">
      <c r="A2507" s="90">
        <v>38793</v>
      </c>
      <c r="B2507" s="17">
        <v>30.07</v>
      </c>
      <c r="C2507" s="17"/>
      <c r="F2507"/>
      <c r="G2507"/>
      <c r="H2507"/>
      <c r="I2507"/>
      <c r="J2507"/>
    </row>
    <row r="2508" spans="1:10" x14ac:dyDescent="0.25">
      <c r="A2508" s="90">
        <v>38796</v>
      </c>
      <c r="B2508" s="17">
        <v>30.44</v>
      </c>
      <c r="C2508" s="17"/>
      <c r="F2508"/>
      <c r="G2508"/>
      <c r="H2508"/>
      <c r="I2508"/>
      <c r="J2508"/>
    </row>
    <row r="2509" spans="1:10" x14ac:dyDescent="0.25">
      <c r="A2509" s="90">
        <v>38797</v>
      </c>
      <c r="B2509" s="17">
        <v>30.11</v>
      </c>
      <c r="C2509" s="17"/>
      <c r="F2509"/>
      <c r="G2509"/>
      <c r="H2509"/>
      <c r="I2509"/>
      <c r="J2509"/>
    </row>
    <row r="2510" spans="1:10" x14ac:dyDescent="0.25">
      <c r="A2510" s="90">
        <v>38798</v>
      </c>
      <c r="B2510" s="17">
        <v>30.75</v>
      </c>
      <c r="C2510" s="17"/>
      <c r="F2510"/>
      <c r="G2510"/>
      <c r="H2510"/>
      <c r="I2510"/>
      <c r="J2510"/>
    </row>
    <row r="2511" spans="1:10" x14ac:dyDescent="0.25">
      <c r="A2511" s="90">
        <v>38799</v>
      </c>
      <c r="B2511" s="17">
        <v>31.83</v>
      </c>
      <c r="C2511" s="17"/>
      <c r="F2511"/>
      <c r="G2511"/>
      <c r="H2511"/>
      <c r="I2511"/>
      <c r="J2511"/>
    </row>
    <row r="2512" spans="1:10" x14ac:dyDescent="0.25">
      <c r="A2512" s="90">
        <v>38800</v>
      </c>
      <c r="B2512" s="17">
        <v>31.77</v>
      </c>
      <c r="C2512" s="17"/>
      <c r="F2512"/>
      <c r="G2512"/>
      <c r="H2512"/>
      <c r="I2512"/>
      <c r="J2512"/>
    </row>
    <row r="2513" spans="1:10" x14ac:dyDescent="0.25">
      <c r="A2513" s="90">
        <v>38803</v>
      </c>
      <c r="B2513" s="17">
        <v>31.45</v>
      </c>
      <c r="C2513" s="17"/>
      <c r="F2513"/>
      <c r="G2513"/>
      <c r="H2513"/>
      <c r="I2513"/>
      <c r="J2513"/>
    </row>
    <row r="2514" spans="1:10" x14ac:dyDescent="0.25">
      <c r="A2514" s="90">
        <v>38804</v>
      </c>
      <c r="B2514" s="17">
        <v>32.39</v>
      </c>
      <c r="C2514" s="17"/>
      <c r="F2514"/>
      <c r="G2514"/>
      <c r="H2514"/>
      <c r="I2514"/>
      <c r="J2514"/>
    </row>
    <row r="2515" spans="1:10" x14ac:dyDescent="0.25">
      <c r="A2515" s="90">
        <v>38805</v>
      </c>
      <c r="B2515" s="17">
        <v>32.56</v>
      </c>
      <c r="C2515" s="17"/>
      <c r="F2515"/>
      <c r="G2515"/>
      <c r="H2515"/>
      <c r="I2515"/>
      <c r="J2515"/>
    </row>
    <row r="2516" spans="1:10" x14ac:dyDescent="0.25">
      <c r="A2516" s="90">
        <v>38806</v>
      </c>
      <c r="B2516" s="17">
        <v>32.42</v>
      </c>
      <c r="C2516" s="17"/>
      <c r="F2516"/>
      <c r="G2516"/>
      <c r="H2516"/>
      <c r="I2516"/>
      <c r="J2516"/>
    </row>
    <row r="2517" spans="1:10" x14ac:dyDescent="0.25">
      <c r="A2517" s="90">
        <v>38807</v>
      </c>
      <c r="B2517" s="17">
        <v>32.26</v>
      </c>
      <c r="C2517" s="17"/>
      <c r="F2517"/>
      <c r="G2517"/>
      <c r="H2517"/>
      <c r="I2517"/>
      <c r="J2517"/>
    </row>
    <row r="2518" spans="1:10" x14ac:dyDescent="0.25">
      <c r="A2518" s="90">
        <v>38810</v>
      </c>
      <c r="B2518" s="17">
        <v>31.89</v>
      </c>
      <c r="C2518" s="17"/>
      <c r="F2518"/>
      <c r="G2518"/>
      <c r="H2518"/>
      <c r="I2518"/>
      <c r="J2518"/>
    </row>
    <row r="2519" spans="1:10" x14ac:dyDescent="0.25">
      <c r="A2519" s="90">
        <v>38811</v>
      </c>
      <c r="B2519" s="17">
        <v>32.1</v>
      </c>
      <c r="C2519" s="17"/>
      <c r="F2519"/>
      <c r="G2519"/>
      <c r="H2519"/>
      <c r="I2519"/>
      <c r="J2519"/>
    </row>
    <row r="2520" spans="1:10" x14ac:dyDescent="0.25">
      <c r="A2520" s="90">
        <v>38812</v>
      </c>
      <c r="B2520" s="17">
        <v>32.11</v>
      </c>
      <c r="C2520" s="17"/>
      <c r="F2520"/>
      <c r="G2520"/>
      <c r="H2520"/>
      <c r="I2520"/>
      <c r="J2520"/>
    </row>
    <row r="2521" spans="1:10" x14ac:dyDescent="0.25">
      <c r="A2521" s="90">
        <v>38813</v>
      </c>
      <c r="B2521" s="17">
        <v>32.79</v>
      </c>
      <c r="C2521" s="17"/>
      <c r="F2521"/>
      <c r="G2521"/>
      <c r="H2521"/>
      <c r="I2521"/>
      <c r="J2521"/>
    </row>
    <row r="2522" spans="1:10" x14ac:dyDescent="0.25">
      <c r="A2522" s="90">
        <v>38814</v>
      </c>
      <c r="B2522" s="17">
        <v>32.270000000000003</v>
      </c>
      <c r="C2522" s="17"/>
      <c r="F2522"/>
      <c r="G2522"/>
      <c r="H2522"/>
      <c r="I2522"/>
      <c r="J2522"/>
    </row>
    <row r="2523" spans="1:10" x14ac:dyDescent="0.25">
      <c r="A2523" s="90">
        <v>38817</v>
      </c>
      <c r="B2523" s="17">
        <v>32.549999999999997</v>
      </c>
      <c r="C2523" s="17"/>
      <c r="F2523"/>
      <c r="G2523"/>
      <c r="H2523"/>
      <c r="I2523"/>
      <c r="J2523"/>
    </row>
    <row r="2524" spans="1:10" x14ac:dyDescent="0.25">
      <c r="A2524" s="90">
        <v>38818</v>
      </c>
      <c r="B2524" s="17">
        <v>31.39</v>
      </c>
      <c r="C2524" s="17"/>
      <c r="F2524"/>
      <c r="G2524"/>
      <c r="H2524"/>
      <c r="I2524"/>
      <c r="J2524"/>
    </row>
    <row r="2525" spans="1:10" x14ac:dyDescent="0.25">
      <c r="A2525" s="90">
        <v>38819</v>
      </c>
      <c r="B2525" s="17">
        <v>31.1</v>
      </c>
      <c r="C2525" s="17"/>
      <c r="F2525"/>
      <c r="G2525"/>
      <c r="H2525"/>
      <c r="I2525"/>
      <c r="J2525"/>
    </row>
    <row r="2526" spans="1:10" x14ac:dyDescent="0.25">
      <c r="A2526" s="90">
        <v>38820</v>
      </c>
      <c r="B2526" s="17">
        <v>31.13</v>
      </c>
      <c r="C2526" s="17"/>
      <c r="F2526"/>
      <c r="G2526"/>
      <c r="H2526"/>
      <c r="I2526"/>
      <c r="J2526"/>
    </row>
    <row r="2527" spans="1:10" x14ac:dyDescent="0.25">
      <c r="A2527" s="90">
        <v>38824</v>
      </c>
      <c r="B2527" s="17">
        <v>30.97</v>
      </c>
      <c r="C2527" s="17"/>
      <c r="F2527"/>
      <c r="G2527"/>
      <c r="H2527"/>
      <c r="I2527"/>
      <c r="J2527"/>
    </row>
    <row r="2528" spans="1:10" x14ac:dyDescent="0.25">
      <c r="A2528" s="90">
        <v>38825</v>
      </c>
      <c r="B2528" s="17">
        <v>31.3</v>
      </c>
      <c r="C2528" s="17"/>
      <c r="F2528"/>
      <c r="G2528"/>
      <c r="H2528"/>
      <c r="I2528"/>
      <c r="J2528"/>
    </row>
    <row r="2529" spans="1:10" x14ac:dyDescent="0.25">
      <c r="A2529" s="90">
        <v>38826</v>
      </c>
      <c r="B2529" s="17">
        <v>33.54</v>
      </c>
      <c r="C2529" s="17"/>
      <c r="F2529"/>
      <c r="G2529"/>
      <c r="H2529"/>
      <c r="I2529"/>
      <c r="J2529"/>
    </row>
    <row r="2530" spans="1:10" x14ac:dyDescent="0.25">
      <c r="A2530" s="90">
        <v>38827</v>
      </c>
      <c r="B2530" s="17">
        <v>33.369999999999997</v>
      </c>
      <c r="C2530" s="17"/>
      <c r="F2530"/>
      <c r="G2530"/>
      <c r="H2530"/>
      <c r="I2530"/>
      <c r="J2530"/>
    </row>
    <row r="2531" spans="1:10" x14ac:dyDescent="0.25">
      <c r="A2531" s="90">
        <v>38828</v>
      </c>
      <c r="B2531" s="17">
        <v>32.89</v>
      </c>
      <c r="C2531" s="17"/>
      <c r="F2531"/>
      <c r="G2531"/>
      <c r="H2531"/>
      <c r="I2531"/>
      <c r="J2531"/>
    </row>
    <row r="2532" spans="1:10" x14ac:dyDescent="0.25">
      <c r="A2532" s="90">
        <v>38831</v>
      </c>
      <c r="B2532" s="17">
        <v>33.01</v>
      </c>
      <c r="C2532" s="17"/>
      <c r="F2532"/>
      <c r="G2532"/>
      <c r="H2532"/>
      <c r="I2532"/>
      <c r="J2532"/>
    </row>
    <row r="2533" spans="1:10" x14ac:dyDescent="0.25">
      <c r="A2533" s="90">
        <v>38832</v>
      </c>
      <c r="B2533" s="17">
        <v>31.99</v>
      </c>
      <c r="C2533" s="17"/>
      <c r="F2533"/>
      <c r="G2533"/>
      <c r="H2533"/>
      <c r="I2533"/>
      <c r="J2533"/>
    </row>
    <row r="2534" spans="1:10" x14ac:dyDescent="0.25">
      <c r="A2534" s="90">
        <v>38833</v>
      </c>
      <c r="B2534" s="17">
        <v>33</v>
      </c>
      <c r="C2534" s="17"/>
      <c r="F2534"/>
      <c r="G2534"/>
      <c r="H2534"/>
      <c r="I2534"/>
      <c r="J2534"/>
    </row>
    <row r="2535" spans="1:10" x14ac:dyDescent="0.25">
      <c r="A2535" s="90">
        <v>38834</v>
      </c>
      <c r="B2535" s="17">
        <v>33.200000000000003</v>
      </c>
      <c r="C2535" s="17"/>
      <c r="F2535"/>
      <c r="G2535"/>
      <c r="H2535"/>
      <c r="I2535"/>
      <c r="J2535"/>
    </row>
    <row r="2536" spans="1:10" x14ac:dyDescent="0.25">
      <c r="A2536" s="90">
        <v>38835</v>
      </c>
      <c r="B2536" s="17">
        <v>32.78</v>
      </c>
      <c r="C2536" s="17"/>
      <c r="F2536"/>
      <c r="G2536"/>
      <c r="H2536"/>
      <c r="I2536"/>
      <c r="J2536"/>
    </row>
    <row r="2537" spans="1:10" x14ac:dyDescent="0.25">
      <c r="A2537" s="90">
        <v>38838</v>
      </c>
      <c r="B2537" s="17">
        <v>32.08</v>
      </c>
      <c r="C2537" s="17"/>
      <c r="F2537"/>
      <c r="G2537"/>
      <c r="H2537"/>
      <c r="I2537"/>
      <c r="J2537"/>
    </row>
    <row r="2538" spans="1:10" x14ac:dyDescent="0.25">
      <c r="A2538" s="90">
        <v>38839</v>
      </c>
      <c r="B2538" s="17">
        <v>31.85</v>
      </c>
      <c r="C2538" s="17"/>
      <c r="F2538"/>
      <c r="G2538"/>
      <c r="H2538"/>
      <c r="I2538"/>
      <c r="J2538"/>
    </row>
    <row r="2539" spans="1:10" x14ac:dyDescent="0.25">
      <c r="A2539" s="90">
        <v>38840</v>
      </c>
      <c r="B2539" s="17">
        <v>32.17</v>
      </c>
      <c r="C2539" s="17"/>
      <c r="F2539"/>
      <c r="G2539"/>
      <c r="H2539"/>
      <c r="I2539"/>
      <c r="J2539"/>
    </row>
    <row r="2540" spans="1:10" x14ac:dyDescent="0.25">
      <c r="A2540" s="90">
        <v>38841</v>
      </c>
      <c r="B2540" s="17">
        <v>32.19</v>
      </c>
      <c r="C2540" s="17"/>
      <c r="F2540"/>
      <c r="G2540"/>
      <c r="H2540"/>
      <c r="I2540"/>
      <c r="J2540"/>
    </row>
    <row r="2541" spans="1:10" x14ac:dyDescent="0.25">
      <c r="A2541" s="90">
        <v>38842</v>
      </c>
      <c r="B2541" s="17">
        <v>32.659999999999997</v>
      </c>
      <c r="C2541" s="17"/>
      <c r="F2541"/>
      <c r="G2541"/>
      <c r="H2541"/>
      <c r="I2541"/>
      <c r="J2541"/>
    </row>
    <row r="2542" spans="1:10" x14ac:dyDescent="0.25">
      <c r="A2542" s="90">
        <v>38845</v>
      </c>
      <c r="B2542" s="17">
        <v>32.869999999999997</v>
      </c>
      <c r="C2542" s="17"/>
      <c r="F2542"/>
      <c r="G2542"/>
      <c r="H2542"/>
      <c r="I2542"/>
      <c r="J2542"/>
    </row>
    <row r="2543" spans="1:10" x14ac:dyDescent="0.25">
      <c r="A2543" s="90">
        <v>38846</v>
      </c>
      <c r="B2543" s="17">
        <v>32.49</v>
      </c>
      <c r="C2543" s="17"/>
      <c r="F2543"/>
      <c r="G2543"/>
      <c r="H2543"/>
      <c r="I2543"/>
      <c r="J2543"/>
    </row>
    <row r="2544" spans="1:10" x14ac:dyDescent="0.25">
      <c r="A2544" s="90">
        <v>38847</v>
      </c>
      <c r="B2544" s="17">
        <v>32.090000000000003</v>
      </c>
      <c r="C2544" s="17"/>
      <c r="F2544"/>
      <c r="G2544"/>
      <c r="H2544"/>
      <c r="I2544"/>
      <c r="J2544"/>
    </row>
    <row r="2545" spans="1:10" x14ac:dyDescent="0.25">
      <c r="A2545" s="90">
        <v>38848</v>
      </c>
      <c r="B2545" s="17">
        <v>30.99</v>
      </c>
      <c r="C2545" s="17"/>
      <c r="F2545"/>
      <c r="G2545"/>
      <c r="H2545"/>
      <c r="I2545"/>
      <c r="J2545"/>
    </row>
    <row r="2546" spans="1:10" x14ac:dyDescent="0.25">
      <c r="A2546" s="90">
        <v>38849</v>
      </c>
      <c r="B2546" s="17">
        <v>30.81</v>
      </c>
      <c r="C2546" s="17"/>
      <c r="F2546"/>
      <c r="G2546"/>
      <c r="H2546"/>
      <c r="I2546"/>
      <c r="J2546"/>
    </row>
    <row r="2547" spans="1:10" x14ac:dyDescent="0.25">
      <c r="A2547" s="90">
        <v>38852</v>
      </c>
      <c r="B2547" s="17">
        <v>31.03</v>
      </c>
      <c r="C2547" s="17"/>
      <c r="F2547"/>
      <c r="G2547"/>
      <c r="H2547"/>
      <c r="I2547"/>
      <c r="J2547"/>
    </row>
    <row r="2548" spans="1:10" x14ac:dyDescent="0.25">
      <c r="A2548" s="90">
        <v>38853</v>
      </c>
      <c r="B2548" s="17">
        <v>30.97</v>
      </c>
      <c r="C2548" s="17"/>
      <c r="F2548"/>
      <c r="G2548"/>
      <c r="H2548"/>
      <c r="I2548"/>
      <c r="J2548"/>
    </row>
    <row r="2549" spans="1:10" x14ac:dyDescent="0.25">
      <c r="A2549" s="90">
        <v>38854</v>
      </c>
      <c r="B2549" s="17">
        <v>30.11</v>
      </c>
      <c r="C2549" s="17"/>
      <c r="F2549"/>
      <c r="G2549"/>
      <c r="H2549"/>
      <c r="I2549"/>
      <c r="J2549"/>
    </row>
    <row r="2550" spans="1:10" x14ac:dyDescent="0.25">
      <c r="A2550" s="90">
        <v>38855</v>
      </c>
      <c r="B2550" s="17">
        <v>29</v>
      </c>
      <c r="C2550" s="17"/>
      <c r="F2550"/>
      <c r="G2550"/>
      <c r="H2550"/>
      <c r="I2550"/>
      <c r="J2550"/>
    </row>
    <row r="2551" spans="1:10" x14ac:dyDescent="0.25">
      <c r="A2551" s="90">
        <v>38856</v>
      </c>
      <c r="B2551" s="17">
        <v>29.53</v>
      </c>
      <c r="C2551" s="17"/>
      <c r="F2551"/>
      <c r="G2551"/>
      <c r="H2551"/>
      <c r="I2551"/>
      <c r="J2551"/>
    </row>
    <row r="2552" spans="1:10" x14ac:dyDescent="0.25">
      <c r="A2552" s="90">
        <v>38859</v>
      </c>
      <c r="B2552" s="17">
        <v>30.46</v>
      </c>
      <c r="C2552" s="17"/>
      <c r="F2552"/>
      <c r="G2552"/>
      <c r="H2552"/>
      <c r="I2552"/>
      <c r="J2552"/>
    </row>
    <row r="2553" spans="1:10" x14ac:dyDescent="0.25">
      <c r="A2553" s="90">
        <v>38860</v>
      </c>
      <c r="B2553" s="17">
        <v>30.76</v>
      </c>
      <c r="C2553" s="17"/>
      <c r="F2553"/>
      <c r="G2553"/>
      <c r="H2553"/>
      <c r="I2553"/>
      <c r="J2553"/>
    </row>
    <row r="2554" spans="1:10" x14ac:dyDescent="0.25">
      <c r="A2554" s="90">
        <v>38861</v>
      </c>
      <c r="B2554" s="17">
        <v>31.79</v>
      </c>
      <c r="C2554" s="17"/>
      <c r="F2554"/>
      <c r="G2554"/>
      <c r="H2554"/>
      <c r="I2554"/>
      <c r="J2554"/>
    </row>
    <row r="2555" spans="1:10" x14ac:dyDescent="0.25">
      <c r="A2555" s="90">
        <v>38862</v>
      </c>
      <c r="B2555" s="17">
        <v>32.92</v>
      </c>
      <c r="C2555" s="17"/>
      <c r="F2555"/>
      <c r="G2555"/>
      <c r="H2555"/>
      <c r="I2555"/>
      <c r="J2555"/>
    </row>
    <row r="2556" spans="1:10" x14ac:dyDescent="0.25">
      <c r="A2556" s="90">
        <v>38863</v>
      </c>
      <c r="B2556" s="17">
        <v>33.020000000000003</v>
      </c>
      <c r="C2556" s="17"/>
      <c r="F2556"/>
      <c r="G2556"/>
      <c r="H2556"/>
      <c r="I2556"/>
      <c r="J2556"/>
    </row>
    <row r="2557" spans="1:10" x14ac:dyDescent="0.25">
      <c r="A2557" s="90">
        <v>38867</v>
      </c>
      <c r="B2557" s="17">
        <v>32</v>
      </c>
      <c r="C2557" s="17"/>
      <c r="F2557"/>
      <c r="G2557"/>
      <c r="H2557"/>
      <c r="I2557"/>
      <c r="J2557"/>
    </row>
    <row r="2558" spans="1:10" x14ac:dyDescent="0.25">
      <c r="A2558" s="90">
        <v>38868</v>
      </c>
      <c r="B2558" s="17">
        <v>31.59</v>
      </c>
      <c r="C2558" s="17"/>
      <c r="F2558"/>
      <c r="G2558"/>
      <c r="H2558"/>
      <c r="I2558"/>
      <c r="J2558"/>
    </row>
    <row r="2559" spans="1:10" x14ac:dyDescent="0.25">
      <c r="A2559" s="90">
        <v>38869</v>
      </c>
      <c r="B2559" s="17">
        <v>31.99</v>
      </c>
      <c r="C2559" s="17"/>
      <c r="F2559"/>
      <c r="G2559"/>
      <c r="H2559"/>
      <c r="I2559"/>
      <c r="J2559"/>
    </row>
    <row r="2560" spans="1:10" x14ac:dyDescent="0.25">
      <c r="A2560" s="90">
        <v>38870</v>
      </c>
      <c r="B2560" s="17">
        <v>31.52</v>
      </c>
      <c r="C2560" s="17"/>
      <c r="F2560"/>
      <c r="G2560"/>
      <c r="H2560"/>
      <c r="I2560"/>
      <c r="J2560"/>
    </row>
    <row r="2561" spans="1:10" x14ac:dyDescent="0.25">
      <c r="A2561" s="90">
        <v>38873</v>
      </c>
      <c r="B2561" s="17">
        <v>30.82</v>
      </c>
      <c r="C2561" s="17"/>
      <c r="F2561"/>
      <c r="G2561"/>
      <c r="H2561"/>
      <c r="I2561"/>
      <c r="J2561"/>
    </row>
    <row r="2562" spans="1:10" x14ac:dyDescent="0.25">
      <c r="A2562" s="90">
        <v>38874</v>
      </c>
      <c r="B2562" s="17">
        <v>30.7</v>
      </c>
      <c r="C2562" s="17"/>
      <c r="F2562"/>
      <c r="G2562"/>
      <c r="H2562"/>
      <c r="I2562"/>
      <c r="J2562"/>
    </row>
    <row r="2563" spans="1:10" x14ac:dyDescent="0.25">
      <c r="A2563" s="90">
        <v>38875</v>
      </c>
      <c r="B2563" s="17">
        <v>30.54</v>
      </c>
      <c r="C2563" s="17"/>
      <c r="F2563"/>
      <c r="G2563"/>
      <c r="H2563"/>
      <c r="I2563"/>
      <c r="J2563"/>
    </row>
    <row r="2564" spans="1:10" x14ac:dyDescent="0.25">
      <c r="A2564" s="90">
        <v>38876</v>
      </c>
      <c r="B2564" s="17">
        <v>30.45</v>
      </c>
      <c r="C2564" s="17"/>
      <c r="F2564"/>
      <c r="G2564"/>
      <c r="H2564"/>
      <c r="I2564"/>
      <c r="J2564"/>
    </row>
    <row r="2565" spans="1:10" x14ac:dyDescent="0.25">
      <c r="A2565" s="90">
        <v>38877</v>
      </c>
      <c r="B2565" s="17">
        <v>30.37</v>
      </c>
      <c r="C2565" s="17"/>
      <c r="F2565"/>
      <c r="G2565"/>
      <c r="H2565"/>
      <c r="I2565"/>
      <c r="J2565"/>
    </row>
    <row r="2566" spans="1:10" x14ac:dyDescent="0.25">
      <c r="A2566" s="90">
        <v>38880</v>
      </c>
      <c r="B2566" s="17">
        <v>29.78</v>
      </c>
      <c r="C2566" s="17"/>
      <c r="F2566"/>
      <c r="G2566"/>
      <c r="H2566"/>
      <c r="I2566"/>
      <c r="J2566"/>
    </row>
    <row r="2567" spans="1:10" x14ac:dyDescent="0.25">
      <c r="A2567" s="90">
        <v>38881</v>
      </c>
      <c r="B2567" s="17">
        <v>29.65</v>
      </c>
      <c r="C2567" s="17"/>
      <c r="F2567"/>
      <c r="G2567"/>
      <c r="H2567"/>
      <c r="I2567"/>
      <c r="J2567"/>
    </row>
    <row r="2568" spans="1:10" x14ac:dyDescent="0.25">
      <c r="A2568" s="90">
        <v>38882</v>
      </c>
      <c r="B2568" s="17">
        <v>29.62</v>
      </c>
      <c r="C2568" s="17"/>
      <c r="F2568"/>
      <c r="G2568"/>
      <c r="H2568"/>
      <c r="I2568"/>
      <c r="J2568"/>
    </row>
    <row r="2569" spans="1:10" x14ac:dyDescent="0.25">
      <c r="A2569" s="90">
        <v>38883</v>
      </c>
      <c r="B2569" s="17">
        <v>30.79</v>
      </c>
      <c r="C2569" s="17"/>
      <c r="F2569"/>
      <c r="G2569"/>
      <c r="H2569"/>
      <c r="I2569"/>
      <c r="J2569"/>
    </row>
    <row r="2570" spans="1:10" x14ac:dyDescent="0.25">
      <c r="A2570" s="90">
        <v>38884</v>
      </c>
      <c r="B2570" s="17">
        <v>30.36</v>
      </c>
      <c r="C2570" s="17"/>
      <c r="F2570"/>
      <c r="G2570"/>
      <c r="H2570"/>
      <c r="I2570"/>
      <c r="J2570"/>
    </row>
    <row r="2571" spans="1:10" x14ac:dyDescent="0.25">
      <c r="A2571" s="90">
        <v>38887</v>
      </c>
      <c r="B2571" s="17">
        <v>30.35</v>
      </c>
      <c r="C2571" s="17"/>
      <c r="F2571"/>
      <c r="G2571"/>
      <c r="H2571"/>
      <c r="I2571"/>
      <c r="J2571"/>
    </row>
    <row r="2572" spans="1:10" x14ac:dyDescent="0.25">
      <c r="A2572" s="90">
        <v>38888</v>
      </c>
      <c r="B2572" s="17">
        <v>30.6</v>
      </c>
      <c r="C2572" s="17"/>
      <c r="F2572"/>
      <c r="G2572"/>
      <c r="H2572"/>
      <c r="I2572"/>
      <c r="J2572"/>
    </row>
    <row r="2573" spans="1:10" x14ac:dyDescent="0.25">
      <c r="A2573" s="90">
        <v>38889</v>
      </c>
      <c r="B2573" s="17">
        <v>31.06</v>
      </c>
      <c r="C2573" s="17"/>
      <c r="F2573"/>
      <c r="G2573"/>
      <c r="H2573"/>
      <c r="I2573"/>
      <c r="J2573"/>
    </row>
    <row r="2574" spans="1:10" x14ac:dyDescent="0.25">
      <c r="A2574" s="90">
        <v>38890</v>
      </c>
      <c r="B2574" s="17">
        <v>30.68</v>
      </c>
      <c r="C2574" s="17"/>
      <c r="F2574"/>
      <c r="G2574"/>
      <c r="H2574"/>
      <c r="I2574"/>
      <c r="J2574"/>
    </row>
    <row r="2575" spans="1:10" x14ac:dyDescent="0.25">
      <c r="A2575" s="90">
        <v>38891</v>
      </c>
      <c r="B2575" s="17">
        <v>31.37</v>
      </c>
      <c r="C2575" s="17"/>
      <c r="F2575"/>
      <c r="G2575"/>
      <c r="H2575"/>
      <c r="I2575"/>
      <c r="J2575"/>
    </row>
    <row r="2576" spans="1:10" x14ac:dyDescent="0.25">
      <c r="A2576" s="90">
        <v>38894</v>
      </c>
      <c r="B2576" s="17">
        <v>31.55</v>
      </c>
      <c r="C2576" s="17"/>
      <c r="F2576"/>
      <c r="G2576"/>
      <c r="H2576"/>
      <c r="I2576"/>
      <c r="J2576"/>
    </row>
    <row r="2577" spans="1:10" x14ac:dyDescent="0.25">
      <c r="A2577" s="90">
        <v>38895</v>
      </c>
      <c r="B2577" s="17">
        <v>31.51</v>
      </c>
      <c r="C2577" s="17"/>
      <c r="F2577"/>
      <c r="G2577"/>
      <c r="H2577"/>
      <c r="I2577"/>
      <c r="J2577"/>
    </row>
    <row r="2578" spans="1:10" x14ac:dyDescent="0.25">
      <c r="A2578" s="90">
        <v>38896</v>
      </c>
      <c r="B2578" s="17">
        <v>31.92</v>
      </c>
      <c r="C2578" s="17"/>
      <c r="F2578"/>
      <c r="G2578"/>
      <c r="H2578"/>
      <c r="I2578"/>
      <c r="J2578"/>
    </row>
    <row r="2579" spans="1:10" x14ac:dyDescent="0.25">
      <c r="A2579" s="90">
        <v>38897</v>
      </c>
      <c r="B2579" s="17">
        <v>32.97</v>
      </c>
      <c r="C2579" s="17"/>
      <c r="F2579"/>
      <c r="G2579"/>
      <c r="H2579"/>
      <c r="I2579"/>
      <c r="J2579"/>
    </row>
    <row r="2580" spans="1:10" x14ac:dyDescent="0.25">
      <c r="A2580" s="90">
        <v>38898</v>
      </c>
      <c r="B2580" s="17">
        <v>33</v>
      </c>
      <c r="C2580" s="17"/>
      <c r="F2580"/>
      <c r="G2580"/>
      <c r="H2580"/>
      <c r="I2580"/>
      <c r="J2580"/>
    </row>
    <row r="2581" spans="1:10" x14ac:dyDescent="0.25">
      <c r="A2581" s="90">
        <v>38901</v>
      </c>
      <c r="B2581" s="17">
        <v>33.299999999999997</v>
      </c>
      <c r="C2581" s="17"/>
      <c r="F2581"/>
      <c r="G2581"/>
      <c r="H2581"/>
      <c r="I2581"/>
      <c r="J2581"/>
    </row>
    <row r="2582" spans="1:10" x14ac:dyDescent="0.25">
      <c r="A2582" s="90">
        <v>38903</v>
      </c>
      <c r="B2582" s="17">
        <v>32.47</v>
      </c>
      <c r="C2582" s="17"/>
      <c r="F2582"/>
      <c r="G2582"/>
      <c r="H2582"/>
      <c r="I2582"/>
      <c r="J2582"/>
    </row>
    <row r="2583" spans="1:10" x14ac:dyDescent="0.25">
      <c r="A2583" s="90">
        <v>38904</v>
      </c>
      <c r="B2583" s="17">
        <v>33.11</v>
      </c>
      <c r="C2583" s="17"/>
      <c r="F2583"/>
      <c r="G2583"/>
      <c r="H2583"/>
      <c r="I2583"/>
      <c r="J2583"/>
    </row>
    <row r="2584" spans="1:10" x14ac:dyDescent="0.25">
      <c r="A2584" s="90">
        <v>38905</v>
      </c>
      <c r="B2584" s="17">
        <v>32.5</v>
      </c>
      <c r="C2584" s="17"/>
      <c r="F2584"/>
      <c r="G2584"/>
      <c r="H2584"/>
      <c r="I2584"/>
      <c r="J2584"/>
    </row>
    <row r="2585" spans="1:10" x14ac:dyDescent="0.25">
      <c r="A2585" s="90">
        <v>38908</v>
      </c>
      <c r="B2585" s="17">
        <v>32.85</v>
      </c>
      <c r="C2585" s="17"/>
      <c r="F2585"/>
      <c r="G2585"/>
      <c r="H2585"/>
      <c r="I2585"/>
      <c r="J2585"/>
    </row>
    <row r="2586" spans="1:10" x14ac:dyDescent="0.25">
      <c r="A2586" s="90">
        <v>38909</v>
      </c>
      <c r="B2586" s="17">
        <v>33.17</v>
      </c>
      <c r="C2586" s="17"/>
      <c r="F2586"/>
      <c r="G2586"/>
      <c r="H2586"/>
      <c r="I2586"/>
      <c r="J2586"/>
    </row>
    <row r="2587" spans="1:10" x14ac:dyDescent="0.25">
      <c r="A2587" s="90">
        <v>38910</v>
      </c>
      <c r="B2587" s="17">
        <v>33.380000000000003</v>
      </c>
      <c r="C2587" s="17"/>
      <c r="F2587"/>
      <c r="G2587"/>
      <c r="H2587"/>
      <c r="I2587"/>
      <c r="J2587"/>
    </row>
    <row r="2588" spans="1:10" x14ac:dyDescent="0.25">
      <c r="A2588" s="90">
        <v>38911</v>
      </c>
      <c r="B2588" s="17">
        <v>32.229999999999997</v>
      </c>
      <c r="C2588" s="17"/>
      <c r="F2588"/>
      <c r="G2588"/>
      <c r="H2588"/>
      <c r="I2588"/>
      <c r="J2588"/>
    </row>
    <row r="2589" spans="1:10" x14ac:dyDescent="0.25">
      <c r="A2589" s="90">
        <v>38912</v>
      </c>
      <c r="B2589" s="17">
        <v>32.08</v>
      </c>
      <c r="C2589" s="17"/>
      <c r="F2589"/>
      <c r="G2589"/>
      <c r="H2589"/>
      <c r="I2589"/>
      <c r="J2589"/>
    </row>
    <row r="2590" spans="1:10" x14ac:dyDescent="0.25">
      <c r="A2590" s="90">
        <v>38915</v>
      </c>
      <c r="B2590" s="17">
        <v>31.84</v>
      </c>
      <c r="C2590" s="17"/>
      <c r="F2590"/>
      <c r="G2590"/>
      <c r="H2590"/>
      <c r="I2590"/>
      <c r="J2590"/>
    </row>
    <row r="2591" spans="1:10" x14ac:dyDescent="0.25">
      <c r="A2591" s="90">
        <v>38916</v>
      </c>
      <c r="B2591" s="17">
        <v>32.24</v>
      </c>
      <c r="C2591" s="17"/>
      <c r="F2591"/>
      <c r="G2591"/>
      <c r="H2591"/>
      <c r="I2591"/>
      <c r="J2591"/>
    </row>
    <row r="2592" spans="1:10" x14ac:dyDescent="0.25">
      <c r="A2592" s="90">
        <v>38917</v>
      </c>
      <c r="B2592" s="17">
        <v>25.2</v>
      </c>
      <c r="C2592" s="17"/>
      <c r="F2592"/>
      <c r="G2592"/>
      <c r="H2592"/>
      <c r="I2592"/>
      <c r="J2592"/>
    </row>
    <row r="2593" spans="1:10" x14ac:dyDescent="0.25">
      <c r="A2593" s="90">
        <v>38918</v>
      </c>
      <c r="B2593" s="17">
        <v>25.27</v>
      </c>
      <c r="C2593" s="17"/>
      <c r="F2593"/>
      <c r="G2593"/>
      <c r="H2593"/>
      <c r="I2593"/>
      <c r="J2593"/>
    </row>
    <row r="2594" spans="1:10" x14ac:dyDescent="0.25">
      <c r="A2594" s="90">
        <v>38919</v>
      </c>
      <c r="B2594" s="17">
        <v>25.89</v>
      </c>
      <c r="C2594" s="17"/>
      <c r="F2594"/>
      <c r="G2594"/>
      <c r="H2594"/>
      <c r="I2594"/>
      <c r="J2594"/>
    </row>
    <row r="2595" spans="1:10" x14ac:dyDescent="0.25">
      <c r="A2595" s="90">
        <v>38922</v>
      </c>
      <c r="B2595" s="17">
        <v>26.94</v>
      </c>
      <c r="C2595" s="17"/>
      <c r="F2595"/>
      <c r="G2595"/>
      <c r="H2595"/>
      <c r="I2595"/>
      <c r="J2595"/>
    </row>
    <row r="2596" spans="1:10" x14ac:dyDescent="0.25">
      <c r="A2596" s="90">
        <v>38923</v>
      </c>
      <c r="B2596" s="17">
        <v>26.95</v>
      </c>
      <c r="C2596" s="17"/>
      <c r="F2596"/>
      <c r="G2596"/>
      <c r="H2596"/>
      <c r="I2596"/>
      <c r="J2596"/>
    </row>
    <row r="2597" spans="1:10" x14ac:dyDescent="0.25">
      <c r="A2597" s="90">
        <v>38924</v>
      </c>
      <c r="B2597" s="17">
        <v>27.08</v>
      </c>
      <c r="C2597" s="17"/>
      <c r="F2597"/>
      <c r="G2597"/>
      <c r="H2597"/>
      <c r="I2597"/>
      <c r="J2597"/>
    </row>
    <row r="2598" spans="1:10" x14ac:dyDescent="0.25">
      <c r="A2598" s="90">
        <v>38925</v>
      </c>
      <c r="B2598" s="17">
        <v>26.7</v>
      </c>
      <c r="C2598" s="17"/>
      <c r="F2598"/>
      <c r="G2598"/>
      <c r="H2598"/>
      <c r="I2598"/>
      <c r="J2598"/>
    </row>
    <row r="2599" spans="1:10" x14ac:dyDescent="0.25">
      <c r="A2599" s="90">
        <v>38926</v>
      </c>
      <c r="B2599" s="17">
        <v>27.47</v>
      </c>
      <c r="C2599" s="17"/>
      <c r="F2599"/>
      <c r="G2599"/>
      <c r="H2599"/>
      <c r="I2599"/>
      <c r="J2599"/>
    </row>
    <row r="2600" spans="1:10" x14ac:dyDescent="0.25">
      <c r="A2600" s="90">
        <v>38929</v>
      </c>
      <c r="B2600" s="17">
        <v>27.14</v>
      </c>
      <c r="C2600" s="17"/>
      <c r="F2600"/>
      <c r="G2600"/>
      <c r="H2600"/>
      <c r="I2600"/>
      <c r="J2600"/>
    </row>
    <row r="2601" spans="1:10" x14ac:dyDescent="0.25">
      <c r="A2601" s="90">
        <v>38930</v>
      </c>
      <c r="B2601" s="17">
        <v>26.94</v>
      </c>
      <c r="C2601" s="17"/>
      <c r="F2601"/>
      <c r="G2601"/>
      <c r="H2601"/>
      <c r="I2601"/>
      <c r="J2601"/>
    </row>
    <row r="2602" spans="1:10" x14ac:dyDescent="0.25">
      <c r="A2602" s="90">
        <v>38931</v>
      </c>
      <c r="B2602" s="17">
        <v>26.63</v>
      </c>
      <c r="C2602" s="17"/>
      <c r="F2602"/>
      <c r="G2602"/>
      <c r="H2602"/>
      <c r="I2602"/>
      <c r="J2602"/>
    </row>
    <row r="2603" spans="1:10" x14ac:dyDescent="0.25">
      <c r="A2603" s="90">
        <v>38932</v>
      </c>
      <c r="B2603" s="17">
        <v>26.9</v>
      </c>
      <c r="C2603" s="17"/>
      <c r="F2603"/>
      <c r="G2603"/>
      <c r="H2603"/>
      <c r="I2603"/>
      <c r="J2603"/>
    </row>
    <row r="2604" spans="1:10" x14ac:dyDescent="0.25">
      <c r="A2604" s="90">
        <v>38933</v>
      </c>
      <c r="B2604" s="17">
        <v>26.99</v>
      </c>
      <c r="C2604" s="17"/>
      <c r="F2604"/>
      <c r="G2604"/>
      <c r="H2604"/>
      <c r="I2604"/>
      <c r="J2604"/>
    </row>
    <row r="2605" spans="1:10" x14ac:dyDescent="0.25">
      <c r="A2605" s="90">
        <v>38936</v>
      </c>
      <c r="B2605" s="17">
        <v>27.08</v>
      </c>
      <c r="C2605" s="17"/>
      <c r="F2605"/>
      <c r="G2605"/>
      <c r="H2605"/>
      <c r="I2605"/>
      <c r="J2605"/>
    </row>
    <row r="2606" spans="1:10" x14ac:dyDescent="0.25">
      <c r="A2606" s="90">
        <v>38937</v>
      </c>
      <c r="B2606" s="17">
        <v>27.44</v>
      </c>
      <c r="C2606" s="17"/>
      <c r="F2606"/>
      <c r="G2606"/>
      <c r="H2606"/>
      <c r="I2606"/>
      <c r="J2606"/>
    </row>
    <row r="2607" spans="1:10" x14ac:dyDescent="0.25">
      <c r="A2607" s="90">
        <v>38938</v>
      </c>
      <c r="B2607" s="17">
        <v>27.22</v>
      </c>
      <c r="C2607" s="17"/>
      <c r="F2607"/>
      <c r="G2607"/>
      <c r="H2607"/>
      <c r="I2607"/>
      <c r="J2607"/>
    </row>
    <row r="2608" spans="1:10" x14ac:dyDescent="0.25">
      <c r="A2608" s="90">
        <v>38939</v>
      </c>
      <c r="B2608" s="17">
        <v>27.49</v>
      </c>
      <c r="C2608" s="17"/>
      <c r="F2608"/>
      <c r="G2608"/>
      <c r="H2608"/>
      <c r="I2608"/>
      <c r="J2608"/>
    </row>
    <row r="2609" spans="1:10" x14ac:dyDescent="0.25">
      <c r="A2609" s="90">
        <v>38940</v>
      </c>
      <c r="B2609" s="17">
        <v>27.5</v>
      </c>
      <c r="C2609" s="17"/>
      <c r="F2609"/>
      <c r="G2609"/>
      <c r="H2609"/>
      <c r="I2609"/>
      <c r="J2609"/>
    </row>
    <row r="2610" spans="1:10" x14ac:dyDescent="0.25">
      <c r="A2610" s="90">
        <v>38943</v>
      </c>
      <c r="B2610" s="17">
        <v>27.26</v>
      </c>
      <c r="C2610" s="17"/>
      <c r="F2610"/>
      <c r="G2610"/>
      <c r="H2610"/>
      <c r="I2610"/>
      <c r="J2610"/>
    </row>
    <row r="2611" spans="1:10" x14ac:dyDescent="0.25">
      <c r="A2611" s="90">
        <v>38944</v>
      </c>
      <c r="B2611" s="17">
        <v>28.17</v>
      </c>
      <c r="C2611" s="17"/>
      <c r="F2611"/>
      <c r="G2611"/>
      <c r="H2611"/>
      <c r="I2611"/>
      <c r="J2611"/>
    </row>
    <row r="2612" spans="1:10" x14ac:dyDescent="0.25">
      <c r="A2612" s="90">
        <v>38945</v>
      </c>
      <c r="B2612" s="17">
        <v>28.39</v>
      </c>
      <c r="C2612" s="17"/>
      <c r="F2612"/>
      <c r="G2612"/>
      <c r="H2612"/>
      <c r="I2612"/>
      <c r="J2612"/>
    </row>
    <row r="2613" spans="1:10" x14ac:dyDescent="0.25">
      <c r="A2613" s="90">
        <v>38946</v>
      </c>
      <c r="B2613" s="17">
        <v>28.91</v>
      </c>
      <c r="C2613" s="17"/>
      <c r="F2613"/>
      <c r="G2613"/>
      <c r="H2613"/>
      <c r="I2613"/>
      <c r="J2613"/>
    </row>
    <row r="2614" spans="1:10" x14ac:dyDescent="0.25">
      <c r="A2614" s="90">
        <v>38947</v>
      </c>
      <c r="B2614" s="17">
        <v>29.78</v>
      </c>
      <c r="C2614" s="17"/>
      <c r="F2614"/>
      <c r="G2614"/>
      <c r="H2614"/>
      <c r="I2614"/>
      <c r="J2614"/>
    </row>
    <row r="2615" spans="1:10" x14ac:dyDescent="0.25">
      <c r="A2615" s="90">
        <v>38950</v>
      </c>
      <c r="B2615" s="17">
        <v>28.9</v>
      </c>
      <c r="C2615" s="17"/>
      <c r="F2615"/>
      <c r="G2615"/>
      <c r="H2615"/>
      <c r="I2615"/>
      <c r="J2615"/>
    </row>
    <row r="2616" spans="1:10" x14ac:dyDescent="0.25">
      <c r="A2616" s="90">
        <v>38951</v>
      </c>
      <c r="B2616" s="17">
        <v>29.26</v>
      </c>
      <c r="C2616" s="17"/>
      <c r="F2616"/>
      <c r="G2616"/>
      <c r="H2616"/>
      <c r="I2616"/>
      <c r="J2616"/>
    </row>
    <row r="2617" spans="1:10" x14ac:dyDescent="0.25">
      <c r="A2617" s="90">
        <v>38952</v>
      </c>
      <c r="B2617" s="17">
        <v>28.7</v>
      </c>
      <c r="C2617" s="17"/>
      <c r="F2617"/>
      <c r="G2617"/>
      <c r="H2617"/>
      <c r="I2617"/>
      <c r="J2617"/>
    </row>
    <row r="2618" spans="1:10" x14ac:dyDescent="0.25">
      <c r="A2618" s="90">
        <v>38953</v>
      </c>
      <c r="B2618" s="17">
        <v>28.99</v>
      </c>
      <c r="C2618" s="17"/>
      <c r="F2618"/>
      <c r="G2618"/>
      <c r="H2618"/>
      <c r="I2618"/>
      <c r="J2618"/>
    </row>
    <row r="2619" spans="1:10" x14ac:dyDescent="0.25">
      <c r="A2619" s="90">
        <v>38954</v>
      </c>
      <c r="B2619" s="17">
        <v>28.77</v>
      </c>
      <c r="C2619" s="17"/>
      <c r="F2619"/>
      <c r="G2619"/>
      <c r="H2619"/>
      <c r="I2619"/>
      <c r="J2619"/>
    </row>
    <row r="2620" spans="1:10" x14ac:dyDescent="0.25">
      <c r="A2620" s="90">
        <v>38957</v>
      </c>
      <c r="B2620" s="17">
        <v>28.91</v>
      </c>
      <c r="C2620" s="17"/>
      <c r="F2620"/>
      <c r="G2620"/>
      <c r="H2620"/>
      <c r="I2620"/>
      <c r="J2620"/>
    </row>
    <row r="2621" spans="1:10" x14ac:dyDescent="0.25">
      <c r="A2621" s="90">
        <v>38958</v>
      </c>
      <c r="B2621" s="17">
        <v>28.96</v>
      </c>
      <c r="C2621" s="17"/>
      <c r="F2621"/>
      <c r="G2621"/>
      <c r="H2621"/>
      <c r="I2621"/>
      <c r="J2621"/>
    </row>
    <row r="2622" spans="1:10" x14ac:dyDescent="0.25">
      <c r="A2622" s="90">
        <v>38959</v>
      </c>
      <c r="B2622" s="17">
        <v>29.02</v>
      </c>
      <c r="C2622" s="17"/>
      <c r="F2622"/>
      <c r="G2622"/>
      <c r="H2622"/>
      <c r="I2622"/>
      <c r="J2622"/>
    </row>
    <row r="2623" spans="1:10" x14ac:dyDescent="0.25">
      <c r="A2623" s="90">
        <v>38960</v>
      </c>
      <c r="B2623" s="17">
        <v>28.83</v>
      </c>
      <c r="C2623" s="17"/>
      <c r="F2623"/>
      <c r="G2623"/>
      <c r="H2623"/>
      <c r="I2623"/>
      <c r="J2623"/>
    </row>
    <row r="2624" spans="1:10" x14ac:dyDescent="0.25">
      <c r="A2624" s="90">
        <v>38961</v>
      </c>
      <c r="B2624" s="17">
        <v>29.49</v>
      </c>
      <c r="C2624" s="17"/>
      <c r="F2624"/>
      <c r="G2624"/>
      <c r="H2624"/>
      <c r="I2624"/>
      <c r="J2624"/>
    </row>
    <row r="2625" spans="1:10" x14ac:dyDescent="0.25">
      <c r="A2625" s="90">
        <v>38965</v>
      </c>
      <c r="B2625" s="17">
        <v>29.07</v>
      </c>
      <c r="C2625" s="17"/>
      <c r="F2625"/>
      <c r="G2625"/>
      <c r="H2625"/>
      <c r="I2625"/>
      <c r="J2625"/>
    </row>
    <row r="2626" spans="1:10" x14ac:dyDescent="0.25">
      <c r="A2626" s="90">
        <v>38966</v>
      </c>
      <c r="B2626" s="17">
        <v>28.5</v>
      </c>
      <c r="C2626" s="17"/>
      <c r="F2626"/>
      <c r="G2626"/>
      <c r="H2626"/>
      <c r="I2626"/>
      <c r="J2626"/>
    </row>
    <row r="2627" spans="1:10" x14ac:dyDescent="0.25">
      <c r="A2627" s="90">
        <v>38967</v>
      </c>
      <c r="B2627" s="17">
        <v>27.86</v>
      </c>
      <c r="C2627" s="17"/>
      <c r="F2627"/>
      <c r="G2627"/>
      <c r="H2627"/>
      <c r="I2627"/>
      <c r="J2627"/>
    </row>
    <row r="2628" spans="1:10" x14ac:dyDescent="0.25">
      <c r="A2628" s="90">
        <v>38968</v>
      </c>
      <c r="B2628" s="17">
        <v>28.14</v>
      </c>
      <c r="C2628" s="17"/>
      <c r="F2628"/>
      <c r="G2628"/>
      <c r="H2628"/>
      <c r="I2628"/>
      <c r="J2628"/>
    </row>
    <row r="2629" spans="1:10" x14ac:dyDescent="0.25">
      <c r="A2629" s="90">
        <v>38971</v>
      </c>
      <c r="B2629" s="17">
        <v>28.61</v>
      </c>
      <c r="C2629" s="17"/>
      <c r="F2629"/>
      <c r="G2629"/>
      <c r="H2629"/>
      <c r="I2629"/>
      <c r="J2629"/>
    </row>
    <row r="2630" spans="1:10" x14ac:dyDescent="0.25">
      <c r="A2630" s="90">
        <v>38972</v>
      </c>
      <c r="B2630" s="17">
        <v>29.09</v>
      </c>
      <c r="C2630" s="17"/>
      <c r="F2630"/>
      <c r="G2630"/>
      <c r="H2630"/>
      <c r="I2630"/>
      <c r="J2630"/>
    </row>
    <row r="2631" spans="1:10" x14ac:dyDescent="0.25">
      <c r="A2631" s="90">
        <v>38973</v>
      </c>
      <c r="B2631" s="17">
        <v>29.17</v>
      </c>
      <c r="C2631" s="17"/>
      <c r="F2631"/>
      <c r="G2631"/>
      <c r="H2631"/>
      <c r="I2631"/>
      <c r="J2631"/>
    </row>
    <row r="2632" spans="1:10" x14ac:dyDescent="0.25">
      <c r="A2632" s="90">
        <v>38974</v>
      </c>
      <c r="B2632" s="17">
        <v>29.03</v>
      </c>
      <c r="C2632" s="17"/>
      <c r="F2632"/>
      <c r="G2632"/>
      <c r="H2632"/>
      <c r="I2632"/>
      <c r="J2632"/>
    </row>
    <row r="2633" spans="1:10" x14ac:dyDescent="0.25">
      <c r="A2633" s="90">
        <v>38975</v>
      </c>
      <c r="B2633" s="17">
        <v>29.32</v>
      </c>
      <c r="C2633" s="17"/>
      <c r="F2633"/>
      <c r="G2633"/>
      <c r="H2633"/>
      <c r="I2633"/>
      <c r="J2633"/>
    </row>
    <row r="2634" spans="1:10" x14ac:dyDescent="0.25">
      <c r="A2634" s="90">
        <v>38978</v>
      </c>
      <c r="B2634" s="17">
        <v>29</v>
      </c>
      <c r="C2634" s="17"/>
      <c r="F2634"/>
      <c r="G2634"/>
      <c r="H2634"/>
      <c r="I2634"/>
      <c r="J2634"/>
    </row>
    <row r="2635" spans="1:10" x14ac:dyDescent="0.25">
      <c r="A2635" s="90">
        <v>38979</v>
      </c>
      <c r="B2635" s="17">
        <v>25.75</v>
      </c>
      <c r="C2635" s="17"/>
      <c r="F2635"/>
      <c r="G2635"/>
      <c r="H2635"/>
      <c r="I2635"/>
      <c r="J2635"/>
    </row>
    <row r="2636" spans="1:10" x14ac:dyDescent="0.25">
      <c r="A2636" s="90">
        <v>38980</v>
      </c>
      <c r="B2636" s="17">
        <v>25.64</v>
      </c>
      <c r="C2636" s="17"/>
      <c r="F2636"/>
      <c r="G2636"/>
      <c r="H2636"/>
      <c r="I2636"/>
      <c r="J2636"/>
    </row>
    <row r="2637" spans="1:10" x14ac:dyDescent="0.25">
      <c r="A2637" s="90">
        <v>38981</v>
      </c>
      <c r="B2637" s="17">
        <v>25.34</v>
      </c>
      <c r="C2637" s="17"/>
      <c r="F2637"/>
      <c r="G2637"/>
      <c r="H2637"/>
      <c r="I2637"/>
      <c r="J2637"/>
    </row>
    <row r="2638" spans="1:10" x14ac:dyDescent="0.25">
      <c r="A2638" s="90">
        <v>38982</v>
      </c>
      <c r="B2638" s="17">
        <v>25.52</v>
      </c>
      <c r="C2638" s="17"/>
      <c r="F2638"/>
      <c r="G2638"/>
      <c r="H2638"/>
      <c r="I2638"/>
      <c r="J2638"/>
    </row>
    <row r="2639" spans="1:10" x14ac:dyDescent="0.25">
      <c r="A2639" s="90">
        <v>38985</v>
      </c>
      <c r="B2639" s="17">
        <v>25.29</v>
      </c>
      <c r="C2639" s="17"/>
      <c r="F2639"/>
      <c r="G2639"/>
      <c r="H2639"/>
      <c r="I2639"/>
      <c r="J2639"/>
    </row>
    <row r="2640" spans="1:10" x14ac:dyDescent="0.25">
      <c r="A2640" s="90">
        <v>38986</v>
      </c>
      <c r="B2640" s="17">
        <v>25.05</v>
      </c>
      <c r="C2640" s="17"/>
      <c r="F2640"/>
      <c r="G2640"/>
      <c r="H2640"/>
      <c r="I2640"/>
      <c r="J2640"/>
    </row>
    <row r="2641" spans="1:10" x14ac:dyDescent="0.25">
      <c r="A2641" s="90">
        <v>38987</v>
      </c>
      <c r="B2641" s="17">
        <v>24.65</v>
      </c>
      <c r="C2641" s="17"/>
      <c r="F2641"/>
      <c r="G2641"/>
      <c r="H2641"/>
      <c r="I2641"/>
      <c r="J2641"/>
    </row>
    <row r="2642" spans="1:10" x14ac:dyDescent="0.25">
      <c r="A2642" s="90">
        <v>38988</v>
      </c>
      <c r="B2642" s="17">
        <v>25.33</v>
      </c>
      <c r="C2642" s="17"/>
      <c r="F2642"/>
      <c r="G2642"/>
      <c r="H2642"/>
      <c r="I2642"/>
      <c r="J2642"/>
    </row>
    <row r="2643" spans="1:10" x14ac:dyDescent="0.25">
      <c r="A2643" s="90">
        <v>38989</v>
      </c>
      <c r="B2643" s="17">
        <v>25.28</v>
      </c>
      <c r="C2643" s="17"/>
      <c r="F2643"/>
      <c r="G2643"/>
      <c r="H2643"/>
      <c r="I2643"/>
      <c r="J2643"/>
    </row>
    <row r="2644" spans="1:10" x14ac:dyDescent="0.25">
      <c r="A2644" s="90">
        <v>38992</v>
      </c>
      <c r="B2644" s="17">
        <v>24.88</v>
      </c>
      <c r="C2644" s="17"/>
      <c r="F2644"/>
      <c r="G2644"/>
      <c r="H2644"/>
      <c r="I2644"/>
      <c r="J2644"/>
    </row>
    <row r="2645" spans="1:10" x14ac:dyDescent="0.25">
      <c r="A2645" s="90">
        <v>38993</v>
      </c>
      <c r="B2645" s="17">
        <v>24.84</v>
      </c>
      <c r="C2645" s="17"/>
      <c r="F2645"/>
      <c r="G2645"/>
      <c r="H2645"/>
      <c r="I2645"/>
      <c r="J2645"/>
    </row>
    <row r="2646" spans="1:10" x14ac:dyDescent="0.25">
      <c r="A2646" s="90">
        <v>38994</v>
      </c>
      <c r="B2646" s="17">
        <v>25.21</v>
      </c>
      <c r="C2646" s="17"/>
      <c r="F2646"/>
      <c r="G2646"/>
      <c r="H2646"/>
      <c r="I2646"/>
      <c r="J2646"/>
    </row>
    <row r="2647" spans="1:10" x14ac:dyDescent="0.25">
      <c r="A2647" s="90">
        <v>38995</v>
      </c>
      <c r="B2647" s="17">
        <v>25.18</v>
      </c>
      <c r="C2647" s="17"/>
      <c r="F2647"/>
      <c r="G2647"/>
      <c r="H2647"/>
      <c r="I2647"/>
      <c r="J2647"/>
    </row>
    <row r="2648" spans="1:10" x14ac:dyDescent="0.25">
      <c r="A2648" s="90">
        <v>38996</v>
      </c>
      <c r="B2648" s="17">
        <v>25.47</v>
      </c>
      <c r="C2648" s="17"/>
      <c r="F2648"/>
      <c r="G2648"/>
      <c r="H2648"/>
      <c r="I2648"/>
      <c r="J2648"/>
    </row>
    <row r="2649" spans="1:10" x14ac:dyDescent="0.25">
      <c r="A2649" s="90">
        <v>38999</v>
      </c>
      <c r="B2649" s="17">
        <v>25.03</v>
      </c>
      <c r="C2649" s="17"/>
      <c r="F2649"/>
      <c r="G2649"/>
      <c r="H2649"/>
      <c r="I2649"/>
      <c r="J2649"/>
    </row>
    <row r="2650" spans="1:10" x14ac:dyDescent="0.25">
      <c r="A2650" s="90">
        <v>39000</v>
      </c>
      <c r="B2650" s="17">
        <v>24.47</v>
      </c>
      <c r="C2650" s="17"/>
      <c r="F2650"/>
      <c r="G2650"/>
      <c r="H2650"/>
      <c r="I2650"/>
      <c r="J2650"/>
    </row>
    <row r="2651" spans="1:10" x14ac:dyDescent="0.25">
      <c r="A2651" s="90">
        <v>39001</v>
      </c>
      <c r="B2651" s="17">
        <v>24.24</v>
      </c>
      <c r="C2651" s="17"/>
      <c r="F2651"/>
      <c r="G2651"/>
      <c r="H2651"/>
      <c r="I2651"/>
      <c r="J2651"/>
    </row>
    <row r="2652" spans="1:10" x14ac:dyDescent="0.25">
      <c r="A2652" s="90">
        <v>39002</v>
      </c>
      <c r="B2652" s="17">
        <v>24.12</v>
      </c>
      <c r="C2652" s="17"/>
      <c r="F2652"/>
      <c r="G2652"/>
      <c r="H2652"/>
      <c r="I2652"/>
      <c r="J2652"/>
    </row>
    <row r="2653" spans="1:10" x14ac:dyDescent="0.25">
      <c r="A2653" s="90">
        <v>39003</v>
      </c>
      <c r="B2653" s="17">
        <v>24.42</v>
      </c>
      <c r="C2653" s="17"/>
      <c r="F2653"/>
      <c r="G2653"/>
      <c r="H2653"/>
      <c r="I2653"/>
      <c r="J2653"/>
    </row>
    <row r="2654" spans="1:10" x14ac:dyDescent="0.25">
      <c r="A2654" s="90">
        <v>39006</v>
      </c>
      <c r="B2654" s="17">
        <v>24.18</v>
      </c>
      <c r="C2654" s="17"/>
      <c r="F2654"/>
      <c r="G2654"/>
      <c r="H2654"/>
      <c r="I2654"/>
      <c r="J2654"/>
    </row>
    <row r="2655" spans="1:10" x14ac:dyDescent="0.25">
      <c r="A2655" s="90">
        <v>39007</v>
      </c>
      <c r="B2655" s="17">
        <v>24.15</v>
      </c>
      <c r="C2655" s="17"/>
      <c r="F2655"/>
      <c r="G2655"/>
      <c r="H2655"/>
      <c r="I2655"/>
      <c r="J2655"/>
    </row>
    <row r="2656" spans="1:10" x14ac:dyDescent="0.25">
      <c r="A2656" s="90">
        <v>39008</v>
      </c>
      <c r="B2656" s="17">
        <v>22.99</v>
      </c>
      <c r="C2656" s="17"/>
      <c r="F2656"/>
      <c r="G2656"/>
      <c r="H2656"/>
      <c r="I2656"/>
      <c r="J2656"/>
    </row>
    <row r="2657" spans="1:10" x14ac:dyDescent="0.25">
      <c r="A2657" s="90">
        <v>39009</v>
      </c>
      <c r="B2657" s="17">
        <v>23.14</v>
      </c>
      <c r="C2657" s="17"/>
      <c r="F2657"/>
      <c r="G2657"/>
      <c r="H2657"/>
      <c r="I2657"/>
      <c r="J2657"/>
    </row>
    <row r="2658" spans="1:10" x14ac:dyDescent="0.25">
      <c r="A2658" s="90">
        <v>39010</v>
      </c>
      <c r="B2658" s="17">
        <v>23.21</v>
      </c>
      <c r="C2658" s="17"/>
      <c r="F2658"/>
      <c r="G2658"/>
      <c r="H2658"/>
      <c r="I2658"/>
      <c r="J2658"/>
    </row>
    <row r="2659" spans="1:10" x14ac:dyDescent="0.25">
      <c r="A2659" s="90">
        <v>39013</v>
      </c>
      <c r="B2659" s="17">
        <v>23.37</v>
      </c>
      <c r="C2659" s="17"/>
      <c r="F2659"/>
      <c r="G2659"/>
      <c r="H2659"/>
      <c r="I2659"/>
      <c r="J2659"/>
    </row>
    <row r="2660" spans="1:10" x14ac:dyDescent="0.25">
      <c r="A2660" s="90">
        <v>39014</v>
      </c>
      <c r="B2660" s="17">
        <v>23.53</v>
      </c>
      <c r="C2660" s="17"/>
      <c r="F2660"/>
      <c r="G2660"/>
      <c r="H2660"/>
      <c r="I2660"/>
      <c r="J2660"/>
    </row>
    <row r="2661" spans="1:10" x14ac:dyDescent="0.25">
      <c r="A2661" s="90">
        <v>39015</v>
      </c>
      <c r="B2661" s="17">
        <v>24.49</v>
      </c>
      <c r="C2661" s="17"/>
      <c r="F2661"/>
      <c r="G2661"/>
      <c r="H2661"/>
      <c r="I2661"/>
      <c r="J2661"/>
    </row>
    <row r="2662" spans="1:10" x14ac:dyDescent="0.25">
      <c r="A2662" s="90">
        <v>39016</v>
      </c>
      <c r="B2662" s="17">
        <v>25.28</v>
      </c>
      <c r="C2662" s="17"/>
      <c r="F2662"/>
      <c r="G2662"/>
      <c r="H2662"/>
      <c r="I2662"/>
      <c r="J2662"/>
    </row>
    <row r="2663" spans="1:10" x14ac:dyDescent="0.25">
      <c r="A2663" s="90">
        <v>39017</v>
      </c>
      <c r="B2663" s="17">
        <v>25.34</v>
      </c>
      <c r="C2663" s="17"/>
      <c r="F2663"/>
      <c r="G2663"/>
      <c r="H2663"/>
      <c r="I2663"/>
      <c r="J2663"/>
    </row>
    <row r="2664" spans="1:10" x14ac:dyDescent="0.25">
      <c r="A2664" s="90">
        <v>39020</v>
      </c>
      <c r="B2664" s="17">
        <v>25.95</v>
      </c>
      <c r="C2664" s="17"/>
      <c r="F2664"/>
      <c r="G2664"/>
      <c r="H2664"/>
      <c r="I2664"/>
      <c r="J2664"/>
    </row>
    <row r="2665" spans="1:10" x14ac:dyDescent="0.25">
      <c r="A2665" s="90">
        <v>39021</v>
      </c>
      <c r="B2665" s="17">
        <v>26.34</v>
      </c>
      <c r="C2665" s="17"/>
      <c r="F2665"/>
      <c r="G2665"/>
      <c r="H2665"/>
      <c r="I2665"/>
      <c r="J2665"/>
    </row>
    <row r="2666" spans="1:10" x14ac:dyDescent="0.25">
      <c r="A2666" s="90">
        <v>39022</v>
      </c>
      <c r="B2666" s="17">
        <v>25.99</v>
      </c>
      <c r="C2666" s="17"/>
      <c r="F2666"/>
      <c r="G2666"/>
      <c r="H2666"/>
      <c r="I2666"/>
      <c r="J2666"/>
    </row>
    <row r="2667" spans="1:10" x14ac:dyDescent="0.25">
      <c r="A2667" s="90">
        <v>39023</v>
      </c>
      <c r="B2667" s="17">
        <v>26.53</v>
      </c>
      <c r="C2667" s="17"/>
      <c r="F2667"/>
      <c r="G2667"/>
      <c r="H2667"/>
      <c r="I2667"/>
      <c r="J2667"/>
    </row>
    <row r="2668" spans="1:10" x14ac:dyDescent="0.25">
      <c r="A2668" s="90">
        <v>39024</v>
      </c>
      <c r="B2668" s="17">
        <v>26.18</v>
      </c>
      <c r="C2668" s="17"/>
      <c r="F2668"/>
      <c r="G2668"/>
      <c r="H2668"/>
      <c r="I2668"/>
      <c r="J2668"/>
    </row>
    <row r="2669" spans="1:10" x14ac:dyDescent="0.25">
      <c r="A2669" s="90">
        <v>39027</v>
      </c>
      <c r="B2669" s="17">
        <v>26.59</v>
      </c>
      <c r="C2669" s="17"/>
      <c r="F2669"/>
      <c r="G2669"/>
      <c r="H2669"/>
      <c r="I2669"/>
      <c r="J2669"/>
    </row>
    <row r="2670" spans="1:10" x14ac:dyDescent="0.25">
      <c r="A2670" s="90">
        <v>39028</v>
      </c>
      <c r="B2670" s="17">
        <v>26.61</v>
      </c>
      <c r="C2670" s="17"/>
      <c r="F2670"/>
      <c r="G2670"/>
      <c r="H2670"/>
      <c r="I2670"/>
      <c r="J2670"/>
    </row>
    <row r="2671" spans="1:10" x14ac:dyDescent="0.25">
      <c r="A2671" s="90">
        <v>39029</v>
      </c>
      <c r="B2671" s="17">
        <v>26.9</v>
      </c>
      <c r="C2671" s="17"/>
      <c r="F2671"/>
      <c r="G2671"/>
      <c r="H2671"/>
      <c r="I2671"/>
      <c r="J2671"/>
    </row>
    <row r="2672" spans="1:10" x14ac:dyDescent="0.25">
      <c r="A2672" s="90">
        <v>39030</v>
      </c>
      <c r="B2672" s="17">
        <v>27.45</v>
      </c>
      <c r="C2672" s="17"/>
      <c r="F2672"/>
      <c r="G2672"/>
      <c r="H2672"/>
      <c r="I2672"/>
      <c r="J2672"/>
    </row>
    <row r="2673" spans="1:10" x14ac:dyDescent="0.25">
      <c r="A2673" s="90">
        <v>39031</v>
      </c>
      <c r="B2673" s="17">
        <v>27.39</v>
      </c>
      <c r="C2673" s="17"/>
      <c r="F2673"/>
      <c r="G2673"/>
      <c r="H2673"/>
      <c r="I2673"/>
      <c r="J2673"/>
    </row>
    <row r="2674" spans="1:10" x14ac:dyDescent="0.25">
      <c r="A2674" s="90">
        <v>39034</v>
      </c>
      <c r="B2674" s="17">
        <v>27.4</v>
      </c>
      <c r="C2674" s="17"/>
      <c r="F2674"/>
      <c r="G2674"/>
      <c r="H2674"/>
      <c r="I2674"/>
      <c r="J2674"/>
    </row>
    <row r="2675" spans="1:10" x14ac:dyDescent="0.25">
      <c r="A2675" s="90">
        <v>39035</v>
      </c>
      <c r="B2675" s="17">
        <v>27.24</v>
      </c>
      <c r="C2675" s="17"/>
      <c r="F2675"/>
      <c r="G2675"/>
      <c r="H2675"/>
      <c r="I2675"/>
      <c r="J2675"/>
    </row>
    <row r="2676" spans="1:10" x14ac:dyDescent="0.25">
      <c r="A2676" s="90">
        <v>39036</v>
      </c>
      <c r="B2676" s="17">
        <v>27.15</v>
      </c>
      <c r="C2676" s="17"/>
      <c r="F2676"/>
      <c r="G2676"/>
      <c r="H2676"/>
      <c r="I2676"/>
      <c r="J2676"/>
    </row>
    <row r="2677" spans="1:10" x14ac:dyDescent="0.25">
      <c r="A2677" s="90">
        <v>39037</v>
      </c>
      <c r="B2677" s="17">
        <v>26.64</v>
      </c>
      <c r="C2677" s="17"/>
      <c r="F2677"/>
      <c r="G2677"/>
      <c r="H2677"/>
      <c r="I2677"/>
      <c r="J2677"/>
    </row>
    <row r="2678" spans="1:10" x14ac:dyDescent="0.25">
      <c r="A2678" s="90">
        <v>39038</v>
      </c>
      <c r="B2678" s="17">
        <v>26.91</v>
      </c>
      <c r="C2678" s="17"/>
      <c r="F2678"/>
      <c r="G2678"/>
      <c r="H2678"/>
      <c r="I2678"/>
      <c r="J2678"/>
    </row>
    <row r="2679" spans="1:10" x14ac:dyDescent="0.25">
      <c r="A2679" s="90">
        <v>39041</v>
      </c>
      <c r="B2679" s="17">
        <v>26.72</v>
      </c>
      <c r="C2679" s="17"/>
      <c r="F2679"/>
      <c r="G2679"/>
      <c r="H2679"/>
      <c r="I2679"/>
      <c r="J2679"/>
    </row>
    <row r="2680" spans="1:10" x14ac:dyDescent="0.25">
      <c r="A2680" s="90">
        <v>39042</v>
      </c>
      <c r="B2680" s="17">
        <v>27.14</v>
      </c>
      <c r="C2680" s="17"/>
      <c r="F2680"/>
      <c r="G2680"/>
      <c r="H2680"/>
      <c r="I2680"/>
      <c r="J2680"/>
    </row>
    <row r="2681" spans="1:10" x14ac:dyDescent="0.25">
      <c r="A2681" s="90">
        <v>39043</v>
      </c>
      <c r="B2681" s="17">
        <v>28.49</v>
      </c>
      <c r="C2681" s="17"/>
      <c r="F2681"/>
      <c r="G2681"/>
      <c r="H2681"/>
      <c r="I2681"/>
      <c r="J2681"/>
    </row>
    <row r="2682" spans="1:10" x14ac:dyDescent="0.25">
      <c r="A2682" s="90">
        <v>39045</v>
      </c>
      <c r="B2682" s="17">
        <v>28.03</v>
      </c>
      <c r="C2682" s="17"/>
      <c r="F2682"/>
      <c r="G2682"/>
      <c r="H2682"/>
      <c r="I2682"/>
      <c r="J2682"/>
    </row>
    <row r="2683" spans="1:10" x14ac:dyDescent="0.25">
      <c r="A2683" s="90">
        <v>39048</v>
      </c>
      <c r="B2683" s="17">
        <v>27.27</v>
      </c>
      <c r="C2683" s="17"/>
      <c r="F2683"/>
      <c r="G2683"/>
      <c r="H2683"/>
      <c r="I2683"/>
      <c r="J2683"/>
    </row>
    <row r="2684" spans="1:10" x14ac:dyDescent="0.25">
      <c r="A2684" s="90">
        <v>39049</v>
      </c>
      <c r="B2684" s="17">
        <v>27</v>
      </c>
      <c r="C2684" s="17"/>
      <c r="F2684"/>
      <c r="G2684"/>
      <c r="H2684"/>
      <c r="I2684"/>
      <c r="J2684"/>
    </row>
    <row r="2685" spans="1:10" x14ac:dyDescent="0.25">
      <c r="A2685" s="90">
        <v>39050</v>
      </c>
      <c r="B2685" s="17">
        <v>27.04</v>
      </c>
      <c r="C2685" s="17"/>
      <c r="F2685"/>
      <c r="G2685"/>
      <c r="H2685"/>
      <c r="I2685"/>
      <c r="J2685"/>
    </row>
    <row r="2686" spans="1:10" x14ac:dyDescent="0.25">
      <c r="A2686" s="90">
        <v>39051</v>
      </c>
      <c r="B2686" s="17">
        <v>27.01</v>
      </c>
      <c r="C2686" s="17"/>
      <c r="F2686"/>
      <c r="G2686"/>
      <c r="H2686"/>
      <c r="I2686"/>
      <c r="J2686"/>
    </row>
    <row r="2687" spans="1:10" x14ac:dyDescent="0.25">
      <c r="A2687" s="90">
        <v>39052</v>
      </c>
      <c r="B2687" s="17">
        <v>26.49</v>
      </c>
      <c r="C2687" s="17"/>
      <c r="F2687"/>
      <c r="G2687"/>
      <c r="H2687"/>
      <c r="I2687"/>
      <c r="J2687"/>
    </row>
    <row r="2688" spans="1:10" x14ac:dyDescent="0.25">
      <c r="A2688" s="90">
        <v>39055</v>
      </c>
      <c r="B2688" s="17">
        <v>26.89</v>
      </c>
      <c r="C2688" s="17"/>
      <c r="F2688"/>
      <c r="G2688"/>
      <c r="H2688"/>
      <c r="I2688"/>
      <c r="J2688"/>
    </row>
    <row r="2689" spans="1:10" x14ac:dyDescent="0.25">
      <c r="A2689" s="90">
        <v>39056</v>
      </c>
      <c r="B2689" s="17">
        <v>27.43</v>
      </c>
      <c r="C2689" s="17"/>
      <c r="F2689"/>
      <c r="G2689"/>
      <c r="H2689"/>
      <c r="I2689"/>
      <c r="J2689"/>
    </row>
    <row r="2690" spans="1:10" x14ac:dyDescent="0.25">
      <c r="A2690" s="90">
        <v>39057</v>
      </c>
      <c r="B2690" s="17">
        <v>26.86</v>
      </c>
      <c r="C2690" s="17"/>
      <c r="F2690"/>
      <c r="G2690"/>
      <c r="H2690"/>
      <c r="I2690"/>
      <c r="J2690"/>
    </row>
    <row r="2691" spans="1:10" x14ac:dyDescent="0.25">
      <c r="A2691" s="90">
        <v>39058</v>
      </c>
      <c r="B2691" s="17">
        <v>26.63</v>
      </c>
      <c r="C2691" s="17"/>
      <c r="F2691"/>
      <c r="G2691"/>
      <c r="H2691"/>
      <c r="I2691"/>
      <c r="J2691"/>
    </row>
    <row r="2692" spans="1:10" x14ac:dyDescent="0.25">
      <c r="A2692" s="90">
        <v>39059</v>
      </c>
      <c r="B2692" s="17">
        <v>26.34</v>
      </c>
      <c r="C2692" s="17"/>
      <c r="F2692"/>
      <c r="G2692"/>
      <c r="H2692"/>
      <c r="I2692"/>
      <c r="J2692"/>
    </row>
    <row r="2693" spans="1:10" x14ac:dyDescent="0.25">
      <c r="A2693" s="90">
        <v>39062</v>
      </c>
      <c r="B2693" s="17">
        <v>26.49</v>
      </c>
      <c r="C2693" s="17"/>
      <c r="F2693"/>
      <c r="G2693"/>
      <c r="H2693"/>
      <c r="I2693"/>
      <c r="J2693"/>
    </row>
    <row r="2694" spans="1:10" x14ac:dyDescent="0.25">
      <c r="A2694" s="90">
        <v>39063</v>
      </c>
      <c r="B2694" s="17">
        <v>26.75</v>
      </c>
      <c r="C2694" s="17"/>
      <c r="F2694"/>
      <c r="G2694"/>
      <c r="H2694"/>
      <c r="I2694"/>
      <c r="J2694"/>
    </row>
    <row r="2695" spans="1:10" x14ac:dyDescent="0.25">
      <c r="A2695" s="90">
        <v>39064</v>
      </c>
      <c r="B2695" s="17">
        <v>26.6</v>
      </c>
      <c r="C2695" s="17"/>
      <c r="F2695"/>
      <c r="G2695"/>
      <c r="H2695"/>
      <c r="I2695"/>
      <c r="J2695"/>
    </row>
    <row r="2696" spans="1:10" x14ac:dyDescent="0.25">
      <c r="A2696" s="90">
        <v>39065</v>
      </c>
      <c r="B2696" s="17">
        <v>26.87</v>
      </c>
      <c r="C2696" s="17"/>
      <c r="F2696"/>
      <c r="G2696"/>
      <c r="H2696"/>
      <c r="I2696"/>
      <c r="J2696"/>
    </row>
    <row r="2697" spans="1:10" x14ac:dyDescent="0.25">
      <c r="A2697" s="90">
        <v>39066</v>
      </c>
      <c r="B2697" s="17">
        <v>26.9</v>
      </c>
      <c r="C2697" s="17"/>
      <c r="F2697"/>
      <c r="G2697"/>
      <c r="H2697"/>
      <c r="I2697"/>
      <c r="J2697"/>
    </row>
    <row r="2698" spans="1:10" x14ac:dyDescent="0.25">
      <c r="A2698" s="90">
        <v>39069</v>
      </c>
      <c r="B2698" s="17">
        <v>26.3</v>
      </c>
      <c r="C2698" s="17"/>
      <c r="F2698"/>
      <c r="G2698"/>
      <c r="H2698"/>
      <c r="I2698"/>
      <c r="J2698"/>
    </row>
    <row r="2699" spans="1:10" x14ac:dyDescent="0.25">
      <c r="A2699" s="90">
        <v>39070</v>
      </c>
      <c r="B2699" s="17">
        <v>26.41</v>
      </c>
      <c r="C2699" s="17"/>
      <c r="F2699"/>
      <c r="G2699"/>
      <c r="H2699"/>
      <c r="I2699"/>
      <c r="J2699"/>
    </row>
    <row r="2700" spans="1:10" x14ac:dyDescent="0.25">
      <c r="A2700" s="90">
        <v>39071</v>
      </c>
      <c r="B2700" s="17">
        <v>25.59</v>
      </c>
      <c r="C2700" s="17"/>
      <c r="F2700"/>
      <c r="G2700"/>
      <c r="H2700"/>
      <c r="I2700"/>
      <c r="J2700"/>
    </row>
    <row r="2701" spans="1:10" x14ac:dyDescent="0.25">
      <c r="A2701" s="90">
        <v>39072</v>
      </c>
      <c r="B2701" s="17">
        <v>25.48</v>
      </c>
      <c r="C2701" s="17"/>
      <c r="F2701"/>
      <c r="G2701"/>
      <c r="H2701"/>
      <c r="I2701"/>
      <c r="J2701"/>
    </row>
    <row r="2702" spans="1:10" x14ac:dyDescent="0.25">
      <c r="A2702" s="90">
        <v>39073</v>
      </c>
      <c r="B2702" s="17">
        <v>25.55</v>
      </c>
      <c r="C2702" s="17"/>
      <c r="F2702"/>
      <c r="G2702"/>
      <c r="H2702"/>
      <c r="I2702"/>
      <c r="J2702"/>
    </row>
    <row r="2703" spans="1:10" x14ac:dyDescent="0.25">
      <c r="A2703" s="90">
        <v>39077</v>
      </c>
      <c r="B2703" s="17">
        <v>25.45</v>
      </c>
      <c r="C2703" s="17"/>
      <c r="F2703"/>
      <c r="G2703"/>
      <c r="H2703"/>
      <c r="I2703"/>
      <c r="J2703"/>
    </row>
    <row r="2704" spans="1:10" x14ac:dyDescent="0.25">
      <c r="A2704" s="90">
        <v>39078</v>
      </c>
      <c r="B2704" s="17">
        <v>25.75</v>
      </c>
      <c r="C2704" s="17"/>
      <c r="F2704"/>
      <c r="G2704"/>
      <c r="H2704"/>
      <c r="I2704"/>
      <c r="J2704"/>
    </row>
    <row r="2705" spans="1:10" x14ac:dyDescent="0.25">
      <c r="A2705" s="90">
        <v>39079</v>
      </c>
      <c r="B2705" s="17">
        <v>25.36</v>
      </c>
      <c r="C2705" s="17"/>
      <c r="F2705"/>
      <c r="G2705"/>
      <c r="H2705"/>
      <c r="I2705"/>
      <c r="J2705"/>
    </row>
    <row r="2706" spans="1:10" x14ac:dyDescent="0.25">
      <c r="A2706" s="90">
        <v>39080</v>
      </c>
      <c r="B2706" s="17">
        <v>25.54</v>
      </c>
      <c r="C2706" s="17"/>
      <c r="F2706"/>
      <c r="G2706"/>
      <c r="H2706"/>
      <c r="I2706"/>
      <c r="J2706"/>
    </row>
    <row r="2707" spans="1:10" x14ac:dyDescent="0.25">
      <c r="A2707" s="90">
        <v>39085</v>
      </c>
      <c r="B2707" s="17">
        <v>25.61</v>
      </c>
      <c r="C2707" s="17"/>
      <c r="F2707"/>
      <c r="G2707"/>
      <c r="H2707"/>
      <c r="I2707"/>
      <c r="J2707"/>
    </row>
    <row r="2708" spans="1:10" x14ac:dyDescent="0.25">
      <c r="A2708" s="90">
        <v>39086</v>
      </c>
      <c r="B2708" s="17">
        <v>26.85</v>
      </c>
      <c r="C2708" s="17"/>
      <c r="F2708"/>
      <c r="G2708"/>
      <c r="H2708"/>
      <c r="I2708"/>
      <c r="J2708"/>
    </row>
    <row r="2709" spans="1:10" x14ac:dyDescent="0.25">
      <c r="A2709" s="90">
        <v>39087</v>
      </c>
      <c r="B2709" s="17">
        <v>27.74</v>
      </c>
      <c r="C2709" s="17"/>
      <c r="F2709"/>
      <c r="G2709"/>
      <c r="H2709"/>
      <c r="I2709"/>
      <c r="J2709"/>
    </row>
    <row r="2710" spans="1:10" x14ac:dyDescent="0.25">
      <c r="A2710" s="90">
        <v>39090</v>
      </c>
      <c r="B2710" s="17">
        <v>27.92</v>
      </c>
      <c r="C2710" s="17"/>
      <c r="F2710"/>
      <c r="G2710"/>
      <c r="H2710"/>
      <c r="I2710"/>
      <c r="J2710"/>
    </row>
    <row r="2711" spans="1:10" x14ac:dyDescent="0.25">
      <c r="A2711" s="90">
        <v>39091</v>
      </c>
      <c r="B2711" s="17">
        <v>27.58</v>
      </c>
      <c r="C2711" s="17"/>
      <c r="F2711"/>
      <c r="G2711"/>
      <c r="H2711"/>
      <c r="I2711"/>
      <c r="J2711"/>
    </row>
    <row r="2712" spans="1:10" x14ac:dyDescent="0.25">
      <c r="A2712" s="90">
        <v>39092</v>
      </c>
      <c r="B2712" s="17">
        <v>28.7</v>
      </c>
      <c r="C2712" s="17"/>
      <c r="F2712"/>
      <c r="G2712"/>
      <c r="H2712"/>
      <c r="I2712"/>
      <c r="J2712"/>
    </row>
    <row r="2713" spans="1:10" x14ac:dyDescent="0.25">
      <c r="A2713" s="90">
        <v>39093</v>
      </c>
      <c r="B2713" s="17">
        <v>29.2</v>
      </c>
      <c r="C2713" s="17"/>
      <c r="F2713"/>
      <c r="G2713"/>
      <c r="H2713"/>
      <c r="I2713"/>
      <c r="J2713"/>
    </row>
    <row r="2714" spans="1:10" x14ac:dyDescent="0.25">
      <c r="A2714" s="90">
        <v>39094</v>
      </c>
      <c r="B2714" s="17">
        <v>29.45</v>
      </c>
      <c r="C2714" s="17"/>
      <c r="F2714"/>
      <c r="G2714"/>
      <c r="H2714"/>
      <c r="I2714"/>
      <c r="J2714"/>
    </row>
    <row r="2715" spans="1:10" x14ac:dyDescent="0.25">
      <c r="A2715" s="90">
        <v>39098</v>
      </c>
      <c r="B2715" s="17">
        <v>29.29</v>
      </c>
      <c r="C2715" s="17"/>
      <c r="F2715"/>
      <c r="G2715"/>
      <c r="H2715"/>
      <c r="I2715"/>
      <c r="J2715"/>
    </row>
    <row r="2716" spans="1:10" x14ac:dyDescent="0.25">
      <c r="A2716" s="90">
        <v>39099</v>
      </c>
      <c r="B2716" s="17">
        <v>29.05</v>
      </c>
      <c r="C2716" s="17"/>
      <c r="F2716"/>
      <c r="G2716"/>
      <c r="H2716"/>
      <c r="I2716"/>
      <c r="J2716"/>
    </row>
    <row r="2717" spans="1:10" x14ac:dyDescent="0.25">
      <c r="A2717" s="90">
        <v>39100</v>
      </c>
      <c r="B2717" s="17">
        <v>28.12</v>
      </c>
      <c r="C2717" s="17"/>
      <c r="F2717"/>
      <c r="G2717"/>
      <c r="H2717"/>
      <c r="I2717"/>
      <c r="J2717"/>
    </row>
    <row r="2718" spans="1:10" x14ac:dyDescent="0.25">
      <c r="A2718" s="90">
        <v>39101</v>
      </c>
      <c r="B2718" s="17">
        <v>27.64</v>
      </c>
      <c r="C2718" s="17"/>
      <c r="F2718"/>
      <c r="G2718"/>
      <c r="H2718"/>
      <c r="I2718"/>
      <c r="J2718"/>
    </row>
    <row r="2719" spans="1:10" x14ac:dyDescent="0.25">
      <c r="A2719" s="90">
        <v>39104</v>
      </c>
      <c r="B2719" s="17">
        <v>27.42</v>
      </c>
      <c r="C2719" s="17"/>
      <c r="F2719"/>
      <c r="G2719"/>
      <c r="H2719"/>
      <c r="I2719"/>
      <c r="J2719"/>
    </row>
    <row r="2720" spans="1:10" x14ac:dyDescent="0.25">
      <c r="A2720" s="90">
        <v>39105</v>
      </c>
      <c r="B2720" s="17">
        <v>26.96</v>
      </c>
      <c r="C2720" s="17"/>
      <c r="F2720"/>
      <c r="G2720"/>
      <c r="H2720"/>
      <c r="I2720"/>
      <c r="J2720"/>
    </row>
    <row r="2721" spans="1:10" x14ac:dyDescent="0.25">
      <c r="A2721" s="90">
        <v>39106</v>
      </c>
      <c r="B2721" s="17">
        <v>28.94</v>
      </c>
      <c r="C2721" s="17"/>
      <c r="F2721"/>
      <c r="G2721"/>
      <c r="H2721"/>
      <c r="I2721"/>
      <c r="J2721"/>
    </row>
    <row r="2722" spans="1:10" x14ac:dyDescent="0.25">
      <c r="A2722" s="90">
        <v>39107</v>
      </c>
      <c r="B2722" s="17">
        <v>28.21</v>
      </c>
      <c r="C2722" s="17"/>
      <c r="F2722"/>
      <c r="G2722"/>
      <c r="H2722"/>
      <c r="I2722"/>
      <c r="J2722"/>
    </row>
    <row r="2723" spans="1:10" x14ac:dyDescent="0.25">
      <c r="A2723" s="90">
        <v>39108</v>
      </c>
      <c r="B2723" s="17">
        <v>28.04</v>
      </c>
      <c r="C2723" s="17"/>
      <c r="F2723"/>
      <c r="G2723"/>
      <c r="H2723"/>
      <c r="I2723"/>
      <c r="J2723"/>
    </row>
    <row r="2724" spans="1:10" x14ac:dyDescent="0.25">
      <c r="A2724" s="90">
        <v>39111</v>
      </c>
      <c r="B2724" s="17">
        <v>27.87</v>
      </c>
      <c r="C2724" s="17"/>
      <c r="F2724"/>
      <c r="G2724"/>
      <c r="H2724"/>
      <c r="I2724"/>
      <c r="J2724"/>
    </row>
    <row r="2725" spans="1:10" x14ac:dyDescent="0.25">
      <c r="A2725" s="90">
        <v>39112</v>
      </c>
      <c r="B2725" s="17">
        <v>28.04</v>
      </c>
      <c r="C2725" s="17"/>
      <c r="F2725"/>
      <c r="G2725"/>
      <c r="H2725"/>
      <c r="I2725"/>
      <c r="J2725"/>
    </row>
    <row r="2726" spans="1:10" x14ac:dyDescent="0.25">
      <c r="A2726" s="90">
        <v>39113</v>
      </c>
      <c r="B2726" s="17">
        <v>28.31</v>
      </c>
      <c r="C2726" s="17"/>
      <c r="F2726"/>
      <c r="G2726"/>
      <c r="H2726"/>
      <c r="I2726"/>
      <c r="J2726"/>
    </row>
    <row r="2727" spans="1:10" x14ac:dyDescent="0.25">
      <c r="A2727" s="90">
        <v>39114</v>
      </c>
      <c r="B2727" s="17">
        <v>28.35</v>
      </c>
      <c r="C2727" s="17"/>
      <c r="F2727"/>
      <c r="G2727"/>
      <c r="H2727"/>
      <c r="I2727"/>
      <c r="J2727"/>
    </row>
    <row r="2728" spans="1:10" x14ac:dyDescent="0.25">
      <c r="A2728" s="90">
        <v>39115</v>
      </c>
      <c r="B2728" s="17">
        <v>28.77</v>
      </c>
      <c r="C2728" s="17"/>
      <c r="F2728"/>
      <c r="G2728"/>
      <c r="H2728"/>
      <c r="I2728"/>
      <c r="J2728"/>
    </row>
    <row r="2729" spans="1:10" x14ac:dyDescent="0.25">
      <c r="A2729" s="90">
        <v>39118</v>
      </c>
      <c r="B2729" s="17">
        <v>28.56</v>
      </c>
      <c r="C2729" s="17"/>
      <c r="F2729"/>
      <c r="G2729"/>
      <c r="H2729"/>
      <c r="I2729"/>
      <c r="J2729"/>
    </row>
    <row r="2730" spans="1:10" x14ac:dyDescent="0.25">
      <c r="A2730" s="90">
        <v>39119</v>
      </c>
      <c r="B2730" s="17">
        <v>29.35</v>
      </c>
      <c r="C2730" s="17"/>
      <c r="F2730"/>
      <c r="G2730"/>
      <c r="H2730"/>
      <c r="I2730"/>
      <c r="J2730"/>
    </row>
    <row r="2731" spans="1:10" x14ac:dyDescent="0.25">
      <c r="A2731" s="90">
        <v>39120</v>
      </c>
      <c r="B2731" s="17">
        <v>29.89</v>
      </c>
      <c r="C2731" s="17"/>
      <c r="F2731"/>
      <c r="G2731"/>
      <c r="H2731"/>
      <c r="I2731"/>
      <c r="J2731"/>
    </row>
    <row r="2732" spans="1:10" x14ac:dyDescent="0.25">
      <c r="A2732" s="90">
        <v>39121</v>
      </c>
      <c r="B2732" s="17">
        <v>30.08</v>
      </c>
      <c r="C2732" s="17"/>
      <c r="F2732"/>
      <c r="G2732"/>
      <c r="H2732"/>
      <c r="I2732"/>
      <c r="J2732"/>
    </row>
    <row r="2733" spans="1:10" x14ac:dyDescent="0.25">
      <c r="A2733" s="90">
        <v>39122</v>
      </c>
      <c r="B2733" s="17">
        <v>29.74</v>
      </c>
      <c r="C2733" s="17"/>
      <c r="F2733"/>
      <c r="G2733"/>
      <c r="H2733"/>
      <c r="I2733"/>
      <c r="J2733"/>
    </row>
    <row r="2734" spans="1:10" x14ac:dyDescent="0.25">
      <c r="A2734" s="90">
        <v>39125</v>
      </c>
      <c r="B2734" s="17">
        <v>29.17</v>
      </c>
      <c r="C2734" s="17"/>
      <c r="F2734"/>
      <c r="G2734"/>
      <c r="H2734"/>
      <c r="I2734"/>
      <c r="J2734"/>
    </row>
    <row r="2735" spans="1:10" x14ac:dyDescent="0.25">
      <c r="A2735" s="90">
        <v>39126</v>
      </c>
      <c r="B2735" s="17">
        <v>29.56</v>
      </c>
      <c r="C2735" s="17"/>
      <c r="F2735"/>
      <c r="G2735"/>
      <c r="H2735"/>
      <c r="I2735"/>
      <c r="J2735"/>
    </row>
    <row r="2736" spans="1:10" x14ac:dyDescent="0.25">
      <c r="A2736" s="90">
        <v>39127</v>
      </c>
      <c r="B2736" s="17">
        <v>30.66</v>
      </c>
      <c r="C2736" s="17"/>
      <c r="F2736"/>
      <c r="G2736"/>
      <c r="H2736"/>
      <c r="I2736"/>
      <c r="J2736"/>
    </row>
    <row r="2737" spans="1:10" x14ac:dyDescent="0.25">
      <c r="A2737" s="90">
        <v>39128</v>
      </c>
      <c r="B2737" s="17">
        <v>31.25</v>
      </c>
      <c r="C2737" s="17"/>
      <c r="F2737"/>
      <c r="G2737"/>
      <c r="H2737"/>
      <c r="I2737"/>
      <c r="J2737"/>
    </row>
    <row r="2738" spans="1:10" x14ac:dyDescent="0.25">
      <c r="A2738" s="90">
        <v>39129</v>
      </c>
      <c r="B2738" s="17">
        <v>31.91</v>
      </c>
      <c r="C2738" s="17"/>
      <c r="F2738"/>
      <c r="G2738"/>
      <c r="H2738"/>
      <c r="I2738"/>
      <c r="J2738"/>
    </row>
    <row r="2739" spans="1:10" x14ac:dyDescent="0.25">
      <c r="A2739" s="90">
        <v>39133</v>
      </c>
      <c r="B2739" s="17">
        <v>32.01</v>
      </c>
      <c r="C2739" s="17"/>
      <c r="F2739"/>
      <c r="G2739"/>
      <c r="H2739"/>
      <c r="I2739"/>
      <c r="J2739"/>
    </row>
    <row r="2740" spans="1:10" x14ac:dyDescent="0.25">
      <c r="A2740" s="90">
        <v>39134</v>
      </c>
      <c r="B2740" s="17">
        <v>31.65</v>
      </c>
      <c r="C2740" s="17"/>
      <c r="F2740"/>
      <c r="G2740"/>
      <c r="H2740"/>
      <c r="I2740"/>
      <c r="J2740"/>
    </row>
    <row r="2741" spans="1:10" x14ac:dyDescent="0.25">
      <c r="A2741" s="90">
        <v>39135</v>
      </c>
      <c r="B2741" s="17">
        <v>31.6</v>
      </c>
      <c r="C2741" s="17"/>
      <c r="F2741"/>
      <c r="G2741"/>
      <c r="H2741"/>
      <c r="I2741"/>
      <c r="J2741"/>
    </row>
    <row r="2742" spans="1:10" x14ac:dyDescent="0.25">
      <c r="A2742" s="90">
        <v>39136</v>
      </c>
      <c r="B2742" s="17">
        <v>32.1</v>
      </c>
      <c r="C2742" s="17"/>
      <c r="F2742"/>
      <c r="G2742"/>
      <c r="H2742"/>
      <c r="I2742"/>
      <c r="J2742"/>
    </row>
    <row r="2743" spans="1:10" x14ac:dyDescent="0.25">
      <c r="A2743" s="90">
        <v>39139</v>
      </c>
      <c r="B2743" s="17">
        <v>32.11</v>
      </c>
      <c r="C2743" s="17"/>
      <c r="F2743"/>
      <c r="G2743"/>
      <c r="H2743"/>
      <c r="I2743"/>
      <c r="J2743"/>
    </row>
    <row r="2744" spans="1:10" x14ac:dyDescent="0.25">
      <c r="A2744" s="90">
        <v>39140</v>
      </c>
      <c r="B2744" s="17">
        <v>30.95</v>
      </c>
      <c r="C2744" s="17"/>
      <c r="F2744"/>
      <c r="G2744"/>
      <c r="H2744"/>
      <c r="I2744"/>
      <c r="J2744"/>
    </row>
    <row r="2745" spans="1:10" x14ac:dyDescent="0.25">
      <c r="A2745" s="90">
        <v>39141</v>
      </c>
      <c r="B2745" s="17">
        <v>30.86</v>
      </c>
      <c r="C2745" s="17"/>
      <c r="F2745"/>
      <c r="G2745"/>
      <c r="H2745"/>
      <c r="I2745"/>
      <c r="J2745"/>
    </row>
    <row r="2746" spans="1:10" x14ac:dyDescent="0.25">
      <c r="A2746" s="90">
        <v>39142</v>
      </c>
      <c r="B2746" s="17">
        <v>30.86</v>
      </c>
      <c r="C2746" s="17"/>
      <c r="F2746"/>
      <c r="G2746"/>
      <c r="H2746"/>
      <c r="I2746"/>
      <c r="J2746"/>
    </row>
    <row r="2747" spans="1:10" x14ac:dyDescent="0.25">
      <c r="A2747" s="90">
        <v>39143</v>
      </c>
      <c r="B2747" s="17">
        <v>30.42</v>
      </c>
      <c r="C2747" s="17"/>
      <c r="F2747"/>
      <c r="G2747"/>
      <c r="H2747"/>
      <c r="I2747"/>
      <c r="J2747"/>
    </row>
    <row r="2748" spans="1:10" x14ac:dyDescent="0.25">
      <c r="A2748" s="90">
        <v>39146</v>
      </c>
      <c r="B2748" s="17">
        <v>30.31</v>
      </c>
      <c r="C2748" s="17"/>
      <c r="F2748"/>
      <c r="G2748"/>
      <c r="H2748"/>
      <c r="I2748"/>
      <c r="J2748"/>
    </row>
    <row r="2749" spans="1:10" x14ac:dyDescent="0.25">
      <c r="A2749" s="90">
        <v>39147</v>
      </c>
      <c r="B2749" s="17">
        <v>30.8</v>
      </c>
      <c r="C2749" s="17"/>
      <c r="F2749"/>
      <c r="G2749"/>
      <c r="H2749"/>
      <c r="I2749"/>
      <c r="J2749"/>
    </row>
    <row r="2750" spans="1:10" x14ac:dyDescent="0.25">
      <c r="A2750" s="90">
        <v>39148</v>
      </c>
      <c r="B2750" s="17">
        <v>30.39</v>
      </c>
      <c r="C2750" s="17"/>
      <c r="F2750"/>
      <c r="G2750"/>
      <c r="H2750"/>
      <c r="I2750"/>
      <c r="J2750"/>
    </row>
    <row r="2751" spans="1:10" x14ac:dyDescent="0.25">
      <c r="A2751" s="90">
        <v>39149</v>
      </c>
      <c r="B2751" s="17">
        <v>30.71</v>
      </c>
      <c r="C2751" s="17"/>
      <c r="F2751"/>
      <c r="G2751"/>
      <c r="H2751"/>
      <c r="I2751"/>
      <c r="J2751"/>
    </row>
    <row r="2752" spans="1:10" x14ac:dyDescent="0.25">
      <c r="A2752" s="90">
        <v>39150</v>
      </c>
      <c r="B2752" s="17">
        <v>29.12</v>
      </c>
      <c r="C2752" s="17"/>
      <c r="F2752"/>
      <c r="G2752"/>
      <c r="H2752"/>
      <c r="I2752"/>
      <c r="J2752"/>
    </row>
    <row r="2753" spans="1:10" x14ac:dyDescent="0.25">
      <c r="A2753" s="90">
        <v>39153</v>
      </c>
      <c r="B2753" s="17">
        <v>29.99</v>
      </c>
      <c r="C2753" s="17"/>
      <c r="F2753"/>
      <c r="G2753"/>
      <c r="H2753"/>
      <c r="I2753"/>
      <c r="J2753"/>
    </row>
    <row r="2754" spans="1:10" x14ac:dyDescent="0.25">
      <c r="A2754" s="90">
        <v>39154</v>
      </c>
      <c r="B2754" s="17">
        <v>29.56</v>
      </c>
      <c r="C2754" s="17"/>
      <c r="F2754"/>
      <c r="G2754"/>
      <c r="H2754"/>
      <c r="I2754"/>
      <c r="J2754"/>
    </row>
    <row r="2755" spans="1:10" x14ac:dyDescent="0.25">
      <c r="A2755" s="90">
        <v>39155</v>
      </c>
      <c r="B2755" s="17">
        <v>29.86</v>
      </c>
      <c r="C2755" s="17"/>
      <c r="F2755"/>
      <c r="G2755"/>
      <c r="H2755"/>
      <c r="I2755"/>
      <c r="J2755"/>
    </row>
    <row r="2756" spans="1:10" x14ac:dyDescent="0.25">
      <c r="A2756" s="90">
        <v>39156</v>
      </c>
      <c r="B2756" s="17">
        <v>30.06</v>
      </c>
      <c r="C2756" s="17"/>
      <c r="F2756"/>
      <c r="G2756"/>
      <c r="H2756"/>
      <c r="I2756"/>
      <c r="J2756"/>
    </row>
    <row r="2757" spans="1:10" x14ac:dyDescent="0.25">
      <c r="A2757" s="90">
        <v>39157</v>
      </c>
      <c r="B2757" s="17">
        <v>29.88</v>
      </c>
      <c r="C2757" s="17"/>
      <c r="F2757"/>
      <c r="G2757"/>
      <c r="H2757"/>
      <c r="I2757"/>
      <c r="J2757"/>
    </row>
    <row r="2758" spans="1:10" x14ac:dyDescent="0.25">
      <c r="A2758" s="90">
        <v>39160</v>
      </c>
      <c r="B2758" s="17">
        <v>30.03</v>
      </c>
      <c r="C2758" s="17"/>
      <c r="F2758"/>
      <c r="G2758"/>
      <c r="H2758"/>
      <c r="I2758"/>
      <c r="J2758"/>
    </row>
    <row r="2759" spans="1:10" x14ac:dyDescent="0.25">
      <c r="A2759" s="90">
        <v>39161</v>
      </c>
      <c r="B2759" s="17">
        <v>30.33</v>
      </c>
      <c r="C2759" s="17"/>
      <c r="F2759"/>
      <c r="G2759"/>
      <c r="H2759"/>
      <c r="I2759"/>
      <c r="J2759"/>
    </row>
    <row r="2760" spans="1:10" x14ac:dyDescent="0.25">
      <c r="A2760" s="90">
        <v>39162</v>
      </c>
      <c r="B2760" s="17">
        <v>31.29</v>
      </c>
      <c r="C2760" s="17"/>
      <c r="F2760"/>
      <c r="G2760"/>
      <c r="H2760"/>
      <c r="I2760"/>
      <c r="J2760"/>
    </row>
    <row r="2761" spans="1:10" x14ac:dyDescent="0.25">
      <c r="A2761" s="90">
        <v>39163</v>
      </c>
      <c r="B2761" s="17">
        <v>31.26</v>
      </c>
      <c r="C2761" s="17"/>
      <c r="F2761"/>
      <c r="G2761"/>
      <c r="H2761"/>
      <c r="I2761"/>
      <c r="J2761"/>
    </row>
    <row r="2762" spans="1:10" x14ac:dyDescent="0.25">
      <c r="A2762" s="90">
        <v>39164</v>
      </c>
      <c r="B2762" s="17">
        <v>31.36</v>
      </c>
      <c r="C2762" s="17"/>
      <c r="F2762"/>
      <c r="G2762"/>
      <c r="H2762"/>
      <c r="I2762"/>
      <c r="J2762"/>
    </row>
    <row r="2763" spans="1:10" x14ac:dyDescent="0.25">
      <c r="A2763" s="90">
        <v>39167</v>
      </c>
      <c r="B2763" s="17">
        <v>31.66</v>
      </c>
      <c r="C2763" s="17"/>
      <c r="F2763"/>
      <c r="G2763"/>
      <c r="H2763"/>
      <c r="I2763"/>
      <c r="J2763"/>
    </row>
    <row r="2764" spans="1:10" x14ac:dyDescent="0.25">
      <c r="A2764" s="90">
        <v>39168</v>
      </c>
      <c r="B2764" s="17">
        <v>31.55</v>
      </c>
      <c r="C2764" s="17"/>
      <c r="F2764"/>
      <c r="G2764"/>
      <c r="H2764"/>
      <c r="I2764"/>
      <c r="J2764"/>
    </row>
    <row r="2765" spans="1:10" x14ac:dyDescent="0.25">
      <c r="A2765" s="90">
        <v>39169</v>
      </c>
      <c r="B2765" s="17">
        <v>31.41</v>
      </c>
      <c r="C2765" s="17"/>
      <c r="F2765"/>
      <c r="G2765"/>
      <c r="H2765"/>
      <c r="I2765"/>
      <c r="J2765"/>
    </row>
    <row r="2766" spans="1:10" x14ac:dyDescent="0.25">
      <c r="A2766" s="90">
        <v>39170</v>
      </c>
      <c r="B2766" s="17">
        <v>31.34</v>
      </c>
      <c r="C2766" s="17"/>
      <c r="F2766"/>
      <c r="G2766"/>
      <c r="H2766"/>
      <c r="I2766"/>
      <c r="J2766"/>
    </row>
    <row r="2767" spans="1:10" x14ac:dyDescent="0.25">
      <c r="A2767" s="90">
        <v>39171</v>
      </c>
      <c r="B2767" s="17">
        <v>31.29</v>
      </c>
      <c r="C2767" s="17"/>
      <c r="F2767"/>
      <c r="G2767"/>
      <c r="H2767"/>
      <c r="I2767"/>
      <c r="J2767"/>
    </row>
    <row r="2768" spans="1:10" x14ac:dyDescent="0.25">
      <c r="A2768" s="90">
        <v>39174</v>
      </c>
      <c r="B2768" s="17">
        <v>31.28</v>
      </c>
      <c r="C2768" s="17"/>
      <c r="F2768"/>
      <c r="G2768"/>
      <c r="H2768"/>
      <c r="I2768"/>
      <c r="J2768"/>
    </row>
    <row r="2769" spans="1:10" x14ac:dyDescent="0.25">
      <c r="A2769" s="90">
        <v>39175</v>
      </c>
      <c r="B2769" s="17">
        <v>31.72</v>
      </c>
      <c r="C2769" s="17"/>
      <c r="F2769"/>
      <c r="G2769"/>
      <c r="H2769"/>
      <c r="I2769"/>
      <c r="J2769"/>
    </row>
    <row r="2770" spans="1:10" x14ac:dyDescent="0.25">
      <c r="A2770" s="90">
        <v>39176</v>
      </c>
      <c r="B2770" s="17">
        <v>31.62</v>
      </c>
      <c r="C2770" s="17"/>
      <c r="F2770"/>
      <c r="G2770"/>
      <c r="H2770"/>
      <c r="I2770"/>
      <c r="J2770"/>
    </row>
    <row r="2771" spans="1:10" x14ac:dyDescent="0.25">
      <c r="A2771" s="90">
        <v>39177</v>
      </c>
      <c r="B2771" s="17">
        <v>31.96</v>
      </c>
      <c r="C2771" s="17"/>
      <c r="F2771"/>
      <c r="G2771"/>
      <c r="H2771"/>
      <c r="I2771"/>
      <c r="J2771"/>
    </row>
    <row r="2772" spans="1:10" x14ac:dyDescent="0.25">
      <c r="A2772" s="90">
        <v>39181</v>
      </c>
      <c r="B2772" s="17">
        <v>31.64</v>
      </c>
      <c r="C2772" s="17"/>
      <c r="F2772"/>
      <c r="G2772"/>
      <c r="H2772"/>
      <c r="I2772"/>
      <c r="J2772"/>
    </row>
    <row r="2773" spans="1:10" x14ac:dyDescent="0.25">
      <c r="A2773" s="90">
        <v>39182</v>
      </c>
      <c r="B2773" s="17">
        <v>31.69</v>
      </c>
      <c r="C2773" s="17"/>
      <c r="F2773"/>
      <c r="G2773"/>
      <c r="H2773"/>
      <c r="I2773"/>
      <c r="J2773"/>
    </row>
    <row r="2774" spans="1:10" x14ac:dyDescent="0.25">
      <c r="A2774" s="90">
        <v>39183</v>
      </c>
      <c r="B2774" s="17">
        <v>31.17</v>
      </c>
      <c r="C2774" s="17"/>
      <c r="F2774"/>
      <c r="G2774"/>
      <c r="H2774"/>
      <c r="I2774"/>
      <c r="J2774"/>
    </row>
    <row r="2775" spans="1:10" x14ac:dyDescent="0.25">
      <c r="A2775" s="90">
        <v>39184</v>
      </c>
      <c r="B2775" s="17">
        <v>31.21</v>
      </c>
      <c r="C2775" s="17"/>
      <c r="F2775"/>
      <c r="G2775"/>
      <c r="H2775"/>
      <c r="I2775"/>
      <c r="J2775"/>
    </row>
    <row r="2776" spans="1:10" x14ac:dyDescent="0.25">
      <c r="A2776" s="90">
        <v>39185</v>
      </c>
      <c r="B2776" s="17">
        <v>31.41</v>
      </c>
      <c r="C2776" s="17"/>
      <c r="F2776"/>
      <c r="G2776"/>
      <c r="H2776"/>
      <c r="I2776"/>
      <c r="J2776"/>
    </row>
    <row r="2777" spans="1:10" x14ac:dyDescent="0.25">
      <c r="A2777" s="90">
        <v>39188</v>
      </c>
      <c r="B2777" s="17">
        <v>31.61</v>
      </c>
      <c r="C2777" s="17"/>
      <c r="F2777"/>
      <c r="G2777"/>
      <c r="H2777"/>
      <c r="I2777"/>
      <c r="J2777"/>
    </row>
    <row r="2778" spans="1:10" x14ac:dyDescent="0.25">
      <c r="A2778" s="90">
        <v>39189</v>
      </c>
      <c r="B2778" s="17">
        <v>32.090000000000003</v>
      </c>
      <c r="C2778" s="17"/>
      <c r="F2778"/>
      <c r="G2778"/>
      <c r="H2778"/>
      <c r="I2778"/>
      <c r="J2778"/>
    </row>
    <row r="2779" spans="1:10" x14ac:dyDescent="0.25">
      <c r="A2779" s="90">
        <v>39190</v>
      </c>
      <c r="B2779" s="17">
        <v>28.31</v>
      </c>
      <c r="C2779" s="17"/>
      <c r="F2779"/>
      <c r="G2779"/>
      <c r="H2779"/>
      <c r="I2779"/>
      <c r="J2779"/>
    </row>
    <row r="2780" spans="1:10" x14ac:dyDescent="0.25">
      <c r="A2780" s="90">
        <v>39191</v>
      </c>
      <c r="B2780" s="17">
        <v>27.51</v>
      </c>
      <c r="C2780" s="17"/>
      <c r="F2780"/>
      <c r="G2780"/>
      <c r="H2780"/>
      <c r="I2780"/>
      <c r="J2780"/>
    </row>
    <row r="2781" spans="1:10" x14ac:dyDescent="0.25">
      <c r="A2781" s="90">
        <v>39192</v>
      </c>
      <c r="B2781" s="17">
        <v>27.46</v>
      </c>
      <c r="C2781" s="17"/>
      <c r="F2781"/>
      <c r="G2781"/>
      <c r="H2781"/>
      <c r="I2781"/>
      <c r="J2781"/>
    </row>
    <row r="2782" spans="1:10" x14ac:dyDescent="0.25">
      <c r="A2782" s="90">
        <v>39195</v>
      </c>
      <c r="B2782" s="17">
        <v>27.88</v>
      </c>
      <c r="C2782" s="17"/>
      <c r="F2782"/>
      <c r="G2782"/>
      <c r="H2782"/>
      <c r="I2782"/>
      <c r="J2782"/>
    </row>
    <row r="2783" spans="1:10" x14ac:dyDescent="0.25">
      <c r="A2783" s="90">
        <v>39196</v>
      </c>
      <c r="B2783" s="17">
        <v>28.02</v>
      </c>
      <c r="C2783" s="17"/>
      <c r="F2783"/>
      <c r="G2783"/>
      <c r="H2783"/>
      <c r="I2783"/>
      <c r="J2783"/>
    </row>
    <row r="2784" spans="1:10" x14ac:dyDescent="0.25">
      <c r="A2784" s="90">
        <v>39197</v>
      </c>
      <c r="B2784" s="17">
        <v>28.06</v>
      </c>
      <c r="C2784" s="17"/>
      <c r="F2784"/>
      <c r="G2784"/>
      <c r="H2784"/>
      <c r="I2784"/>
      <c r="J2784"/>
    </row>
    <row r="2785" spans="1:10" x14ac:dyDescent="0.25">
      <c r="A2785" s="90">
        <v>39198</v>
      </c>
      <c r="B2785" s="17">
        <v>28.49</v>
      </c>
      <c r="C2785" s="17"/>
      <c r="F2785"/>
      <c r="G2785"/>
      <c r="H2785"/>
      <c r="I2785"/>
      <c r="J2785"/>
    </row>
    <row r="2786" spans="1:10" x14ac:dyDescent="0.25">
      <c r="A2786" s="90">
        <v>39199</v>
      </c>
      <c r="B2786" s="17">
        <v>28.34</v>
      </c>
      <c r="C2786" s="17"/>
      <c r="F2786"/>
      <c r="G2786"/>
      <c r="H2786"/>
      <c r="I2786"/>
      <c r="J2786"/>
    </row>
    <row r="2787" spans="1:10" x14ac:dyDescent="0.25">
      <c r="A2787" s="90">
        <v>39202</v>
      </c>
      <c r="B2787" s="17">
        <v>28.04</v>
      </c>
      <c r="C2787" s="17"/>
      <c r="F2787"/>
      <c r="G2787"/>
      <c r="H2787"/>
      <c r="I2787"/>
      <c r="J2787"/>
    </row>
    <row r="2788" spans="1:10" x14ac:dyDescent="0.25">
      <c r="A2788" s="90">
        <v>39203</v>
      </c>
      <c r="B2788" s="17">
        <v>27.73</v>
      </c>
      <c r="C2788" s="17"/>
      <c r="F2788"/>
      <c r="G2788"/>
      <c r="H2788"/>
      <c r="I2788"/>
      <c r="J2788"/>
    </row>
    <row r="2789" spans="1:10" x14ac:dyDescent="0.25">
      <c r="A2789" s="90">
        <v>39204</v>
      </c>
      <c r="B2789" s="17">
        <v>28.12</v>
      </c>
      <c r="C2789" s="17"/>
      <c r="F2789"/>
      <c r="G2789"/>
      <c r="H2789"/>
      <c r="I2789"/>
      <c r="J2789"/>
    </row>
    <row r="2790" spans="1:10" x14ac:dyDescent="0.25">
      <c r="A2790" s="90">
        <v>39205</v>
      </c>
      <c r="B2790" s="17">
        <v>28.18</v>
      </c>
      <c r="C2790" s="17"/>
      <c r="F2790"/>
      <c r="G2790"/>
      <c r="H2790"/>
      <c r="I2790"/>
      <c r="J2790"/>
    </row>
    <row r="2791" spans="1:10" x14ac:dyDescent="0.25">
      <c r="A2791" s="90">
        <v>39206</v>
      </c>
      <c r="B2791" s="17">
        <v>30.98</v>
      </c>
      <c r="C2791" s="17"/>
      <c r="F2791"/>
      <c r="G2791"/>
      <c r="H2791"/>
      <c r="I2791"/>
      <c r="J2791"/>
    </row>
    <row r="2792" spans="1:10" x14ac:dyDescent="0.25">
      <c r="A2792" s="90">
        <v>39209</v>
      </c>
      <c r="B2792" s="17">
        <v>30.38</v>
      </c>
      <c r="C2792" s="17"/>
      <c r="F2792"/>
      <c r="G2792"/>
      <c r="H2792"/>
      <c r="I2792"/>
      <c r="J2792"/>
    </row>
    <row r="2793" spans="1:10" x14ac:dyDescent="0.25">
      <c r="A2793" s="90">
        <v>39210</v>
      </c>
      <c r="B2793" s="17">
        <v>30.41</v>
      </c>
      <c r="C2793" s="17"/>
      <c r="F2793"/>
      <c r="G2793"/>
      <c r="H2793"/>
      <c r="I2793"/>
      <c r="J2793"/>
    </row>
    <row r="2794" spans="1:10" x14ac:dyDescent="0.25">
      <c r="A2794" s="90">
        <v>39211</v>
      </c>
      <c r="B2794" s="17">
        <v>30.22</v>
      </c>
      <c r="C2794" s="17"/>
      <c r="F2794"/>
      <c r="G2794"/>
      <c r="H2794"/>
      <c r="I2794"/>
      <c r="J2794"/>
    </row>
    <row r="2795" spans="1:10" x14ac:dyDescent="0.25">
      <c r="A2795" s="90">
        <v>39212</v>
      </c>
      <c r="B2795" s="17">
        <v>29.7</v>
      </c>
      <c r="C2795" s="17"/>
      <c r="F2795"/>
      <c r="G2795"/>
      <c r="H2795"/>
      <c r="I2795"/>
      <c r="J2795"/>
    </row>
    <row r="2796" spans="1:10" x14ac:dyDescent="0.25">
      <c r="A2796" s="90">
        <v>39213</v>
      </c>
      <c r="B2796" s="17">
        <v>30.05</v>
      </c>
      <c r="C2796" s="17"/>
      <c r="F2796"/>
      <c r="G2796"/>
      <c r="H2796"/>
      <c r="I2796"/>
      <c r="J2796"/>
    </row>
    <row r="2797" spans="1:10" x14ac:dyDescent="0.25">
      <c r="A2797" s="90">
        <v>39216</v>
      </c>
      <c r="B2797" s="17">
        <v>29.31</v>
      </c>
      <c r="C2797" s="17"/>
      <c r="F2797"/>
      <c r="G2797"/>
      <c r="H2797"/>
      <c r="I2797"/>
      <c r="J2797"/>
    </row>
    <row r="2798" spans="1:10" x14ac:dyDescent="0.25">
      <c r="A2798" s="90">
        <v>39217</v>
      </c>
      <c r="B2798" s="17">
        <v>28.81</v>
      </c>
      <c r="C2798" s="17"/>
      <c r="F2798"/>
      <c r="G2798"/>
      <c r="H2798"/>
      <c r="I2798"/>
      <c r="J2798"/>
    </row>
    <row r="2799" spans="1:10" x14ac:dyDescent="0.25">
      <c r="A2799" s="90">
        <v>39218</v>
      </c>
      <c r="B2799" s="17">
        <v>29.21</v>
      </c>
      <c r="C2799" s="17"/>
      <c r="F2799"/>
      <c r="G2799"/>
      <c r="H2799"/>
      <c r="I2799"/>
      <c r="J2799"/>
    </row>
    <row r="2800" spans="1:10" x14ac:dyDescent="0.25">
      <c r="A2800" s="90">
        <v>39219</v>
      </c>
      <c r="B2800" s="17">
        <v>28.57</v>
      </c>
      <c r="C2800" s="17"/>
      <c r="F2800"/>
      <c r="G2800"/>
      <c r="H2800"/>
      <c r="I2800"/>
      <c r="J2800"/>
    </row>
    <row r="2801" spans="1:10" x14ac:dyDescent="0.25">
      <c r="A2801" s="90">
        <v>39220</v>
      </c>
      <c r="B2801" s="17">
        <v>29.75</v>
      </c>
      <c r="C2801" s="17"/>
      <c r="F2801"/>
      <c r="G2801"/>
      <c r="H2801"/>
      <c r="I2801"/>
      <c r="J2801"/>
    </row>
    <row r="2802" spans="1:10" x14ac:dyDescent="0.25">
      <c r="A2802" s="90">
        <v>39223</v>
      </c>
      <c r="B2802" s="17">
        <v>29.35</v>
      </c>
      <c r="C2802" s="17"/>
      <c r="F2802"/>
      <c r="G2802"/>
      <c r="H2802"/>
      <c r="I2802"/>
      <c r="J2802"/>
    </row>
    <row r="2803" spans="1:10" x14ac:dyDescent="0.25">
      <c r="A2803" s="90">
        <v>39224</v>
      </c>
      <c r="B2803" s="17">
        <v>28.92</v>
      </c>
      <c r="C2803" s="17"/>
      <c r="F2803"/>
      <c r="G2803"/>
      <c r="H2803"/>
      <c r="I2803"/>
      <c r="J2803"/>
    </row>
    <row r="2804" spans="1:10" x14ac:dyDescent="0.25">
      <c r="A2804" s="90">
        <v>39225</v>
      </c>
      <c r="B2804" s="17">
        <v>28.61</v>
      </c>
      <c r="C2804" s="17"/>
      <c r="F2804"/>
      <c r="G2804"/>
      <c r="H2804"/>
      <c r="I2804"/>
      <c r="J2804"/>
    </row>
    <row r="2805" spans="1:10" x14ac:dyDescent="0.25">
      <c r="A2805" s="90">
        <v>39226</v>
      </c>
      <c r="B2805" s="17">
        <v>28.41</v>
      </c>
      <c r="C2805" s="17"/>
      <c r="F2805"/>
      <c r="G2805"/>
      <c r="H2805"/>
      <c r="I2805"/>
      <c r="J2805"/>
    </row>
    <row r="2806" spans="1:10" x14ac:dyDescent="0.25">
      <c r="A2806" s="90">
        <v>39227</v>
      </c>
      <c r="B2806" s="17">
        <v>28.58</v>
      </c>
      <c r="C2806" s="17"/>
      <c r="F2806"/>
      <c r="G2806"/>
      <c r="H2806"/>
      <c r="I2806"/>
      <c r="J2806"/>
    </row>
    <row r="2807" spans="1:10" x14ac:dyDescent="0.25">
      <c r="A2807" s="90">
        <v>39231</v>
      </c>
      <c r="B2807" s="17">
        <v>28.4</v>
      </c>
      <c r="C2807" s="17"/>
      <c r="F2807"/>
      <c r="G2807"/>
      <c r="H2807"/>
      <c r="I2807"/>
      <c r="J2807"/>
    </row>
    <row r="2808" spans="1:10" x14ac:dyDescent="0.25">
      <c r="A2808" s="90">
        <v>39232</v>
      </c>
      <c r="B2808" s="17">
        <v>28.38</v>
      </c>
      <c r="C2808" s="17"/>
      <c r="F2808"/>
      <c r="G2808"/>
      <c r="H2808"/>
      <c r="I2808"/>
      <c r="J2808"/>
    </row>
    <row r="2809" spans="1:10" x14ac:dyDescent="0.25">
      <c r="A2809" s="90">
        <v>39233</v>
      </c>
      <c r="B2809" s="17">
        <v>28.7</v>
      </c>
      <c r="C2809" s="17"/>
      <c r="F2809"/>
      <c r="G2809"/>
      <c r="H2809"/>
      <c r="I2809"/>
      <c r="J2809"/>
    </row>
    <row r="2810" spans="1:10" x14ac:dyDescent="0.25">
      <c r="A2810" s="90">
        <v>39234</v>
      </c>
      <c r="B2810" s="17">
        <v>28.78</v>
      </c>
      <c r="C2810" s="17"/>
      <c r="F2810"/>
      <c r="G2810"/>
      <c r="H2810"/>
      <c r="I2810"/>
      <c r="J2810"/>
    </row>
    <row r="2811" spans="1:10" x14ac:dyDescent="0.25">
      <c r="A2811" s="90">
        <v>39237</v>
      </c>
      <c r="B2811" s="17">
        <v>28.59</v>
      </c>
      <c r="C2811" s="17"/>
      <c r="F2811"/>
      <c r="G2811"/>
      <c r="H2811"/>
      <c r="I2811"/>
      <c r="J2811"/>
    </row>
    <row r="2812" spans="1:10" x14ac:dyDescent="0.25">
      <c r="A2812" s="90">
        <v>39238</v>
      </c>
      <c r="B2812" s="17">
        <v>28.23</v>
      </c>
      <c r="C2812" s="17"/>
      <c r="F2812"/>
      <c r="G2812"/>
      <c r="H2812"/>
      <c r="I2812"/>
      <c r="J2812"/>
    </row>
    <row r="2813" spans="1:10" x14ac:dyDescent="0.25">
      <c r="A2813" s="90">
        <v>39239</v>
      </c>
      <c r="B2813" s="17">
        <v>27.44</v>
      </c>
      <c r="C2813" s="17"/>
      <c r="F2813"/>
      <c r="G2813"/>
      <c r="H2813"/>
      <c r="I2813"/>
      <c r="J2813"/>
    </row>
    <row r="2814" spans="1:10" x14ac:dyDescent="0.25">
      <c r="A2814" s="90">
        <v>39240</v>
      </c>
      <c r="B2814" s="17">
        <v>26.98</v>
      </c>
      <c r="C2814" s="17"/>
      <c r="F2814"/>
      <c r="G2814"/>
      <c r="H2814"/>
      <c r="I2814"/>
      <c r="J2814"/>
    </row>
    <row r="2815" spans="1:10" x14ac:dyDescent="0.25">
      <c r="A2815" s="90">
        <v>39241</v>
      </c>
      <c r="B2815" s="17">
        <v>27.39</v>
      </c>
      <c r="C2815" s="17"/>
      <c r="F2815"/>
      <c r="G2815"/>
      <c r="H2815"/>
      <c r="I2815"/>
      <c r="J2815"/>
    </row>
    <row r="2816" spans="1:10" x14ac:dyDescent="0.25">
      <c r="A2816" s="90">
        <v>39244</v>
      </c>
      <c r="B2816" s="17">
        <v>27.35</v>
      </c>
      <c r="C2816" s="17"/>
      <c r="F2816"/>
      <c r="G2816"/>
      <c r="H2816"/>
      <c r="I2816"/>
      <c r="J2816"/>
    </row>
    <row r="2817" spans="1:10" x14ac:dyDescent="0.25">
      <c r="A2817" s="90">
        <v>39245</v>
      </c>
      <c r="B2817" s="17">
        <v>27.05</v>
      </c>
      <c r="C2817" s="17"/>
      <c r="F2817"/>
      <c r="G2817"/>
      <c r="H2817"/>
      <c r="I2817"/>
      <c r="J2817"/>
    </row>
    <row r="2818" spans="1:10" x14ac:dyDescent="0.25">
      <c r="A2818" s="90">
        <v>39246</v>
      </c>
      <c r="B2818" s="17">
        <v>27.38</v>
      </c>
      <c r="C2818" s="17"/>
      <c r="F2818"/>
      <c r="G2818"/>
      <c r="H2818"/>
      <c r="I2818"/>
      <c r="J2818"/>
    </row>
    <row r="2819" spans="1:10" x14ac:dyDescent="0.25">
      <c r="A2819" s="90">
        <v>39247</v>
      </c>
      <c r="B2819" s="17">
        <v>27.3</v>
      </c>
      <c r="C2819" s="17"/>
      <c r="F2819"/>
      <c r="G2819"/>
      <c r="H2819"/>
      <c r="I2819"/>
      <c r="J2819"/>
    </row>
    <row r="2820" spans="1:10" x14ac:dyDescent="0.25">
      <c r="A2820" s="90">
        <v>39248</v>
      </c>
      <c r="B2820" s="17">
        <v>27.31</v>
      </c>
      <c r="C2820" s="17"/>
      <c r="F2820"/>
      <c r="G2820"/>
      <c r="H2820"/>
      <c r="I2820"/>
      <c r="J2820"/>
    </row>
    <row r="2821" spans="1:10" x14ac:dyDescent="0.25">
      <c r="A2821" s="90">
        <v>39251</v>
      </c>
      <c r="B2821" s="17">
        <v>28.12</v>
      </c>
      <c r="C2821" s="17"/>
      <c r="F2821"/>
      <c r="G2821"/>
      <c r="H2821"/>
      <c r="I2821"/>
      <c r="J2821"/>
    </row>
    <row r="2822" spans="1:10" x14ac:dyDescent="0.25">
      <c r="A2822" s="90">
        <v>39252</v>
      </c>
      <c r="B2822" s="17">
        <v>27.63</v>
      </c>
      <c r="C2822" s="17"/>
      <c r="F2822"/>
      <c r="G2822"/>
      <c r="H2822"/>
      <c r="I2822"/>
      <c r="J2822"/>
    </row>
    <row r="2823" spans="1:10" x14ac:dyDescent="0.25">
      <c r="A2823" s="90">
        <v>39253</v>
      </c>
      <c r="B2823" s="17">
        <v>27.66</v>
      </c>
      <c r="C2823" s="17"/>
      <c r="F2823"/>
      <c r="G2823"/>
      <c r="H2823"/>
      <c r="I2823"/>
      <c r="J2823"/>
    </row>
    <row r="2824" spans="1:10" x14ac:dyDescent="0.25">
      <c r="A2824" s="90">
        <v>39254</v>
      </c>
      <c r="B2824" s="17">
        <v>27.67</v>
      </c>
      <c r="C2824" s="17"/>
      <c r="F2824"/>
      <c r="G2824"/>
      <c r="H2824"/>
      <c r="I2824"/>
      <c r="J2824"/>
    </row>
    <row r="2825" spans="1:10" x14ac:dyDescent="0.25">
      <c r="A2825" s="90">
        <v>39255</v>
      </c>
      <c r="B2825" s="17">
        <v>27.38</v>
      </c>
      <c r="C2825" s="17"/>
      <c r="F2825"/>
      <c r="G2825"/>
      <c r="H2825"/>
      <c r="I2825"/>
      <c r="J2825"/>
    </row>
    <row r="2826" spans="1:10" x14ac:dyDescent="0.25">
      <c r="A2826" s="90">
        <v>39258</v>
      </c>
      <c r="B2826" s="17">
        <v>27.64</v>
      </c>
      <c r="C2826" s="17"/>
      <c r="F2826"/>
      <c r="G2826"/>
      <c r="H2826"/>
      <c r="I2826"/>
      <c r="J2826"/>
    </row>
    <row r="2827" spans="1:10" x14ac:dyDescent="0.25">
      <c r="A2827" s="90">
        <v>39259</v>
      </c>
      <c r="B2827" s="17">
        <v>27.71</v>
      </c>
      <c r="C2827" s="17"/>
      <c r="F2827"/>
      <c r="G2827"/>
      <c r="H2827"/>
      <c r="I2827"/>
      <c r="J2827"/>
    </row>
    <row r="2828" spans="1:10" x14ac:dyDescent="0.25">
      <c r="A2828" s="90">
        <v>39260</v>
      </c>
      <c r="B2828" s="17">
        <v>27.58</v>
      </c>
      <c r="C2828" s="17"/>
      <c r="F2828"/>
      <c r="G2828"/>
      <c r="H2828"/>
      <c r="I2828"/>
      <c r="J2828"/>
    </row>
    <row r="2829" spans="1:10" x14ac:dyDescent="0.25">
      <c r="A2829" s="90">
        <v>39261</v>
      </c>
      <c r="B2829" s="17">
        <v>27.25</v>
      </c>
      <c r="C2829" s="17"/>
      <c r="F2829"/>
      <c r="G2829"/>
      <c r="H2829"/>
      <c r="I2829"/>
      <c r="J2829"/>
    </row>
    <row r="2830" spans="1:10" x14ac:dyDescent="0.25">
      <c r="A2830" s="90">
        <v>39262</v>
      </c>
      <c r="B2830" s="17">
        <v>27.13</v>
      </c>
      <c r="C2830" s="17"/>
      <c r="F2830"/>
      <c r="G2830"/>
      <c r="H2830"/>
      <c r="I2830"/>
      <c r="J2830"/>
    </row>
    <row r="2831" spans="1:10" x14ac:dyDescent="0.25">
      <c r="A2831" s="90">
        <v>39265</v>
      </c>
      <c r="B2831" s="17">
        <v>26.86</v>
      </c>
      <c r="C2831" s="17"/>
      <c r="F2831"/>
      <c r="G2831"/>
      <c r="H2831"/>
      <c r="I2831"/>
      <c r="J2831"/>
    </row>
    <row r="2832" spans="1:10" x14ac:dyDescent="0.25">
      <c r="A2832" s="90">
        <v>39266</v>
      </c>
      <c r="B2832" s="17">
        <v>27</v>
      </c>
      <c r="C2832" s="17"/>
      <c r="F2832"/>
      <c r="G2832"/>
      <c r="H2832"/>
      <c r="I2832"/>
      <c r="J2832"/>
    </row>
    <row r="2833" spans="1:10" x14ac:dyDescent="0.25">
      <c r="A2833" s="90">
        <v>39268</v>
      </c>
      <c r="B2833" s="17">
        <v>26.99</v>
      </c>
      <c r="C2833" s="17"/>
      <c r="F2833"/>
      <c r="G2833"/>
      <c r="H2833"/>
      <c r="I2833"/>
      <c r="J2833"/>
    </row>
    <row r="2834" spans="1:10" x14ac:dyDescent="0.25">
      <c r="A2834" s="90">
        <v>39269</v>
      </c>
      <c r="B2834" s="17">
        <v>27.1</v>
      </c>
      <c r="C2834" s="17"/>
      <c r="F2834"/>
      <c r="G2834"/>
      <c r="H2834"/>
      <c r="I2834"/>
      <c r="J2834"/>
    </row>
    <row r="2835" spans="1:10" x14ac:dyDescent="0.25">
      <c r="A2835" s="90">
        <v>39272</v>
      </c>
      <c r="B2835" s="17">
        <v>27.2</v>
      </c>
      <c r="C2835" s="17"/>
      <c r="F2835"/>
      <c r="G2835"/>
      <c r="H2835"/>
      <c r="I2835"/>
      <c r="J2835"/>
    </row>
    <row r="2836" spans="1:10" x14ac:dyDescent="0.25">
      <c r="A2836" s="90">
        <v>39273</v>
      </c>
      <c r="B2836" s="17">
        <v>26.97</v>
      </c>
      <c r="C2836" s="17"/>
      <c r="F2836"/>
      <c r="G2836"/>
      <c r="H2836"/>
      <c r="I2836"/>
      <c r="J2836"/>
    </row>
    <row r="2837" spans="1:10" x14ac:dyDescent="0.25">
      <c r="A2837" s="90">
        <v>39274</v>
      </c>
      <c r="B2837" s="17">
        <v>26.69</v>
      </c>
      <c r="C2837" s="17"/>
      <c r="F2837"/>
      <c r="G2837"/>
      <c r="H2837"/>
      <c r="I2837"/>
      <c r="J2837"/>
    </row>
    <row r="2838" spans="1:10" x14ac:dyDescent="0.25">
      <c r="A2838" s="90">
        <v>39275</v>
      </c>
      <c r="B2838" s="17">
        <v>26.96</v>
      </c>
      <c r="C2838" s="17"/>
      <c r="F2838"/>
      <c r="G2838"/>
      <c r="H2838"/>
      <c r="I2838"/>
      <c r="J2838"/>
    </row>
    <row r="2839" spans="1:10" x14ac:dyDescent="0.25">
      <c r="A2839" s="90">
        <v>39276</v>
      </c>
      <c r="B2839" s="17">
        <v>26.58</v>
      </c>
      <c r="C2839" s="17"/>
      <c r="F2839"/>
      <c r="G2839"/>
      <c r="H2839"/>
      <c r="I2839"/>
      <c r="J2839"/>
    </row>
    <row r="2840" spans="1:10" x14ac:dyDescent="0.25">
      <c r="A2840" s="90">
        <v>39279</v>
      </c>
      <c r="B2840" s="17">
        <v>26.7</v>
      </c>
      <c r="C2840" s="17"/>
      <c r="F2840"/>
      <c r="G2840"/>
      <c r="H2840"/>
      <c r="I2840"/>
      <c r="J2840"/>
    </row>
    <row r="2841" spans="1:10" x14ac:dyDescent="0.25">
      <c r="A2841" s="90">
        <v>39280</v>
      </c>
      <c r="B2841" s="17">
        <v>27.53</v>
      </c>
      <c r="C2841" s="17"/>
      <c r="F2841"/>
      <c r="G2841"/>
      <c r="H2841"/>
      <c r="I2841"/>
      <c r="J2841"/>
    </row>
    <row r="2842" spans="1:10" x14ac:dyDescent="0.25">
      <c r="A2842" s="90">
        <v>39281</v>
      </c>
      <c r="B2842" s="17">
        <v>26.2</v>
      </c>
      <c r="C2842" s="17"/>
      <c r="F2842"/>
      <c r="G2842"/>
      <c r="H2842"/>
      <c r="I2842"/>
      <c r="J2842"/>
    </row>
    <row r="2843" spans="1:10" x14ac:dyDescent="0.25">
      <c r="A2843" s="90">
        <v>39282</v>
      </c>
      <c r="B2843" s="17">
        <v>26.03</v>
      </c>
      <c r="C2843" s="17"/>
      <c r="F2843"/>
      <c r="G2843"/>
      <c r="H2843"/>
      <c r="I2843"/>
      <c r="J2843"/>
    </row>
    <row r="2844" spans="1:10" x14ac:dyDescent="0.25">
      <c r="A2844" s="90">
        <v>39283</v>
      </c>
      <c r="B2844" s="17">
        <v>25.35</v>
      </c>
      <c r="C2844" s="17"/>
      <c r="F2844"/>
      <c r="G2844"/>
      <c r="H2844"/>
      <c r="I2844"/>
      <c r="J2844"/>
    </row>
    <row r="2845" spans="1:10" x14ac:dyDescent="0.25">
      <c r="A2845" s="90">
        <v>39286</v>
      </c>
      <c r="B2845" s="17">
        <v>24.99</v>
      </c>
      <c r="C2845" s="17"/>
      <c r="F2845"/>
      <c r="G2845"/>
      <c r="H2845"/>
      <c r="I2845"/>
      <c r="J2845"/>
    </row>
    <row r="2846" spans="1:10" x14ac:dyDescent="0.25">
      <c r="A2846" s="90">
        <v>39287</v>
      </c>
      <c r="B2846" s="17">
        <v>24.84</v>
      </c>
      <c r="C2846" s="17"/>
      <c r="F2846"/>
      <c r="G2846"/>
      <c r="H2846"/>
      <c r="I2846"/>
      <c r="J2846"/>
    </row>
    <row r="2847" spans="1:10" x14ac:dyDescent="0.25">
      <c r="A2847" s="90">
        <v>39288</v>
      </c>
      <c r="B2847" s="17">
        <v>24.68</v>
      </c>
      <c r="C2847" s="17"/>
      <c r="F2847"/>
      <c r="G2847"/>
      <c r="H2847"/>
      <c r="I2847"/>
      <c r="J2847"/>
    </row>
    <row r="2848" spans="1:10" x14ac:dyDescent="0.25">
      <c r="A2848" s="90">
        <v>39289</v>
      </c>
      <c r="B2848" s="17">
        <v>24.03</v>
      </c>
      <c r="C2848" s="17"/>
      <c r="F2848"/>
      <c r="G2848"/>
      <c r="H2848"/>
      <c r="I2848"/>
      <c r="J2848"/>
    </row>
    <row r="2849" spans="1:10" x14ac:dyDescent="0.25">
      <c r="A2849" s="90">
        <v>39290</v>
      </c>
      <c r="B2849" s="17">
        <v>23.49</v>
      </c>
      <c r="C2849" s="17"/>
      <c r="F2849"/>
      <c r="G2849"/>
      <c r="H2849"/>
      <c r="I2849"/>
      <c r="J2849"/>
    </row>
    <row r="2850" spans="1:10" x14ac:dyDescent="0.25">
      <c r="A2850" s="90">
        <v>39293</v>
      </c>
      <c r="B2850" s="17">
        <v>23.62</v>
      </c>
      <c r="C2850" s="17"/>
      <c r="F2850"/>
      <c r="G2850"/>
      <c r="H2850"/>
      <c r="I2850"/>
      <c r="J2850"/>
    </row>
    <row r="2851" spans="1:10" x14ac:dyDescent="0.25">
      <c r="A2851" s="90">
        <v>39294</v>
      </c>
      <c r="B2851" s="17">
        <v>23.25</v>
      </c>
      <c r="C2851" s="17"/>
      <c r="F2851"/>
      <c r="G2851"/>
      <c r="H2851"/>
      <c r="I2851"/>
      <c r="J2851"/>
    </row>
    <row r="2852" spans="1:10" x14ac:dyDescent="0.25">
      <c r="A2852" s="90">
        <v>39295</v>
      </c>
      <c r="B2852" s="17">
        <v>23.25</v>
      </c>
      <c r="C2852" s="17"/>
      <c r="F2852"/>
      <c r="G2852"/>
      <c r="H2852"/>
      <c r="I2852"/>
      <c r="J2852"/>
    </row>
    <row r="2853" spans="1:10" x14ac:dyDescent="0.25">
      <c r="A2853" s="90">
        <v>39296</v>
      </c>
      <c r="B2853" s="17">
        <v>23.36</v>
      </c>
      <c r="C2853" s="17"/>
      <c r="F2853"/>
      <c r="G2853"/>
      <c r="H2853"/>
      <c r="I2853"/>
      <c r="J2853"/>
    </row>
    <row r="2854" spans="1:10" x14ac:dyDescent="0.25">
      <c r="A2854" s="90">
        <v>39297</v>
      </c>
      <c r="B2854" s="17">
        <v>22.92</v>
      </c>
      <c r="C2854" s="17"/>
      <c r="F2854"/>
      <c r="G2854"/>
      <c r="H2854"/>
      <c r="I2854"/>
      <c r="J2854"/>
    </row>
    <row r="2855" spans="1:10" x14ac:dyDescent="0.25">
      <c r="A2855" s="90">
        <v>39300</v>
      </c>
      <c r="B2855" s="17">
        <v>22.97</v>
      </c>
      <c r="C2855" s="17"/>
      <c r="F2855"/>
      <c r="G2855"/>
      <c r="H2855"/>
      <c r="I2855"/>
      <c r="J2855"/>
    </row>
    <row r="2856" spans="1:10" x14ac:dyDescent="0.25">
      <c r="A2856" s="90">
        <v>39301</v>
      </c>
      <c r="B2856" s="17">
        <v>23.44</v>
      </c>
      <c r="C2856" s="17"/>
      <c r="F2856"/>
      <c r="G2856"/>
      <c r="H2856"/>
      <c r="I2856"/>
      <c r="J2856"/>
    </row>
    <row r="2857" spans="1:10" x14ac:dyDescent="0.25">
      <c r="A2857" s="90">
        <v>39302</v>
      </c>
      <c r="B2857" s="17">
        <v>23.87</v>
      </c>
      <c r="C2857" s="17"/>
      <c r="F2857"/>
      <c r="G2857"/>
      <c r="H2857"/>
      <c r="I2857"/>
      <c r="J2857"/>
    </row>
    <row r="2858" spans="1:10" x14ac:dyDescent="0.25">
      <c r="A2858" s="90">
        <v>39303</v>
      </c>
      <c r="B2858" s="17">
        <v>23.8</v>
      </c>
      <c r="C2858" s="17"/>
      <c r="F2858"/>
      <c r="G2858"/>
      <c r="H2858"/>
      <c r="I2858"/>
      <c r="J2858"/>
    </row>
    <row r="2859" spans="1:10" x14ac:dyDescent="0.25">
      <c r="A2859" s="90">
        <v>39304</v>
      </c>
      <c r="B2859" s="17">
        <v>23.94</v>
      </c>
      <c r="C2859" s="17"/>
      <c r="F2859"/>
      <c r="G2859"/>
      <c r="H2859"/>
      <c r="I2859"/>
      <c r="J2859"/>
    </row>
    <row r="2860" spans="1:10" x14ac:dyDescent="0.25">
      <c r="A2860" s="90">
        <v>39307</v>
      </c>
      <c r="B2860" s="17">
        <v>24.57</v>
      </c>
      <c r="C2860" s="17"/>
      <c r="F2860"/>
      <c r="G2860"/>
      <c r="H2860"/>
      <c r="I2860"/>
      <c r="J2860"/>
    </row>
    <row r="2861" spans="1:10" x14ac:dyDescent="0.25">
      <c r="A2861" s="90">
        <v>39308</v>
      </c>
      <c r="B2861" s="17">
        <v>23.72</v>
      </c>
      <c r="C2861" s="17"/>
      <c r="F2861"/>
      <c r="G2861"/>
      <c r="H2861"/>
      <c r="I2861"/>
      <c r="J2861"/>
    </row>
    <row r="2862" spans="1:10" x14ac:dyDescent="0.25">
      <c r="A2862" s="90">
        <v>39309</v>
      </c>
      <c r="B2862" s="17">
        <v>23.32</v>
      </c>
      <c r="C2862" s="17"/>
      <c r="F2862"/>
      <c r="G2862"/>
      <c r="H2862"/>
      <c r="I2862"/>
      <c r="J2862"/>
    </row>
    <row r="2863" spans="1:10" x14ac:dyDescent="0.25">
      <c r="A2863" s="90">
        <v>39310</v>
      </c>
      <c r="B2863" s="17">
        <v>22.76</v>
      </c>
      <c r="C2863" s="17"/>
      <c r="F2863"/>
      <c r="G2863"/>
      <c r="H2863"/>
      <c r="I2863"/>
      <c r="J2863"/>
    </row>
    <row r="2864" spans="1:10" x14ac:dyDescent="0.25">
      <c r="A2864" s="90">
        <v>39311</v>
      </c>
      <c r="B2864" s="17">
        <v>23.54</v>
      </c>
      <c r="C2864" s="17"/>
      <c r="F2864"/>
      <c r="G2864"/>
      <c r="H2864"/>
      <c r="I2864"/>
      <c r="J2864"/>
    </row>
    <row r="2865" spans="1:10" x14ac:dyDescent="0.25">
      <c r="A2865" s="90">
        <v>39314</v>
      </c>
      <c r="B2865" s="17">
        <v>23.34</v>
      </c>
      <c r="C2865" s="17"/>
      <c r="F2865"/>
      <c r="G2865"/>
      <c r="H2865"/>
      <c r="I2865"/>
      <c r="J2865"/>
    </row>
    <row r="2866" spans="1:10" x14ac:dyDescent="0.25">
      <c r="A2866" s="90">
        <v>39315</v>
      </c>
      <c r="B2866" s="17">
        <v>23.04</v>
      </c>
      <c r="C2866" s="17"/>
      <c r="F2866"/>
      <c r="G2866"/>
      <c r="H2866"/>
      <c r="I2866"/>
      <c r="J2866"/>
    </row>
    <row r="2867" spans="1:10" x14ac:dyDescent="0.25">
      <c r="A2867" s="90">
        <v>39316</v>
      </c>
      <c r="B2867" s="17">
        <v>23.23</v>
      </c>
      <c r="C2867" s="17"/>
      <c r="F2867"/>
      <c r="G2867"/>
      <c r="H2867"/>
      <c r="I2867"/>
      <c r="J2867"/>
    </row>
    <row r="2868" spans="1:10" x14ac:dyDescent="0.25">
      <c r="A2868" s="90">
        <v>39317</v>
      </c>
      <c r="B2868" s="17">
        <v>23.13</v>
      </c>
      <c r="C2868" s="17"/>
      <c r="F2868"/>
      <c r="G2868"/>
      <c r="H2868"/>
      <c r="I2868"/>
      <c r="J2868"/>
    </row>
    <row r="2869" spans="1:10" x14ac:dyDescent="0.25">
      <c r="A2869" s="90">
        <v>39318</v>
      </c>
      <c r="B2869" s="17">
        <v>23.59</v>
      </c>
      <c r="C2869" s="17"/>
      <c r="F2869"/>
      <c r="G2869"/>
      <c r="H2869"/>
      <c r="I2869"/>
      <c r="J2869"/>
    </row>
    <row r="2870" spans="1:10" x14ac:dyDescent="0.25">
      <c r="A2870" s="90">
        <v>39321</v>
      </c>
      <c r="B2870" s="17">
        <v>23.03</v>
      </c>
      <c r="C2870" s="17"/>
      <c r="F2870"/>
      <c r="G2870"/>
      <c r="H2870"/>
      <c r="I2870"/>
      <c r="J2870"/>
    </row>
    <row r="2871" spans="1:10" x14ac:dyDescent="0.25">
      <c r="A2871" s="90">
        <v>39322</v>
      </c>
      <c r="B2871" s="17">
        <v>22.52</v>
      </c>
      <c r="C2871" s="17"/>
      <c r="F2871"/>
      <c r="G2871"/>
      <c r="H2871"/>
      <c r="I2871"/>
      <c r="J2871"/>
    </row>
    <row r="2872" spans="1:10" x14ac:dyDescent="0.25">
      <c r="A2872" s="90">
        <v>39323</v>
      </c>
      <c r="B2872" s="17">
        <v>22.55</v>
      </c>
      <c r="C2872" s="17"/>
      <c r="F2872"/>
      <c r="G2872"/>
      <c r="H2872"/>
      <c r="I2872"/>
      <c r="J2872"/>
    </row>
    <row r="2873" spans="1:10" x14ac:dyDescent="0.25">
      <c r="A2873" s="90">
        <v>39324</v>
      </c>
      <c r="B2873" s="17">
        <v>22.61</v>
      </c>
      <c r="C2873" s="17"/>
      <c r="F2873"/>
      <c r="G2873"/>
      <c r="H2873"/>
      <c r="I2873"/>
      <c r="J2873"/>
    </row>
    <row r="2874" spans="1:10" x14ac:dyDescent="0.25">
      <c r="A2874" s="90">
        <v>39325</v>
      </c>
      <c r="B2874" s="17">
        <v>22.73</v>
      </c>
      <c r="C2874" s="17"/>
      <c r="F2874"/>
      <c r="G2874"/>
      <c r="H2874"/>
      <c r="I2874"/>
      <c r="J2874"/>
    </row>
    <row r="2875" spans="1:10" x14ac:dyDescent="0.25">
      <c r="A2875" s="90">
        <v>39329</v>
      </c>
      <c r="B2875" s="17">
        <v>23.97</v>
      </c>
      <c r="C2875" s="17"/>
      <c r="F2875"/>
      <c r="G2875"/>
      <c r="H2875"/>
      <c r="I2875"/>
      <c r="J2875"/>
    </row>
    <row r="2876" spans="1:10" x14ac:dyDescent="0.25">
      <c r="A2876" s="90">
        <v>39330</v>
      </c>
      <c r="B2876" s="17">
        <v>24.1</v>
      </c>
      <c r="C2876" s="17"/>
      <c r="F2876"/>
      <c r="G2876"/>
      <c r="H2876"/>
      <c r="I2876"/>
      <c r="J2876"/>
    </row>
    <row r="2877" spans="1:10" x14ac:dyDescent="0.25">
      <c r="A2877" s="90">
        <v>39331</v>
      </c>
      <c r="B2877" s="17">
        <v>24.15</v>
      </c>
      <c r="C2877" s="17"/>
      <c r="F2877"/>
      <c r="G2877"/>
      <c r="H2877"/>
      <c r="I2877"/>
      <c r="J2877"/>
    </row>
    <row r="2878" spans="1:10" x14ac:dyDescent="0.25">
      <c r="A2878" s="90">
        <v>39332</v>
      </c>
      <c r="B2878" s="17">
        <v>23.76</v>
      </c>
      <c r="C2878" s="17"/>
      <c r="F2878"/>
      <c r="G2878"/>
      <c r="H2878"/>
      <c r="I2878"/>
      <c r="J2878"/>
    </row>
    <row r="2879" spans="1:10" x14ac:dyDescent="0.25">
      <c r="A2879" s="90">
        <v>39335</v>
      </c>
      <c r="B2879" s="17">
        <v>23.3</v>
      </c>
      <c r="C2879" s="17"/>
      <c r="F2879"/>
      <c r="G2879"/>
      <c r="H2879"/>
      <c r="I2879"/>
      <c r="J2879"/>
    </row>
    <row r="2880" spans="1:10" x14ac:dyDescent="0.25">
      <c r="A2880" s="90">
        <v>39336</v>
      </c>
      <c r="B2880" s="17">
        <v>23.71</v>
      </c>
      <c r="C2880" s="17"/>
      <c r="F2880"/>
      <c r="G2880"/>
      <c r="H2880"/>
      <c r="I2880"/>
      <c r="J2880"/>
    </row>
    <row r="2881" spans="1:10" x14ac:dyDescent="0.25">
      <c r="A2881" s="90">
        <v>39337</v>
      </c>
      <c r="B2881" s="17">
        <v>23.56</v>
      </c>
      <c r="C2881" s="17"/>
      <c r="F2881"/>
      <c r="G2881"/>
      <c r="H2881"/>
      <c r="I2881"/>
      <c r="J2881"/>
    </row>
    <row r="2882" spans="1:10" x14ac:dyDescent="0.25">
      <c r="A2882" s="90">
        <v>39338</v>
      </c>
      <c r="B2882" s="17">
        <v>23.72</v>
      </c>
      <c r="C2882" s="17"/>
      <c r="F2882"/>
      <c r="G2882"/>
      <c r="H2882"/>
      <c r="I2882"/>
      <c r="J2882"/>
    </row>
    <row r="2883" spans="1:10" x14ac:dyDescent="0.25">
      <c r="A2883" s="90">
        <v>39339</v>
      </c>
      <c r="B2883" s="17">
        <v>24.73</v>
      </c>
      <c r="C2883" s="17"/>
      <c r="F2883"/>
      <c r="G2883"/>
      <c r="H2883"/>
      <c r="I2883"/>
      <c r="J2883"/>
    </row>
    <row r="2884" spans="1:10" x14ac:dyDescent="0.25">
      <c r="A2884" s="90">
        <v>39342</v>
      </c>
      <c r="B2884" s="17">
        <v>24.95</v>
      </c>
      <c r="C2884" s="17"/>
      <c r="F2884"/>
      <c r="G2884"/>
      <c r="H2884"/>
      <c r="I2884"/>
      <c r="J2884"/>
    </row>
    <row r="2885" spans="1:10" x14ac:dyDescent="0.25">
      <c r="A2885" s="90">
        <v>39343</v>
      </c>
      <c r="B2885" s="17">
        <v>25.06</v>
      </c>
      <c r="C2885" s="17"/>
      <c r="F2885"/>
      <c r="G2885"/>
      <c r="H2885"/>
      <c r="I2885"/>
      <c r="J2885"/>
    </row>
    <row r="2886" spans="1:10" x14ac:dyDescent="0.25">
      <c r="A2886" s="90">
        <v>39344</v>
      </c>
      <c r="B2886" s="17">
        <v>25.29</v>
      </c>
      <c r="C2886" s="17"/>
      <c r="F2886"/>
      <c r="G2886"/>
      <c r="H2886"/>
      <c r="I2886"/>
      <c r="J2886"/>
    </row>
    <row r="2887" spans="1:10" x14ac:dyDescent="0.25">
      <c r="A2887" s="90">
        <v>39345</v>
      </c>
      <c r="B2887" s="17">
        <v>25.29</v>
      </c>
      <c r="C2887" s="17"/>
      <c r="F2887"/>
      <c r="G2887"/>
      <c r="H2887"/>
      <c r="I2887"/>
      <c r="J2887"/>
    </row>
    <row r="2888" spans="1:10" x14ac:dyDescent="0.25">
      <c r="A2888" s="90">
        <v>39346</v>
      </c>
      <c r="B2888" s="17">
        <v>26.05</v>
      </c>
      <c r="C2888" s="17"/>
      <c r="F2888"/>
      <c r="G2888"/>
      <c r="H2888"/>
      <c r="I2888"/>
      <c r="J2888"/>
    </row>
    <row r="2889" spans="1:10" x14ac:dyDescent="0.25">
      <c r="A2889" s="90">
        <v>39349</v>
      </c>
      <c r="B2889" s="17">
        <v>25.73</v>
      </c>
      <c r="C2889" s="17"/>
      <c r="F2889"/>
      <c r="G2889"/>
      <c r="H2889"/>
      <c r="I2889"/>
      <c r="J2889"/>
    </row>
    <row r="2890" spans="1:10" x14ac:dyDescent="0.25">
      <c r="A2890" s="90">
        <v>39350</v>
      </c>
      <c r="B2890" s="17">
        <v>26.51</v>
      </c>
      <c r="C2890" s="17"/>
      <c r="F2890"/>
      <c r="G2890"/>
      <c r="H2890"/>
      <c r="I2890"/>
      <c r="J2890"/>
    </row>
    <row r="2891" spans="1:10" x14ac:dyDescent="0.25">
      <c r="A2891" s="90">
        <v>39351</v>
      </c>
      <c r="B2891" s="17">
        <v>26.7</v>
      </c>
      <c r="C2891" s="17"/>
      <c r="F2891"/>
      <c r="G2891"/>
      <c r="H2891"/>
      <c r="I2891"/>
      <c r="J2891"/>
    </row>
    <row r="2892" spans="1:10" x14ac:dyDescent="0.25">
      <c r="A2892" s="90">
        <v>39352</v>
      </c>
      <c r="B2892" s="17">
        <v>26.27</v>
      </c>
      <c r="C2892" s="17"/>
      <c r="F2892"/>
      <c r="G2892"/>
      <c r="H2892"/>
      <c r="I2892"/>
      <c r="J2892"/>
    </row>
    <row r="2893" spans="1:10" x14ac:dyDescent="0.25">
      <c r="A2893" s="90">
        <v>39353</v>
      </c>
      <c r="B2893" s="17">
        <v>26.84</v>
      </c>
      <c r="C2893" s="17"/>
      <c r="F2893"/>
      <c r="G2893"/>
      <c r="H2893"/>
      <c r="I2893"/>
      <c r="J2893"/>
    </row>
    <row r="2894" spans="1:10" x14ac:dyDescent="0.25">
      <c r="A2894" s="90">
        <v>39356</v>
      </c>
      <c r="B2894" s="17">
        <v>27.04</v>
      </c>
      <c r="C2894" s="17"/>
      <c r="F2894"/>
      <c r="G2894"/>
      <c r="H2894"/>
      <c r="I2894"/>
      <c r="J2894"/>
    </row>
    <row r="2895" spans="1:10" x14ac:dyDescent="0.25">
      <c r="A2895" s="90">
        <v>39357</v>
      </c>
      <c r="B2895" s="17">
        <v>26.95</v>
      </c>
      <c r="C2895" s="17"/>
      <c r="F2895"/>
      <c r="G2895"/>
      <c r="H2895"/>
      <c r="I2895"/>
      <c r="J2895"/>
    </row>
    <row r="2896" spans="1:10" x14ac:dyDescent="0.25">
      <c r="A2896" s="90">
        <v>39358</v>
      </c>
      <c r="B2896" s="17">
        <v>27.17</v>
      </c>
      <c r="C2896" s="17"/>
      <c r="F2896"/>
      <c r="G2896"/>
      <c r="H2896"/>
      <c r="I2896"/>
      <c r="J2896"/>
    </row>
    <row r="2897" spans="1:10" x14ac:dyDescent="0.25">
      <c r="A2897" s="90">
        <v>39359</v>
      </c>
      <c r="B2897" s="17">
        <v>27.15</v>
      </c>
      <c r="C2897" s="17"/>
      <c r="F2897"/>
      <c r="G2897"/>
      <c r="H2897"/>
      <c r="I2897"/>
      <c r="J2897"/>
    </row>
    <row r="2898" spans="1:10" x14ac:dyDescent="0.25">
      <c r="A2898" s="90">
        <v>39360</v>
      </c>
      <c r="B2898" s="17">
        <v>27.88</v>
      </c>
      <c r="C2898" s="17"/>
      <c r="F2898"/>
      <c r="G2898"/>
      <c r="H2898"/>
      <c r="I2898"/>
      <c r="J2898"/>
    </row>
    <row r="2899" spans="1:10" x14ac:dyDescent="0.25">
      <c r="A2899" s="90">
        <v>39363</v>
      </c>
      <c r="B2899" s="17">
        <v>28.05</v>
      </c>
      <c r="C2899" s="17"/>
      <c r="F2899"/>
      <c r="G2899"/>
      <c r="H2899"/>
      <c r="I2899"/>
      <c r="J2899"/>
    </row>
    <row r="2900" spans="1:10" x14ac:dyDescent="0.25">
      <c r="A2900" s="90">
        <v>39364</v>
      </c>
      <c r="B2900" s="17">
        <v>28.37</v>
      </c>
      <c r="C2900" s="17"/>
      <c r="F2900"/>
      <c r="G2900"/>
      <c r="H2900"/>
      <c r="I2900"/>
      <c r="J2900"/>
    </row>
    <row r="2901" spans="1:10" x14ac:dyDescent="0.25">
      <c r="A2901" s="90">
        <v>39365</v>
      </c>
      <c r="B2901" s="17">
        <v>28.36</v>
      </c>
      <c r="C2901" s="17"/>
      <c r="F2901"/>
      <c r="G2901"/>
      <c r="H2901"/>
      <c r="I2901"/>
      <c r="J2901"/>
    </row>
    <row r="2902" spans="1:10" x14ac:dyDescent="0.25">
      <c r="A2902" s="90">
        <v>39366</v>
      </c>
      <c r="B2902" s="17">
        <v>27.65</v>
      </c>
      <c r="C2902" s="17"/>
      <c r="F2902"/>
      <c r="G2902"/>
      <c r="H2902"/>
      <c r="I2902"/>
      <c r="J2902"/>
    </row>
    <row r="2903" spans="1:10" x14ac:dyDescent="0.25">
      <c r="A2903" s="90">
        <v>39367</v>
      </c>
      <c r="B2903" s="17">
        <v>28.48</v>
      </c>
      <c r="C2903" s="17"/>
      <c r="F2903"/>
      <c r="G2903"/>
      <c r="H2903"/>
      <c r="I2903"/>
      <c r="J2903"/>
    </row>
    <row r="2904" spans="1:10" x14ac:dyDescent="0.25">
      <c r="A2904" s="90">
        <v>39370</v>
      </c>
      <c r="B2904" s="17">
        <v>27.86</v>
      </c>
      <c r="C2904" s="17"/>
      <c r="F2904"/>
      <c r="G2904"/>
      <c r="H2904"/>
      <c r="I2904"/>
      <c r="J2904"/>
    </row>
    <row r="2905" spans="1:10" x14ac:dyDescent="0.25">
      <c r="A2905" s="90">
        <v>39371</v>
      </c>
      <c r="B2905" s="17">
        <v>26.69</v>
      </c>
      <c r="C2905" s="17"/>
      <c r="F2905"/>
      <c r="G2905"/>
      <c r="H2905"/>
      <c r="I2905"/>
      <c r="J2905"/>
    </row>
    <row r="2906" spans="1:10" x14ac:dyDescent="0.25">
      <c r="A2906" s="90">
        <v>39372</v>
      </c>
      <c r="B2906" s="17">
        <v>28.82</v>
      </c>
      <c r="C2906" s="17"/>
      <c r="F2906"/>
      <c r="G2906"/>
      <c r="H2906"/>
      <c r="I2906"/>
      <c r="J2906"/>
    </row>
    <row r="2907" spans="1:10" x14ac:dyDescent="0.25">
      <c r="A2907" s="90">
        <v>39373</v>
      </c>
      <c r="B2907" s="17">
        <v>29.35</v>
      </c>
      <c r="C2907" s="17"/>
      <c r="F2907"/>
      <c r="G2907"/>
      <c r="H2907"/>
      <c r="I2907"/>
      <c r="J2907"/>
    </row>
    <row r="2908" spans="1:10" x14ac:dyDescent="0.25">
      <c r="A2908" s="90">
        <v>39374</v>
      </c>
      <c r="B2908" s="17">
        <v>29.03</v>
      </c>
      <c r="C2908" s="17"/>
      <c r="F2908"/>
      <c r="G2908"/>
      <c r="H2908"/>
      <c r="I2908"/>
      <c r="J2908"/>
    </row>
    <row r="2909" spans="1:10" x14ac:dyDescent="0.25">
      <c r="A2909" s="90">
        <v>39377</v>
      </c>
      <c r="B2909" s="17">
        <v>29.85</v>
      </c>
      <c r="C2909" s="17"/>
      <c r="F2909"/>
      <c r="G2909"/>
      <c r="H2909"/>
      <c r="I2909"/>
      <c r="J2909"/>
    </row>
    <row r="2910" spans="1:10" x14ac:dyDescent="0.25">
      <c r="A2910" s="90">
        <v>39378</v>
      </c>
      <c r="B2910" s="17">
        <v>30.64</v>
      </c>
      <c r="C2910" s="17"/>
      <c r="F2910"/>
      <c r="G2910"/>
      <c r="H2910"/>
      <c r="I2910"/>
      <c r="J2910"/>
    </row>
    <row r="2911" spans="1:10" x14ac:dyDescent="0.25">
      <c r="A2911" s="90">
        <v>39379</v>
      </c>
      <c r="B2911" s="17">
        <v>30.68</v>
      </c>
      <c r="C2911" s="17"/>
      <c r="F2911"/>
      <c r="G2911"/>
      <c r="H2911"/>
      <c r="I2911"/>
      <c r="J2911"/>
    </row>
    <row r="2912" spans="1:10" x14ac:dyDescent="0.25">
      <c r="A2912" s="90">
        <v>39380</v>
      </c>
      <c r="B2912" s="17">
        <v>31.34</v>
      </c>
      <c r="C2912" s="17"/>
      <c r="F2912"/>
      <c r="G2912"/>
      <c r="H2912"/>
      <c r="I2912"/>
      <c r="J2912"/>
    </row>
    <row r="2913" spans="1:10" x14ac:dyDescent="0.25">
      <c r="A2913" s="90">
        <v>39381</v>
      </c>
      <c r="B2913" s="17">
        <v>33.630000000000003</v>
      </c>
      <c r="C2913" s="17"/>
      <c r="F2913"/>
      <c r="G2913"/>
      <c r="H2913"/>
      <c r="I2913"/>
      <c r="J2913"/>
    </row>
    <row r="2914" spans="1:10" x14ac:dyDescent="0.25">
      <c r="A2914" s="90">
        <v>39384</v>
      </c>
      <c r="B2914" s="17">
        <v>31.79</v>
      </c>
      <c r="C2914" s="17"/>
      <c r="F2914"/>
      <c r="G2914"/>
      <c r="H2914"/>
      <c r="I2914"/>
      <c r="J2914"/>
    </row>
    <row r="2915" spans="1:10" x14ac:dyDescent="0.25">
      <c r="A2915" s="90">
        <v>39385</v>
      </c>
      <c r="B2915" s="17">
        <v>30.83</v>
      </c>
      <c r="C2915" s="17"/>
      <c r="F2915"/>
      <c r="G2915"/>
      <c r="H2915"/>
      <c r="I2915"/>
      <c r="J2915"/>
    </row>
    <row r="2916" spans="1:10" x14ac:dyDescent="0.25">
      <c r="A2916" s="90">
        <v>39386</v>
      </c>
      <c r="B2916" s="17">
        <v>31.1</v>
      </c>
      <c r="C2916" s="17"/>
      <c r="F2916"/>
      <c r="G2916"/>
      <c r="H2916"/>
      <c r="I2916"/>
      <c r="J2916"/>
    </row>
    <row r="2917" spans="1:10" x14ac:dyDescent="0.25">
      <c r="A2917" s="90">
        <v>39387</v>
      </c>
      <c r="B2917" s="17">
        <v>30.22</v>
      </c>
      <c r="C2917" s="17"/>
      <c r="F2917"/>
      <c r="G2917"/>
      <c r="H2917"/>
      <c r="I2917"/>
      <c r="J2917"/>
    </row>
    <row r="2918" spans="1:10" x14ac:dyDescent="0.25">
      <c r="A2918" s="90">
        <v>39388</v>
      </c>
      <c r="B2918" s="17">
        <v>31.11</v>
      </c>
      <c r="C2918" s="17"/>
      <c r="F2918"/>
      <c r="G2918"/>
      <c r="H2918"/>
      <c r="I2918"/>
      <c r="J2918"/>
    </row>
    <row r="2919" spans="1:10" x14ac:dyDescent="0.25">
      <c r="A2919" s="90">
        <v>39391</v>
      </c>
      <c r="B2919" s="17">
        <v>31.36</v>
      </c>
      <c r="C2919" s="17"/>
      <c r="F2919"/>
      <c r="G2919"/>
      <c r="H2919"/>
      <c r="I2919"/>
      <c r="J2919"/>
    </row>
    <row r="2920" spans="1:10" x14ac:dyDescent="0.25">
      <c r="A2920" s="90">
        <v>39392</v>
      </c>
      <c r="B2920" s="17">
        <v>29.93</v>
      </c>
      <c r="C2920" s="17"/>
      <c r="F2920"/>
      <c r="G2920"/>
      <c r="H2920"/>
      <c r="I2920"/>
      <c r="J2920"/>
    </row>
    <row r="2921" spans="1:10" x14ac:dyDescent="0.25">
      <c r="A2921" s="90">
        <v>39393</v>
      </c>
      <c r="B2921" s="17">
        <v>27.63</v>
      </c>
      <c r="C2921" s="17"/>
      <c r="F2921"/>
      <c r="G2921"/>
      <c r="H2921"/>
      <c r="I2921"/>
      <c r="J2921"/>
    </row>
    <row r="2922" spans="1:10" x14ac:dyDescent="0.25">
      <c r="A2922" s="90">
        <v>39394</v>
      </c>
      <c r="B2922" s="17">
        <v>26.7</v>
      </c>
      <c r="C2922" s="17"/>
      <c r="F2922"/>
      <c r="G2922"/>
      <c r="H2922"/>
      <c r="I2922"/>
      <c r="J2922"/>
    </row>
    <row r="2923" spans="1:10" x14ac:dyDescent="0.25">
      <c r="A2923" s="90">
        <v>39395</v>
      </c>
      <c r="B2923" s="17">
        <v>25.79</v>
      </c>
      <c r="C2923" s="17"/>
      <c r="F2923"/>
      <c r="G2923"/>
      <c r="H2923"/>
      <c r="I2923"/>
      <c r="J2923"/>
    </row>
    <row r="2924" spans="1:10" x14ac:dyDescent="0.25">
      <c r="A2924" s="90">
        <v>39398</v>
      </c>
      <c r="B2924" s="17">
        <v>24.78</v>
      </c>
      <c r="C2924" s="17"/>
      <c r="F2924"/>
      <c r="G2924"/>
      <c r="H2924"/>
      <c r="I2924"/>
      <c r="J2924"/>
    </row>
    <row r="2925" spans="1:10" x14ac:dyDescent="0.25">
      <c r="A2925" s="90">
        <v>39399</v>
      </c>
      <c r="B2925" s="17">
        <v>26.1</v>
      </c>
      <c r="C2925" s="17"/>
      <c r="F2925"/>
      <c r="G2925"/>
      <c r="H2925"/>
      <c r="I2925"/>
      <c r="J2925"/>
    </row>
    <row r="2926" spans="1:10" x14ac:dyDescent="0.25">
      <c r="A2926" s="90">
        <v>39400</v>
      </c>
      <c r="B2926" s="17">
        <v>25.07</v>
      </c>
      <c r="C2926" s="17"/>
      <c r="F2926"/>
      <c r="G2926"/>
      <c r="H2926"/>
      <c r="I2926"/>
      <c r="J2926"/>
    </row>
    <row r="2927" spans="1:10" x14ac:dyDescent="0.25">
      <c r="A2927" s="90">
        <v>39401</v>
      </c>
      <c r="B2927" s="17">
        <v>25.42</v>
      </c>
      <c r="C2927" s="17"/>
      <c r="F2927"/>
      <c r="G2927"/>
      <c r="H2927"/>
      <c r="I2927"/>
      <c r="J2927"/>
    </row>
    <row r="2928" spans="1:10" x14ac:dyDescent="0.25">
      <c r="A2928" s="90">
        <v>39402</v>
      </c>
      <c r="B2928" s="17">
        <v>26.82</v>
      </c>
      <c r="C2928" s="17"/>
      <c r="F2928"/>
      <c r="G2928"/>
      <c r="H2928"/>
      <c r="I2928"/>
      <c r="J2928"/>
    </row>
    <row r="2929" spans="1:10" x14ac:dyDescent="0.25">
      <c r="A2929" s="90">
        <v>39405</v>
      </c>
      <c r="B2929" s="17">
        <v>26.76</v>
      </c>
      <c r="C2929" s="17"/>
      <c r="F2929"/>
      <c r="G2929"/>
      <c r="H2929"/>
      <c r="I2929"/>
      <c r="J2929"/>
    </row>
    <row r="2930" spans="1:10" x14ac:dyDescent="0.25">
      <c r="A2930" s="90">
        <v>39406</v>
      </c>
      <c r="B2930" s="17">
        <v>26.72</v>
      </c>
      <c r="C2930" s="17"/>
      <c r="F2930"/>
      <c r="G2930"/>
      <c r="H2930"/>
      <c r="I2930"/>
      <c r="J2930"/>
    </row>
    <row r="2931" spans="1:10" x14ac:dyDescent="0.25">
      <c r="A2931" s="90">
        <v>39407</v>
      </c>
      <c r="B2931" s="17">
        <v>25.71</v>
      </c>
      <c r="C2931" s="17"/>
      <c r="F2931"/>
      <c r="G2931"/>
      <c r="H2931"/>
      <c r="I2931"/>
      <c r="J2931"/>
    </row>
    <row r="2932" spans="1:10" x14ac:dyDescent="0.25">
      <c r="A2932" s="90">
        <v>39409</v>
      </c>
      <c r="B2932" s="17">
        <v>26.13</v>
      </c>
      <c r="C2932" s="17"/>
      <c r="F2932"/>
      <c r="G2932"/>
      <c r="H2932"/>
      <c r="I2932"/>
      <c r="J2932"/>
    </row>
    <row r="2933" spans="1:10" x14ac:dyDescent="0.25">
      <c r="A2933" s="90">
        <v>39412</v>
      </c>
      <c r="B2933" s="17">
        <v>25.22</v>
      </c>
      <c r="C2933" s="17"/>
      <c r="F2933"/>
      <c r="G2933"/>
      <c r="H2933"/>
      <c r="I2933"/>
      <c r="J2933"/>
    </row>
    <row r="2934" spans="1:10" x14ac:dyDescent="0.25">
      <c r="A2934" s="90">
        <v>39413</v>
      </c>
      <c r="B2934" s="17">
        <v>25.59</v>
      </c>
      <c r="C2934" s="17"/>
      <c r="F2934"/>
      <c r="G2934"/>
      <c r="H2934"/>
      <c r="I2934"/>
      <c r="J2934"/>
    </row>
    <row r="2935" spans="1:10" x14ac:dyDescent="0.25">
      <c r="A2935" s="90">
        <v>39414</v>
      </c>
      <c r="B2935" s="17">
        <v>26.2</v>
      </c>
      <c r="C2935" s="17"/>
      <c r="F2935"/>
      <c r="G2935"/>
      <c r="H2935"/>
      <c r="I2935"/>
      <c r="J2935"/>
    </row>
    <row r="2936" spans="1:10" x14ac:dyDescent="0.25">
      <c r="A2936" s="90">
        <v>39415</v>
      </c>
      <c r="B2936" s="17">
        <v>26.63</v>
      </c>
      <c r="C2936" s="17"/>
      <c r="F2936"/>
      <c r="G2936"/>
      <c r="H2936"/>
      <c r="I2936"/>
      <c r="J2936"/>
    </row>
    <row r="2937" spans="1:10" x14ac:dyDescent="0.25">
      <c r="A2937" s="90">
        <v>39416</v>
      </c>
      <c r="B2937" s="17">
        <v>26.81</v>
      </c>
      <c r="C2937" s="17"/>
      <c r="F2937"/>
      <c r="G2937"/>
      <c r="H2937"/>
      <c r="I2937"/>
      <c r="J2937"/>
    </row>
    <row r="2938" spans="1:10" x14ac:dyDescent="0.25">
      <c r="A2938" s="90">
        <v>39419</v>
      </c>
      <c r="B2938" s="17">
        <v>26.61</v>
      </c>
      <c r="C2938" s="17"/>
      <c r="F2938"/>
      <c r="G2938"/>
      <c r="H2938"/>
      <c r="I2938"/>
      <c r="J2938"/>
    </row>
    <row r="2939" spans="1:10" x14ac:dyDescent="0.25">
      <c r="A2939" s="90">
        <v>39420</v>
      </c>
      <c r="B2939" s="17">
        <v>26.42</v>
      </c>
      <c r="C2939" s="17"/>
      <c r="F2939"/>
      <c r="G2939"/>
      <c r="H2939"/>
      <c r="I2939"/>
      <c r="J2939"/>
    </row>
    <row r="2940" spans="1:10" x14ac:dyDescent="0.25">
      <c r="A2940" s="90">
        <v>39421</v>
      </c>
      <c r="B2940" s="17">
        <v>25.98</v>
      </c>
      <c r="C2940" s="17"/>
      <c r="F2940"/>
      <c r="G2940"/>
      <c r="H2940"/>
      <c r="I2940"/>
      <c r="J2940"/>
    </row>
    <row r="2941" spans="1:10" x14ac:dyDescent="0.25">
      <c r="A2941" s="90">
        <v>39422</v>
      </c>
      <c r="B2941" s="17">
        <v>25.96</v>
      </c>
      <c r="C2941" s="17"/>
      <c r="F2941"/>
      <c r="G2941"/>
      <c r="H2941"/>
      <c r="I2941"/>
      <c r="J2941"/>
    </row>
    <row r="2942" spans="1:10" x14ac:dyDescent="0.25">
      <c r="A2942" s="90">
        <v>39423</v>
      </c>
      <c r="B2942" s="17">
        <v>25.63</v>
      </c>
      <c r="C2942" s="17"/>
      <c r="F2942"/>
      <c r="G2942"/>
      <c r="H2942"/>
      <c r="I2942"/>
      <c r="J2942"/>
    </row>
    <row r="2943" spans="1:10" x14ac:dyDescent="0.25">
      <c r="A2943" s="90">
        <v>39426</v>
      </c>
      <c r="B2943" s="17">
        <v>25.2</v>
      </c>
      <c r="C2943" s="17"/>
      <c r="F2943"/>
      <c r="G2943"/>
      <c r="H2943"/>
      <c r="I2943"/>
      <c r="J2943"/>
    </row>
    <row r="2944" spans="1:10" x14ac:dyDescent="0.25">
      <c r="A2944" s="90">
        <v>39427</v>
      </c>
      <c r="B2944" s="17">
        <v>24.47</v>
      </c>
      <c r="C2944" s="17"/>
      <c r="F2944"/>
      <c r="G2944"/>
      <c r="H2944"/>
      <c r="I2944"/>
      <c r="J2944"/>
    </row>
    <row r="2945" spans="1:10" x14ac:dyDescent="0.25">
      <c r="A2945" s="90">
        <v>39428</v>
      </c>
      <c r="B2945" s="17">
        <v>24.54</v>
      </c>
      <c r="C2945" s="17"/>
      <c r="F2945"/>
      <c r="G2945"/>
      <c r="H2945"/>
      <c r="I2945"/>
      <c r="J2945"/>
    </row>
    <row r="2946" spans="1:10" x14ac:dyDescent="0.25">
      <c r="A2946" s="90">
        <v>39429</v>
      </c>
      <c r="B2946" s="17">
        <v>24.38</v>
      </c>
      <c r="C2946" s="17"/>
      <c r="F2946"/>
      <c r="G2946"/>
      <c r="H2946"/>
      <c r="I2946"/>
      <c r="J2946"/>
    </row>
    <row r="2947" spans="1:10" x14ac:dyDescent="0.25">
      <c r="A2947" s="90">
        <v>39430</v>
      </c>
      <c r="B2947" s="17">
        <v>24.06</v>
      </c>
      <c r="C2947" s="17"/>
      <c r="F2947"/>
      <c r="G2947"/>
      <c r="H2947"/>
      <c r="I2947"/>
      <c r="J2947"/>
    </row>
    <row r="2948" spans="1:10" x14ac:dyDescent="0.25">
      <c r="A2948" s="90">
        <v>39433</v>
      </c>
      <c r="B2948" s="17">
        <v>23.04</v>
      </c>
      <c r="C2948" s="17"/>
      <c r="F2948"/>
      <c r="G2948"/>
      <c r="H2948"/>
      <c r="I2948"/>
      <c r="J2948"/>
    </row>
    <row r="2949" spans="1:10" x14ac:dyDescent="0.25">
      <c r="A2949" s="90">
        <v>39434</v>
      </c>
      <c r="B2949" s="17">
        <v>23.02</v>
      </c>
      <c r="C2949" s="17"/>
      <c r="F2949"/>
      <c r="G2949"/>
      <c r="H2949"/>
      <c r="I2949"/>
      <c r="J2949"/>
    </row>
    <row r="2950" spans="1:10" x14ac:dyDescent="0.25">
      <c r="A2950" s="90">
        <v>39435</v>
      </c>
      <c r="B2950" s="17">
        <v>23.31</v>
      </c>
      <c r="C2950" s="17"/>
      <c r="F2950"/>
      <c r="G2950"/>
      <c r="H2950"/>
      <c r="I2950"/>
      <c r="J2950"/>
    </row>
    <row r="2951" spans="1:10" x14ac:dyDescent="0.25">
      <c r="A2951" s="90">
        <v>39436</v>
      </c>
      <c r="B2951" s="17">
        <v>23.64</v>
      </c>
      <c r="C2951" s="17"/>
      <c r="F2951"/>
      <c r="G2951"/>
      <c r="H2951"/>
      <c r="I2951"/>
      <c r="J2951"/>
    </row>
    <row r="2952" spans="1:10" x14ac:dyDescent="0.25">
      <c r="A2952" s="90">
        <v>39437</v>
      </c>
      <c r="B2952" s="17">
        <v>24.01</v>
      </c>
      <c r="C2952" s="17"/>
      <c r="F2952"/>
      <c r="G2952"/>
      <c r="H2952"/>
      <c r="I2952"/>
      <c r="J2952"/>
    </row>
    <row r="2953" spans="1:10" x14ac:dyDescent="0.25">
      <c r="A2953" s="90">
        <v>39440</v>
      </c>
      <c r="B2953" s="17">
        <v>24.05</v>
      </c>
      <c r="C2953" s="17"/>
      <c r="F2953"/>
      <c r="G2953"/>
      <c r="H2953"/>
      <c r="I2953"/>
      <c r="J2953"/>
    </row>
    <row r="2954" spans="1:10" x14ac:dyDescent="0.25">
      <c r="A2954" s="90">
        <v>39442</v>
      </c>
      <c r="B2954" s="17">
        <v>23.96</v>
      </c>
      <c r="C2954" s="17"/>
      <c r="F2954"/>
      <c r="G2954"/>
      <c r="H2954"/>
      <c r="I2954"/>
      <c r="J2954"/>
    </row>
    <row r="2955" spans="1:10" x14ac:dyDescent="0.25">
      <c r="A2955" s="90">
        <v>39443</v>
      </c>
      <c r="B2955" s="17">
        <v>23.71</v>
      </c>
      <c r="C2955" s="17"/>
      <c r="F2955"/>
      <c r="G2955"/>
      <c r="H2955"/>
      <c r="I2955"/>
      <c r="J2955"/>
    </row>
    <row r="2956" spans="1:10" x14ac:dyDescent="0.25">
      <c r="A2956" s="90">
        <v>39444</v>
      </c>
      <c r="B2956" s="17">
        <v>23.45</v>
      </c>
      <c r="C2956" s="17"/>
      <c r="F2956"/>
      <c r="G2956"/>
      <c r="H2956"/>
      <c r="I2956"/>
      <c r="J2956"/>
    </row>
    <row r="2957" spans="1:10" x14ac:dyDescent="0.25">
      <c r="A2957" s="90">
        <v>39447</v>
      </c>
      <c r="B2957" s="17">
        <v>23.26</v>
      </c>
      <c r="C2957" s="17"/>
      <c r="F2957"/>
      <c r="G2957"/>
      <c r="H2957"/>
      <c r="I2957"/>
      <c r="J2957"/>
    </row>
    <row r="2958" spans="1:10" x14ac:dyDescent="0.25">
      <c r="A2958" s="90">
        <v>39449</v>
      </c>
      <c r="B2958" s="17">
        <v>23.72</v>
      </c>
      <c r="C2958" s="17"/>
      <c r="F2958"/>
      <c r="G2958"/>
      <c r="H2958"/>
      <c r="I2958"/>
      <c r="J2958"/>
    </row>
    <row r="2959" spans="1:10" x14ac:dyDescent="0.25">
      <c r="A2959" s="90">
        <v>39450</v>
      </c>
      <c r="B2959" s="17">
        <v>23.84</v>
      </c>
      <c r="C2959" s="17"/>
      <c r="F2959"/>
      <c r="G2959"/>
      <c r="H2959"/>
      <c r="I2959"/>
      <c r="J2959"/>
    </row>
    <row r="2960" spans="1:10" x14ac:dyDescent="0.25">
      <c r="A2960" s="90">
        <v>39451</v>
      </c>
      <c r="B2960" s="17">
        <v>23.16</v>
      </c>
      <c r="C2960" s="17"/>
      <c r="F2960"/>
      <c r="G2960"/>
      <c r="H2960"/>
      <c r="I2960"/>
      <c r="J2960"/>
    </row>
    <row r="2961" spans="1:10" x14ac:dyDescent="0.25">
      <c r="A2961" s="90">
        <v>39454</v>
      </c>
      <c r="B2961" s="17">
        <v>23.18</v>
      </c>
      <c r="C2961" s="17"/>
      <c r="F2961"/>
      <c r="G2961"/>
      <c r="H2961"/>
      <c r="I2961"/>
      <c r="J2961"/>
    </row>
    <row r="2962" spans="1:10" x14ac:dyDescent="0.25">
      <c r="A2962" s="90">
        <v>39455</v>
      </c>
      <c r="B2962" s="17">
        <v>22.61</v>
      </c>
      <c r="C2962" s="17"/>
      <c r="F2962"/>
      <c r="G2962"/>
      <c r="H2962"/>
      <c r="I2962"/>
      <c r="J2962"/>
    </row>
    <row r="2963" spans="1:10" x14ac:dyDescent="0.25">
      <c r="A2963" s="90">
        <v>39456</v>
      </c>
      <c r="B2963" s="17">
        <v>22.56</v>
      </c>
      <c r="C2963" s="17"/>
      <c r="F2963"/>
      <c r="G2963"/>
      <c r="H2963"/>
      <c r="I2963"/>
      <c r="J2963"/>
    </row>
    <row r="2964" spans="1:10" x14ac:dyDescent="0.25">
      <c r="A2964" s="90">
        <v>39457</v>
      </c>
      <c r="B2964" s="17">
        <v>24.09</v>
      </c>
      <c r="C2964" s="17"/>
      <c r="F2964"/>
      <c r="G2964"/>
      <c r="H2964"/>
      <c r="I2964"/>
      <c r="J2964"/>
    </row>
    <row r="2965" spans="1:10" x14ac:dyDescent="0.25">
      <c r="A2965" s="90">
        <v>39458</v>
      </c>
      <c r="B2965" s="17">
        <v>23.36</v>
      </c>
      <c r="C2965" s="17"/>
      <c r="F2965"/>
      <c r="G2965"/>
      <c r="H2965"/>
      <c r="I2965"/>
      <c r="J2965"/>
    </row>
    <row r="2966" spans="1:10" x14ac:dyDescent="0.25">
      <c r="A2966" s="90">
        <v>39461</v>
      </c>
      <c r="B2966" s="17">
        <v>23.7</v>
      </c>
      <c r="C2966" s="17"/>
      <c r="F2966"/>
      <c r="G2966"/>
      <c r="H2966"/>
      <c r="I2966"/>
      <c r="J2966"/>
    </row>
    <row r="2967" spans="1:10" x14ac:dyDescent="0.25">
      <c r="A2967" s="90">
        <v>39462</v>
      </c>
      <c r="B2967" s="17">
        <v>22.91</v>
      </c>
      <c r="C2967" s="17"/>
      <c r="F2967"/>
      <c r="G2967"/>
      <c r="H2967"/>
      <c r="I2967"/>
      <c r="J2967"/>
    </row>
    <row r="2968" spans="1:10" x14ac:dyDescent="0.25">
      <c r="A2968" s="90">
        <v>39463</v>
      </c>
      <c r="B2968" s="17">
        <v>21.95</v>
      </c>
      <c r="C2968" s="17"/>
      <c r="F2968"/>
      <c r="G2968"/>
      <c r="H2968"/>
      <c r="I2968"/>
      <c r="J2968"/>
    </row>
    <row r="2969" spans="1:10" x14ac:dyDescent="0.25">
      <c r="A2969" s="90">
        <v>39464</v>
      </c>
      <c r="B2969" s="17">
        <v>21.22</v>
      </c>
      <c r="C2969" s="17"/>
      <c r="F2969"/>
      <c r="G2969"/>
      <c r="H2969"/>
      <c r="I2969"/>
      <c r="J2969"/>
    </row>
    <row r="2970" spans="1:10" x14ac:dyDescent="0.25">
      <c r="A2970" s="90">
        <v>39465</v>
      </c>
      <c r="B2970" s="17">
        <v>20.78</v>
      </c>
      <c r="C2970" s="17"/>
      <c r="F2970"/>
      <c r="G2970"/>
      <c r="H2970"/>
      <c r="I2970"/>
      <c r="J2970"/>
    </row>
    <row r="2971" spans="1:10" x14ac:dyDescent="0.25">
      <c r="A2971" s="90">
        <v>39469</v>
      </c>
      <c r="B2971" s="17">
        <v>19.86</v>
      </c>
      <c r="C2971" s="17"/>
      <c r="F2971"/>
      <c r="G2971"/>
      <c r="H2971"/>
      <c r="I2971"/>
      <c r="J2971"/>
    </row>
    <row r="2972" spans="1:10" x14ac:dyDescent="0.25">
      <c r="A2972" s="90">
        <v>39470</v>
      </c>
      <c r="B2972" s="17">
        <v>20.010000000000002</v>
      </c>
      <c r="C2972" s="17"/>
      <c r="F2972"/>
      <c r="G2972"/>
      <c r="H2972"/>
      <c r="I2972"/>
      <c r="J2972"/>
    </row>
    <row r="2973" spans="1:10" x14ac:dyDescent="0.25">
      <c r="A2973" s="90">
        <v>39471</v>
      </c>
      <c r="B2973" s="17">
        <v>21.69</v>
      </c>
      <c r="C2973" s="17"/>
      <c r="F2973"/>
      <c r="G2973"/>
      <c r="H2973"/>
      <c r="I2973"/>
      <c r="J2973"/>
    </row>
    <row r="2974" spans="1:10" x14ac:dyDescent="0.25">
      <c r="A2974" s="90">
        <v>39472</v>
      </c>
      <c r="B2974" s="17">
        <v>21.94</v>
      </c>
      <c r="C2974" s="17"/>
      <c r="F2974"/>
      <c r="G2974"/>
      <c r="H2974"/>
      <c r="I2974"/>
      <c r="J2974"/>
    </row>
    <row r="2975" spans="1:10" x14ac:dyDescent="0.25">
      <c r="A2975" s="90">
        <v>39475</v>
      </c>
      <c r="B2975" s="17">
        <v>20.78</v>
      </c>
      <c r="C2975" s="17"/>
      <c r="F2975"/>
      <c r="G2975"/>
      <c r="H2975"/>
      <c r="I2975"/>
      <c r="J2975"/>
    </row>
    <row r="2976" spans="1:10" x14ac:dyDescent="0.25">
      <c r="A2976" s="90">
        <v>39476</v>
      </c>
      <c r="B2976" s="17">
        <v>20.81</v>
      </c>
      <c r="C2976" s="17"/>
      <c r="F2976"/>
      <c r="G2976"/>
      <c r="H2976"/>
      <c r="I2976"/>
      <c r="J2976"/>
    </row>
    <row r="2977" spans="1:10" x14ac:dyDescent="0.25">
      <c r="A2977" s="90">
        <v>39477</v>
      </c>
      <c r="B2977" s="17">
        <v>19.05</v>
      </c>
      <c r="C2977" s="17"/>
      <c r="F2977"/>
      <c r="G2977"/>
      <c r="H2977"/>
      <c r="I2977"/>
      <c r="J2977"/>
    </row>
    <row r="2978" spans="1:10" x14ac:dyDescent="0.25">
      <c r="A2978" s="90">
        <v>39478</v>
      </c>
      <c r="B2978" s="17">
        <v>19.18</v>
      </c>
      <c r="C2978" s="17"/>
      <c r="F2978"/>
      <c r="G2978"/>
      <c r="H2978"/>
      <c r="I2978"/>
      <c r="J2978"/>
    </row>
    <row r="2979" spans="1:10" x14ac:dyDescent="0.25">
      <c r="A2979" s="90">
        <v>39479</v>
      </c>
      <c r="B2979" s="17">
        <v>28.38</v>
      </c>
      <c r="C2979" s="17"/>
      <c r="F2979"/>
      <c r="G2979"/>
      <c r="H2979"/>
      <c r="I2979"/>
      <c r="J2979"/>
    </row>
    <row r="2980" spans="1:10" x14ac:dyDescent="0.25">
      <c r="A2980" s="90">
        <v>39482</v>
      </c>
      <c r="B2980" s="17">
        <v>29.33</v>
      </c>
      <c r="C2980" s="17"/>
      <c r="F2980"/>
      <c r="G2980"/>
      <c r="H2980"/>
      <c r="I2980"/>
      <c r="J2980"/>
    </row>
    <row r="2981" spans="1:10" x14ac:dyDescent="0.25">
      <c r="A2981" s="90">
        <v>39483</v>
      </c>
      <c r="B2981" s="17">
        <v>28.98</v>
      </c>
      <c r="C2981" s="17"/>
      <c r="F2981"/>
      <c r="G2981"/>
      <c r="H2981"/>
      <c r="I2981"/>
      <c r="J2981"/>
    </row>
    <row r="2982" spans="1:10" x14ac:dyDescent="0.25">
      <c r="A2982" s="90">
        <v>39484</v>
      </c>
      <c r="B2982" s="17">
        <v>28.57</v>
      </c>
      <c r="C2982" s="17"/>
      <c r="F2982"/>
      <c r="G2982"/>
      <c r="H2982"/>
      <c r="I2982"/>
      <c r="J2982"/>
    </row>
    <row r="2983" spans="1:10" x14ac:dyDescent="0.25">
      <c r="A2983" s="90">
        <v>39485</v>
      </c>
      <c r="B2983" s="17">
        <v>29.04</v>
      </c>
      <c r="C2983" s="17"/>
      <c r="F2983"/>
      <c r="G2983"/>
      <c r="H2983"/>
      <c r="I2983"/>
      <c r="J2983"/>
    </row>
    <row r="2984" spans="1:10" x14ac:dyDescent="0.25">
      <c r="A2984" s="90">
        <v>39486</v>
      </c>
      <c r="B2984" s="17">
        <v>29.2</v>
      </c>
      <c r="C2984" s="17"/>
      <c r="F2984"/>
      <c r="G2984"/>
      <c r="H2984"/>
      <c r="I2984"/>
      <c r="J2984"/>
    </row>
    <row r="2985" spans="1:10" x14ac:dyDescent="0.25">
      <c r="A2985" s="90">
        <v>39489</v>
      </c>
      <c r="B2985" s="17">
        <v>29.87</v>
      </c>
      <c r="C2985" s="17"/>
      <c r="F2985"/>
      <c r="G2985"/>
      <c r="H2985"/>
      <c r="I2985"/>
      <c r="J2985"/>
    </row>
    <row r="2986" spans="1:10" x14ac:dyDescent="0.25">
      <c r="A2986" s="90">
        <v>39490</v>
      </c>
      <c r="B2986" s="17">
        <v>29.57</v>
      </c>
      <c r="C2986" s="17"/>
      <c r="F2986"/>
      <c r="G2986"/>
      <c r="H2986"/>
      <c r="I2986"/>
      <c r="J2986"/>
    </row>
    <row r="2987" spans="1:10" x14ac:dyDescent="0.25">
      <c r="A2987" s="90">
        <v>39491</v>
      </c>
      <c r="B2987" s="17">
        <v>29.88</v>
      </c>
      <c r="C2987" s="17"/>
      <c r="F2987"/>
      <c r="G2987"/>
      <c r="H2987"/>
      <c r="I2987"/>
      <c r="J2987"/>
    </row>
    <row r="2988" spans="1:10" x14ac:dyDescent="0.25">
      <c r="A2988" s="90">
        <v>39492</v>
      </c>
      <c r="B2988" s="17">
        <v>29.98</v>
      </c>
      <c r="C2988" s="17"/>
      <c r="F2988"/>
      <c r="G2988"/>
      <c r="H2988"/>
      <c r="I2988"/>
      <c r="J2988"/>
    </row>
    <row r="2989" spans="1:10" x14ac:dyDescent="0.25">
      <c r="A2989" s="90">
        <v>39493</v>
      </c>
      <c r="B2989" s="17">
        <v>29.66</v>
      </c>
      <c r="C2989" s="17"/>
      <c r="F2989"/>
      <c r="G2989"/>
      <c r="H2989"/>
      <c r="I2989"/>
      <c r="J2989"/>
    </row>
    <row r="2990" spans="1:10" x14ac:dyDescent="0.25">
      <c r="A2990" s="90">
        <v>39497</v>
      </c>
      <c r="B2990" s="17">
        <v>29.01</v>
      </c>
      <c r="C2990" s="17"/>
      <c r="F2990"/>
      <c r="G2990"/>
      <c r="H2990"/>
      <c r="I2990"/>
      <c r="J2990"/>
    </row>
    <row r="2991" spans="1:10" x14ac:dyDescent="0.25">
      <c r="A2991" s="90">
        <v>39498</v>
      </c>
      <c r="B2991" s="17">
        <v>28.83</v>
      </c>
      <c r="C2991" s="17"/>
      <c r="F2991"/>
      <c r="G2991"/>
      <c r="H2991"/>
      <c r="I2991"/>
      <c r="J2991"/>
    </row>
    <row r="2992" spans="1:10" x14ac:dyDescent="0.25">
      <c r="A2992" s="90">
        <v>39499</v>
      </c>
      <c r="B2992" s="17">
        <v>28.42</v>
      </c>
      <c r="C2992" s="17"/>
      <c r="F2992"/>
      <c r="G2992"/>
      <c r="H2992"/>
      <c r="I2992"/>
      <c r="J2992"/>
    </row>
    <row r="2993" spans="1:10" x14ac:dyDescent="0.25">
      <c r="A2993" s="90">
        <v>39500</v>
      </c>
      <c r="B2993" s="17">
        <v>28.42</v>
      </c>
      <c r="C2993" s="17"/>
      <c r="F2993"/>
      <c r="G2993"/>
      <c r="H2993"/>
      <c r="I2993"/>
      <c r="J2993"/>
    </row>
    <row r="2994" spans="1:10" x14ac:dyDescent="0.25">
      <c r="A2994" s="90">
        <v>39503</v>
      </c>
      <c r="B2994" s="17">
        <v>28.13</v>
      </c>
      <c r="C2994" s="17"/>
      <c r="F2994"/>
      <c r="G2994"/>
      <c r="H2994"/>
      <c r="I2994"/>
      <c r="J2994"/>
    </row>
    <row r="2995" spans="1:10" x14ac:dyDescent="0.25">
      <c r="A2995" s="90">
        <v>39504</v>
      </c>
      <c r="B2995" s="17">
        <v>28.22</v>
      </c>
      <c r="C2995" s="17"/>
      <c r="F2995"/>
      <c r="G2995"/>
      <c r="H2995"/>
      <c r="I2995"/>
      <c r="J2995"/>
    </row>
    <row r="2996" spans="1:10" x14ac:dyDescent="0.25">
      <c r="A2996" s="90">
        <v>39505</v>
      </c>
      <c r="B2996" s="17">
        <v>28.37</v>
      </c>
      <c r="C2996" s="17"/>
      <c r="F2996"/>
      <c r="G2996"/>
      <c r="H2996"/>
      <c r="I2996"/>
      <c r="J2996"/>
    </row>
    <row r="2997" spans="1:10" x14ac:dyDescent="0.25">
      <c r="A2997" s="90">
        <v>39506</v>
      </c>
      <c r="B2997" s="17">
        <v>28.15</v>
      </c>
      <c r="C2997" s="17"/>
      <c r="F2997"/>
      <c r="G2997"/>
      <c r="H2997"/>
      <c r="I2997"/>
      <c r="J2997"/>
    </row>
    <row r="2998" spans="1:10" x14ac:dyDescent="0.25">
      <c r="A2998" s="90">
        <v>39507</v>
      </c>
      <c r="B2998" s="17">
        <v>27.78</v>
      </c>
      <c r="C2998" s="17"/>
      <c r="F2998"/>
      <c r="G2998"/>
      <c r="H2998"/>
      <c r="I2998"/>
      <c r="J2998"/>
    </row>
    <row r="2999" spans="1:10" x14ac:dyDescent="0.25">
      <c r="A2999" s="90">
        <v>39510</v>
      </c>
      <c r="B2999" s="17">
        <v>27.77</v>
      </c>
      <c r="C2999" s="17"/>
      <c r="F2999"/>
      <c r="G2999"/>
      <c r="H2999"/>
      <c r="I2999"/>
      <c r="J2999"/>
    </row>
    <row r="3000" spans="1:10" x14ac:dyDescent="0.25">
      <c r="A3000" s="90">
        <v>39511</v>
      </c>
      <c r="B3000" s="17">
        <v>28.06</v>
      </c>
      <c r="C3000" s="17"/>
      <c r="F3000"/>
      <c r="G3000"/>
      <c r="H3000"/>
      <c r="I3000"/>
      <c r="J3000"/>
    </row>
    <row r="3001" spans="1:10" x14ac:dyDescent="0.25">
      <c r="A3001" s="90">
        <v>39512</v>
      </c>
      <c r="B3001" s="17">
        <v>28.67</v>
      </c>
      <c r="C3001" s="17"/>
      <c r="F3001"/>
      <c r="G3001"/>
      <c r="H3001"/>
      <c r="I3001"/>
      <c r="J3001"/>
    </row>
    <row r="3002" spans="1:10" x14ac:dyDescent="0.25">
      <c r="A3002" s="90">
        <v>39513</v>
      </c>
      <c r="B3002" s="17">
        <v>28.7</v>
      </c>
      <c r="C3002" s="17"/>
      <c r="F3002"/>
      <c r="G3002"/>
      <c r="H3002"/>
      <c r="I3002"/>
      <c r="J3002"/>
    </row>
    <row r="3003" spans="1:10" x14ac:dyDescent="0.25">
      <c r="A3003" s="90">
        <v>39514</v>
      </c>
      <c r="B3003" s="17">
        <v>29.03</v>
      </c>
      <c r="C3003" s="17"/>
      <c r="F3003"/>
      <c r="G3003"/>
      <c r="H3003"/>
      <c r="I3003"/>
      <c r="J3003"/>
    </row>
    <row r="3004" spans="1:10" x14ac:dyDescent="0.25">
      <c r="A3004" s="90">
        <v>39517</v>
      </c>
      <c r="B3004" s="17">
        <v>28.51</v>
      </c>
      <c r="C3004" s="17"/>
      <c r="F3004"/>
      <c r="G3004"/>
      <c r="H3004"/>
      <c r="I3004"/>
      <c r="J3004"/>
    </row>
    <row r="3005" spans="1:10" x14ac:dyDescent="0.25">
      <c r="A3005" s="90">
        <v>39518</v>
      </c>
      <c r="B3005" s="17">
        <v>29</v>
      </c>
      <c r="C3005" s="17"/>
      <c r="F3005"/>
      <c r="G3005"/>
      <c r="H3005"/>
      <c r="I3005"/>
      <c r="J3005"/>
    </row>
    <row r="3006" spans="1:10" x14ac:dyDescent="0.25">
      <c r="A3006" s="90">
        <v>39519</v>
      </c>
      <c r="B3006" s="17">
        <v>28.45</v>
      </c>
      <c r="C3006" s="17"/>
      <c r="F3006"/>
      <c r="G3006"/>
      <c r="H3006"/>
      <c r="I3006"/>
      <c r="J3006"/>
    </row>
    <row r="3007" spans="1:10" x14ac:dyDescent="0.25">
      <c r="A3007" s="90">
        <v>39520</v>
      </c>
      <c r="B3007" s="17">
        <v>27.5</v>
      </c>
      <c r="C3007" s="17"/>
      <c r="F3007"/>
      <c r="G3007"/>
      <c r="H3007"/>
      <c r="I3007"/>
      <c r="J3007"/>
    </row>
    <row r="3008" spans="1:10" x14ac:dyDescent="0.25">
      <c r="A3008" s="90">
        <v>39521</v>
      </c>
      <c r="B3008" s="17">
        <v>26.71</v>
      </c>
      <c r="C3008" s="17"/>
      <c r="F3008"/>
      <c r="G3008"/>
      <c r="H3008"/>
      <c r="I3008"/>
      <c r="J3008"/>
    </row>
    <row r="3009" spans="1:10" x14ac:dyDescent="0.25">
      <c r="A3009" s="90">
        <v>39524</v>
      </c>
      <c r="B3009" s="17">
        <v>25.85</v>
      </c>
      <c r="C3009" s="17"/>
      <c r="F3009"/>
      <c r="G3009"/>
      <c r="H3009"/>
      <c r="I3009"/>
      <c r="J3009"/>
    </row>
    <row r="3010" spans="1:10" x14ac:dyDescent="0.25">
      <c r="A3010" s="90">
        <v>39525</v>
      </c>
      <c r="B3010" s="17">
        <v>27.66</v>
      </c>
      <c r="C3010" s="17"/>
      <c r="F3010"/>
      <c r="G3010"/>
      <c r="H3010"/>
      <c r="I3010"/>
      <c r="J3010"/>
    </row>
    <row r="3011" spans="1:10" x14ac:dyDescent="0.25">
      <c r="A3011" s="90">
        <v>39526</v>
      </c>
      <c r="B3011" s="17">
        <v>27.07</v>
      </c>
      <c r="C3011" s="17"/>
      <c r="F3011"/>
      <c r="G3011"/>
      <c r="H3011"/>
      <c r="I3011"/>
      <c r="J3011"/>
    </row>
    <row r="3012" spans="1:10" x14ac:dyDescent="0.25">
      <c r="A3012" s="90">
        <v>39527</v>
      </c>
      <c r="B3012" s="17">
        <v>27.66</v>
      </c>
      <c r="C3012" s="17"/>
      <c r="F3012"/>
      <c r="G3012"/>
      <c r="H3012"/>
      <c r="I3012"/>
      <c r="J3012"/>
    </row>
    <row r="3013" spans="1:10" x14ac:dyDescent="0.25">
      <c r="A3013" s="90">
        <v>39531</v>
      </c>
      <c r="B3013" s="17">
        <v>27.52</v>
      </c>
      <c r="C3013" s="17"/>
      <c r="F3013"/>
      <c r="G3013"/>
      <c r="H3013"/>
      <c r="I3013"/>
      <c r="J3013"/>
    </row>
    <row r="3014" spans="1:10" x14ac:dyDescent="0.25">
      <c r="A3014" s="90">
        <v>39532</v>
      </c>
      <c r="B3014" s="17">
        <v>28.73</v>
      </c>
      <c r="C3014" s="17"/>
      <c r="F3014"/>
      <c r="G3014"/>
      <c r="H3014"/>
      <c r="I3014"/>
      <c r="J3014"/>
    </row>
    <row r="3015" spans="1:10" x14ac:dyDescent="0.25">
      <c r="A3015" s="90">
        <v>39533</v>
      </c>
      <c r="B3015" s="17">
        <v>28.49</v>
      </c>
      <c r="C3015" s="17"/>
      <c r="F3015"/>
      <c r="G3015"/>
      <c r="H3015"/>
      <c r="I3015"/>
      <c r="J3015"/>
    </row>
    <row r="3016" spans="1:10" x14ac:dyDescent="0.25">
      <c r="A3016" s="90">
        <v>39534</v>
      </c>
      <c r="B3016" s="17">
        <v>28.09</v>
      </c>
      <c r="C3016" s="17"/>
      <c r="F3016"/>
      <c r="G3016"/>
      <c r="H3016"/>
      <c r="I3016"/>
      <c r="J3016"/>
    </row>
    <row r="3017" spans="1:10" x14ac:dyDescent="0.25">
      <c r="A3017" s="90">
        <v>39535</v>
      </c>
      <c r="B3017" s="17">
        <v>28.99</v>
      </c>
      <c r="C3017" s="17"/>
      <c r="F3017"/>
      <c r="G3017"/>
      <c r="H3017"/>
      <c r="I3017"/>
      <c r="J3017"/>
    </row>
    <row r="3018" spans="1:10" x14ac:dyDescent="0.25">
      <c r="A3018" s="90">
        <v>39538</v>
      </c>
      <c r="B3018" s="17">
        <v>28.93</v>
      </c>
      <c r="C3018" s="17"/>
      <c r="F3018"/>
      <c r="G3018"/>
      <c r="H3018"/>
      <c r="I3018"/>
      <c r="J3018"/>
    </row>
    <row r="3019" spans="1:10" x14ac:dyDescent="0.25">
      <c r="A3019" s="90">
        <v>39539</v>
      </c>
      <c r="B3019" s="17">
        <v>28.5</v>
      </c>
      <c r="C3019" s="17"/>
      <c r="F3019"/>
      <c r="G3019"/>
      <c r="H3019"/>
      <c r="I3019"/>
      <c r="J3019"/>
    </row>
    <row r="3020" spans="1:10" x14ac:dyDescent="0.25">
      <c r="A3020" s="90">
        <v>39540</v>
      </c>
      <c r="B3020" s="17">
        <v>27.82</v>
      </c>
      <c r="C3020" s="17"/>
      <c r="F3020"/>
      <c r="G3020"/>
      <c r="H3020"/>
      <c r="I3020"/>
      <c r="J3020"/>
    </row>
    <row r="3021" spans="1:10" x14ac:dyDescent="0.25">
      <c r="A3021" s="90">
        <v>39541</v>
      </c>
      <c r="B3021" s="17">
        <v>28.13</v>
      </c>
      <c r="C3021" s="17"/>
      <c r="F3021"/>
      <c r="G3021"/>
      <c r="H3021"/>
      <c r="I3021"/>
      <c r="J3021"/>
    </row>
    <row r="3022" spans="1:10" x14ac:dyDescent="0.25">
      <c r="A3022" s="90">
        <v>39542</v>
      </c>
      <c r="B3022" s="17">
        <v>28.36</v>
      </c>
      <c r="C3022" s="17"/>
      <c r="F3022"/>
      <c r="G3022"/>
      <c r="H3022"/>
      <c r="I3022"/>
      <c r="J3022"/>
    </row>
    <row r="3023" spans="1:10" x14ac:dyDescent="0.25">
      <c r="A3023" s="90">
        <v>39545</v>
      </c>
      <c r="B3023" s="17">
        <v>27.7</v>
      </c>
      <c r="C3023" s="17"/>
      <c r="F3023"/>
      <c r="G3023"/>
      <c r="H3023"/>
      <c r="I3023"/>
      <c r="J3023"/>
    </row>
    <row r="3024" spans="1:10" x14ac:dyDescent="0.25">
      <c r="A3024" s="90">
        <v>39546</v>
      </c>
      <c r="B3024" s="17">
        <v>27.7</v>
      </c>
      <c r="C3024" s="17"/>
      <c r="F3024"/>
      <c r="G3024"/>
      <c r="H3024"/>
      <c r="I3024"/>
      <c r="J3024"/>
    </row>
    <row r="3025" spans="1:10" x14ac:dyDescent="0.25">
      <c r="A3025" s="90">
        <v>39547</v>
      </c>
      <c r="B3025" s="17">
        <v>27.77</v>
      </c>
      <c r="C3025" s="17"/>
      <c r="F3025"/>
      <c r="G3025"/>
      <c r="H3025"/>
      <c r="I3025"/>
      <c r="J3025"/>
    </row>
    <row r="3026" spans="1:10" x14ac:dyDescent="0.25">
      <c r="A3026" s="90">
        <v>39548</v>
      </c>
      <c r="B3026" s="17">
        <v>28.59</v>
      </c>
      <c r="C3026" s="17"/>
      <c r="F3026"/>
      <c r="G3026"/>
      <c r="H3026"/>
      <c r="I3026"/>
      <c r="J3026"/>
    </row>
    <row r="3027" spans="1:10" x14ac:dyDescent="0.25">
      <c r="A3027" s="90">
        <v>39549</v>
      </c>
      <c r="B3027" s="17">
        <v>28.34</v>
      </c>
      <c r="C3027" s="17"/>
      <c r="F3027"/>
      <c r="G3027"/>
      <c r="H3027"/>
      <c r="I3027"/>
      <c r="J3027"/>
    </row>
    <row r="3028" spans="1:10" x14ac:dyDescent="0.25">
      <c r="A3028" s="90">
        <v>39552</v>
      </c>
      <c r="B3028" s="17">
        <v>27.8</v>
      </c>
      <c r="C3028" s="17"/>
      <c r="F3028"/>
      <c r="G3028"/>
      <c r="H3028"/>
      <c r="I3028"/>
      <c r="J3028"/>
    </row>
    <row r="3029" spans="1:10" x14ac:dyDescent="0.25">
      <c r="A3029" s="90">
        <v>39553</v>
      </c>
      <c r="B3029" s="17">
        <v>28.17</v>
      </c>
      <c r="C3029" s="17"/>
      <c r="F3029"/>
      <c r="G3029"/>
      <c r="H3029"/>
      <c r="I3029"/>
      <c r="J3029"/>
    </row>
    <row r="3030" spans="1:10" x14ac:dyDescent="0.25">
      <c r="A3030" s="90">
        <v>39554</v>
      </c>
      <c r="B3030" s="17">
        <v>28.31</v>
      </c>
      <c r="C3030" s="17"/>
      <c r="F3030"/>
      <c r="G3030"/>
      <c r="H3030"/>
      <c r="I3030"/>
      <c r="J3030"/>
    </row>
    <row r="3031" spans="1:10" x14ac:dyDescent="0.25">
      <c r="A3031" s="90">
        <v>39555</v>
      </c>
      <c r="B3031" s="17">
        <v>28.03</v>
      </c>
      <c r="C3031" s="17"/>
      <c r="F3031"/>
      <c r="G3031"/>
      <c r="H3031"/>
      <c r="I3031"/>
      <c r="J3031"/>
    </row>
    <row r="3032" spans="1:10" x14ac:dyDescent="0.25">
      <c r="A3032" s="90">
        <v>39556</v>
      </c>
      <c r="B3032" s="17">
        <v>28.43</v>
      </c>
      <c r="C3032" s="17"/>
      <c r="F3032"/>
      <c r="G3032"/>
      <c r="H3032"/>
      <c r="I3032"/>
      <c r="J3032"/>
    </row>
    <row r="3033" spans="1:10" x14ac:dyDescent="0.25">
      <c r="A3033" s="90">
        <v>39559</v>
      </c>
      <c r="B3033" s="17">
        <v>28.55</v>
      </c>
      <c r="C3033" s="17"/>
      <c r="F3033"/>
      <c r="G3033"/>
      <c r="H3033"/>
      <c r="I3033"/>
      <c r="J3033"/>
    </row>
    <row r="3034" spans="1:10" x14ac:dyDescent="0.25">
      <c r="A3034" s="90">
        <v>39560</v>
      </c>
      <c r="B3034" s="17">
        <v>28.54</v>
      </c>
      <c r="C3034" s="17"/>
      <c r="F3034"/>
      <c r="G3034"/>
      <c r="H3034"/>
      <c r="I3034"/>
      <c r="J3034"/>
    </row>
    <row r="3035" spans="1:10" x14ac:dyDescent="0.25">
      <c r="A3035" s="90">
        <v>39561</v>
      </c>
      <c r="B3035" s="17">
        <v>28.08</v>
      </c>
      <c r="C3035" s="17"/>
      <c r="F3035"/>
      <c r="G3035"/>
      <c r="H3035"/>
      <c r="I3035"/>
      <c r="J3035"/>
    </row>
    <row r="3036" spans="1:10" x14ac:dyDescent="0.25">
      <c r="A3036" s="90">
        <v>39562</v>
      </c>
      <c r="B3036" s="17">
        <v>27.3</v>
      </c>
      <c r="C3036" s="17"/>
      <c r="F3036"/>
      <c r="G3036"/>
      <c r="H3036"/>
      <c r="I3036"/>
      <c r="J3036"/>
    </row>
    <row r="3037" spans="1:10" x14ac:dyDescent="0.25">
      <c r="A3037" s="90">
        <v>39563</v>
      </c>
      <c r="B3037" s="17">
        <v>26.8</v>
      </c>
      <c r="C3037" s="17"/>
      <c r="F3037"/>
      <c r="G3037"/>
      <c r="H3037"/>
      <c r="I3037"/>
      <c r="J3037"/>
    </row>
    <row r="3038" spans="1:10" x14ac:dyDescent="0.25">
      <c r="A3038" s="90">
        <v>39566</v>
      </c>
      <c r="B3038" s="17">
        <v>26.43</v>
      </c>
      <c r="C3038" s="17"/>
      <c r="F3038"/>
      <c r="G3038"/>
      <c r="H3038"/>
      <c r="I3038"/>
      <c r="J3038"/>
    </row>
    <row r="3039" spans="1:10" x14ac:dyDescent="0.25">
      <c r="A3039" s="90">
        <v>39567</v>
      </c>
      <c r="B3039" s="17">
        <v>27.36</v>
      </c>
      <c r="C3039" s="17"/>
      <c r="F3039"/>
      <c r="G3039"/>
      <c r="H3039"/>
      <c r="I3039"/>
      <c r="J3039"/>
    </row>
    <row r="3040" spans="1:10" x14ac:dyDescent="0.25">
      <c r="A3040" s="90">
        <v>39568</v>
      </c>
      <c r="B3040" s="17">
        <v>27.41</v>
      </c>
      <c r="C3040" s="17"/>
      <c r="F3040"/>
      <c r="G3040"/>
      <c r="H3040"/>
      <c r="I3040"/>
      <c r="J3040"/>
    </row>
    <row r="3041" spans="1:10" x14ac:dyDescent="0.25">
      <c r="A3041" s="90">
        <v>39569</v>
      </c>
      <c r="B3041" s="17">
        <v>26.81</v>
      </c>
      <c r="C3041" s="17"/>
      <c r="F3041"/>
      <c r="G3041"/>
      <c r="H3041"/>
      <c r="I3041"/>
      <c r="J3041"/>
    </row>
    <row r="3042" spans="1:10" x14ac:dyDescent="0.25">
      <c r="A3042" s="90">
        <v>39570</v>
      </c>
      <c r="B3042" s="17">
        <v>28.67</v>
      </c>
      <c r="C3042" s="17"/>
      <c r="F3042"/>
      <c r="G3042"/>
      <c r="H3042"/>
      <c r="I3042"/>
      <c r="J3042"/>
    </row>
    <row r="3043" spans="1:10" x14ac:dyDescent="0.25">
      <c r="A3043" s="90">
        <v>39573</v>
      </c>
      <c r="B3043" s="17">
        <v>24.37</v>
      </c>
      <c r="C3043" s="17"/>
      <c r="F3043"/>
      <c r="G3043"/>
      <c r="H3043"/>
      <c r="I3043"/>
      <c r="J3043"/>
    </row>
    <row r="3044" spans="1:10" x14ac:dyDescent="0.25">
      <c r="A3044" s="90">
        <v>39574</v>
      </c>
      <c r="B3044" s="17">
        <v>25.72</v>
      </c>
      <c r="C3044" s="17"/>
      <c r="F3044"/>
      <c r="G3044"/>
      <c r="H3044"/>
      <c r="I3044"/>
      <c r="J3044"/>
    </row>
    <row r="3045" spans="1:10" x14ac:dyDescent="0.25">
      <c r="A3045" s="90">
        <v>39575</v>
      </c>
      <c r="B3045" s="17">
        <v>25.64</v>
      </c>
      <c r="C3045" s="17"/>
      <c r="F3045"/>
      <c r="G3045"/>
      <c r="H3045"/>
      <c r="I3045"/>
      <c r="J3045"/>
    </row>
    <row r="3046" spans="1:10" x14ac:dyDescent="0.25">
      <c r="A3046" s="90">
        <v>39576</v>
      </c>
      <c r="B3046" s="17">
        <v>26.22</v>
      </c>
      <c r="C3046" s="17"/>
      <c r="F3046"/>
      <c r="G3046"/>
      <c r="H3046"/>
      <c r="I3046"/>
      <c r="J3046"/>
    </row>
    <row r="3047" spans="1:10" x14ac:dyDescent="0.25">
      <c r="A3047" s="90">
        <v>39577</v>
      </c>
      <c r="B3047" s="17">
        <v>25.93</v>
      </c>
      <c r="C3047" s="17"/>
      <c r="F3047"/>
      <c r="G3047"/>
      <c r="H3047"/>
      <c r="I3047"/>
      <c r="J3047"/>
    </row>
    <row r="3048" spans="1:10" x14ac:dyDescent="0.25">
      <c r="A3048" s="90">
        <v>39580</v>
      </c>
      <c r="B3048" s="17">
        <v>25.26</v>
      </c>
      <c r="C3048" s="17"/>
      <c r="F3048"/>
      <c r="G3048"/>
      <c r="H3048"/>
      <c r="I3048"/>
      <c r="J3048"/>
    </row>
    <row r="3049" spans="1:10" x14ac:dyDescent="0.25">
      <c r="A3049" s="90">
        <v>39581</v>
      </c>
      <c r="B3049" s="17">
        <v>26.56</v>
      </c>
      <c r="C3049" s="17"/>
      <c r="F3049"/>
      <c r="G3049"/>
      <c r="H3049"/>
      <c r="I3049"/>
      <c r="J3049"/>
    </row>
    <row r="3050" spans="1:10" x14ac:dyDescent="0.25">
      <c r="A3050" s="90">
        <v>39582</v>
      </c>
      <c r="B3050" s="17">
        <v>27.14</v>
      </c>
      <c r="C3050" s="17"/>
      <c r="F3050"/>
      <c r="G3050"/>
      <c r="H3050"/>
      <c r="I3050"/>
      <c r="J3050"/>
    </row>
    <row r="3051" spans="1:10" x14ac:dyDescent="0.25">
      <c r="A3051" s="90">
        <v>39583</v>
      </c>
      <c r="B3051" s="17">
        <v>27.75</v>
      </c>
      <c r="C3051" s="17"/>
      <c r="F3051"/>
      <c r="G3051"/>
      <c r="H3051"/>
      <c r="I3051"/>
      <c r="J3051"/>
    </row>
    <row r="3052" spans="1:10" x14ac:dyDescent="0.25">
      <c r="A3052" s="90">
        <v>39584</v>
      </c>
      <c r="B3052" s="17">
        <v>27.66</v>
      </c>
      <c r="C3052" s="17"/>
      <c r="F3052"/>
      <c r="G3052"/>
      <c r="H3052"/>
      <c r="I3052"/>
      <c r="J3052"/>
    </row>
    <row r="3053" spans="1:10" x14ac:dyDescent="0.25">
      <c r="A3053" s="90">
        <v>39587</v>
      </c>
      <c r="B3053" s="17">
        <v>27.68</v>
      </c>
      <c r="C3053" s="17"/>
      <c r="F3053"/>
      <c r="G3053"/>
      <c r="H3053"/>
      <c r="I3053"/>
      <c r="J3053"/>
    </row>
    <row r="3054" spans="1:10" x14ac:dyDescent="0.25">
      <c r="A3054" s="90">
        <v>39588</v>
      </c>
      <c r="B3054" s="17">
        <v>27.48</v>
      </c>
      <c r="C3054" s="17"/>
      <c r="F3054"/>
      <c r="G3054"/>
      <c r="H3054"/>
      <c r="I3054"/>
      <c r="J3054"/>
    </row>
    <row r="3055" spans="1:10" x14ac:dyDescent="0.25">
      <c r="A3055" s="90">
        <v>39589</v>
      </c>
      <c r="B3055" s="17">
        <v>27.33</v>
      </c>
      <c r="C3055" s="17"/>
      <c r="F3055"/>
      <c r="G3055"/>
      <c r="H3055"/>
      <c r="I3055"/>
      <c r="J3055"/>
    </row>
    <row r="3056" spans="1:10" x14ac:dyDescent="0.25">
      <c r="A3056" s="90">
        <v>39590</v>
      </c>
      <c r="B3056" s="17">
        <v>27.53</v>
      </c>
      <c r="C3056" s="17"/>
      <c r="F3056"/>
      <c r="G3056"/>
      <c r="H3056"/>
      <c r="I3056"/>
      <c r="J3056"/>
    </row>
    <row r="3057" spans="1:10" x14ac:dyDescent="0.25">
      <c r="A3057" s="90">
        <v>39591</v>
      </c>
      <c r="B3057" s="17">
        <v>27.72</v>
      </c>
      <c r="C3057" s="17"/>
      <c r="F3057"/>
      <c r="G3057"/>
      <c r="H3057"/>
      <c r="I3057"/>
      <c r="J3057"/>
    </row>
    <row r="3058" spans="1:10" x14ac:dyDescent="0.25">
      <c r="A3058" s="90">
        <v>39595</v>
      </c>
      <c r="B3058" s="17">
        <v>27</v>
      </c>
      <c r="C3058" s="17"/>
      <c r="F3058"/>
      <c r="G3058"/>
      <c r="H3058"/>
      <c r="I3058"/>
      <c r="J3058"/>
    </row>
    <row r="3059" spans="1:10" x14ac:dyDescent="0.25">
      <c r="A3059" s="90">
        <v>39596</v>
      </c>
      <c r="B3059" s="17">
        <v>27.16</v>
      </c>
      <c r="C3059" s="17"/>
      <c r="F3059"/>
      <c r="G3059"/>
      <c r="H3059"/>
      <c r="I3059"/>
      <c r="J3059"/>
    </row>
    <row r="3060" spans="1:10" x14ac:dyDescent="0.25">
      <c r="A3060" s="90">
        <v>39597</v>
      </c>
      <c r="B3060" s="17">
        <v>27.07</v>
      </c>
      <c r="C3060" s="17"/>
      <c r="F3060"/>
      <c r="G3060"/>
      <c r="H3060"/>
      <c r="I3060"/>
      <c r="J3060"/>
    </row>
    <row r="3061" spans="1:10" x14ac:dyDescent="0.25">
      <c r="A3061" s="90">
        <v>39598</v>
      </c>
      <c r="B3061" s="17">
        <v>26.76</v>
      </c>
      <c r="C3061" s="17"/>
      <c r="F3061"/>
      <c r="G3061"/>
      <c r="H3061"/>
      <c r="I3061"/>
      <c r="J3061"/>
    </row>
    <row r="3062" spans="1:10" x14ac:dyDescent="0.25">
      <c r="A3062" s="90">
        <v>39601</v>
      </c>
      <c r="B3062" s="17">
        <v>26.4</v>
      </c>
      <c r="C3062" s="17"/>
      <c r="F3062"/>
      <c r="G3062"/>
      <c r="H3062"/>
      <c r="I3062"/>
      <c r="J3062"/>
    </row>
    <row r="3063" spans="1:10" x14ac:dyDescent="0.25">
      <c r="A3063" s="90">
        <v>39602</v>
      </c>
      <c r="B3063" s="17">
        <v>26.15</v>
      </c>
      <c r="C3063" s="17"/>
      <c r="F3063"/>
      <c r="G3063"/>
      <c r="H3063"/>
      <c r="I3063"/>
      <c r="J3063"/>
    </row>
    <row r="3064" spans="1:10" x14ac:dyDescent="0.25">
      <c r="A3064" s="90">
        <v>39603</v>
      </c>
      <c r="B3064" s="17">
        <v>26.85</v>
      </c>
      <c r="C3064" s="17"/>
      <c r="F3064"/>
      <c r="G3064"/>
      <c r="H3064"/>
      <c r="I3064"/>
      <c r="J3064"/>
    </row>
    <row r="3065" spans="1:10" x14ac:dyDescent="0.25">
      <c r="A3065" s="90">
        <v>39604</v>
      </c>
      <c r="B3065" s="17">
        <v>26.36</v>
      </c>
      <c r="C3065" s="17"/>
      <c r="F3065"/>
      <c r="G3065"/>
      <c r="H3065"/>
      <c r="I3065"/>
      <c r="J3065"/>
    </row>
    <row r="3066" spans="1:10" x14ac:dyDescent="0.25">
      <c r="A3066" s="90">
        <v>39605</v>
      </c>
      <c r="B3066" s="17">
        <v>26.44</v>
      </c>
      <c r="C3066" s="17"/>
      <c r="F3066"/>
      <c r="G3066"/>
      <c r="H3066"/>
      <c r="I3066"/>
      <c r="J3066"/>
    </row>
    <row r="3067" spans="1:10" x14ac:dyDescent="0.25">
      <c r="A3067" s="90">
        <v>39608</v>
      </c>
      <c r="B3067" s="17">
        <v>26.58</v>
      </c>
      <c r="C3067" s="17"/>
      <c r="F3067"/>
      <c r="G3067"/>
      <c r="H3067"/>
      <c r="I3067"/>
      <c r="J3067"/>
    </row>
    <row r="3068" spans="1:10" x14ac:dyDescent="0.25">
      <c r="A3068" s="90">
        <v>39609</v>
      </c>
      <c r="B3068" s="17">
        <v>26.4</v>
      </c>
      <c r="C3068" s="17"/>
      <c r="F3068"/>
      <c r="G3068"/>
      <c r="H3068"/>
      <c r="I3068"/>
      <c r="J3068"/>
    </row>
    <row r="3069" spans="1:10" x14ac:dyDescent="0.25">
      <c r="A3069" s="90">
        <v>39610</v>
      </c>
      <c r="B3069" s="17">
        <v>26.15</v>
      </c>
      <c r="C3069" s="17"/>
      <c r="F3069"/>
      <c r="G3069"/>
      <c r="H3069"/>
      <c r="I3069"/>
      <c r="J3069"/>
    </row>
    <row r="3070" spans="1:10" x14ac:dyDescent="0.25">
      <c r="A3070" s="90">
        <v>39611</v>
      </c>
      <c r="B3070" s="17">
        <v>23.52</v>
      </c>
      <c r="C3070" s="17"/>
      <c r="F3070"/>
      <c r="G3070"/>
      <c r="H3070"/>
      <c r="I3070"/>
      <c r="J3070"/>
    </row>
    <row r="3071" spans="1:10" x14ac:dyDescent="0.25">
      <c r="A3071" s="90">
        <v>39612</v>
      </c>
      <c r="B3071" s="17">
        <v>23.47</v>
      </c>
      <c r="C3071" s="17"/>
      <c r="F3071"/>
      <c r="G3071"/>
      <c r="H3071"/>
      <c r="I3071"/>
      <c r="J3071"/>
    </row>
    <row r="3072" spans="1:10" x14ac:dyDescent="0.25">
      <c r="A3072" s="90">
        <v>39615</v>
      </c>
      <c r="B3072" s="17">
        <v>23.54</v>
      </c>
      <c r="C3072" s="17"/>
      <c r="F3072"/>
      <c r="G3072"/>
      <c r="H3072"/>
      <c r="I3072"/>
      <c r="J3072"/>
    </row>
    <row r="3073" spans="1:10" x14ac:dyDescent="0.25">
      <c r="A3073" s="90">
        <v>39616</v>
      </c>
      <c r="B3073" s="17">
        <v>23.25</v>
      </c>
      <c r="C3073" s="17"/>
      <c r="F3073"/>
      <c r="G3073"/>
      <c r="H3073"/>
      <c r="I3073"/>
      <c r="J3073"/>
    </row>
    <row r="3074" spans="1:10" x14ac:dyDescent="0.25">
      <c r="A3074" s="90">
        <v>39617</v>
      </c>
      <c r="B3074" s="17">
        <v>22.91</v>
      </c>
      <c r="C3074" s="17"/>
      <c r="F3074"/>
      <c r="G3074"/>
      <c r="H3074"/>
      <c r="I3074"/>
      <c r="J3074"/>
    </row>
    <row r="3075" spans="1:10" x14ac:dyDescent="0.25">
      <c r="A3075" s="90">
        <v>39618</v>
      </c>
      <c r="B3075" s="17">
        <v>22.73</v>
      </c>
      <c r="C3075" s="17"/>
      <c r="F3075"/>
      <c r="G3075"/>
      <c r="H3075"/>
      <c r="I3075"/>
      <c r="J3075"/>
    </row>
    <row r="3076" spans="1:10" x14ac:dyDescent="0.25">
      <c r="A3076" s="90">
        <v>39619</v>
      </c>
      <c r="B3076" s="17">
        <v>21.99</v>
      </c>
      <c r="C3076" s="17"/>
      <c r="F3076"/>
      <c r="G3076"/>
      <c r="H3076"/>
      <c r="I3076"/>
      <c r="J3076"/>
    </row>
    <row r="3077" spans="1:10" x14ac:dyDescent="0.25">
      <c r="A3077" s="90">
        <v>39622</v>
      </c>
      <c r="B3077" s="17">
        <v>21.45</v>
      </c>
      <c r="C3077" s="17"/>
      <c r="F3077"/>
      <c r="G3077"/>
      <c r="H3077"/>
      <c r="I3077"/>
      <c r="J3077"/>
    </row>
    <row r="3078" spans="1:10" x14ac:dyDescent="0.25">
      <c r="A3078" s="90">
        <v>39623</v>
      </c>
      <c r="B3078" s="17">
        <v>22.04</v>
      </c>
      <c r="C3078" s="17"/>
      <c r="F3078"/>
      <c r="G3078"/>
      <c r="H3078"/>
      <c r="I3078"/>
      <c r="J3078"/>
    </row>
    <row r="3079" spans="1:10" x14ac:dyDescent="0.25">
      <c r="A3079" s="90">
        <v>39624</v>
      </c>
      <c r="B3079" s="17">
        <v>22.01</v>
      </c>
      <c r="C3079" s="17"/>
      <c r="F3079"/>
      <c r="G3079"/>
      <c r="H3079"/>
      <c r="I3079"/>
      <c r="J3079"/>
    </row>
    <row r="3080" spans="1:10" x14ac:dyDescent="0.25">
      <c r="A3080" s="90">
        <v>39625</v>
      </c>
      <c r="B3080" s="17">
        <v>21.37</v>
      </c>
      <c r="C3080" s="17"/>
      <c r="F3080"/>
      <c r="G3080"/>
      <c r="H3080"/>
      <c r="I3080"/>
      <c r="J3080"/>
    </row>
    <row r="3081" spans="1:10" x14ac:dyDescent="0.25">
      <c r="A3081" s="90">
        <v>39626</v>
      </c>
      <c r="B3081" s="17">
        <v>21.33</v>
      </c>
      <c r="C3081" s="17"/>
      <c r="F3081"/>
      <c r="G3081"/>
      <c r="H3081"/>
      <c r="I3081"/>
      <c r="J3081"/>
    </row>
    <row r="3082" spans="1:10" x14ac:dyDescent="0.25">
      <c r="A3082" s="90">
        <v>39629</v>
      </c>
      <c r="B3082" s="17">
        <v>20.66</v>
      </c>
      <c r="C3082" s="17"/>
      <c r="F3082"/>
      <c r="G3082"/>
      <c r="H3082"/>
      <c r="I3082"/>
      <c r="J3082"/>
    </row>
    <row r="3083" spans="1:10" x14ac:dyDescent="0.25">
      <c r="A3083" s="90">
        <v>39630</v>
      </c>
      <c r="B3083" s="17">
        <v>20.2</v>
      </c>
      <c r="C3083" s="17"/>
      <c r="F3083"/>
      <c r="G3083"/>
      <c r="H3083"/>
      <c r="I3083"/>
      <c r="J3083"/>
    </row>
    <row r="3084" spans="1:10" x14ac:dyDescent="0.25">
      <c r="A3084" s="90">
        <v>39631</v>
      </c>
      <c r="B3084" s="17">
        <v>20.88</v>
      </c>
      <c r="C3084" s="17"/>
      <c r="F3084"/>
      <c r="G3084"/>
      <c r="H3084"/>
      <c r="I3084"/>
      <c r="J3084"/>
    </row>
    <row r="3085" spans="1:10" x14ac:dyDescent="0.25">
      <c r="A3085" s="90">
        <v>39632</v>
      </c>
      <c r="B3085" s="17">
        <v>21.35</v>
      </c>
      <c r="C3085" s="17"/>
      <c r="F3085"/>
      <c r="G3085"/>
      <c r="H3085"/>
      <c r="I3085"/>
      <c r="J3085"/>
    </row>
    <row r="3086" spans="1:10" x14ac:dyDescent="0.25">
      <c r="A3086" s="90">
        <v>39636</v>
      </c>
      <c r="B3086" s="17">
        <v>23.91</v>
      </c>
      <c r="C3086" s="17"/>
      <c r="F3086"/>
      <c r="G3086"/>
      <c r="H3086"/>
      <c r="I3086"/>
      <c r="J3086"/>
    </row>
    <row r="3087" spans="1:10" x14ac:dyDescent="0.25">
      <c r="A3087" s="90">
        <v>39637</v>
      </c>
      <c r="B3087" s="17">
        <v>24.64</v>
      </c>
      <c r="C3087" s="17"/>
      <c r="F3087"/>
      <c r="G3087"/>
      <c r="H3087"/>
      <c r="I3087"/>
      <c r="J3087"/>
    </row>
    <row r="3088" spans="1:10" x14ac:dyDescent="0.25">
      <c r="A3088" s="90">
        <v>39638</v>
      </c>
      <c r="B3088" s="17">
        <v>23.82</v>
      </c>
      <c r="C3088" s="17"/>
      <c r="F3088"/>
      <c r="G3088"/>
      <c r="H3088"/>
      <c r="I3088"/>
      <c r="J3088"/>
    </row>
    <row r="3089" spans="1:10" x14ac:dyDescent="0.25">
      <c r="A3089" s="90">
        <v>39639</v>
      </c>
      <c r="B3089" s="17">
        <v>23.5</v>
      </c>
      <c r="C3089" s="17"/>
      <c r="F3089"/>
      <c r="G3089"/>
      <c r="H3089"/>
      <c r="I3089"/>
      <c r="J3089"/>
    </row>
    <row r="3090" spans="1:10" x14ac:dyDescent="0.25">
      <c r="A3090" s="90">
        <v>39640</v>
      </c>
      <c r="B3090" s="17">
        <v>23.57</v>
      </c>
      <c r="C3090" s="17"/>
      <c r="F3090"/>
      <c r="G3090"/>
      <c r="H3090"/>
      <c r="I3090"/>
      <c r="J3090"/>
    </row>
    <row r="3091" spans="1:10" x14ac:dyDescent="0.25">
      <c r="A3091" s="90">
        <v>39643</v>
      </c>
      <c r="B3091" s="17">
        <v>22.57</v>
      </c>
      <c r="C3091" s="17"/>
      <c r="F3091"/>
      <c r="G3091"/>
      <c r="H3091"/>
      <c r="I3091"/>
      <c r="J3091"/>
    </row>
    <row r="3092" spans="1:10" x14ac:dyDescent="0.25">
      <c r="A3092" s="90">
        <v>39644</v>
      </c>
      <c r="B3092" s="17">
        <v>21.54</v>
      </c>
      <c r="C3092" s="17"/>
      <c r="F3092"/>
      <c r="G3092"/>
      <c r="H3092"/>
      <c r="I3092"/>
      <c r="J3092"/>
    </row>
    <row r="3093" spans="1:10" x14ac:dyDescent="0.25">
      <c r="A3093" s="90">
        <v>39645</v>
      </c>
      <c r="B3093" s="17">
        <v>22.48</v>
      </c>
      <c r="C3093" s="17"/>
      <c r="F3093"/>
      <c r="G3093"/>
      <c r="H3093"/>
      <c r="I3093"/>
      <c r="J3093"/>
    </row>
    <row r="3094" spans="1:10" x14ac:dyDescent="0.25">
      <c r="A3094" s="90">
        <v>39646</v>
      </c>
      <c r="B3094" s="17">
        <v>22.44</v>
      </c>
      <c r="C3094" s="17"/>
      <c r="F3094"/>
      <c r="G3094"/>
      <c r="H3094"/>
      <c r="I3094"/>
      <c r="J3094"/>
    </row>
    <row r="3095" spans="1:10" x14ac:dyDescent="0.25">
      <c r="A3095" s="90">
        <v>39647</v>
      </c>
      <c r="B3095" s="17">
        <v>22.45</v>
      </c>
      <c r="C3095" s="17"/>
      <c r="F3095"/>
      <c r="G3095"/>
      <c r="H3095"/>
      <c r="I3095"/>
      <c r="J3095"/>
    </row>
    <row r="3096" spans="1:10" x14ac:dyDescent="0.25">
      <c r="A3096" s="90">
        <v>39650</v>
      </c>
      <c r="B3096" s="17">
        <v>21.67</v>
      </c>
      <c r="C3096" s="17"/>
      <c r="F3096"/>
      <c r="G3096"/>
      <c r="H3096"/>
      <c r="I3096"/>
      <c r="J3096"/>
    </row>
    <row r="3097" spans="1:10" x14ac:dyDescent="0.25">
      <c r="A3097" s="90">
        <v>39651</v>
      </c>
      <c r="B3097" s="17">
        <v>21.4</v>
      </c>
      <c r="C3097" s="17"/>
      <c r="F3097"/>
      <c r="G3097"/>
      <c r="H3097"/>
      <c r="I3097"/>
      <c r="J3097"/>
    </row>
    <row r="3098" spans="1:10" x14ac:dyDescent="0.25">
      <c r="A3098" s="90">
        <v>39652</v>
      </c>
      <c r="B3098" s="17">
        <v>20.39</v>
      </c>
      <c r="C3098" s="17"/>
      <c r="F3098"/>
      <c r="G3098"/>
      <c r="H3098"/>
      <c r="I3098"/>
      <c r="J3098"/>
    </row>
    <row r="3099" spans="1:10" x14ac:dyDescent="0.25">
      <c r="A3099" s="90">
        <v>39653</v>
      </c>
      <c r="B3099" s="17">
        <v>20.53</v>
      </c>
      <c r="C3099" s="17"/>
      <c r="F3099"/>
      <c r="G3099"/>
      <c r="H3099"/>
      <c r="I3099"/>
      <c r="J3099"/>
    </row>
    <row r="3100" spans="1:10" x14ac:dyDescent="0.25">
      <c r="A3100" s="90">
        <v>39654</v>
      </c>
      <c r="B3100" s="17">
        <v>21.13</v>
      </c>
      <c r="C3100" s="17"/>
      <c r="F3100"/>
      <c r="G3100"/>
      <c r="H3100"/>
      <c r="I3100"/>
      <c r="J3100"/>
    </row>
    <row r="3101" spans="1:10" x14ac:dyDescent="0.25">
      <c r="A3101" s="90">
        <v>39657</v>
      </c>
      <c r="B3101" s="17">
        <v>20.12</v>
      </c>
      <c r="C3101" s="17"/>
      <c r="F3101"/>
      <c r="G3101"/>
      <c r="H3101"/>
      <c r="I3101"/>
      <c r="J3101"/>
    </row>
    <row r="3102" spans="1:10" x14ac:dyDescent="0.25">
      <c r="A3102" s="90">
        <v>39658</v>
      </c>
      <c r="B3102" s="17">
        <v>20.149999999999999</v>
      </c>
      <c r="C3102" s="17"/>
      <c r="F3102"/>
      <c r="G3102"/>
      <c r="H3102"/>
      <c r="I3102"/>
      <c r="J3102"/>
    </row>
    <row r="3103" spans="1:10" x14ac:dyDescent="0.25">
      <c r="A3103" s="90">
        <v>39659</v>
      </c>
      <c r="B3103" s="17">
        <v>20.03</v>
      </c>
      <c r="C3103" s="17"/>
      <c r="F3103"/>
      <c r="G3103"/>
      <c r="H3103"/>
      <c r="I3103"/>
      <c r="J3103"/>
    </row>
    <row r="3104" spans="1:10" x14ac:dyDescent="0.25">
      <c r="A3104" s="90">
        <v>39660</v>
      </c>
      <c r="B3104" s="17">
        <v>19.89</v>
      </c>
      <c r="C3104" s="17"/>
      <c r="F3104"/>
      <c r="G3104"/>
      <c r="H3104"/>
      <c r="I3104"/>
      <c r="J3104"/>
    </row>
    <row r="3105" spans="1:10" x14ac:dyDescent="0.25">
      <c r="A3105" s="90">
        <v>39661</v>
      </c>
      <c r="B3105" s="17">
        <v>19.8</v>
      </c>
      <c r="C3105" s="17"/>
      <c r="F3105"/>
      <c r="G3105"/>
      <c r="H3105"/>
      <c r="I3105"/>
      <c r="J3105"/>
    </row>
    <row r="3106" spans="1:10" x14ac:dyDescent="0.25">
      <c r="A3106" s="90">
        <v>39664</v>
      </c>
      <c r="B3106" s="17">
        <v>19.38</v>
      </c>
      <c r="C3106" s="17"/>
      <c r="F3106"/>
      <c r="G3106"/>
      <c r="H3106"/>
      <c r="I3106"/>
      <c r="J3106"/>
    </row>
    <row r="3107" spans="1:10" x14ac:dyDescent="0.25">
      <c r="A3107" s="90">
        <v>39665</v>
      </c>
      <c r="B3107" s="17">
        <v>19.82</v>
      </c>
      <c r="C3107" s="17"/>
      <c r="F3107"/>
      <c r="G3107"/>
      <c r="H3107"/>
      <c r="I3107"/>
      <c r="J3107"/>
    </row>
    <row r="3108" spans="1:10" x14ac:dyDescent="0.25">
      <c r="A3108" s="90">
        <v>39666</v>
      </c>
      <c r="B3108" s="17">
        <v>20</v>
      </c>
      <c r="C3108" s="17"/>
      <c r="F3108"/>
      <c r="G3108"/>
      <c r="H3108"/>
      <c r="I3108"/>
      <c r="J3108"/>
    </row>
    <row r="3109" spans="1:10" x14ac:dyDescent="0.25">
      <c r="A3109" s="90">
        <v>39667</v>
      </c>
      <c r="B3109" s="17">
        <v>20.190000000000001</v>
      </c>
      <c r="C3109" s="17"/>
      <c r="F3109"/>
      <c r="G3109"/>
      <c r="H3109"/>
      <c r="I3109"/>
      <c r="J3109"/>
    </row>
    <row r="3110" spans="1:10" x14ac:dyDescent="0.25">
      <c r="A3110" s="90">
        <v>39668</v>
      </c>
      <c r="B3110" s="17">
        <v>19.899999999999999</v>
      </c>
      <c r="C3110" s="17"/>
      <c r="F3110"/>
      <c r="G3110"/>
      <c r="H3110"/>
      <c r="I3110"/>
      <c r="J3110"/>
    </row>
    <row r="3111" spans="1:10" x14ac:dyDescent="0.25">
      <c r="A3111" s="90">
        <v>39671</v>
      </c>
      <c r="B3111" s="17">
        <v>20.260000000000002</v>
      </c>
      <c r="C3111" s="17"/>
      <c r="F3111"/>
      <c r="G3111"/>
      <c r="H3111"/>
      <c r="I3111"/>
      <c r="J3111"/>
    </row>
    <row r="3112" spans="1:10" x14ac:dyDescent="0.25">
      <c r="A3112" s="90">
        <v>39672</v>
      </c>
      <c r="B3112" s="17">
        <v>20.43</v>
      </c>
      <c r="C3112" s="17"/>
      <c r="F3112"/>
      <c r="G3112"/>
      <c r="H3112"/>
      <c r="I3112"/>
      <c r="J3112"/>
    </row>
    <row r="3113" spans="1:10" x14ac:dyDescent="0.25">
      <c r="A3113" s="90">
        <v>39673</v>
      </c>
      <c r="B3113" s="17">
        <v>20.36</v>
      </c>
      <c r="C3113" s="17"/>
      <c r="F3113"/>
      <c r="G3113"/>
      <c r="H3113"/>
      <c r="I3113"/>
      <c r="J3113"/>
    </row>
    <row r="3114" spans="1:10" x14ac:dyDescent="0.25">
      <c r="A3114" s="90">
        <v>39674</v>
      </c>
      <c r="B3114" s="17">
        <v>20.28</v>
      </c>
      <c r="C3114" s="17"/>
      <c r="F3114"/>
      <c r="G3114"/>
      <c r="H3114"/>
      <c r="I3114"/>
      <c r="J3114"/>
    </row>
    <row r="3115" spans="1:10" x14ac:dyDescent="0.25">
      <c r="A3115" s="90">
        <v>39675</v>
      </c>
      <c r="B3115" s="17">
        <v>20.440000000000001</v>
      </c>
      <c r="C3115" s="17"/>
      <c r="F3115"/>
      <c r="G3115"/>
      <c r="H3115"/>
      <c r="I3115"/>
      <c r="J3115"/>
    </row>
    <row r="3116" spans="1:10" x14ac:dyDescent="0.25">
      <c r="A3116" s="90">
        <v>39678</v>
      </c>
      <c r="B3116" s="17">
        <v>19.73</v>
      </c>
      <c r="C3116" s="17"/>
      <c r="F3116"/>
      <c r="G3116"/>
      <c r="H3116"/>
      <c r="I3116"/>
      <c r="J3116"/>
    </row>
    <row r="3117" spans="1:10" x14ac:dyDescent="0.25">
      <c r="A3117" s="90">
        <v>39679</v>
      </c>
      <c r="B3117" s="17">
        <v>19.420000000000002</v>
      </c>
      <c r="C3117" s="17"/>
      <c r="F3117"/>
      <c r="G3117"/>
      <c r="H3117"/>
      <c r="I3117"/>
      <c r="J3117"/>
    </row>
    <row r="3118" spans="1:10" x14ac:dyDescent="0.25">
      <c r="A3118" s="90">
        <v>39680</v>
      </c>
      <c r="B3118" s="17">
        <v>19.170000000000002</v>
      </c>
      <c r="C3118" s="17"/>
      <c r="F3118"/>
      <c r="G3118"/>
      <c r="H3118"/>
      <c r="I3118"/>
      <c r="J3118"/>
    </row>
    <row r="3119" spans="1:10" x14ac:dyDescent="0.25">
      <c r="A3119" s="90">
        <v>39681</v>
      </c>
      <c r="B3119" s="17">
        <v>19.11</v>
      </c>
      <c r="C3119" s="17"/>
      <c r="F3119"/>
      <c r="G3119"/>
      <c r="H3119"/>
      <c r="I3119"/>
      <c r="J3119"/>
    </row>
    <row r="3120" spans="1:10" x14ac:dyDescent="0.25">
      <c r="A3120" s="90">
        <v>39682</v>
      </c>
      <c r="B3120" s="17">
        <v>19.53</v>
      </c>
      <c r="C3120" s="17"/>
      <c r="F3120"/>
      <c r="G3120"/>
      <c r="H3120"/>
      <c r="I3120"/>
      <c r="J3120"/>
    </row>
    <row r="3121" spans="1:10" x14ac:dyDescent="0.25">
      <c r="A3121" s="90">
        <v>39685</v>
      </c>
      <c r="B3121" s="17">
        <v>19.09</v>
      </c>
      <c r="C3121" s="17"/>
      <c r="F3121"/>
      <c r="G3121"/>
      <c r="H3121"/>
      <c r="I3121"/>
      <c r="J3121"/>
    </row>
    <row r="3122" spans="1:10" x14ac:dyDescent="0.25">
      <c r="A3122" s="90">
        <v>39686</v>
      </c>
      <c r="B3122" s="17">
        <v>19.09</v>
      </c>
      <c r="C3122" s="17"/>
      <c r="F3122"/>
      <c r="G3122"/>
      <c r="H3122"/>
      <c r="I3122"/>
      <c r="J3122"/>
    </row>
    <row r="3123" spans="1:10" x14ac:dyDescent="0.25">
      <c r="A3123" s="90">
        <v>39687</v>
      </c>
      <c r="B3123" s="17">
        <v>19.37</v>
      </c>
      <c r="C3123" s="17"/>
      <c r="F3123"/>
      <c r="G3123"/>
      <c r="H3123"/>
      <c r="I3123"/>
      <c r="J3123"/>
    </row>
    <row r="3124" spans="1:10" x14ac:dyDescent="0.25">
      <c r="A3124" s="90">
        <v>39688</v>
      </c>
      <c r="B3124" s="17">
        <v>19.649999999999999</v>
      </c>
      <c r="C3124" s="17"/>
      <c r="F3124"/>
      <c r="G3124"/>
      <c r="H3124"/>
      <c r="I3124"/>
      <c r="J3124"/>
    </row>
    <row r="3125" spans="1:10" x14ac:dyDescent="0.25">
      <c r="A3125" s="90">
        <v>39689</v>
      </c>
      <c r="B3125" s="17">
        <v>19.38</v>
      </c>
      <c r="C3125" s="17"/>
      <c r="F3125"/>
      <c r="G3125"/>
      <c r="H3125"/>
      <c r="I3125"/>
      <c r="J3125"/>
    </row>
    <row r="3126" spans="1:10" x14ac:dyDescent="0.25">
      <c r="A3126" s="90">
        <v>39693</v>
      </c>
      <c r="B3126" s="17">
        <v>18.75</v>
      </c>
      <c r="C3126" s="17"/>
      <c r="F3126"/>
      <c r="G3126"/>
      <c r="H3126"/>
      <c r="I3126"/>
      <c r="J3126"/>
    </row>
    <row r="3127" spans="1:10" x14ac:dyDescent="0.25">
      <c r="A3127" s="90">
        <v>39694</v>
      </c>
      <c r="B3127" s="17">
        <v>18.760000000000002</v>
      </c>
      <c r="C3127" s="17"/>
      <c r="F3127"/>
      <c r="G3127"/>
      <c r="H3127"/>
      <c r="I3127"/>
      <c r="J3127"/>
    </row>
    <row r="3128" spans="1:10" x14ac:dyDescent="0.25">
      <c r="A3128" s="90">
        <v>39695</v>
      </c>
      <c r="B3128" s="17">
        <v>17.75</v>
      </c>
      <c r="C3128" s="17"/>
      <c r="F3128"/>
      <c r="G3128"/>
      <c r="H3128"/>
      <c r="I3128"/>
      <c r="J3128"/>
    </row>
    <row r="3129" spans="1:10" x14ac:dyDescent="0.25">
      <c r="A3129" s="90">
        <v>39696</v>
      </c>
      <c r="B3129" s="17">
        <v>18.079999999999998</v>
      </c>
      <c r="C3129" s="17"/>
      <c r="F3129"/>
      <c r="G3129"/>
      <c r="H3129"/>
      <c r="I3129"/>
      <c r="J3129"/>
    </row>
    <row r="3130" spans="1:10" x14ac:dyDescent="0.25">
      <c r="A3130" s="90">
        <v>39699</v>
      </c>
      <c r="B3130" s="17">
        <v>18.260000000000002</v>
      </c>
      <c r="C3130" s="17"/>
      <c r="F3130"/>
      <c r="G3130"/>
      <c r="H3130"/>
      <c r="I3130"/>
      <c r="J3130"/>
    </row>
    <row r="3131" spans="1:10" x14ac:dyDescent="0.25">
      <c r="A3131" s="90">
        <v>39700</v>
      </c>
      <c r="B3131" s="17">
        <v>17.579999999999998</v>
      </c>
      <c r="C3131" s="17"/>
      <c r="F3131"/>
      <c r="G3131"/>
      <c r="H3131"/>
      <c r="I3131"/>
      <c r="J3131"/>
    </row>
    <row r="3132" spans="1:10" x14ac:dyDescent="0.25">
      <c r="A3132" s="90">
        <v>39701</v>
      </c>
      <c r="B3132" s="17">
        <v>17.7</v>
      </c>
      <c r="C3132" s="17"/>
      <c r="F3132"/>
      <c r="G3132"/>
      <c r="H3132"/>
      <c r="I3132"/>
      <c r="J3132"/>
    </row>
    <row r="3133" spans="1:10" x14ac:dyDescent="0.25">
      <c r="A3133" s="90">
        <v>39702</v>
      </c>
      <c r="B3133" s="17">
        <v>18.55</v>
      </c>
      <c r="C3133" s="17"/>
      <c r="F3133"/>
      <c r="G3133"/>
      <c r="H3133"/>
      <c r="I3133"/>
      <c r="J3133"/>
    </row>
    <row r="3134" spans="1:10" x14ac:dyDescent="0.25">
      <c r="A3134" s="90">
        <v>39703</v>
      </c>
      <c r="B3134" s="17">
        <v>19.079999999999998</v>
      </c>
      <c r="C3134" s="17"/>
      <c r="F3134"/>
      <c r="G3134"/>
      <c r="H3134"/>
      <c r="I3134"/>
      <c r="J3134"/>
    </row>
    <row r="3135" spans="1:10" x14ac:dyDescent="0.25">
      <c r="A3135" s="90">
        <v>39706</v>
      </c>
      <c r="B3135" s="17">
        <v>18.850000000000001</v>
      </c>
      <c r="C3135" s="17"/>
      <c r="F3135"/>
      <c r="G3135"/>
      <c r="H3135"/>
      <c r="I3135"/>
      <c r="J3135"/>
    </row>
    <row r="3136" spans="1:10" x14ac:dyDescent="0.25">
      <c r="A3136" s="90">
        <v>39707</v>
      </c>
      <c r="B3136" s="17">
        <v>19.260000000000002</v>
      </c>
      <c r="C3136" s="17"/>
      <c r="F3136"/>
      <c r="G3136"/>
      <c r="H3136"/>
      <c r="I3136"/>
      <c r="J3136"/>
    </row>
    <row r="3137" spans="1:10" x14ac:dyDescent="0.25">
      <c r="A3137" s="90">
        <v>39708</v>
      </c>
      <c r="B3137" s="17">
        <v>18.82</v>
      </c>
      <c r="C3137" s="17"/>
      <c r="F3137"/>
      <c r="G3137"/>
      <c r="H3137"/>
      <c r="I3137"/>
      <c r="J3137"/>
    </row>
    <row r="3138" spans="1:10" x14ac:dyDescent="0.25">
      <c r="A3138" s="90">
        <v>39709</v>
      </c>
      <c r="B3138" s="17">
        <v>20.82</v>
      </c>
      <c r="C3138" s="17"/>
      <c r="F3138"/>
      <c r="G3138"/>
      <c r="H3138"/>
      <c r="I3138"/>
      <c r="J3138"/>
    </row>
    <row r="3139" spans="1:10" x14ac:dyDescent="0.25">
      <c r="A3139" s="90">
        <v>39710</v>
      </c>
      <c r="B3139" s="17">
        <v>19.89</v>
      </c>
      <c r="C3139" s="17"/>
      <c r="F3139"/>
      <c r="G3139"/>
      <c r="H3139"/>
      <c r="I3139"/>
      <c r="J3139"/>
    </row>
    <row r="3140" spans="1:10" x14ac:dyDescent="0.25">
      <c r="A3140" s="90">
        <v>39713</v>
      </c>
      <c r="B3140" s="17">
        <v>18.68</v>
      </c>
      <c r="C3140" s="17"/>
      <c r="F3140"/>
      <c r="G3140"/>
      <c r="H3140"/>
      <c r="I3140"/>
      <c r="J3140"/>
    </row>
    <row r="3141" spans="1:10" x14ac:dyDescent="0.25">
      <c r="A3141" s="90">
        <v>39714</v>
      </c>
      <c r="B3141" s="17">
        <v>18.93</v>
      </c>
      <c r="C3141" s="17"/>
      <c r="F3141"/>
      <c r="G3141"/>
      <c r="H3141"/>
      <c r="I3141"/>
      <c r="J3141"/>
    </row>
    <row r="3142" spans="1:10" x14ac:dyDescent="0.25">
      <c r="A3142" s="90">
        <v>39715</v>
      </c>
      <c r="B3142" s="17">
        <v>19.149999999999999</v>
      </c>
      <c r="C3142" s="17"/>
      <c r="F3142"/>
      <c r="G3142"/>
      <c r="H3142"/>
      <c r="I3142"/>
      <c r="J3142"/>
    </row>
    <row r="3143" spans="1:10" x14ac:dyDescent="0.25">
      <c r="A3143" s="90">
        <v>39716</v>
      </c>
      <c r="B3143" s="17">
        <v>19.2</v>
      </c>
      <c r="C3143" s="17"/>
      <c r="F3143"/>
      <c r="G3143"/>
      <c r="H3143"/>
      <c r="I3143"/>
      <c r="J3143"/>
    </row>
    <row r="3144" spans="1:10" x14ac:dyDescent="0.25">
      <c r="A3144" s="90">
        <v>39717</v>
      </c>
      <c r="B3144" s="17">
        <v>18.920000000000002</v>
      </c>
      <c r="C3144" s="17"/>
      <c r="F3144"/>
      <c r="G3144"/>
      <c r="H3144"/>
      <c r="I3144"/>
      <c r="J3144"/>
    </row>
    <row r="3145" spans="1:10" x14ac:dyDescent="0.25">
      <c r="A3145" s="90">
        <v>39720</v>
      </c>
      <c r="B3145" s="17">
        <v>16.88</v>
      </c>
      <c r="C3145" s="17"/>
      <c r="F3145"/>
      <c r="G3145"/>
      <c r="H3145"/>
      <c r="I3145"/>
      <c r="J3145"/>
    </row>
    <row r="3146" spans="1:10" x14ac:dyDescent="0.25">
      <c r="A3146" s="90">
        <v>39721</v>
      </c>
      <c r="B3146" s="17">
        <v>17.3</v>
      </c>
      <c r="C3146" s="17"/>
      <c r="F3146"/>
      <c r="G3146"/>
      <c r="H3146"/>
      <c r="I3146"/>
      <c r="J3146"/>
    </row>
    <row r="3147" spans="1:10" x14ac:dyDescent="0.25">
      <c r="A3147" s="90">
        <v>39722</v>
      </c>
      <c r="B3147" s="17">
        <v>16.96</v>
      </c>
      <c r="C3147" s="17"/>
      <c r="F3147"/>
      <c r="G3147"/>
      <c r="H3147"/>
      <c r="I3147"/>
      <c r="J3147"/>
    </row>
    <row r="3148" spans="1:10" x14ac:dyDescent="0.25">
      <c r="A3148" s="90">
        <v>39723</v>
      </c>
      <c r="B3148" s="17">
        <v>15.58</v>
      </c>
      <c r="C3148" s="17"/>
      <c r="F3148"/>
      <c r="G3148"/>
      <c r="H3148"/>
      <c r="I3148"/>
      <c r="J3148"/>
    </row>
    <row r="3149" spans="1:10" x14ac:dyDescent="0.25">
      <c r="A3149" s="90">
        <v>39724</v>
      </c>
      <c r="B3149" s="17">
        <v>16</v>
      </c>
      <c r="C3149" s="17"/>
      <c r="F3149"/>
      <c r="G3149"/>
      <c r="H3149"/>
      <c r="I3149"/>
      <c r="J3149"/>
    </row>
    <row r="3150" spans="1:10" x14ac:dyDescent="0.25">
      <c r="A3150" s="90">
        <v>39727</v>
      </c>
      <c r="B3150" s="17">
        <v>15.31</v>
      </c>
      <c r="C3150" s="17"/>
      <c r="F3150"/>
      <c r="G3150"/>
      <c r="H3150"/>
      <c r="I3150"/>
      <c r="J3150"/>
    </row>
    <row r="3151" spans="1:10" x14ac:dyDescent="0.25">
      <c r="A3151" s="90">
        <v>39728</v>
      </c>
      <c r="B3151" s="17">
        <v>14.58</v>
      </c>
      <c r="C3151" s="17"/>
      <c r="F3151"/>
      <c r="G3151"/>
      <c r="H3151"/>
      <c r="I3151"/>
      <c r="J3151"/>
    </row>
    <row r="3152" spans="1:10" x14ac:dyDescent="0.25">
      <c r="A3152" s="90">
        <v>39729</v>
      </c>
      <c r="B3152" s="17">
        <v>13.76</v>
      </c>
      <c r="C3152" s="17"/>
      <c r="F3152"/>
      <c r="G3152"/>
      <c r="H3152"/>
      <c r="I3152"/>
      <c r="J3152"/>
    </row>
    <row r="3153" spans="1:10" x14ac:dyDescent="0.25">
      <c r="A3153" s="90">
        <v>39730</v>
      </c>
      <c r="B3153" s="17">
        <v>12.65</v>
      </c>
      <c r="C3153" s="17"/>
      <c r="F3153"/>
      <c r="G3153"/>
      <c r="H3153"/>
      <c r="I3153"/>
      <c r="J3153"/>
    </row>
    <row r="3154" spans="1:10" x14ac:dyDescent="0.25">
      <c r="A3154" s="90">
        <v>39731</v>
      </c>
      <c r="B3154" s="17">
        <v>12.29</v>
      </c>
      <c r="C3154" s="17"/>
      <c r="F3154"/>
      <c r="G3154"/>
      <c r="H3154"/>
      <c r="I3154"/>
      <c r="J3154"/>
    </row>
    <row r="3155" spans="1:10" x14ac:dyDescent="0.25">
      <c r="A3155" s="90">
        <v>39734</v>
      </c>
      <c r="B3155" s="17">
        <v>13.49</v>
      </c>
      <c r="C3155" s="17"/>
      <c r="F3155"/>
      <c r="G3155"/>
      <c r="H3155"/>
      <c r="I3155"/>
      <c r="J3155"/>
    </row>
    <row r="3156" spans="1:10" x14ac:dyDescent="0.25">
      <c r="A3156" s="90">
        <v>39735</v>
      </c>
      <c r="B3156" s="17">
        <v>12.65</v>
      </c>
      <c r="C3156" s="17"/>
      <c r="F3156"/>
      <c r="G3156"/>
      <c r="H3156"/>
      <c r="I3156"/>
      <c r="J3156"/>
    </row>
    <row r="3157" spans="1:10" x14ac:dyDescent="0.25">
      <c r="A3157" s="90">
        <v>39736</v>
      </c>
      <c r="B3157" s="17">
        <v>11.75</v>
      </c>
      <c r="C3157" s="17"/>
      <c r="F3157"/>
      <c r="G3157"/>
      <c r="H3157"/>
      <c r="I3157"/>
      <c r="J3157"/>
    </row>
    <row r="3158" spans="1:10" x14ac:dyDescent="0.25">
      <c r="A3158" s="90">
        <v>39737</v>
      </c>
      <c r="B3158" s="17">
        <v>12.99</v>
      </c>
      <c r="C3158" s="17"/>
      <c r="F3158"/>
      <c r="G3158"/>
      <c r="H3158"/>
      <c r="I3158"/>
      <c r="J3158"/>
    </row>
    <row r="3159" spans="1:10" x14ac:dyDescent="0.25">
      <c r="A3159" s="90">
        <v>39738</v>
      </c>
      <c r="B3159" s="17">
        <v>12.9</v>
      </c>
      <c r="C3159" s="17"/>
      <c r="F3159"/>
      <c r="G3159"/>
      <c r="H3159"/>
      <c r="I3159"/>
      <c r="J3159"/>
    </row>
    <row r="3160" spans="1:10" x14ac:dyDescent="0.25">
      <c r="A3160" s="90">
        <v>39741</v>
      </c>
      <c r="B3160" s="17">
        <v>12.86</v>
      </c>
      <c r="C3160" s="17"/>
      <c r="F3160"/>
      <c r="G3160"/>
      <c r="H3160"/>
      <c r="I3160"/>
      <c r="J3160"/>
    </row>
    <row r="3161" spans="1:10" x14ac:dyDescent="0.25">
      <c r="A3161" s="90">
        <v>39742</v>
      </c>
      <c r="B3161" s="17">
        <v>12.07</v>
      </c>
      <c r="C3161" s="17"/>
      <c r="F3161"/>
      <c r="G3161"/>
      <c r="H3161"/>
      <c r="I3161"/>
      <c r="J3161"/>
    </row>
    <row r="3162" spans="1:10" x14ac:dyDescent="0.25">
      <c r="A3162" s="90">
        <v>39743</v>
      </c>
      <c r="B3162" s="17">
        <v>12.39</v>
      </c>
      <c r="C3162" s="17"/>
      <c r="F3162"/>
      <c r="G3162"/>
      <c r="H3162"/>
      <c r="I3162"/>
      <c r="J3162"/>
    </row>
    <row r="3163" spans="1:10" x14ac:dyDescent="0.25">
      <c r="A3163" s="90">
        <v>39744</v>
      </c>
      <c r="B3163" s="17">
        <v>12.65</v>
      </c>
      <c r="C3163" s="17"/>
      <c r="F3163"/>
      <c r="G3163"/>
      <c r="H3163"/>
      <c r="I3163"/>
      <c r="J3163"/>
    </row>
    <row r="3164" spans="1:10" x14ac:dyDescent="0.25">
      <c r="A3164" s="90">
        <v>39745</v>
      </c>
      <c r="B3164" s="17">
        <v>12.1</v>
      </c>
      <c r="C3164" s="17"/>
      <c r="F3164"/>
      <c r="G3164"/>
      <c r="H3164"/>
      <c r="I3164"/>
      <c r="J3164"/>
    </row>
    <row r="3165" spans="1:10" x14ac:dyDescent="0.25">
      <c r="A3165" s="90">
        <v>39748</v>
      </c>
      <c r="B3165" s="17">
        <v>11.58</v>
      </c>
      <c r="C3165" s="17"/>
      <c r="F3165"/>
      <c r="G3165"/>
      <c r="H3165"/>
      <c r="I3165"/>
      <c r="J3165"/>
    </row>
    <row r="3166" spans="1:10" x14ac:dyDescent="0.25">
      <c r="A3166" s="90">
        <v>39749</v>
      </c>
      <c r="B3166" s="17">
        <v>12.36</v>
      </c>
      <c r="C3166" s="17"/>
      <c r="F3166"/>
      <c r="G3166"/>
      <c r="H3166"/>
      <c r="I3166"/>
      <c r="J3166"/>
    </row>
    <row r="3167" spans="1:10" x14ac:dyDescent="0.25">
      <c r="A3167" s="90">
        <v>39750</v>
      </c>
      <c r="B3167" s="17">
        <v>12.14</v>
      </c>
      <c r="C3167" s="17"/>
      <c r="F3167"/>
      <c r="G3167"/>
      <c r="H3167"/>
      <c r="I3167"/>
      <c r="J3167"/>
    </row>
    <row r="3168" spans="1:10" x14ac:dyDescent="0.25">
      <c r="A3168" s="90">
        <v>39751</v>
      </c>
      <c r="B3168" s="17">
        <v>12.93</v>
      </c>
      <c r="C3168" s="17"/>
      <c r="F3168"/>
      <c r="G3168"/>
      <c r="H3168"/>
      <c r="I3168"/>
      <c r="J3168"/>
    </row>
    <row r="3169" spans="1:10" x14ac:dyDescent="0.25">
      <c r="A3169" s="90">
        <v>39752</v>
      </c>
      <c r="B3169" s="17">
        <v>12.82</v>
      </c>
      <c r="C3169" s="17"/>
      <c r="F3169"/>
      <c r="G3169"/>
      <c r="H3169"/>
      <c r="I3169"/>
      <c r="J3169"/>
    </row>
    <row r="3170" spans="1:10" x14ac:dyDescent="0.25">
      <c r="A3170" s="90">
        <v>39755</v>
      </c>
      <c r="B3170" s="17">
        <v>12.75</v>
      </c>
      <c r="C3170" s="17"/>
      <c r="F3170"/>
      <c r="G3170"/>
      <c r="H3170"/>
      <c r="I3170"/>
      <c r="J3170"/>
    </row>
    <row r="3171" spans="1:10" x14ac:dyDescent="0.25">
      <c r="A3171" s="90">
        <v>39756</v>
      </c>
      <c r="B3171" s="17">
        <v>13.35</v>
      </c>
      <c r="C3171" s="17"/>
      <c r="F3171"/>
      <c r="G3171"/>
      <c r="H3171"/>
      <c r="I3171"/>
      <c r="J3171"/>
    </row>
    <row r="3172" spans="1:10" x14ac:dyDescent="0.25">
      <c r="A3172" s="90">
        <v>39757</v>
      </c>
      <c r="B3172" s="17">
        <v>13.92</v>
      </c>
      <c r="C3172" s="17"/>
      <c r="F3172"/>
      <c r="G3172"/>
      <c r="H3172"/>
      <c r="I3172"/>
      <c r="J3172"/>
    </row>
    <row r="3173" spans="1:10" x14ac:dyDescent="0.25">
      <c r="A3173" s="90">
        <v>39758</v>
      </c>
      <c r="B3173" s="17">
        <v>13.96</v>
      </c>
      <c r="C3173" s="17"/>
      <c r="F3173"/>
      <c r="G3173"/>
      <c r="H3173"/>
      <c r="I3173"/>
      <c r="J3173"/>
    </row>
    <row r="3174" spans="1:10" x14ac:dyDescent="0.25">
      <c r="A3174" s="90">
        <v>39759</v>
      </c>
      <c r="B3174" s="17">
        <v>12.2</v>
      </c>
      <c r="C3174" s="17"/>
      <c r="F3174"/>
      <c r="G3174"/>
      <c r="H3174"/>
      <c r="I3174"/>
      <c r="J3174"/>
    </row>
    <row r="3175" spans="1:10" x14ac:dyDescent="0.25">
      <c r="A3175" s="90">
        <v>39762</v>
      </c>
      <c r="B3175" s="17">
        <v>11.87</v>
      </c>
      <c r="C3175" s="17"/>
      <c r="F3175"/>
      <c r="G3175"/>
      <c r="H3175"/>
      <c r="I3175"/>
      <c r="J3175"/>
    </row>
    <row r="3176" spans="1:10" x14ac:dyDescent="0.25">
      <c r="A3176" s="90">
        <v>39763</v>
      </c>
      <c r="B3176" s="17">
        <v>11.35</v>
      </c>
      <c r="C3176" s="17"/>
      <c r="F3176"/>
      <c r="G3176"/>
      <c r="H3176"/>
      <c r="I3176"/>
      <c r="J3176"/>
    </row>
    <row r="3177" spans="1:10" x14ac:dyDescent="0.25">
      <c r="A3177" s="90">
        <v>39764</v>
      </c>
      <c r="B3177" s="17">
        <v>10.34</v>
      </c>
      <c r="C3177" s="17"/>
      <c r="F3177"/>
      <c r="G3177"/>
      <c r="H3177"/>
      <c r="I3177"/>
      <c r="J3177"/>
    </row>
    <row r="3178" spans="1:10" x14ac:dyDescent="0.25">
      <c r="A3178" s="90">
        <v>39765</v>
      </c>
      <c r="B3178" s="17">
        <v>11.15</v>
      </c>
      <c r="C3178" s="17"/>
      <c r="F3178"/>
      <c r="G3178"/>
      <c r="H3178"/>
      <c r="I3178"/>
      <c r="J3178"/>
    </row>
    <row r="3179" spans="1:10" x14ac:dyDescent="0.25">
      <c r="A3179" s="90">
        <v>39766</v>
      </c>
      <c r="B3179" s="17">
        <v>10.82</v>
      </c>
      <c r="C3179" s="17"/>
      <c r="F3179"/>
      <c r="G3179"/>
      <c r="H3179"/>
      <c r="I3179"/>
      <c r="J3179"/>
    </row>
    <row r="3180" spans="1:10" x14ac:dyDescent="0.25">
      <c r="A3180" s="90">
        <v>39769</v>
      </c>
      <c r="B3180" s="17">
        <v>10.63</v>
      </c>
      <c r="C3180" s="17"/>
      <c r="F3180"/>
      <c r="G3180"/>
      <c r="H3180"/>
      <c r="I3180"/>
      <c r="J3180"/>
    </row>
    <row r="3181" spans="1:10" x14ac:dyDescent="0.25">
      <c r="A3181" s="90">
        <v>39770</v>
      </c>
      <c r="B3181" s="17">
        <v>11.55</v>
      </c>
      <c r="C3181" s="17"/>
      <c r="F3181"/>
      <c r="G3181"/>
      <c r="H3181"/>
      <c r="I3181"/>
      <c r="J3181"/>
    </row>
    <row r="3182" spans="1:10" x14ac:dyDescent="0.25">
      <c r="A3182" s="90">
        <v>39771</v>
      </c>
      <c r="B3182" s="17">
        <v>9.14</v>
      </c>
      <c r="C3182" s="17"/>
      <c r="F3182"/>
      <c r="G3182"/>
      <c r="H3182"/>
      <c r="I3182"/>
      <c r="J3182"/>
    </row>
    <row r="3183" spans="1:10" x14ac:dyDescent="0.25">
      <c r="A3183" s="90">
        <v>39772</v>
      </c>
      <c r="B3183" s="17">
        <v>8.9499999999999993</v>
      </c>
      <c r="C3183" s="17"/>
      <c r="F3183"/>
      <c r="G3183"/>
      <c r="H3183"/>
      <c r="I3183"/>
      <c r="J3183"/>
    </row>
    <row r="3184" spans="1:10" x14ac:dyDescent="0.25">
      <c r="A3184" s="90">
        <v>39773</v>
      </c>
      <c r="B3184" s="17">
        <v>9.39</v>
      </c>
      <c r="C3184" s="17"/>
      <c r="F3184"/>
      <c r="G3184"/>
      <c r="H3184"/>
      <c r="I3184"/>
      <c r="J3184"/>
    </row>
    <row r="3185" spans="1:10" x14ac:dyDescent="0.25">
      <c r="A3185" s="90">
        <v>39776</v>
      </c>
      <c r="B3185" s="17">
        <v>10.210000000000001</v>
      </c>
      <c r="C3185" s="17"/>
      <c r="F3185"/>
      <c r="G3185"/>
      <c r="H3185"/>
      <c r="I3185"/>
      <c r="J3185"/>
    </row>
    <row r="3186" spans="1:10" x14ac:dyDescent="0.25">
      <c r="A3186" s="90">
        <v>39777</v>
      </c>
      <c r="B3186" s="17">
        <v>10.07</v>
      </c>
      <c r="C3186" s="17"/>
      <c r="F3186"/>
      <c r="G3186"/>
      <c r="H3186"/>
      <c r="I3186"/>
      <c r="J3186"/>
    </row>
    <row r="3187" spans="1:10" x14ac:dyDescent="0.25">
      <c r="A3187" s="90">
        <v>39778</v>
      </c>
      <c r="B3187" s="17">
        <v>10.58</v>
      </c>
      <c r="C3187" s="17"/>
      <c r="F3187"/>
      <c r="G3187"/>
      <c r="H3187"/>
      <c r="I3187"/>
      <c r="J3187"/>
    </row>
    <row r="3188" spans="1:10" x14ac:dyDescent="0.25">
      <c r="A3188" s="90">
        <v>39780</v>
      </c>
      <c r="B3188" s="17">
        <v>11.51</v>
      </c>
      <c r="C3188" s="17"/>
      <c r="F3188"/>
      <c r="G3188"/>
      <c r="H3188"/>
      <c r="I3188"/>
      <c r="J3188"/>
    </row>
    <row r="3189" spans="1:10" x14ac:dyDescent="0.25">
      <c r="A3189" s="90">
        <v>39783</v>
      </c>
      <c r="B3189" s="17">
        <v>10.74</v>
      </c>
      <c r="C3189" s="17"/>
      <c r="F3189"/>
      <c r="G3189"/>
      <c r="H3189"/>
      <c r="I3189"/>
      <c r="J3189"/>
    </row>
    <row r="3190" spans="1:10" x14ac:dyDescent="0.25">
      <c r="A3190" s="90">
        <v>39784</v>
      </c>
      <c r="B3190" s="17">
        <v>11.5</v>
      </c>
      <c r="C3190" s="17"/>
      <c r="F3190"/>
      <c r="G3190"/>
      <c r="H3190"/>
      <c r="I3190"/>
      <c r="J3190"/>
    </row>
    <row r="3191" spans="1:10" x14ac:dyDescent="0.25">
      <c r="A3191" s="90">
        <v>39785</v>
      </c>
      <c r="B3191" s="17">
        <v>11.5</v>
      </c>
      <c r="C3191" s="17"/>
      <c r="F3191"/>
      <c r="G3191"/>
      <c r="H3191"/>
      <c r="I3191"/>
      <c r="J3191"/>
    </row>
    <row r="3192" spans="1:10" x14ac:dyDescent="0.25">
      <c r="A3192" s="90">
        <v>39786</v>
      </c>
      <c r="B3192" s="17">
        <v>11.05</v>
      </c>
      <c r="C3192" s="17"/>
      <c r="F3192"/>
      <c r="G3192"/>
      <c r="H3192"/>
      <c r="I3192"/>
      <c r="J3192"/>
    </row>
    <row r="3193" spans="1:10" x14ac:dyDescent="0.25">
      <c r="A3193" s="90">
        <v>39787</v>
      </c>
      <c r="B3193" s="17">
        <v>11.66</v>
      </c>
      <c r="C3193" s="17"/>
      <c r="F3193"/>
      <c r="G3193"/>
      <c r="H3193"/>
      <c r="I3193"/>
      <c r="J3193"/>
    </row>
    <row r="3194" spans="1:10" x14ac:dyDescent="0.25">
      <c r="A3194" s="90">
        <v>39790</v>
      </c>
      <c r="B3194" s="17">
        <v>12.2</v>
      </c>
      <c r="C3194" s="17"/>
      <c r="F3194"/>
      <c r="G3194"/>
      <c r="H3194"/>
      <c r="I3194"/>
      <c r="J3194"/>
    </row>
    <row r="3195" spans="1:10" x14ac:dyDescent="0.25">
      <c r="A3195" s="90">
        <v>39791</v>
      </c>
      <c r="B3195" s="17">
        <v>12.19</v>
      </c>
      <c r="C3195" s="17"/>
      <c r="F3195"/>
      <c r="G3195"/>
      <c r="H3195"/>
      <c r="I3195"/>
      <c r="J3195"/>
    </row>
    <row r="3196" spans="1:10" x14ac:dyDescent="0.25">
      <c r="A3196" s="90">
        <v>39792</v>
      </c>
      <c r="B3196" s="17">
        <v>13.4</v>
      </c>
      <c r="C3196" s="17"/>
      <c r="F3196"/>
      <c r="G3196"/>
      <c r="H3196"/>
      <c r="I3196"/>
      <c r="J3196"/>
    </row>
    <row r="3197" spans="1:10" x14ac:dyDescent="0.25">
      <c r="A3197" s="90">
        <v>39793</v>
      </c>
      <c r="B3197" s="17">
        <v>12.73</v>
      </c>
      <c r="C3197" s="17"/>
      <c r="F3197"/>
      <c r="G3197"/>
      <c r="H3197"/>
      <c r="I3197"/>
      <c r="J3197"/>
    </row>
    <row r="3198" spans="1:10" x14ac:dyDescent="0.25">
      <c r="A3198" s="90">
        <v>39794</v>
      </c>
      <c r="B3198" s="17">
        <v>13.15</v>
      </c>
      <c r="C3198" s="17"/>
      <c r="F3198"/>
      <c r="G3198"/>
      <c r="H3198"/>
      <c r="I3198"/>
      <c r="J3198"/>
    </row>
    <row r="3199" spans="1:10" x14ac:dyDescent="0.25">
      <c r="A3199" s="90">
        <v>39797</v>
      </c>
      <c r="B3199" s="17">
        <v>12.73</v>
      </c>
      <c r="C3199" s="17"/>
      <c r="F3199"/>
      <c r="G3199"/>
      <c r="H3199"/>
      <c r="I3199"/>
      <c r="J3199"/>
    </row>
    <row r="3200" spans="1:10" x14ac:dyDescent="0.25">
      <c r="A3200" s="90">
        <v>39798</v>
      </c>
      <c r="B3200" s="17">
        <v>13.36</v>
      </c>
      <c r="C3200" s="17"/>
      <c r="F3200"/>
      <c r="G3200"/>
      <c r="H3200"/>
      <c r="I3200"/>
      <c r="J3200"/>
    </row>
    <row r="3201" spans="1:10" x14ac:dyDescent="0.25">
      <c r="A3201" s="90">
        <v>39799</v>
      </c>
      <c r="B3201" s="17">
        <v>13.11</v>
      </c>
      <c r="C3201" s="17"/>
      <c r="F3201"/>
      <c r="G3201"/>
      <c r="H3201"/>
      <c r="I3201"/>
      <c r="J3201"/>
    </row>
    <row r="3202" spans="1:10" x14ac:dyDescent="0.25">
      <c r="A3202" s="90">
        <v>39800</v>
      </c>
      <c r="B3202" s="17">
        <v>12.72</v>
      </c>
      <c r="C3202" s="17"/>
      <c r="F3202"/>
      <c r="G3202"/>
      <c r="H3202"/>
      <c r="I3202"/>
      <c r="J3202"/>
    </row>
    <row r="3203" spans="1:10" x14ac:dyDescent="0.25">
      <c r="A3203" s="90">
        <v>39801</v>
      </c>
      <c r="B3203" s="17">
        <v>13.03</v>
      </c>
      <c r="C3203" s="17"/>
      <c r="F3203"/>
      <c r="G3203"/>
      <c r="H3203"/>
      <c r="I3203"/>
      <c r="J3203"/>
    </row>
    <row r="3204" spans="1:10" x14ac:dyDescent="0.25">
      <c r="A3204" s="90">
        <v>39804</v>
      </c>
      <c r="B3204" s="17">
        <v>12.35</v>
      </c>
      <c r="C3204" s="17"/>
      <c r="F3204"/>
      <c r="G3204"/>
      <c r="H3204"/>
      <c r="I3204"/>
      <c r="J3204"/>
    </row>
    <row r="3205" spans="1:10" x14ac:dyDescent="0.25">
      <c r="A3205" s="90">
        <v>39805</v>
      </c>
      <c r="B3205" s="17">
        <v>12.42</v>
      </c>
      <c r="C3205" s="17"/>
      <c r="F3205"/>
      <c r="G3205"/>
      <c r="H3205"/>
      <c r="I3205"/>
      <c r="J3205"/>
    </row>
    <row r="3206" spans="1:10" x14ac:dyDescent="0.25">
      <c r="A3206" s="90">
        <v>39806</v>
      </c>
      <c r="B3206" s="17">
        <v>12.32</v>
      </c>
      <c r="C3206" s="17"/>
      <c r="F3206"/>
      <c r="G3206"/>
      <c r="H3206"/>
      <c r="I3206"/>
      <c r="J3206"/>
    </row>
    <row r="3207" spans="1:10" x14ac:dyDescent="0.25">
      <c r="A3207" s="90">
        <v>39808</v>
      </c>
      <c r="B3207" s="17">
        <v>12.34</v>
      </c>
      <c r="C3207" s="17"/>
      <c r="F3207"/>
      <c r="G3207"/>
      <c r="H3207"/>
      <c r="I3207"/>
      <c r="J3207"/>
    </row>
    <row r="3208" spans="1:10" x14ac:dyDescent="0.25">
      <c r="A3208" s="90">
        <v>39811</v>
      </c>
      <c r="B3208" s="17">
        <v>11.88</v>
      </c>
      <c r="C3208" s="17"/>
      <c r="F3208"/>
      <c r="G3208"/>
      <c r="H3208"/>
      <c r="I3208"/>
      <c r="J3208"/>
    </row>
    <row r="3209" spans="1:10" x14ac:dyDescent="0.25">
      <c r="A3209" s="90">
        <v>39812</v>
      </c>
      <c r="B3209" s="17">
        <v>11.97</v>
      </c>
      <c r="C3209" s="17"/>
      <c r="F3209"/>
      <c r="G3209"/>
      <c r="H3209"/>
      <c r="I3209"/>
      <c r="J3209"/>
    </row>
    <row r="3210" spans="1:10" x14ac:dyDescent="0.25">
      <c r="A3210" s="90">
        <v>39813</v>
      </c>
      <c r="B3210" s="17">
        <v>12.2</v>
      </c>
      <c r="C3210" s="17"/>
      <c r="F3210"/>
      <c r="G3210"/>
      <c r="H3210"/>
      <c r="I3210"/>
      <c r="J3210"/>
    </row>
    <row r="3211" spans="1:10" x14ac:dyDescent="0.25">
      <c r="A3211" s="90">
        <v>39815</v>
      </c>
      <c r="B3211" s="17">
        <v>12.85</v>
      </c>
      <c r="C3211" s="17"/>
      <c r="F3211"/>
      <c r="G3211"/>
      <c r="H3211"/>
      <c r="I3211"/>
      <c r="J3211"/>
    </row>
    <row r="3212" spans="1:10" x14ac:dyDescent="0.25">
      <c r="A3212" s="90">
        <v>39818</v>
      </c>
      <c r="B3212" s="17">
        <v>12.86</v>
      </c>
      <c r="C3212" s="17"/>
      <c r="F3212"/>
      <c r="G3212"/>
      <c r="H3212"/>
      <c r="I3212"/>
      <c r="J3212"/>
    </row>
    <row r="3213" spans="1:10" x14ac:dyDescent="0.25">
      <c r="A3213" s="90">
        <v>39819</v>
      </c>
      <c r="B3213" s="17">
        <v>13</v>
      </c>
      <c r="C3213" s="17"/>
      <c r="F3213"/>
      <c r="G3213"/>
      <c r="H3213"/>
      <c r="I3213"/>
      <c r="J3213"/>
    </row>
    <row r="3214" spans="1:10" x14ac:dyDescent="0.25">
      <c r="A3214" s="90">
        <v>39820</v>
      </c>
      <c r="B3214" s="17">
        <v>12.71</v>
      </c>
      <c r="C3214" s="17"/>
      <c r="F3214"/>
      <c r="G3214"/>
      <c r="H3214"/>
      <c r="I3214"/>
      <c r="J3214"/>
    </row>
    <row r="3215" spans="1:10" x14ac:dyDescent="0.25">
      <c r="A3215" s="90">
        <v>39821</v>
      </c>
      <c r="B3215" s="17">
        <v>13.07</v>
      </c>
      <c r="C3215" s="17"/>
      <c r="F3215"/>
      <c r="G3215"/>
      <c r="H3215"/>
      <c r="I3215"/>
      <c r="J3215"/>
    </row>
    <row r="3216" spans="1:10" x14ac:dyDescent="0.25">
      <c r="A3216" s="90">
        <v>39822</v>
      </c>
      <c r="B3216" s="17">
        <v>13.13</v>
      </c>
      <c r="C3216" s="17"/>
      <c r="F3216"/>
      <c r="G3216"/>
      <c r="H3216"/>
      <c r="I3216"/>
      <c r="J3216"/>
    </row>
    <row r="3217" spans="1:10" x14ac:dyDescent="0.25">
      <c r="A3217" s="90">
        <v>39825</v>
      </c>
      <c r="B3217" s="17">
        <v>12.22</v>
      </c>
      <c r="C3217" s="17"/>
      <c r="F3217"/>
      <c r="G3217"/>
      <c r="H3217"/>
      <c r="I3217"/>
      <c r="J3217"/>
    </row>
    <row r="3218" spans="1:10" x14ac:dyDescent="0.25">
      <c r="A3218" s="90">
        <v>39826</v>
      </c>
      <c r="B3218" s="17">
        <v>12.1</v>
      </c>
      <c r="C3218" s="17"/>
      <c r="F3218"/>
      <c r="G3218"/>
      <c r="H3218"/>
      <c r="I3218"/>
      <c r="J3218"/>
    </row>
    <row r="3219" spans="1:10" x14ac:dyDescent="0.25">
      <c r="A3219" s="90">
        <v>39827</v>
      </c>
      <c r="B3219" s="17">
        <v>12.41</v>
      </c>
      <c r="C3219" s="17"/>
      <c r="F3219"/>
      <c r="G3219"/>
      <c r="H3219"/>
      <c r="I3219"/>
      <c r="J3219"/>
    </row>
    <row r="3220" spans="1:10" x14ac:dyDescent="0.25">
      <c r="A3220" s="90">
        <v>39828</v>
      </c>
      <c r="B3220" s="17">
        <v>11.61</v>
      </c>
      <c r="C3220" s="17"/>
      <c r="F3220"/>
      <c r="G3220"/>
      <c r="H3220"/>
      <c r="I3220"/>
      <c r="J3220"/>
    </row>
    <row r="3221" spans="1:10" x14ac:dyDescent="0.25">
      <c r="A3221" s="90">
        <v>39829</v>
      </c>
      <c r="B3221" s="17">
        <v>11.59</v>
      </c>
      <c r="C3221" s="17"/>
      <c r="F3221"/>
      <c r="G3221"/>
      <c r="H3221"/>
      <c r="I3221"/>
      <c r="J3221"/>
    </row>
    <row r="3222" spans="1:10" x14ac:dyDescent="0.25">
      <c r="A3222" s="90">
        <v>39833</v>
      </c>
      <c r="B3222" s="17">
        <v>11.01</v>
      </c>
      <c r="C3222" s="17"/>
      <c r="F3222"/>
      <c r="G3222"/>
      <c r="H3222"/>
      <c r="I3222"/>
      <c r="J3222"/>
    </row>
    <row r="3223" spans="1:10" x14ac:dyDescent="0.25">
      <c r="A3223" s="90">
        <v>39834</v>
      </c>
      <c r="B3223" s="17">
        <v>11.59</v>
      </c>
      <c r="C3223" s="17"/>
      <c r="F3223"/>
      <c r="G3223"/>
      <c r="H3223"/>
      <c r="I3223"/>
      <c r="J3223"/>
    </row>
    <row r="3224" spans="1:10" x14ac:dyDescent="0.25">
      <c r="A3224" s="90">
        <v>39835</v>
      </c>
      <c r="B3224" s="17">
        <v>11.28</v>
      </c>
      <c r="C3224" s="17"/>
      <c r="F3224"/>
      <c r="G3224"/>
      <c r="H3224"/>
      <c r="I3224"/>
      <c r="J3224"/>
    </row>
    <row r="3225" spans="1:10" x14ac:dyDescent="0.25">
      <c r="A3225" s="90">
        <v>39836</v>
      </c>
      <c r="B3225" s="17">
        <v>11.32</v>
      </c>
      <c r="C3225" s="17"/>
      <c r="F3225"/>
      <c r="G3225"/>
      <c r="H3225"/>
      <c r="I3225"/>
      <c r="J3225"/>
    </row>
    <row r="3226" spans="1:10" x14ac:dyDescent="0.25">
      <c r="A3226" s="90">
        <v>39839</v>
      </c>
      <c r="B3226" s="17">
        <v>11.17</v>
      </c>
      <c r="C3226" s="17"/>
      <c r="F3226"/>
      <c r="G3226"/>
      <c r="H3226"/>
      <c r="I3226"/>
      <c r="J3226"/>
    </row>
    <row r="3227" spans="1:10" x14ac:dyDescent="0.25">
      <c r="A3227" s="90">
        <v>39840</v>
      </c>
      <c r="B3227" s="17">
        <v>11.34</v>
      </c>
      <c r="C3227" s="17"/>
      <c r="F3227"/>
      <c r="G3227"/>
      <c r="H3227"/>
      <c r="I3227"/>
      <c r="J3227"/>
    </row>
    <row r="3228" spans="1:10" x14ac:dyDescent="0.25">
      <c r="A3228" s="90">
        <v>39841</v>
      </c>
      <c r="B3228" s="17">
        <v>12.24</v>
      </c>
      <c r="C3228" s="17"/>
      <c r="F3228"/>
      <c r="G3228"/>
      <c r="H3228"/>
      <c r="I3228"/>
      <c r="J3228"/>
    </row>
    <row r="3229" spans="1:10" x14ac:dyDescent="0.25">
      <c r="A3229" s="90">
        <v>39842</v>
      </c>
      <c r="B3229" s="17">
        <v>11.74</v>
      </c>
      <c r="C3229" s="17"/>
      <c r="F3229"/>
      <c r="G3229"/>
      <c r="H3229"/>
      <c r="I3229"/>
      <c r="J3229"/>
    </row>
    <row r="3230" spans="1:10" x14ac:dyDescent="0.25">
      <c r="A3230" s="90">
        <v>39843</v>
      </c>
      <c r="B3230" s="17">
        <v>11.73</v>
      </c>
      <c r="C3230" s="17"/>
      <c r="F3230"/>
      <c r="G3230"/>
      <c r="H3230"/>
      <c r="I3230"/>
      <c r="J3230"/>
    </row>
    <row r="3231" spans="1:10" x14ac:dyDescent="0.25">
      <c r="A3231" s="90">
        <v>39846</v>
      </c>
      <c r="B3231" s="17">
        <v>12.15</v>
      </c>
      <c r="C3231" s="17"/>
      <c r="F3231"/>
      <c r="G3231"/>
      <c r="H3231"/>
      <c r="I3231"/>
      <c r="J3231"/>
    </row>
    <row r="3232" spans="1:10" x14ac:dyDescent="0.25">
      <c r="A3232" s="90">
        <v>39847</v>
      </c>
      <c r="B3232" s="17">
        <v>12.68</v>
      </c>
      <c r="C3232" s="17"/>
      <c r="F3232"/>
      <c r="G3232"/>
      <c r="H3232"/>
      <c r="I3232"/>
      <c r="J3232"/>
    </row>
    <row r="3233" spans="1:10" x14ac:dyDescent="0.25">
      <c r="A3233" s="90">
        <v>39848</v>
      </c>
      <c r="B3233" s="17">
        <v>13</v>
      </c>
      <c r="C3233" s="17"/>
      <c r="F3233"/>
      <c r="G3233"/>
      <c r="H3233"/>
      <c r="I3233"/>
      <c r="J3233"/>
    </row>
    <row r="3234" spans="1:10" x14ac:dyDescent="0.25">
      <c r="A3234" s="90">
        <v>39849</v>
      </c>
      <c r="B3234" s="17">
        <v>13.51</v>
      </c>
      <c r="C3234" s="17"/>
      <c r="F3234"/>
      <c r="G3234"/>
      <c r="H3234"/>
      <c r="I3234"/>
      <c r="J3234"/>
    </row>
    <row r="3235" spans="1:10" x14ac:dyDescent="0.25">
      <c r="A3235" s="90">
        <v>39850</v>
      </c>
      <c r="B3235" s="17">
        <v>13.63</v>
      </c>
      <c r="C3235" s="17"/>
      <c r="F3235"/>
      <c r="G3235"/>
      <c r="H3235"/>
      <c r="I3235"/>
      <c r="J3235"/>
    </row>
    <row r="3236" spans="1:10" x14ac:dyDescent="0.25">
      <c r="A3236" s="90">
        <v>39853</v>
      </c>
      <c r="B3236" s="17">
        <v>13.9</v>
      </c>
      <c r="C3236" s="17"/>
      <c r="F3236"/>
      <c r="G3236"/>
      <c r="H3236"/>
      <c r="I3236"/>
      <c r="J3236"/>
    </row>
    <row r="3237" spans="1:10" x14ac:dyDescent="0.25">
      <c r="A3237" s="90">
        <v>39854</v>
      </c>
      <c r="B3237" s="17">
        <v>12.75</v>
      </c>
      <c r="C3237" s="17"/>
      <c r="F3237"/>
      <c r="G3237"/>
      <c r="H3237"/>
      <c r="I3237"/>
      <c r="J3237"/>
    </row>
    <row r="3238" spans="1:10" x14ac:dyDescent="0.25">
      <c r="A3238" s="90">
        <v>39855</v>
      </c>
      <c r="B3238" s="17">
        <v>12.63</v>
      </c>
      <c r="C3238" s="17"/>
      <c r="F3238"/>
      <c r="G3238"/>
      <c r="H3238"/>
      <c r="I3238"/>
      <c r="J3238"/>
    </row>
    <row r="3239" spans="1:10" x14ac:dyDescent="0.25">
      <c r="A3239" s="90">
        <v>39856</v>
      </c>
      <c r="B3239" s="17">
        <v>12.66</v>
      </c>
      <c r="C3239" s="17"/>
      <c r="F3239"/>
      <c r="G3239"/>
      <c r="H3239"/>
      <c r="I3239"/>
      <c r="J3239"/>
    </row>
    <row r="3240" spans="1:10" x14ac:dyDescent="0.25">
      <c r="A3240" s="90">
        <v>39857</v>
      </c>
      <c r="B3240" s="17">
        <v>12.84</v>
      </c>
      <c r="C3240" s="17"/>
      <c r="F3240"/>
      <c r="G3240"/>
      <c r="H3240"/>
      <c r="I3240"/>
      <c r="J3240"/>
    </row>
    <row r="3241" spans="1:10" x14ac:dyDescent="0.25">
      <c r="A3241" s="90">
        <v>39861</v>
      </c>
      <c r="B3241" s="17">
        <v>12.02</v>
      </c>
      <c r="C3241" s="17"/>
      <c r="F3241"/>
      <c r="G3241"/>
      <c r="H3241"/>
      <c r="I3241"/>
      <c r="J3241"/>
    </row>
    <row r="3242" spans="1:10" x14ac:dyDescent="0.25">
      <c r="A3242" s="90">
        <v>39862</v>
      </c>
      <c r="B3242" s="17">
        <v>12.22</v>
      </c>
      <c r="C3242" s="17"/>
      <c r="F3242"/>
      <c r="G3242"/>
      <c r="H3242"/>
      <c r="I3242"/>
      <c r="J3242"/>
    </row>
    <row r="3243" spans="1:10" x14ac:dyDescent="0.25">
      <c r="A3243" s="90">
        <v>39863</v>
      </c>
      <c r="B3243" s="17">
        <v>11.98</v>
      </c>
      <c r="C3243" s="17"/>
      <c r="F3243"/>
      <c r="G3243"/>
      <c r="H3243"/>
      <c r="I3243"/>
      <c r="J3243"/>
    </row>
    <row r="3244" spans="1:10" x14ac:dyDescent="0.25">
      <c r="A3244" s="90">
        <v>39864</v>
      </c>
      <c r="B3244" s="17">
        <v>12.14</v>
      </c>
      <c r="C3244" s="17"/>
      <c r="F3244"/>
      <c r="G3244"/>
      <c r="H3244"/>
      <c r="I3244"/>
      <c r="J3244"/>
    </row>
    <row r="3245" spans="1:10" x14ac:dyDescent="0.25">
      <c r="A3245" s="90">
        <v>39867</v>
      </c>
      <c r="B3245" s="17">
        <v>11.97</v>
      </c>
      <c r="C3245" s="17"/>
      <c r="F3245"/>
      <c r="G3245"/>
      <c r="H3245"/>
      <c r="I3245"/>
      <c r="J3245"/>
    </row>
    <row r="3246" spans="1:10" x14ac:dyDescent="0.25">
      <c r="A3246" s="90">
        <v>39868</v>
      </c>
      <c r="B3246" s="17">
        <v>12.75</v>
      </c>
      <c r="C3246" s="17"/>
      <c r="F3246"/>
      <c r="G3246"/>
      <c r="H3246"/>
      <c r="I3246"/>
      <c r="J3246"/>
    </row>
    <row r="3247" spans="1:10" x14ac:dyDescent="0.25">
      <c r="A3247" s="90">
        <v>39869</v>
      </c>
      <c r="B3247" s="17">
        <v>12.48</v>
      </c>
      <c r="C3247" s="17"/>
      <c r="F3247"/>
      <c r="G3247"/>
      <c r="H3247"/>
      <c r="I3247"/>
      <c r="J3247"/>
    </row>
    <row r="3248" spans="1:10" x14ac:dyDescent="0.25">
      <c r="A3248" s="90">
        <v>39870</v>
      </c>
      <c r="B3248" s="17">
        <v>12.98</v>
      </c>
      <c r="C3248" s="17"/>
      <c r="F3248"/>
      <c r="G3248"/>
      <c r="H3248"/>
      <c r="I3248"/>
      <c r="J3248"/>
    </row>
    <row r="3249" spans="1:10" x14ac:dyDescent="0.25">
      <c r="A3249" s="90">
        <v>39871</v>
      </c>
      <c r="B3249" s="17">
        <v>13.23</v>
      </c>
      <c r="C3249" s="17"/>
      <c r="F3249"/>
      <c r="G3249"/>
      <c r="H3249"/>
      <c r="I3249"/>
      <c r="J3249"/>
    </row>
    <row r="3250" spans="1:10" x14ac:dyDescent="0.25">
      <c r="A3250" s="90">
        <v>39874</v>
      </c>
      <c r="B3250" s="17">
        <v>12.58</v>
      </c>
      <c r="C3250" s="17"/>
      <c r="F3250"/>
      <c r="G3250"/>
      <c r="H3250"/>
      <c r="I3250"/>
      <c r="J3250"/>
    </row>
    <row r="3251" spans="1:10" x14ac:dyDescent="0.25">
      <c r="A3251" s="90">
        <v>39875</v>
      </c>
      <c r="B3251" s="17">
        <v>12.5</v>
      </c>
      <c r="C3251" s="17"/>
      <c r="F3251"/>
      <c r="G3251"/>
      <c r="H3251"/>
      <c r="I3251"/>
      <c r="J3251"/>
    </row>
    <row r="3252" spans="1:10" x14ac:dyDescent="0.25">
      <c r="A3252" s="90">
        <v>39876</v>
      </c>
      <c r="B3252" s="17">
        <v>13.16</v>
      </c>
      <c r="C3252" s="17"/>
      <c r="F3252"/>
      <c r="G3252"/>
      <c r="H3252"/>
      <c r="I3252"/>
      <c r="J3252"/>
    </row>
    <row r="3253" spans="1:10" x14ac:dyDescent="0.25">
      <c r="A3253" s="90">
        <v>39877</v>
      </c>
      <c r="B3253" s="17">
        <v>12.53</v>
      </c>
      <c r="C3253" s="17"/>
      <c r="F3253"/>
      <c r="G3253"/>
      <c r="H3253"/>
      <c r="I3253"/>
      <c r="J3253"/>
    </row>
    <row r="3254" spans="1:10" x14ac:dyDescent="0.25">
      <c r="A3254" s="90">
        <v>39878</v>
      </c>
      <c r="B3254" s="17">
        <v>13.05</v>
      </c>
      <c r="C3254" s="17"/>
      <c r="F3254"/>
      <c r="G3254"/>
      <c r="H3254"/>
      <c r="I3254"/>
      <c r="J3254"/>
    </row>
    <row r="3255" spans="1:10" x14ac:dyDescent="0.25">
      <c r="A3255" s="90">
        <v>39881</v>
      </c>
      <c r="B3255" s="17">
        <v>12.66</v>
      </c>
      <c r="C3255" s="17"/>
      <c r="F3255"/>
      <c r="G3255"/>
      <c r="H3255"/>
      <c r="I3255"/>
      <c r="J3255"/>
    </row>
    <row r="3256" spans="1:10" x14ac:dyDescent="0.25">
      <c r="A3256" s="90">
        <v>39882</v>
      </c>
      <c r="B3256" s="17">
        <v>13.23</v>
      </c>
      <c r="C3256" s="17"/>
      <c r="F3256"/>
      <c r="G3256"/>
      <c r="H3256"/>
      <c r="I3256"/>
      <c r="J3256"/>
    </row>
    <row r="3257" spans="1:10" x14ac:dyDescent="0.25">
      <c r="A3257" s="90">
        <v>39883</v>
      </c>
      <c r="B3257" s="17">
        <v>13.39</v>
      </c>
      <c r="C3257" s="17"/>
      <c r="F3257"/>
      <c r="G3257"/>
      <c r="H3257"/>
      <c r="I3257"/>
      <c r="J3257"/>
    </row>
    <row r="3258" spans="1:10" x14ac:dyDescent="0.25">
      <c r="A3258" s="90">
        <v>39884</v>
      </c>
      <c r="B3258" s="17">
        <v>13.6</v>
      </c>
      <c r="C3258" s="17"/>
      <c r="F3258"/>
      <c r="G3258"/>
      <c r="H3258"/>
      <c r="I3258"/>
      <c r="J3258"/>
    </row>
    <row r="3259" spans="1:10" x14ac:dyDescent="0.25">
      <c r="A3259" s="90">
        <v>39885</v>
      </c>
      <c r="B3259" s="17">
        <v>13.51</v>
      </c>
      <c r="C3259" s="17"/>
      <c r="F3259"/>
      <c r="G3259"/>
      <c r="H3259"/>
      <c r="I3259"/>
      <c r="J3259"/>
    </row>
    <row r="3260" spans="1:10" x14ac:dyDescent="0.25">
      <c r="A3260" s="90">
        <v>39888</v>
      </c>
      <c r="B3260" s="17">
        <v>13.22</v>
      </c>
      <c r="C3260" s="17"/>
      <c r="F3260"/>
      <c r="G3260"/>
      <c r="H3260"/>
      <c r="I3260"/>
      <c r="J3260"/>
    </row>
    <row r="3261" spans="1:10" x14ac:dyDescent="0.25">
      <c r="A3261" s="90">
        <v>39889</v>
      </c>
      <c r="B3261" s="17">
        <v>13.99</v>
      </c>
      <c r="C3261" s="17"/>
      <c r="F3261"/>
      <c r="G3261"/>
      <c r="H3261"/>
      <c r="I3261"/>
      <c r="J3261"/>
    </row>
    <row r="3262" spans="1:10" x14ac:dyDescent="0.25">
      <c r="A3262" s="90">
        <v>39890</v>
      </c>
      <c r="B3262" s="17">
        <v>13.42</v>
      </c>
      <c r="C3262" s="17"/>
      <c r="F3262"/>
      <c r="G3262"/>
      <c r="H3262"/>
      <c r="I3262"/>
      <c r="J3262"/>
    </row>
    <row r="3263" spans="1:10" x14ac:dyDescent="0.25">
      <c r="A3263" s="90">
        <v>39891</v>
      </c>
      <c r="B3263" s="17">
        <v>13.74</v>
      </c>
      <c r="C3263" s="17"/>
      <c r="F3263"/>
      <c r="G3263"/>
      <c r="H3263"/>
      <c r="I3263"/>
      <c r="J3263"/>
    </row>
    <row r="3264" spans="1:10" x14ac:dyDescent="0.25">
      <c r="A3264" s="90">
        <v>39892</v>
      </c>
      <c r="B3264" s="17">
        <v>13.6</v>
      </c>
      <c r="C3264" s="17"/>
      <c r="F3264"/>
      <c r="G3264"/>
      <c r="H3264"/>
      <c r="I3264"/>
      <c r="J3264"/>
    </row>
    <row r="3265" spans="1:10" x14ac:dyDescent="0.25">
      <c r="A3265" s="90">
        <v>39895</v>
      </c>
      <c r="B3265" s="17">
        <v>14.09</v>
      </c>
      <c r="C3265" s="17"/>
      <c r="F3265"/>
      <c r="G3265"/>
      <c r="H3265"/>
      <c r="I3265"/>
      <c r="J3265"/>
    </row>
    <row r="3266" spans="1:10" x14ac:dyDescent="0.25">
      <c r="A3266" s="90">
        <v>39896</v>
      </c>
      <c r="B3266" s="17">
        <v>13.63</v>
      </c>
      <c r="C3266" s="17"/>
      <c r="F3266"/>
      <c r="G3266"/>
      <c r="H3266"/>
      <c r="I3266"/>
      <c r="J3266"/>
    </row>
    <row r="3267" spans="1:10" x14ac:dyDescent="0.25">
      <c r="A3267" s="90">
        <v>39897</v>
      </c>
      <c r="B3267" s="17">
        <v>13.55</v>
      </c>
      <c r="C3267" s="17"/>
      <c r="F3267"/>
      <c r="G3267"/>
      <c r="H3267"/>
      <c r="I3267"/>
      <c r="J3267"/>
    </row>
    <row r="3268" spans="1:10" x14ac:dyDescent="0.25">
      <c r="A3268" s="90">
        <v>39898</v>
      </c>
      <c r="B3268" s="17">
        <v>13.35</v>
      </c>
      <c r="C3268" s="17"/>
      <c r="F3268"/>
      <c r="G3268"/>
      <c r="H3268"/>
      <c r="I3268"/>
      <c r="J3268"/>
    </row>
    <row r="3269" spans="1:10" x14ac:dyDescent="0.25">
      <c r="A3269" s="90">
        <v>39899</v>
      </c>
      <c r="B3269" s="17">
        <v>13.18</v>
      </c>
      <c r="C3269" s="17"/>
      <c r="F3269"/>
      <c r="G3269"/>
      <c r="H3269"/>
      <c r="I3269"/>
      <c r="J3269"/>
    </row>
    <row r="3270" spans="1:10" x14ac:dyDescent="0.25">
      <c r="A3270" s="90">
        <v>39902</v>
      </c>
      <c r="B3270" s="17">
        <v>12.7</v>
      </c>
      <c r="C3270" s="17"/>
      <c r="F3270"/>
      <c r="G3270"/>
      <c r="H3270"/>
      <c r="I3270"/>
      <c r="J3270"/>
    </row>
    <row r="3271" spans="1:10" x14ac:dyDescent="0.25">
      <c r="A3271" s="90">
        <v>39903</v>
      </c>
      <c r="B3271" s="17">
        <v>12.81</v>
      </c>
      <c r="C3271" s="17"/>
      <c r="F3271"/>
      <c r="G3271"/>
      <c r="H3271"/>
      <c r="I3271"/>
      <c r="J3271"/>
    </row>
    <row r="3272" spans="1:10" x14ac:dyDescent="0.25">
      <c r="A3272" s="90">
        <v>39904</v>
      </c>
      <c r="B3272" s="17">
        <v>12.75</v>
      </c>
      <c r="C3272" s="17"/>
      <c r="F3272"/>
      <c r="G3272"/>
      <c r="H3272"/>
      <c r="I3272"/>
      <c r="J3272"/>
    </row>
    <row r="3273" spans="1:10" x14ac:dyDescent="0.25">
      <c r="A3273" s="90">
        <v>39905</v>
      </c>
      <c r="B3273" s="17">
        <v>12.95</v>
      </c>
      <c r="C3273" s="17"/>
      <c r="F3273"/>
      <c r="G3273"/>
      <c r="H3273"/>
      <c r="I3273"/>
      <c r="J3273"/>
    </row>
    <row r="3274" spans="1:10" x14ac:dyDescent="0.25">
      <c r="A3274" s="90">
        <v>39906</v>
      </c>
      <c r="B3274" s="17">
        <v>13.34</v>
      </c>
      <c r="C3274" s="17"/>
      <c r="F3274"/>
      <c r="G3274"/>
      <c r="H3274"/>
      <c r="I3274"/>
      <c r="J3274"/>
    </row>
    <row r="3275" spans="1:10" x14ac:dyDescent="0.25">
      <c r="A3275" s="90">
        <v>39909</v>
      </c>
      <c r="B3275" s="17">
        <v>13.23</v>
      </c>
      <c r="C3275" s="17"/>
      <c r="F3275"/>
      <c r="G3275"/>
      <c r="H3275"/>
      <c r="I3275"/>
      <c r="J3275"/>
    </row>
    <row r="3276" spans="1:10" x14ac:dyDescent="0.25">
      <c r="A3276" s="90">
        <v>39910</v>
      </c>
      <c r="B3276" s="17">
        <v>12.81</v>
      </c>
      <c r="C3276" s="17"/>
      <c r="F3276"/>
      <c r="G3276"/>
      <c r="H3276"/>
      <c r="I3276"/>
      <c r="J3276"/>
    </row>
    <row r="3277" spans="1:10" x14ac:dyDescent="0.25">
      <c r="A3277" s="90">
        <v>39911</v>
      </c>
      <c r="B3277" s="17">
        <v>12.92</v>
      </c>
      <c r="C3277" s="17"/>
      <c r="F3277"/>
      <c r="G3277"/>
      <c r="H3277"/>
      <c r="I3277"/>
      <c r="J3277"/>
    </row>
    <row r="3278" spans="1:10" x14ac:dyDescent="0.25">
      <c r="A3278" s="90">
        <v>39912</v>
      </c>
      <c r="B3278" s="17">
        <v>13.47</v>
      </c>
      <c r="C3278" s="17"/>
      <c r="F3278"/>
      <c r="G3278"/>
      <c r="H3278"/>
      <c r="I3278"/>
      <c r="J3278"/>
    </row>
    <row r="3279" spans="1:10" x14ac:dyDescent="0.25">
      <c r="A3279" s="90">
        <v>39916</v>
      </c>
      <c r="B3279" s="17">
        <v>14.42</v>
      </c>
      <c r="C3279" s="17"/>
      <c r="F3279"/>
      <c r="G3279"/>
      <c r="H3279"/>
      <c r="I3279"/>
      <c r="J3279"/>
    </row>
    <row r="3280" spans="1:10" x14ac:dyDescent="0.25">
      <c r="A3280" s="90">
        <v>39917</v>
      </c>
      <c r="B3280" s="17">
        <v>14.07</v>
      </c>
      <c r="C3280" s="17"/>
      <c r="F3280"/>
      <c r="G3280"/>
      <c r="H3280"/>
      <c r="I3280"/>
      <c r="J3280"/>
    </row>
    <row r="3281" spans="1:10" x14ac:dyDescent="0.25">
      <c r="A3281" s="90">
        <v>39918</v>
      </c>
      <c r="B3281" s="17">
        <v>14.02</v>
      </c>
      <c r="C3281" s="17"/>
      <c r="F3281"/>
      <c r="G3281"/>
      <c r="H3281"/>
      <c r="I3281"/>
      <c r="J3281"/>
    </row>
    <row r="3282" spans="1:10" x14ac:dyDescent="0.25">
      <c r="A3282" s="90">
        <v>39919</v>
      </c>
      <c r="B3282" s="17">
        <v>14.43</v>
      </c>
      <c r="C3282" s="17"/>
      <c r="F3282"/>
      <c r="G3282"/>
      <c r="H3282"/>
      <c r="I3282"/>
      <c r="J3282"/>
    </row>
    <row r="3283" spans="1:10" x14ac:dyDescent="0.25">
      <c r="A3283" s="90">
        <v>39920</v>
      </c>
      <c r="B3283" s="17">
        <v>14.39</v>
      </c>
      <c r="C3283" s="17"/>
      <c r="F3283"/>
      <c r="G3283"/>
      <c r="H3283"/>
      <c r="I3283"/>
      <c r="J3283"/>
    </row>
    <row r="3284" spans="1:10" x14ac:dyDescent="0.25">
      <c r="A3284" s="90">
        <v>39923</v>
      </c>
      <c r="B3284" s="17">
        <v>13.66</v>
      </c>
      <c r="C3284" s="17"/>
      <c r="F3284"/>
      <c r="G3284"/>
      <c r="H3284"/>
      <c r="I3284"/>
      <c r="J3284"/>
    </row>
    <row r="3285" spans="1:10" x14ac:dyDescent="0.25">
      <c r="A3285" s="90">
        <v>39924</v>
      </c>
      <c r="B3285" s="17">
        <v>14.38</v>
      </c>
      <c r="C3285" s="17"/>
      <c r="F3285"/>
      <c r="G3285"/>
      <c r="H3285"/>
      <c r="I3285"/>
      <c r="J3285"/>
    </row>
    <row r="3286" spans="1:10" x14ac:dyDescent="0.25">
      <c r="A3286" s="90">
        <v>39925</v>
      </c>
      <c r="B3286" s="17">
        <v>14.48</v>
      </c>
      <c r="C3286" s="17"/>
      <c r="F3286"/>
      <c r="G3286"/>
      <c r="H3286"/>
      <c r="I3286"/>
      <c r="J3286"/>
    </row>
    <row r="3287" spans="1:10" x14ac:dyDescent="0.25">
      <c r="A3287" s="90">
        <v>39926</v>
      </c>
      <c r="B3287" s="17">
        <v>14.55</v>
      </c>
      <c r="C3287" s="17"/>
      <c r="F3287"/>
      <c r="G3287"/>
      <c r="H3287"/>
      <c r="I3287"/>
      <c r="J3287"/>
    </row>
    <row r="3288" spans="1:10" x14ac:dyDescent="0.25">
      <c r="A3288" s="90">
        <v>39927</v>
      </c>
      <c r="B3288" s="17">
        <v>14.73</v>
      </c>
      <c r="C3288" s="17"/>
      <c r="F3288"/>
      <c r="G3288"/>
      <c r="H3288"/>
      <c r="I3288"/>
      <c r="J3288"/>
    </row>
    <row r="3289" spans="1:10" x14ac:dyDescent="0.25">
      <c r="A3289" s="90">
        <v>39930</v>
      </c>
      <c r="B3289" s="17">
        <v>13.89</v>
      </c>
      <c r="C3289" s="17"/>
      <c r="F3289"/>
      <c r="G3289"/>
      <c r="H3289"/>
      <c r="I3289"/>
      <c r="J3289"/>
    </row>
    <row r="3290" spans="1:10" x14ac:dyDescent="0.25">
      <c r="A3290" s="90">
        <v>39931</v>
      </c>
      <c r="B3290" s="17">
        <v>13.64</v>
      </c>
      <c r="C3290" s="17"/>
      <c r="F3290"/>
      <c r="G3290"/>
      <c r="H3290"/>
      <c r="I3290"/>
      <c r="J3290"/>
    </row>
    <row r="3291" spans="1:10" x14ac:dyDescent="0.25">
      <c r="A3291" s="90">
        <v>39932</v>
      </c>
      <c r="B3291" s="17">
        <v>14.02</v>
      </c>
      <c r="C3291" s="17"/>
      <c r="F3291"/>
      <c r="G3291"/>
      <c r="H3291"/>
      <c r="I3291"/>
      <c r="J3291"/>
    </row>
    <row r="3292" spans="1:10" x14ac:dyDescent="0.25">
      <c r="A3292" s="90">
        <v>39933</v>
      </c>
      <c r="B3292" s="17">
        <v>14.29</v>
      </c>
      <c r="C3292" s="17"/>
      <c r="F3292"/>
      <c r="G3292"/>
      <c r="H3292"/>
      <c r="I3292"/>
      <c r="J3292"/>
    </row>
    <row r="3293" spans="1:10" x14ac:dyDescent="0.25">
      <c r="A3293" s="90">
        <v>39934</v>
      </c>
      <c r="B3293" s="17">
        <v>14.14</v>
      </c>
      <c r="C3293" s="17"/>
      <c r="F3293"/>
      <c r="G3293"/>
      <c r="H3293"/>
      <c r="I3293"/>
      <c r="J3293"/>
    </row>
    <row r="3294" spans="1:10" x14ac:dyDescent="0.25">
      <c r="A3294" s="90">
        <v>39937</v>
      </c>
      <c r="B3294" s="17">
        <v>14.18</v>
      </c>
      <c r="C3294" s="17"/>
      <c r="F3294"/>
      <c r="G3294"/>
      <c r="H3294"/>
      <c r="I3294"/>
      <c r="J3294"/>
    </row>
    <row r="3295" spans="1:10" x14ac:dyDescent="0.25">
      <c r="A3295" s="90">
        <v>39938</v>
      </c>
      <c r="B3295" s="17">
        <v>14.74</v>
      </c>
      <c r="C3295" s="17"/>
      <c r="F3295"/>
      <c r="G3295"/>
      <c r="H3295"/>
      <c r="I3295"/>
      <c r="J3295"/>
    </row>
    <row r="3296" spans="1:10" x14ac:dyDescent="0.25">
      <c r="A3296" s="90">
        <v>39939</v>
      </c>
      <c r="B3296" s="17">
        <v>14.85</v>
      </c>
      <c r="C3296" s="17"/>
      <c r="F3296"/>
      <c r="G3296"/>
      <c r="H3296"/>
      <c r="I3296"/>
      <c r="J3296"/>
    </row>
    <row r="3297" spans="1:10" x14ac:dyDescent="0.25">
      <c r="A3297" s="90">
        <v>39940</v>
      </c>
      <c r="B3297" s="17">
        <v>14.8</v>
      </c>
      <c r="C3297" s="17"/>
      <c r="F3297"/>
      <c r="G3297"/>
      <c r="H3297"/>
      <c r="I3297"/>
      <c r="J3297"/>
    </row>
    <row r="3298" spans="1:10" x14ac:dyDescent="0.25">
      <c r="A3298" s="90">
        <v>39941</v>
      </c>
      <c r="B3298" s="17">
        <v>15.15</v>
      </c>
      <c r="C3298" s="17"/>
      <c r="F3298"/>
      <c r="G3298"/>
      <c r="H3298"/>
      <c r="I3298"/>
      <c r="J3298"/>
    </row>
    <row r="3299" spans="1:10" x14ac:dyDescent="0.25">
      <c r="A3299" s="90">
        <v>39944</v>
      </c>
      <c r="B3299" s="17">
        <v>15.54</v>
      </c>
      <c r="C3299" s="17"/>
      <c r="F3299"/>
      <c r="G3299"/>
      <c r="H3299"/>
      <c r="I3299"/>
      <c r="J3299"/>
    </row>
    <row r="3300" spans="1:10" x14ac:dyDescent="0.25">
      <c r="A3300" s="90">
        <v>39945</v>
      </c>
      <c r="B3300" s="17">
        <v>15.1</v>
      </c>
      <c r="C3300" s="17"/>
      <c r="F3300"/>
      <c r="G3300"/>
      <c r="H3300"/>
      <c r="I3300"/>
      <c r="J3300"/>
    </row>
    <row r="3301" spans="1:10" x14ac:dyDescent="0.25">
      <c r="A3301" s="90">
        <v>39946</v>
      </c>
      <c r="B3301" s="17">
        <v>14.52</v>
      </c>
      <c r="C3301" s="17"/>
      <c r="F3301"/>
      <c r="G3301"/>
      <c r="H3301"/>
      <c r="I3301"/>
      <c r="J3301"/>
    </row>
    <row r="3302" spans="1:10" x14ac:dyDescent="0.25">
      <c r="A3302" s="90">
        <v>39947</v>
      </c>
      <c r="B3302" s="17">
        <v>14.76</v>
      </c>
      <c r="C3302" s="17"/>
      <c r="F3302"/>
      <c r="G3302"/>
      <c r="H3302"/>
      <c r="I3302"/>
      <c r="J3302"/>
    </row>
    <row r="3303" spans="1:10" x14ac:dyDescent="0.25">
      <c r="A3303" s="90">
        <v>39948</v>
      </c>
      <c r="B3303" s="17">
        <v>14.91</v>
      </c>
      <c r="C3303" s="17"/>
      <c r="F3303"/>
      <c r="G3303"/>
      <c r="H3303"/>
      <c r="I3303"/>
      <c r="J3303"/>
    </row>
    <row r="3304" spans="1:10" x14ac:dyDescent="0.25">
      <c r="A3304" s="90">
        <v>39951</v>
      </c>
      <c r="B3304" s="17">
        <v>15.17</v>
      </c>
      <c r="C3304" s="17"/>
      <c r="F3304"/>
      <c r="G3304"/>
      <c r="H3304"/>
      <c r="I3304"/>
      <c r="J3304"/>
    </row>
    <row r="3305" spans="1:10" x14ac:dyDescent="0.25">
      <c r="A3305" s="90">
        <v>39952</v>
      </c>
      <c r="B3305" s="17">
        <v>15.18</v>
      </c>
      <c r="C3305" s="17"/>
      <c r="F3305"/>
      <c r="G3305"/>
      <c r="H3305"/>
      <c r="I3305"/>
      <c r="J3305"/>
    </row>
    <row r="3306" spans="1:10" x14ac:dyDescent="0.25">
      <c r="A3306" s="90">
        <v>39953</v>
      </c>
      <c r="B3306" s="17">
        <v>14.96</v>
      </c>
      <c r="C3306" s="17"/>
      <c r="F3306"/>
      <c r="G3306"/>
      <c r="H3306"/>
      <c r="I3306"/>
      <c r="J3306"/>
    </row>
    <row r="3307" spans="1:10" x14ac:dyDescent="0.25">
      <c r="A3307" s="90">
        <v>39954</v>
      </c>
      <c r="B3307" s="17">
        <v>14.87</v>
      </c>
      <c r="C3307" s="17"/>
      <c r="F3307"/>
      <c r="G3307"/>
      <c r="H3307"/>
      <c r="I3307"/>
      <c r="J3307"/>
    </row>
    <row r="3308" spans="1:10" x14ac:dyDescent="0.25">
      <c r="A3308" s="90">
        <v>39955</v>
      </c>
      <c r="B3308" s="17">
        <v>14.98</v>
      </c>
      <c r="C3308" s="17"/>
      <c r="F3308"/>
      <c r="G3308"/>
      <c r="H3308"/>
      <c r="I3308"/>
      <c r="J3308"/>
    </row>
    <row r="3309" spans="1:10" x14ac:dyDescent="0.25">
      <c r="A3309" s="90">
        <v>39959</v>
      </c>
      <c r="B3309" s="17">
        <v>15.28</v>
      </c>
      <c r="C3309" s="17"/>
      <c r="F3309"/>
      <c r="G3309"/>
      <c r="H3309"/>
      <c r="I3309"/>
      <c r="J3309"/>
    </row>
    <row r="3310" spans="1:10" x14ac:dyDescent="0.25">
      <c r="A3310" s="90">
        <v>39960</v>
      </c>
      <c r="B3310" s="17">
        <v>14.94</v>
      </c>
      <c r="C3310" s="17"/>
      <c r="F3310"/>
      <c r="G3310"/>
      <c r="H3310"/>
      <c r="I3310"/>
      <c r="J3310"/>
    </row>
    <row r="3311" spans="1:10" x14ac:dyDescent="0.25">
      <c r="A3311" s="90">
        <v>39961</v>
      </c>
      <c r="B3311" s="17">
        <v>15.09</v>
      </c>
      <c r="C3311" s="17"/>
      <c r="F3311"/>
      <c r="G3311"/>
      <c r="H3311"/>
      <c r="I3311"/>
      <c r="J3311"/>
    </row>
    <row r="3312" spans="1:10" x14ac:dyDescent="0.25">
      <c r="A3312" s="90">
        <v>39962</v>
      </c>
      <c r="B3312" s="17">
        <v>15.84</v>
      </c>
      <c r="C3312" s="17"/>
      <c r="F3312"/>
      <c r="G3312"/>
      <c r="H3312"/>
      <c r="I3312"/>
      <c r="J3312"/>
    </row>
    <row r="3313" spans="1:10" x14ac:dyDescent="0.25">
      <c r="A3313" s="90">
        <v>39965</v>
      </c>
      <c r="B3313" s="17">
        <v>16.579999999999998</v>
      </c>
      <c r="C3313" s="17"/>
      <c r="F3313"/>
      <c r="G3313"/>
      <c r="H3313"/>
      <c r="I3313"/>
      <c r="J3313"/>
    </row>
    <row r="3314" spans="1:10" x14ac:dyDescent="0.25">
      <c r="A3314" s="90">
        <v>39966</v>
      </c>
      <c r="B3314" s="17">
        <v>16.62</v>
      </c>
      <c r="C3314" s="17"/>
      <c r="F3314"/>
      <c r="G3314"/>
      <c r="H3314"/>
      <c r="I3314"/>
      <c r="J3314"/>
    </row>
    <row r="3315" spans="1:10" x14ac:dyDescent="0.25">
      <c r="A3315" s="90">
        <v>39967</v>
      </c>
      <c r="B3315" s="17">
        <v>16.3</v>
      </c>
      <c r="C3315" s="17"/>
      <c r="F3315"/>
      <c r="G3315"/>
      <c r="H3315"/>
      <c r="I3315"/>
      <c r="J3315"/>
    </row>
    <row r="3316" spans="1:10" x14ac:dyDescent="0.25">
      <c r="A3316" s="90">
        <v>39968</v>
      </c>
      <c r="B3316" s="17">
        <v>16.649999999999999</v>
      </c>
      <c r="C3316" s="17"/>
      <c r="F3316"/>
      <c r="G3316"/>
      <c r="H3316"/>
      <c r="I3316"/>
      <c r="J3316"/>
    </row>
    <row r="3317" spans="1:10" x14ac:dyDescent="0.25">
      <c r="A3317" s="90">
        <v>39969</v>
      </c>
      <c r="B3317" s="17">
        <v>16.64</v>
      </c>
      <c r="C3317" s="17"/>
      <c r="F3317"/>
      <c r="G3317"/>
      <c r="H3317"/>
      <c r="I3317"/>
      <c r="J3317"/>
    </row>
    <row r="3318" spans="1:10" x14ac:dyDescent="0.25">
      <c r="A3318" s="90">
        <v>39972</v>
      </c>
      <c r="B3318" s="17">
        <v>16.190000000000001</v>
      </c>
      <c r="C3318" s="17"/>
      <c r="F3318"/>
      <c r="G3318"/>
      <c r="H3318"/>
      <c r="I3318"/>
      <c r="J3318"/>
    </row>
    <row r="3319" spans="1:10" x14ac:dyDescent="0.25">
      <c r="A3319" s="90">
        <v>39973</v>
      </c>
      <c r="B3319" s="17">
        <v>16.399999999999999</v>
      </c>
      <c r="C3319" s="17"/>
      <c r="F3319"/>
      <c r="G3319"/>
      <c r="H3319"/>
      <c r="I3319"/>
      <c r="J3319"/>
    </row>
    <row r="3320" spans="1:10" x14ac:dyDescent="0.25">
      <c r="A3320" s="90">
        <v>39974</v>
      </c>
      <c r="B3320" s="17">
        <v>16.32</v>
      </c>
      <c r="C3320" s="17"/>
      <c r="F3320"/>
      <c r="G3320"/>
      <c r="H3320"/>
      <c r="I3320"/>
      <c r="J3320"/>
    </row>
    <row r="3321" spans="1:10" x14ac:dyDescent="0.25">
      <c r="A3321" s="90">
        <v>39975</v>
      </c>
      <c r="B3321" s="17">
        <v>16.190000000000001</v>
      </c>
      <c r="C3321" s="17"/>
      <c r="F3321"/>
      <c r="G3321"/>
      <c r="H3321"/>
      <c r="I3321"/>
      <c r="J3321"/>
    </row>
    <row r="3322" spans="1:10" x14ac:dyDescent="0.25">
      <c r="A3322" s="90">
        <v>39976</v>
      </c>
      <c r="B3322" s="17">
        <v>16.399999999999999</v>
      </c>
      <c r="C3322" s="17"/>
      <c r="F3322"/>
      <c r="G3322"/>
      <c r="H3322"/>
      <c r="I3322"/>
      <c r="J3322"/>
    </row>
    <row r="3323" spans="1:10" x14ac:dyDescent="0.25">
      <c r="A3323" s="90">
        <v>39979</v>
      </c>
      <c r="B3323" s="17">
        <v>16.399999999999999</v>
      </c>
      <c r="C3323" s="17"/>
      <c r="F3323"/>
      <c r="G3323"/>
      <c r="H3323"/>
      <c r="I3323"/>
      <c r="J3323"/>
    </row>
    <row r="3324" spans="1:10" x14ac:dyDescent="0.25">
      <c r="A3324" s="90">
        <v>39980</v>
      </c>
      <c r="B3324" s="17">
        <v>15.96</v>
      </c>
      <c r="C3324" s="17"/>
      <c r="F3324"/>
      <c r="G3324"/>
      <c r="H3324"/>
      <c r="I3324"/>
      <c r="J3324"/>
    </row>
    <row r="3325" spans="1:10" x14ac:dyDescent="0.25">
      <c r="A3325" s="90">
        <v>39981</v>
      </c>
      <c r="B3325" s="17">
        <v>15.6</v>
      </c>
      <c r="C3325" s="17"/>
      <c r="F3325"/>
      <c r="G3325"/>
      <c r="H3325"/>
      <c r="I3325"/>
      <c r="J3325"/>
    </row>
    <row r="3326" spans="1:10" x14ac:dyDescent="0.25">
      <c r="A3326" s="90">
        <v>39982</v>
      </c>
      <c r="B3326" s="17">
        <v>15.34</v>
      </c>
      <c r="C3326" s="17"/>
      <c r="F3326"/>
      <c r="G3326"/>
      <c r="H3326"/>
      <c r="I3326"/>
      <c r="J3326"/>
    </row>
    <row r="3327" spans="1:10" x14ac:dyDescent="0.25">
      <c r="A3327" s="90">
        <v>39983</v>
      </c>
      <c r="B3327" s="17">
        <v>15.8</v>
      </c>
      <c r="C3327" s="17"/>
      <c r="F3327"/>
      <c r="G3327"/>
      <c r="H3327"/>
      <c r="I3327"/>
      <c r="J3327"/>
    </row>
    <row r="3328" spans="1:10" x14ac:dyDescent="0.25">
      <c r="A3328" s="90">
        <v>39986</v>
      </c>
      <c r="B3328" s="17">
        <v>14.71</v>
      </c>
      <c r="C3328" s="17"/>
      <c r="F3328"/>
      <c r="G3328"/>
      <c r="H3328"/>
      <c r="I3328"/>
      <c r="J3328"/>
    </row>
    <row r="3329" spans="1:10" x14ac:dyDescent="0.25">
      <c r="A3329" s="90">
        <v>39987</v>
      </c>
      <c r="B3329" s="17">
        <v>14.68</v>
      </c>
      <c r="C3329" s="17"/>
      <c r="F3329"/>
      <c r="G3329"/>
      <c r="H3329"/>
      <c r="I3329"/>
      <c r="J3329"/>
    </row>
    <row r="3330" spans="1:10" x14ac:dyDescent="0.25">
      <c r="A3330" s="90">
        <v>39988</v>
      </c>
      <c r="B3330" s="17">
        <v>15.45</v>
      </c>
      <c r="C3330" s="17"/>
      <c r="F3330"/>
      <c r="G3330"/>
      <c r="H3330"/>
      <c r="I3330"/>
      <c r="J3330"/>
    </row>
    <row r="3331" spans="1:10" x14ac:dyDescent="0.25">
      <c r="A3331" s="90">
        <v>39989</v>
      </c>
      <c r="B3331" s="17">
        <v>15.53</v>
      </c>
      <c r="C3331" s="17"/>
      <c r="F3331"/>
      <c r="G3331"/>
      <c r="H3331"/>
      <c r="I3331"/>
      <c r="J3331"/>
    </row>
    <row r="3332" spans="1:10" x14ac:dyDescent="0.25">
      <c r="A3332" s="90">
        <v>39990</v>
      </c>
      <c r="B3332" s="17">
        <v>15.74</v>
      </c>
      <c r="C3332" s="17"/>
      <c r="F3332"/>
      <c r="G3332"/>
      <c r="H3332"/>
      <c r="I3332"/>
      <c r="J3332"/>
    </row>
    <row r="3333" spans="1:10" x14ac:dyDescent="0.25">
      <c r="A3333" s="90">
        <v>39993</v>
      </c>
      <c r="B3333" s="17">
        <v>15.9</v>
      </c>
      <c r="C3333" s="17"/>
      <c r="F3333"/>
      <c r="G3333"/>
      <c r="H3333"/>
      <c r="I3333"/>
      <c r="J3333"/>
    </row>
    <row r="3334" spans="1:10" x14ac:dyDescent="0.25">
      <c r="A3334" s="90">
        <v>39994</v>
      </c>
      <c r="B3334" s="17">
        <v>15.66</v>
      </c>
      <c r="C3334" s="17"/>
      <c r="F3334"/>
      <c r="G3334"/>
      <c r="H3334"/>
      <c r="I3334"/>
      <c r="J3334"/>
    </row>
    <row r="3335" spans="1:10" x14ac:dyDescent="0.25">
      <c r="A3335" s="90">
        <v>39995</v>
      </c>
      <c r="B3335" s="17">
        <v>15.41</v>
      </c>
      <c r="C3335" s="17"/>
      <c r="F3335"/>
      <c r="G3335"/>
      <c r="H3335"/>
      <c r="I3335"/>
      <c r="J3335"/>
    </row>
    <row r="3336" spans="1:10" x14ac:dyDescent="0.25">
      <c r="A3336" s="90">
        <v>39996</v>
      </c>
      <c r="B3336" s="17">
        <v>14.99</v>
      </c>
      <c r="C3336" s="17"/>
      <c r="F3336"/>
      <c r="G3336"/>
      <c r="H3336"/>
      <c r="I3336"/>
      <c r="J3336"/>
    </row>
    <row r="3337" spans="1:10" x14ac:dyDescent="0.25">
      <c r="A3337" s="90">
        <v>40000</v>
      </c>
      <c r="B3337" s="17">
        <v>14.91</v>
      </c>
      <c r="C3337" s="17"/>
      <c r="F3337"/>
      <c r="G3337"/>
      <c r="H3337"/>
      <c r="I3337"/>
      <c r="J3337"/>
    </row>
    <row r="3338" spans="1:10" x14ac:dyDescent="0.25">
      <c r="A3338" s="90">
        <v>40001</v>
      </c>
      <c r="B3338" s="17">
        <v>14.44</v>
      </c>
      <c r="C3338" s="17"/>
      <c r="F3338"/>
      <c r="G3338"/>
      <c r="H3338"/>
      <c r="I3338"/>
      <c r="J3338"/>
    </row>
    <row r="3339" spans="1:10" x14ac:dyDescent="0.25">
      <c r="A3339" s="90">
        <v>40002</v>
      </c>
      <c r="B3339" s="17">
        <v>14.38</v>
      </c>
      <c r="C3339" s="17"/>
      <c r="F3339"/>
      <c r="G3339"/>
      <c r="H3339"/>
      <c r="I3339"/>
      <c r="J3339"/>
    </row>
    <row r="3340" spans="1:10" x14ac:dyDescent="0.25">
      <c r="A3340" s="90">
        <v>40003</v>
      </c>
      <c r="B3340" s="17">
        <v>14.55</v>
      </c>
      <c r="C3340" s="17"/>
      <c r="F3340"/>
      <c r="G3340"/>
      <c r="H3340"/>
      <c r="I3340"/>
      <c r="J3340"/>
    </row>
    <row r="3341" spans="1:10" x14ac:dyDescent="0.25">
      <c r="A3341" s="90">
        <v>40004</v>
      </c>
      <c r="B3341" s="17">
        <v>14.93</v>
      </c>
      <c r="C3341" s="17"/>
      <c r="F3341"/>
      <c r="G3341"/>
      <c r="H3341"/>
      <c r="I3341"/>
      <c r="J3341"/>
    </row>
    <row r="3342" spans="1:10" x14ac:dyDescent="0.25">
      <c r="A3342" s="90">
        <v>40007</v>
      </c>
      <c r="B3342" s="17">
        <v>15.01</v>
      </c>
      <c r="C3342" s="17"/>
      <c r="F3342"/>
      <c r="G3342"/>
      <c r="H3342"/>
      <c r="I3342"/>
      <c r="J3342"/>
    </row>
    <row r="3343" spans="1:10" x14ac:dyDescent="0.25">
      <c r="A3343" s="90">
        <v>40008</v>
      </c>
      <c r="B3343" s="17">
        <v>15.18</v>
      </c>
      <c r="C3343" s="17"/>
      <c r="F3343"/>
      <c r="G3343"/>
      <c r="H3343"/>
      <c r="I3343"/>
      <c r="J3343"/>
    </row>
    <row r="3344" spans="1:10" x14ac:dyDescent="0.25">
      <c r="A3344" s="90">
        <v>40009</v>
      </c>
      <c r="B3344" s="17">
        <v>15.71</v>
      </c>
      <c r="C3344" s="17"/>
      <c r="F3344"/>
      <c r="G3344"/>
      <c r="H3344"/>
      <c r="I3344"/>
      <c r="J3344"/>
    </row>
    <row r="3345" spans="1:10" x14ac:dyDescent="0.25">
      <c r="A3345" s="90">
        <v>40010</v>
      </c>
      <c r="B3345" s="17">
        <v>16.190000000000001</v>
      </c>
      <c r="C3345" s="17"/>
      <c r="F3345"/>
      <c r="G3345"/>
      <c r="H3345"/>
      <c r="I3345"/>
      <c r="J3345"/>
    </row>
    <row r="3346" spans="1:10" x14ac:dyDescent="0.25">
      <c r="A3346" s="90">
        <v>40011</v>
      </c>
      <c r="B3346" s="17">
        <v>16.84</v>
      </c>
      <c r="C3346" s="17"/>
      <c r="F3346"/>
      <c r="G3346"/>
      <c r="H3346"/>
      <c r="I3346"/>
      <c r="J3346"/>
    </row>
    <row r="3347" spans="1:10" x14ac:dyDescent="0.25">
      <c r="A3347" s="90">
        <v>40014</v>
      </c>
      <c r="B3347" s="17">
        <v>17.010000000000002</v>
      </c>
      <c r="C3347" s="17"/>
      <c r="F3347"/>
      <c r="G3347"/>
      <c r="H3347"/>
      <c r="I3347"/>
      <c r="J3347"/>
    </row>
    <row r="3348" spans="1:10" x14ac:dyDescent="0.25">
      <c r="A3348" s="90">
        <v>40015</v>
      </c>
      <c r="B3348" s="17">
        <v>16.75</v>
      </c>
      <c r="C3348" s="17"/>
      <c r="F3348"/>
      <c r="G3348"/>
      <c r="H3348"/>
      <c r="I3348"/>
      <c r="J3348"/>
    </row>
    <row r="3349" spans="1:10" x14ac:dyDescent="0.25">
      <c r="A3349" s="90">
        <v>40016</v>
      </c>
      <c r="B3349" s="17">
        <v>17.37</v>
      </c>
      <c r="C3349" s="17"/>
      <c r="F3349"/>
      <c r="G3349"/>
      <c r="H3349"/>
      <c r="I3349"/>
      <c r="J3349"/>
    </row>
    <row r="3350" spans="1:10" x14ac:dyDescent="0.25">
      <c r="A3350" s="90">
        <v>40017</v>
      </c>
      <c r="B3350" s="17">
        <v>17.36</v>
      </c>
      <c r="C3350" s="17"/>
      <c r="F3350"/>
      <c r="G3350"/>
      <c r="H3350"/>
      <c r="I3350"/>
      <c r="J3350"/>
    </row>
    <row r="3351" spans="1:10" x14ac:dyDescent="0.25">
      <c r="A3351" s="90">
        <v>40018</v>
      </c>
      <c r="B3351" s="17">
        <v>17.48</v>
      </c>
      <c r="C3351" s="17"/>
      <c r="F3351"/>
      <c r="G3351"/>
      <c r="H3351"/>
      <c r="I3351"/>
      <c r="J3351"/>
    </row>
    <row r="3352" spans="1:10" x14ac:dyDescent="0.25">
      <c r="A3352" s="90">
        <v>40021</v>
      </c>
      <c r="B3352" s="17">
        <v>17</v>
      </c>
      <c r="C3352" s="17"/>
      <c r="F3352"/>
      <c r="G3352"/>
      <c r="H3352"/>
      <c r="I3352"/>
      <c r="J3352"/>
    </row>
    <row r="3353" spans="1:10" x14ac:dyDescent="0.25">
      <c r="A3353" s="90">
        <v>40022</v>
      </c>
      <c r="B3353" s="17">
        <v>17.22</v>
      </c>
      <c r="C3353" s="17"/>
      <c r="F3353"/>
      <c r="G3353"/>
      <c r="H3353"/>
      <c r="I3353"/>
      <c r="J3353"/>
    </row>
    <row r="3354" spans="1:10" x14ac:dyDescent="0.25">
      <c r="A3354" s="90">
        <v>40023</v>
      </c>
      <c r="B3354" s="17">
        <v>15.14</v>
      </c>
      <c r="C3354" s="17"/>
      <c r="F3354"/>
      <c r="G3354"/>
      <c r="H3354"/>
      <c r="I3354"/>
      <c r="J3354"/>
    </row>
    <row r="3355" spans="1:10" x14ac:dyDescent="0.25">
      <c r="A3355" s="90">
        <v>40024</v>
      </c>
      <c r="B3355" s="17">
        <v>14.6</v>
      </c>
      <c r="C3355" s="17"/>
      <c r="F3355"/>
      <c r="G3355"/>
      <c r="H3355"/>
      <c r="I3355"/>
      <c r="J3355"/>
    </row>
    <row r="3356" spans="1:10" x14ac:dyDescent="0.25">
      <c r="A3356" s="90">
        <v>40025</v>
      </c>
      <c r="B3356" s="17">
        <v>14.32</v>
      </c>
      <c r="C3356" s="17"/>
      <c r="F3356"/>
      <c r="G3356"/>
      <c r="H3356"/>
      <c r="I3356"/>
      <c r="J3356"/>
    </row>
    <row r="3357" spans="1:10" x14ac:dyDescent="0.25">
      <c r="A3357" s="90">
        <v>40028</v>
      </c>
      <c r="B3357" s="17">
        <v>14.34</v>
      </c>
      <c r="C3357" s="17"/>
      <c r="F3357"/>
      <c r="G3357"/>
      <c r="H3357"/>
      <c r="I3357"/>
      <c r="J3357"/>
    </row>
    <row r="3358" spans="1:10" x14ac:dyDescent="0.25">
      <c r="A3358" s="90">
        <v>40029</v>
      </c>
      <c r="B3358" s="17">
        <v>14.51</v>
      </c>
      <c r="C3358" s="17"/>
      <c r="F3358"/>
      <c r="G3358"/>
      <c r="H3358"/>
      <c r="I3358"/>
      <c r="J3358"/>
    </row>
    <row r="3359" spans="1:10" x14ac:dyDescent="0.25">
      <c r="A3359" s="90">
        <v>40030</v>
      </c>
      <c r="B3359" s="17">
        <v>14.67</v>
      </c>
      <c r="C3359" s="17"/>
      <c r="F3359"/>
      <c r="G3359"/>
      <c r="H3359"/>
      <c r="I3359"/>
      <c r="J3359"/>
    </row>
    <row r="3360" spans="1:10" x14ac:dyDescent="0.25">
      <c r="A3360" s="90">
        <v>40031</v>
      </c>
      <c r="B3360" s="17">
        <v>14.74</v>
      </c>
      <c r="C3360" s="17"/>
      <c r="F3360"/>
      <c r="G3360"/>
      <c r="H3360"/>
      <c r="I3360"/>
      <c r="J3360"/>
    </row>
    <row r="3361" spans="1:10" x14ac:dyDescent="0.25">
      <c r="A3361" s="90">
        <v>40032</v>
      </c>
      <c r="B3361" s="17">
        <v>14.62</v>
      </c>
      <c r="C3361" s="17"/>
      <c r="F3361"/>
      <c r="G3361"/>
      <c r="H3361"/>
      <c r="I3361"/>
      <c r="J3361"/>
    </row>
    <row r="3362" spans="1:10" x14ac:dyDescent="0.25">
      <c r="A3362" s="90">
        <v>40035</v>
      </c>
      <c r="B3362" s="17">
        <v>14.63</v>
      </c>
      <c r="C3362" s="17"/>
      <c r="F3362"/>
      <c r="G3362"/>
      <c r="H3362"/>
      <c r="I3362"/>
      <c r="J3362"/>
    </row>
    <row r="3363" spans="1:10" x14ac:dyDescent="0.25">
      <c r="A3363" s="90">
        <v>40036</v>
      </c>
      <c r="B3363" s="17">
        <v>14.46</v>
      </c>
      <c r="C3363" s="17"/>
      <c r="F3363"/>
      <c r="G3363"/>
      <c r="H3363"/>
      <c r="I3363"/>
      <c r="J3363"/>
    </row>
    <row r="3364" spans="1:10" x14ac:dyDescent="0.25">
      <c r="A3364" s="90">
        <v>40037</v>
      </c>
      <c r="B3364" s="17">
        <v>14.68</v>
      </c>
      <c r="C3364" s="17"/>
      <c r="F3364"/>
      <c r="G3364"/>
      <c r="H3364"/>
      <c r="I3364"/>
      <c r="J3364"/>
    </row>
    <row r="3365" spans="1:10" x14ac:dyDescent="0.25">
      <c r="A3365" s="90">
        <v>40038</v>
      </c>
      <c r="B3365" s="17">
        <v>15.04</v>
      </c>
      <c r="C3365" s="17"/>
      <c r="F3365"/>
      <c r="G3365"/>
      <c r="H3365"/>
      <c r="I3365"/>
      <c r="J3365"/>
    </row>
    <row r="3366" spans="1:10" x14ac:dyDescent="0.25">
      <c r="A3366" s="90">
        <v>40039</v>
      </c>
      <c r="B3366" s="17">
        <v>15.04</v>
      </c>
      <c r="C3366" s="17"/>
      <c r="F3366"/>
      <c r="G3366"/>
      <c r="H3366"/>
      <c r="I3366"/>
      <c r="J3366"/>
    </row>
    <row r="3367" spans="1:10" x14ac:dyDescent="0.25">
      <c r="A3367" s="90">
        <v>40042</v>
      </c>
      <c r="B3367" s="17">
        <v>14.56</v>
      </c>
      <c r="C3367" s="17"/>
      <c r="F3367"/>
      <c r="G3367"/>
      <c r="H3367"/>
      <c r="I3367"/>
      <c r="J3367"/>
    </row>
    <row r="3368" spans="1:10" x14ac:dyDescent="0.25">
      <c r="A3368" s="90">
        <v>40043</v>
      </c>
      <c r="B3368" s="17">
        <v>14.75</v>
      </c>
      <c r="C3368" s="17"/>
      <c r="F3368"/>
      <c r="G3368"/>
      <c r="H3368"/>
      <c r="I3368"/>
      <c r="J3368"/>
    </row>
    <row r="3369" spans="1:10" x14ac:dyDescent="0.25">
      <c r="A3369" s="90">
        <v>40044</v>
      </c>
      <c r="B3369" s="17">
        <v>14.79</v>
      </c>
      <c r="C3369" s="17"/>
      <c r="F3369"/>
      <c r="G3369"/>
      <c r="H3369"/>
      <c r="I3369"/>
      <c r="J3369"/>
    </row>
    <row r="3370" spans="1:10" x14ac:dyDescent="0.25">
      <c r="A3370" s="90">
        <v>40045</v>
      </c>
      <c r="B3370" s="17">
        <v>14.77</v>
      </c>
      <c r="C3370" s="17"/>
      <c r="F3370"/>
      <c r="G3370"/>
      <c r="H3370"/>
      <c r="I3370"/>
      <c r="J3370"/>
    </row>
    <row r="3371" spans="1:10" x14ac:dyDescent="0.25">
      <c r="A3371" s="90">
        <v>40046</v>
      </c>
      <c r="B3371" s="17">
        <v>14.79</v>
      </c>
      <c r="C3371" s="17"/>
      <c r="F3371"/>
      <c r="G3371"/>
      <c r="H3371"/>
      <c r="I3371"/>
      <c r="J3371"/>
    </row>
    <row r="3372" spans="1:10" x14ac:dyDescent="0.25">
      <c r="A3372" s="90">
        <v>40049</v>
      </c>
      <c r="B3372" s="17">
        <v>14.99</v>
      </c>
      <c r="C3372" s="17"/>
      <c r="F3372"/>
      <c r="G3372"/>
      <c r="H3372"/>
      <c r="I3372"/>
      <c r="J3372"/>
    </row>
    <row r="3373" spans="1:10" x14ac:dyDescent="0.25">
      <c r="A3373" s="90">
        <v>40050</v>
      </c>
      <c r="B3373" s="17">
        <v>15.07</v>
      </c>
      <c r="C3373" s="17"/>
      <c r="F3373"/>
      <c r="G3373"/>
      <c r="H3373"/>
      <c r="I3373"/>
      <c r="J3373"/>
    </row>
    <row r="3374" spans="1:10" x14ac:dyDescent="0.25">
      <c r="A3374" s="90">
        <v>40051</v>
      </c>
      <c r="B3374" s="17">
        <v>14.93</v>
      </c>
      <c r="C3374" s="17"/>
      <c r="F3374"/>
      <c r="G3374"/>
      <c r="H3374"/>
      <c r="I3374"/>
      <c r="J3374"/>
    </row>
    <row r="3375" spans="1:10" x14ac:dyDescent="0.25">
      <c r="A3375" s="90">
        <v>40052</v>
      </c>
      <c r="B3375" s="17">
        <v>14.93</v>
      </c>
      <c r="C3375" s="17"/>
      <c r="F3375"/>
      <c r="G3375"/>
      <c r="H3375"/>
      <c r="I3375"/>
      <c r="J3375"/>
    </row>
    <row r="3376" spans="1:10" x14ac:dyDescent="0.25">
      <c r="A3376" s="90">
        <v>40053</v>
      </c>
      <c r="B3376" s="17">
        <v>14.85</v>
      </c>
      <c r="C3376" s="17"/>
      <c r="F3376"/>
      <c r="G3376"/>
      <c r="H3376"/>
      <c r="I3376"/>
      <c r="J3376"/>
    </row>
    <row r="3377" spans="1:10" x14ac:dyDescent="0.25">
      <c r="A3377" s="90">
        <v>40056</v>
      </c>
      <c r="B3377" s="17">
        <v>14.61</v>
      </c>
      <c r="C3377" s="17"/>
      <c r="F3377"/>
      <c r="G3377"/>
      <c r="H3377"/>
      <c r="I3377"/>
      <c r="J3377"/>
    </row>
    <row r="3378" spans="1:10" x14ac:dyDescent="0.25">
      <c r="A3378" s="90">
        <v>40057</v>
      </c>
      <c r="B3378" s="17">
        <v>14.18</v>
      </c>
      <c r="C3378" s="17"/>
      <c r="F3378"/>
      <c r="G3378"/>
      <c r="H3378"/>
      <c r="I3378"/>
      <c r="J3378"/>
    </row>
    <row r="3379" spans="1:10" x14ac:dyDescent="0.25">
      <c r="A3379" s="90">
        <v>40058</v>
      </c>
      <c r="B3379" s="17">
        <v>14.23</v>
      </c>
      <c r="C3379" s="17"/>
      <c r="F3379"/>
      <c r="G3379"/>
      <c r="H3379"/>
      <c r="I3379"/>
      <c r="J3379"/>
    </row>
    <row r="3380" spans="1:10" x14ac:dyDescent="0.25">
      <c r="A3380" s="90">
        <v>40059</v>
      </c>
      <c r="B3380" s="17">
        <v>14.28</v>
      </c>
      <c r="C3380" s="17"/>
      <c r="F3380"/>
      <c r="G3380"/>
      <c r="H3380"/>
      <c r="I3380"/>
      <c r="J3380"/>
    </row>
    <row r="3381" spans="1:10" x14ac:dyDescent="0.25">
      <c r="A3381" s="90">
        <v>40060</v>
      </c>
      <c r="B3381" s="17">
        <v>14.5</v>
      </c>
      <c r="C3381" s="17"/>
      <c r="F3381"/>
      <c r="G3381"/>
      <c r="H3381"/>
      <c r="I3381"/>
      <c r="J3381"/>
    </row>
    <row r="3382" spans="1:10" x14ac:dyDescent="0.25">
      <c r="A3382" s="90">
        <v>40064</v>
      </c>
      <c r="B3382" s="17">
        <v>14.49</v>
      </c>
      <c r="C3382" s="17"/>
      <c r="F3382"/>
      <c r="G3382"/>
      <c r="H3382"/>
      <c r="I3382"/>
      <c r="J3382"/>
    </row>
    <row r="3383" spans="1:10" x14ac:dyDescent="0.25">
      <c r="A3383" s="90">
        <v>40065</v>
      </c>
      <c r="B3383" s="17">
        <v>14.78</v>
      </c>
      <c r="C3383" s="17"/>
      <c r="F3383"/>
      <c r="G3383"/>
      <c r="H3383"/>
      <c r="I3383"/>
      <c r="J3383"/>
    </row>
    <row r="3384" spans="1:10" x14ac:dyDescent="0.25">
      <c r="A3384" s="90">
        <v>40066</v>
      </c>
      <c r="B3384" s="17">
        <v>15.45</v>
      </c>
      <c r="C3384" s="17"/>
      <c r="F3384"/>
      <c r="G3384"/>
      <c r="H3384"/>
      <c r="I3384"/>
      <c r="J3384"/>
    </row>
    <row r="3385" spans="1:10" x14ac:dyDescent="0.25">
      <c r="A3385" s="90">
        <v>40067</v>
      </c>
      <c r="B3385" s="17">
        <v>15.59</v>
      </c>
      <c r="C3385" s="17"/>
      <c r="F3385"/>
      <c r="G3385"/>
      <c r="H3385"/>
      <c r="I3385"/>
      <c r="J3385"/>
    </row>
    <row r="3386" spans="1:10" x14ac:dyDescent="0.25">
      <c r="A3386" s="90">
        <v>40070</v>
      </c>
      <c r="B3386" s="17">
        <v>15.57</v>
      </c>
      <c r="C3386" s="17"/>
      <c r="F3386"/>
      <c r="G3386"/>
      <c r="H3386"/>
      <c r="I3386"/>
      <c r="J3386"/>
    </row>
    <row r="3387" spans="1:10" x14ac:dyDescent="0.25">
      <c r="A3387" s="90">
        <v>40071</v>
      </c>
      <c r="B3387" s="17">
        <v>16.41</v>
      </c>
      <c r="C3387" s="17"/>
      <c r="F3387"/>
      <c r="G3387"/>
      <c r="H3387"/>
      <c r="I3387"/>
      <c r="J3387"/>
    </row>
    <row r="3388" spans="1:10" x14ac:dyDescent="0.25">
      <c r="A3388" s="90">
        <v>40072</v>
      </c>
      <c r="B3388" s="17">
        <v>16.989999999999998</v>
      </c>
      <c r="C3388" s="17"/>
      <c r="F3388"/>
      <c r="G3388"/>
      <c r="H3388"/>
      <c r="I3388"/>
      <c r="J3388"/>
    </row>
    <row r="3389" spans="1:10" x14ac:dyDescent="0.25">
      <c r="A3389" s="90">
        <v>40073</v>
      </c>
      <c r="B3389" s="17">
        <v>17.5</v>
      </c>
      <c r="C3389" s="17"/>
      <c r="F3389"/>
      <c r="G3389"/>
      <c r="H3389"/>
      <c r="I3389"/>
      <c r="J3389"/>
    </row>
    <row r="3390" spans="1:10" x14ac:dyDescent="0.25">
      <c r="A3390" s="90">
        <v>40074</v>
      </c>
      <c r="B3390" s="17">
        <v>17.39</v>
      </c>
      <c r="C3390" s="17"/>
      <c r="F3390"/>
      <c r="G3390"/>
      <c r="H3390"/>
      <c r="I3390"/>
      <c r="J3390"/>
    </row>
    <row r="3391" spans="1:10" x14ac:dyDescent="0.25">
      <c r="A3391" s="90">
        <v>40077</v>
      </c>
      <c r="B3391" s="17">
        <v>17.04</v>
      </c>
      <c r="C3391" s="17"/>
      <c r="F3391"/>
      <c r="G3391"/>
      <c r="H3391"/>
      <c r="I3391"/>
      <c r="J3391"/>
    </row>
    <row r="3392" spans="1:10" x14ac:dyDescent="0.25">
      <c r="A3392" s="90">
        <v>40078</v>
      </c>
      <c r="B3392" s="17">
        <v>16.86</v>
      </c>
      <c r="C3392" s="17"/>
      <c r="F3392"/>
      <c r="G3392"/>
      <c r="H3392"/>
      <c r="I3392"/>
      <c r="J3392"/>
    </row>
    <row r="3393" spans="1:10" x14ac:dyDescent="0.25">
      <c r="A3393" s="90">
        <v>40079</v>
      </c>
      <c r="B3393" s="17">
        <v>17.21</v>
      </c>
      <c r="C3393" s="17"/>
      <c r="F3393"/>
      <c r="G3393"/>
      <c r="H3393"/>
      <c r="I3393"/>
      <c r="J3393"/>
    </row>
    <row r="3394" spans="1:10" x14ac:dyDescent="0.25">
      <c r="A3394" s="90">
        <v>40080</v>
      </c>
      <c r="B3394" s="17">
        <v>16.89</v>
      </c>
      <c r="C3394" s="17"/>
      <c r="F3394"/>
      <c r="G3394"/>
      <c r="H3394"/>
      <c r="I3394"/>
      <c r="J3394"/>
    </row>
    <row r="3395" spans="1:10" x14ac:dyDescent="0.25">
      <c r="A3395" s="90">
        <v>40081</v>
      </c>
      <c r="B3395" s="17">
        <v>17.079999999999998</v>
      </c>
      <c r="C3395" s="17"/>
      <c r="F3395"/>
      <c r="G3395"/>
      <c r="H3395"/>
      <c r="I3395"/>
      <c r="J3395"/>
    </row>
    <row r="3396" spans="1:10" x14ac:dyDescent="0.25">
      <c r="A3396" s="90">
        <v>40084</v>
      </c>
      <c r="B3396" s="17">
        <v>17.47</v>
      </c>
      <c r="C3396" s="17"/>
      <c r="F3396"/>
      <c r="G3396"/>
      <c r="H3396"/>
      <c r="I3396"/>
      <c r="J3396"/>
    </row>
    <row r="3397" spans="1:10" x14ac:dyDescent="0.25">
      <c r="A3397" s="90">
        <v>40085</v>
      </c>
      <c r="B3397" s="17">
        <v>17.45</v>
      </c>
      <c r="C3397" s="17"/>
      <c r="F3397"/>
      <c r="G3397"/>
      <c r="H3397"/>
      <c r="I3397"/>
      <c r="J3397"/>
    </row>
    <row r="3398" spans="1:10" x14ac:dyDescent="0.25">
      <c r="A3398" s="90">
        <v>40086</v>
      </c>
      <c r="B3398" s="17">
        <v>17.809999999999999</v>
      </c>
      <c r="C3398" s="17"/>
      <c r="F3398"/>
      <c r="G3398"/>
      <c r="H3398"/>
      <c r="I3398"/>
      <c r="J3398"/>
    </row>
    <row r="3399" spans="1:10" x14ac:dyDescent="0.25">
      <c r="A3399" s="90">
        <v>40087</v>
      </c>
      <c r="B3399" s="17">
        <v>17.39</v>
      </c>
      <c r="C3399" s="17"/>
      <c r="F3399"/>
      <c r="G3399"/>
      <c r="H3399"/>
      <c r="I3399"/>
      <c r="J3399"/>
    </row>
    <row r="3400" spans="1:10" x14ac:dyDescent="0.25">
      <c r="A3400" s="90">
        <v>40088</v>
      </c>
      <c r="B3400" s="17">
        <v>16.84</v>
      </c>
      <c r="C3400" s="17"/>
      <c r="F3400"/>
      <c r="G3400"/>
      <c r="H3400"/>
      <c r="I3400"/>
      <c r="J3400"/>
    </row>
    <row r="3401" spans="1:10" x14ac:dyDescent="0.25">
      <c r="A3401" s="90">
        <v>40091</v>
      </c>
      <c r="B3401" s="17">
        <v>16.8</v>
      </c>
      <c r="C3401" s="17"/>
      <c r="F3401"/>
      <c r="G3401"/>
      <c r="H3401"/>
      <c r="I3401"/>
      <c r="J3401"/>
    </row>
    <row r="3402" spans="1:10" x14ac:dyDescent="0.25">
      <c r="A3402" s="90">
        <v>40092</v>
      </c>
      <c r="B3402" s="17">
        <v>17.3</v>
      </c>
      <c r="C3402" s="17"/>
      <c r="F3402"/>
      <c r="G3402"/>
      <c r="H3402"/>
      <c r="I3402"/>
      <c r="J3402"/>
    </row>
    <row r="3403" spans="1:10" x14ac:dyDescent="0.25">
      <c r="A3403" s="90">
        <v>40093</v>
      </c>
      <c r="B3403" s="17">
        <v>17.489999999999998</v>
      </c>
      <c r="C3403" s="17"/>
      <c r="F3403"/>
      <c r="G3403"/>
      <c r="H3403"/>
      <c r="I3403"/>
      <c r="J3403"/>
    </row>
    <row r="3404" spans="1:10" x14ac:dyDescent="0.25">
      <c r="A3404" s="90">
        <v>40094</v>
      </c>
      <c r="B3404" s="17">
        <v>17.579999999999998</v>
      </c>
      <c r="C3404" s="17"/>
      <c r="F3404"/>
      <c r="G3404"/>
      <c r="H3404"/>
      <c r="I3404"/>
      <c r="J3404"/>
    </row>
    <row r="3405" spans="1:10" x14ac:dyDescent="0.25">
      <c r="A3405" s="90">
        <v>40095</v>
      </c>
      <c r="B3405" s="17">
        <v>16.87</v>
      </c>
      <c r="C3405" s="17"/>
      <c r="F3405"/>
      <c r="G3405"/>
      <c r="H3405"/>
      <c r="I3405"/>
      <c r="J3405"/>
    </row>
    <row r="3406" spans="1:10" x14ac:dyDescent="0.25">
      <c r="A3406" s="90">
        <v>40098</v>
      </c>
      <c r="B3406" s="17">
        <v>16.75</v>
      </c>
      <c r="C3406" s="17"/>
      <c r="F3406"/>
      <c r="G3406"/>
      <c r="H3406"/>
      <c r="I3406"/>
      <c r="J3406"/>
    </row>
    <row r="3407" spans="1:10" x14ac:dyDescent="0.25">
      <c r="A3407" s="90">
        <v>40099</v>
      </c>
      <c r="B3407" s="17">
        <v>16.88</v>
      </c>
      <c r="C3407" s="17"/>
      <c r="F3407"/>
      <c r="G3407"/>
      <c r="H3407"/>
      <c r="I3407"/>
      <c r="J3407"/>
    </row>
    <row r="3408" spans="1:10" x14ac:dyDescent="0.25">
      <c r="A3408" s="90">
        <v>40100</v>
      </c>
      <c r="B3408" s="17">
        <v>16.95</v>
      </c>
      <c r="C3408" s="17"/>
      <c r="F3408"/>
      <c r="G3408"/>
      <c r="H3408"/>
      <c r="I3408"/>
      <c r="J3408"/>
    </row>
    <row r="3409" spans="1:10" x14ac:dyDescent="0.25">
      <c r="A3409" s="90">
        <v>40101</v>
      </c>
      <c r="B3409" s="17">
        <v>16.52</v>
      </c>
      <c r="C3409" s="17"/>
      <c r="F3409"/>
      <c r="G3409"/>
      <c r="H3409"/>
      <c r="I3409"/>
      <c r="J3409"/>
    </row>
    <row r="3410" spans="1:10" x14ac:dyDescent="0.25">
      <c r="A3410" s="90">
        <v>40102</v>
      </c>
      <c r="B3410" s="17">
        <v>16.809999999999999</v>
      </c>
      <c r="C3410" s="17"/>
      <c r="F3410"/>
      <c r="G3410"/>
      <c r="H3410"/>
      <c r="I3410"/>
      <c r="J3410"/>
    </row>
    <row r="3411" spans="1:10" x14ac:dyDescent="0.25">
      <c r="A3411" s="90">
        <v>40105</v>
      </c>
      <c r="B3411" s="17">
        <v>17.22</v>
      </c>
      <c r="C3411" s="17"/>
      <c r="F3411"/>
      <c r="G3411"/>
      <c r="H3411"/>
      <c r="I3411"/>
      <c r="J3411"/>
    </row>
    <row r="3412" spans="1:10" x14ac:dyDescent="0.25">
      <c r="A3412" s="90">
        <v>40106</v>
      </c>
      <c r="B3412" s="17">
        <v>17.170000000000002</v>
      </c>
      <c r="C3412" s="17"/>
      <c r="F3412"/>
      <c r="G3412"/>
      <c r="H3412"/>
      <c r="I3412"/>
      <c r="J3412"/>
    </row>
    <row r="3413" spans="1:10" x14ac:dyDescent="0.25">
      <c r="A3413" s="90">
        <v>40107</v>
      </c>
      <c r="B3413" s="17">
        <v>17.66</v>
      </c>
      <c r="C3413" s="17"/>
      <c r="F3413"/>
      <c r="G3413"/>
      <c r="H3413"/>
      <c r="I3413"/>
      <c r="J3413"/>
    </row>
    <row r="3414" spans="1:10" x14ac:dyDescent="0.25">
      <c r="A3414" s="90">
        <v>40108</v>
      </c>
      <c r="B3414" s="17">
        <v>17.670000000000002</v>
      </c>
      <c r="C3414" s="17"/>
      <c r="F3414"/>
      <c r="G3414"/>
      <c r="H3414"/>
      <c r="I3414"/>
      <c r="J3414"/>
    </row>
    <row r="3415" spans="1:10" x14ac:dyDescent="0.25">
      <c r="A3415" s="90">
        <v>40109</v>
      </c>
      <c r="B3415" s="17">
        <v>17.22</v>
      </c>
      <c r="C3415" s="17"/>
      <c r="F3415"/>
      <c r="G3415"/>
      <c r="H3415"/>
      <c r="I3415"/>
      <c r="J3415"/>
    </row>
    <row r="3416" spans="1:10" x14ac:dyDescent="0.25">
      <c r="A3416" s="90">
        <v>40112</v>
      </c>
      <c r="B3416" s="17">
        <v>16.87</v>
      </c>
      <c r="C3416" s="17"/>
      <c r="F3416"/>
      <c r="G3416"/>
      <c r="H3416"/>
      <c r="I3416"/>
      <c r="J3416"/>
    </row>
    <row r="3417" spans="1:10" x14ac:dyDescent="0.25">
      <c r="A3417" s="90">
        <v>40113</v>
      </c>
      <c r="B3417" s="17">
        <v>16.690000000000001</v>
      </c>
      <c r="C3417" s="17"/>
      <c r="F3417"/>
      <c r="G3417"/>
      <c r="H3417"/>
      <c r="I3417"/>
      <c r="J3417"/>
    </row>
    <row r="3418" spans="1:10" x14ac:dyDescent="0.25">
      <c r="A3418" s="90">
        <v>40114</v>
      </c>
      <c r="B3418" s="17">
        <v>16.04</v>
      </c>
      <c r="C3418" s="17"/>
      <c r="F3418"/>
      <c r="G3418"/>
      <c r="H3418"/>
      <c r="I3418"/>
      <c r="J3418"/>
    </row>
    <row r="3419" spans="1:10" x14ac:dyDescent="0.25">
      <c r="A3419" s="90">
        <v>40115</v>
      </c>
      <c r="B3419" s="17">
        <v>16.13</v>
      </c>
      <c r="C3419" s="17"/>
      <c r="F3419"/>
      <c r="G3419"/>
      <c r="H3419"/>
      <c r="I3419"/>
      <c r="J3419"/>
    </row>
    <row r="3420" spans="1:10" x14ac:dyDescent="0.25">
      <c r="A3420" s="90">
        <v>40116</v>
      </c>
      <c r="B3420" s="17">
        <v>15.9</v>
      </c>
      <c r="C3420" s="17"/>
      <c r="F3420"/>
      <c r="G3420"/>
      <c r="H3420"/>
      <c r="I3420"/>
      <c r="J3420"/>
    </row>
    <row r="3421" spans="1:10" x14ac:dyDescent="0.25">
      <c r="A3421" s="90">
        <v>40119</v>
      </c>
      <c r="B3421" s="17">
        <v>15.85</v>
      </c>
      <c r="C3421" s="17"/>
      <c r="F3421"/>
      <c r="G3421"/>
      <c r="H3421"/>
      <c r="I3421"/>
      <c r="J3421"/>
    </row>
    <row r="3422" spans="1:10" x14ac:dyDescent="0.25">
      <c r="A3422" s="90">
        <v>40120</v>
      </c>
      <c r="B3422" s="17">
        <v>15.7</v>
      </c>
      <c r="C3422" s="17"/>
      <c r="F3422"/>
      <c r="G3422"/>
      <c r="H3422"/>
      <c r="I3422"/>
      <c r="J3422"/>
    </row>
    <row r="3423" spans="1:10" x14ac:dyDescent="0.25">
      <c r="A3423" s="90">
        <v>40121</v>
      </c>
      <c r="B3423" s="17">
        <v>15.69</v>
      </c>
      <c r="C3423" s="17"/>
      <c r="F3423"/>
      <c r="G3423"/>
      <c r="H3423"/>
      <c r="I3423"/>
      <c r="J3423"/>
    </row>
    <row r="3424" spans="1:10" x14ac:dyDescent="0.25">
      <c r="A3424" s="90">
        <v>40122</v>
      </c>
      <c r="B3424" s="17">
        <v>15.9</v>
      </c>
      <c r="C3424" s="17"/>
      <c r="F3424"/>
      <c r="G3424"/>
      <c r="H3424"/>
      <c r="I3424"/>
      <c r="J3424"/>
    </row>
    <row r="3425" spans="1:10" x14ac:dyDescent="0.25">
      <c r="A3425" s="90">
        <v>40123</v>
      </c>
      <c r="B3425" s="17">
        <v>15.94</v>
      </c>
      <c r="C3425" s="17"/>
      <c r="F3425"/>
      <c r="G3425"/>
      <c r="H3425"/>
      <c r="I3425"/>
      <c r="J3425"/>
    </row>
    <row r="3426" spans="1:10" x14ac:dyDescent="0.25">
      <c r="A3426" s="90">
        <v>40126</v>
      </c>
      <c r="B3426" s="17">
        <v>16.02</v>
      </c>
      <c r="C3426" s="17"/>
      <c r="F3426"/>
      <c r="G3426"/>
      <c r="H3426"/>
      <c r="I3426"/>
      <c r="J3426"/>
    </row>
    <row r="3427" spans="1:10" x14ac:dyDescent="0.25">
      <c r="A3427" s="90">
        <v>40127</v>
      </c>
      <c r="B3427" s="17">
        <v>16.04</v>
      </c>
      <c r="C3427" s="17"/>
      <c r="F3427"/>
      <c r="G3427"/>
      <c r="H3427"/>
      <c r="I3427"/>
      <c r="J3427"/>
    </row>
    <row r="3428" spans="1:10" x14ac:dyDescent="0.25">
      <c r="A3428" s="90">
        <v>40128</v>
      </c>
      <c r="B3428" s="17">
        <v>16.09</v>
      </c>
      <c r="C3428" s="17"/>
      <c r="F3428"/>
      <c r="G3428"/>
      <c r="H3428"/>
      <c r="I3428"/>
      <c r="J3428"/>
    </row>
    <row r="3429" spans="1:10" x14ac:dyDescent="0.25">
      <c r="A3429" s="90">
        <v>40129</v>
      </c>
      <c r="B3429" s="17">
        <v>16</v>
      </c>
      <c r="C3429" s="17"/>
      <c r="F3429"/>
      <c r="G3429"/>
      <c r="H3429"/>
      <c r="I3429"/>
      <c r="J3429"/>
    </row>
    <row r="3430" spans="1:10" x14ac:dyDescent="0.25">
      <c r="A3430" s="90">
        <v>40130</v>
      </c>
      <c r="B3430" s="17">
        <v>15.93</v>
      </c>
      <c r="C3430" s="17"/>
      <c r="F3430"/>
      <c r="G3430"/>
      <c r="H3430"/>
      <c r="I3430"/>
      <c r="J3430"/>
    </row>
    <row r="3431" spans="1:10" x14ac:dyDescent="0.25">
      <c r="A3431" s="90">
        <v>40133</v>
      </c>
      <c r="B3431" s="17">
        <v>16.07</v>
      </c>
      <c r="C3431" s="17"/>
      <c r="F3431"/>
      <c r="G3431"/>
      <c r="H3431"/>
      <c r="I3431"/>
      <c r="J3431"/>
    </row>
    <row r="3432" spans="1:10" x14ac:dyDescent="0.25">
      <c r="A3432" s="90">
        <v>40134</v>
      </c>
      <c r="B3432" s="17">
        <v>16.05</v>
      </c>
      <c r="C3432" s="17"/>
      <c r="F3432"/>
      <c r="G3432"/>
      <c r="H3432"/>
      <c r="I3432"/>
      <c r="J3432"/>
    </row>
    <row r="3433" spans="1:10" x14ac:dyDescent="0.25">
      <c r="A3433" s="90">
        <v>40135</v>
      </c>
      <c r="B3433" s="17">
        <v>15.98</v>
      </c>
      <c r="C3433" s="17"/>
      <c r="F3433"/>
      <c r="G3433"/>
      <c r="H3433"/>
      <c r="I3433"/>
      <c r="J3433"/>
    </row>
    <row r="3434" spans="1:10" x14ac:dyDescent="0.25">
      <c r="A3434" s="90">
        <v>40136</v>
      </c>
      <c r="B3434" s="17">
        <v>15.61</v>
      </c>
      <c r="C3434" s="17"/>
      <c r="F3434"/>
      <c r="G3434"/>
      <c r="H3434"/>
      <c r="I3434"/>
      <c r="J3434"/>
    </row>
    <row r="3435" spans="1:10" x14ac:dyDescent="0.25">
      <c r="A3435" s="90">
        <v>40137</v>
      </c>
      <c r="B3435" s="17">
        <v>15.38</v>
      </c>
      <c r="C3435" s="17"/>
      <c r="F3435"/>
      <c r="G3435"/>
      <c r="H3435"/>
      <c r="I3435"/>
      <c r="J3435"/>
    </row>
    <row r="3436" spans="1:10" x14ac:dyDescent="0.25">
      <c r="A3436" s="90">
        <v>40140</v>
      </c>
      <c r="B3436" s="17">
        <v>15.45</v>
      </c>
      <c r="C3436" s="17"/>
      <c r="F3436"/>
      <c r="G3436"/>
      <c r="H3436"/>
      <c r="I3436"/>
      <c r="J3436"/>
    </row>
    <row r="3437" spans="1:10" x14ac:dyDescent="0.25">
      <c r="A3437" s="90">
        <v>40141</v>
      </c>
      <c r="B3437" s="17">
        <v>15.24</v>
      </c>
      <c r="C3437" s="17"/>
      <c r="F3437"/>
      <c r="G3437"/>
      <c r="H3437"/>
      <c r="I3437"/>
      <c r="J3437"/>
    </row>
    <row r="3438" spans="1:10" x14ac:dyDescent="0.25">
      <c r="A3438" s="90">
        <v>40142</v>
      </c>
      <c r="B3438" s="17">
        <v>15.3</v>
      </c>
      <c r="C3438" s="17"/>
      <c r="F3438"/>
      <c r="G3438"/>
      <c r="H3438"/>
      <c r="I3438"/>
      <c r="J3438"/>
    </row>
    <row r="3439" spans="1:10" x14ac:dyDescent="0.25">
      <c r="A3439" s="90">
        <v>40144</v>
      </c>
      <c r="B3439" s="17">
        <v>15</v>
      </c>
      <c r="C3439" s="17"/>
      <c r="F3439"/>
      <c r="G3439"/>
      <c r="H3439"/>
      <c r="I3439"/>
      <c r="J3439"/>
    </row>
    <row r="3440" spans="1:10" x14ac:dyDescent="0.25">
      <c r="A3440" s="90">
        <v>40147</v>
      </c>
      <c r="B3440" s="17">
        <v>14.97</v>
      </c>
      <c r="C3440" s="17"/>
      <c r="F3440"/>
      <c r="G3440"/>
      <c r="H3440"/>
      <c r="I3440"/>
      <c r="J3440"/>
    </row>
    <row r="3441" spans="1:10" x14ac:dyDescent="0.25">
      <c r="A3441" s="90">
        <v>40148</v>
      </c>
      <c r="B3441" s="17">
        <v>15.13</v>
      </c>
      <c r="C3441" s="17"/>
      <c r="F3441"/>
      <c r="G3441"/>
      <c r="H3441"/>
      <c r="I3441"/>
      <c r="J3441"/>
    </row>
    <row r="3442" spans="1:10" x14ac:dyDescent="0.25">
      <c r="A3442" s="90">
        <v>40149</v>
      </c>
      <c r="B3442" s="17">
        <v>15.31</v>
      </c>
      <c r="C3442" s="17"/>
      <c r="F3442"/>
      <c r="G3442"/>
      <c r="H3442"/>
      <c r="I3442"/>
      <c r="J3442"/>
    </row>
    <row r="3443" spans="1:10" x14ac:dyDescent="0.25">
      <c r="A3443" s="90">
        <v>40150</v>
      </c>
      <c r="B3443" s="17">
        <v>15.11</v>
      </c>
      <c r="C3443" s="17"/>
      <c r="F3443"/>
      <c r="G3443"/>
      <c r="H3443"/>
      <c r="I3443"/>
      <c r="J3443"/>
    </row>
    <row r="3444" spans="1:10" x14ac:dyDescent="0.25">
      <c r="A3444" s="90">
        <v>40151</v>
      </c>
      <c r="B3444" s="17">
        <v>15.19</v>
      </c>
      <c r="C3444" s="17"/>
      <c r="F3444"/>
      <c r="G3444"/>
      <c r="H3444"/>
      <c r="I3444"/>
      <c r="J3444"/>
    </row>
    <row r="3445" spans="1:10" x14ac:dyDescent="0.25">
      <c r="A3445" s="90">
        <v>40154</v>
      </c>
      <c r="B3445" s="17">
        <v>15.45</v>
      </c>
      <c r="C3445" s="17"/>
      <c r="F3445"/>
      <c r="G3445"/>
      <c r="H3445"/>
      <c r="I3445"/>
      <c r="J3445"/>
    </row>
    <row r="3446" spans="1:10" x14ac:dyDescent="0.25">
      <c r="A3446" s="90">
        <v>40155</v>
      </c>
      <c r="B3446" s="17">
        <v>15.45</v>
      </c>
      <c r="C3446" s="17"/>
      <c r="F3446"/>
      <c r="G3446"/>
      <c r="H3446"/>
      <c r="I3446"/>
      <c r="J3446"/>
    </row>
    <row r="3447" spans="1:10" x14ac:dyDescent="0.25">
      <c r="A3447" s="90">
        <v>40156</v>
      </c>
      <c r="B3447" s="17">
        <v>15.18</v>
      </c>
      <c r="C3447" s="17"/>
      <c r="F3447"/>
      <c r="G3447"/>
      <c r="H3447"/>
      <c r="I3447"/>
      <c r="J3447"/>
    </row>
    <row r="3448" spans="1:10" x14ac:dyDescent="0.25">
      <c r="A3448" s="90">
        <v>40157</v>
      </c>
      <c r="B3448" s="17">
        <v>15.49</v>
      </c>
      <c r="C3448" s="17"/>
      <c r="F3448"/>
      <c r="G3448"/>
      <c r="H3448"/>
      <c r="I3448"/>
      <c r="J3448"/>
    </row>
    <row r="3449" spans="1:10" x14ac:dyDescent="0.25">
      <c r="A3449" s="90">
        <v>40158</v>
      </c>
      <c r="B3449" s="17">
        <v>15.74</v>
      </c>
      <c r="C3449" s="17"/>
      <c r="F3449"/>
      <c r="G3449"/>
      <c r="H3449"/>
      <c r="I3449"/>
      <c r="J3449"/>
    </row>
    <row r="3450" spans="1:10" x14ac:dyDescent="0.25">
      <c r="A3450" s="90">
        <v>40161</v>
      </c>
      <c r="B3450" s="17">
        <v>15.81</v>
      </c>
      <c r="C3450" s="17"/>
      <c r="F3450"/>
      <c r="G3450"/>
      <c r="H3450"/>
      <c r="I3450"/>
      <c r="J3450"/>
    </row>
    <row r="3451" spans="1:10" x14ac:dyDescent="0.25">
      <c r="A3451" s="90">
        <v>40162</v>
      </c>
      <c r="B3451" s="17">
        <v>15.74</v>
      </c>
      <c r="C3451" s="17"/>
      <c r="F3451"/>
      <c r="G3451"/>
      <c r="H3451"/>
      <c r="I3451"/>
      <c r="J3451"/>
    </row>
    <row r="3452" spans="1:10" x14ac:dyDescent="0.25">
      <c r="A3452" s="90">
        <v>40163</v>
      </c>
      <c r="B3452" s="17">
        <v>15.79</v>
      </c>
      <c r="C3452" s="17"/>
      <c r="F3452"/>
      <c r="G3452"/>
      <c r="H3452"/>
      <c r="I3452"/>
      <c r="J3452"/>
    </row>
    <row r="3453" spans="1:10" x14ac:dyDescent="0.25">
      <c r="A3453" s="90">
        <v>40164</v>
      </c>
      <c r="B3453" s="17">
        <v>15.82</v>
      </c>
      <c r="C3453" s="17"/>
      <c r="F3453"/>
      <c r="G3453"/>
      <c r="H3453"/>
      <c r="I3453"/>
      <c r="J3453"/>
    </row>
    <row r="3454" spans="1:10" x14ac:dyDescent="0.25">
      <c r="A3454" s="90">
        <v>40165</v>
      </c>
      <c r="B3454" s="17">
        <v>16.14</v>
      </c>
      <c r="C3454" s="17"/>
      <c r="F3454"/>
      <c r="G3454"/>
      <c r="H3454"/>
      <c r="I3454"/>
      <c r="J3454"/>
    </row>
    <row r="3455" spans="1:10" x14ac:dyDescent="0.25">
      <c r="A3455" s="90">
        <v>40168</v>
      </c>
      <c r="B3455" s="17">
        <v>15.88</v>
      </c>
      <c r="C3455" s="17"/>
      <c r="F3455"/>
      <c r="G3455"/>
      <c r="H3455"/>
      <c r="I3455"/>
      <c r="J3455"/>
    </row>
    <row r="3456" spans="1:10" x14ac:dyDescent="0.25">
      <c r="A3456" s="90">
        <v>40169</v>
      </c>
      <c r="B3456" s="17">
        <v>15.98</v>
      </c>
      <c r="C3456" s="17"/>
      <c r="F3456"/>
      <c r="G3456"/>
      <c r="H3456"/>
      <c r="I3456"/>
      <c r="J3456"/>
    </row>
    <row r="3457" spans="1:10" x14ac:dyDescent="0.25">
      <c r="A3457" s="90">
        <v>40170</v>
      </c>
      <c r="B3457" s="17">
        <v>16.670000000000002</v>
      </c>
      <c r="C3457" s="17"/>
      <c r="F3457"/>
      <c r="G3457"/>
      <c r="H3457"/>
      <c r="I3457"/>
      <c r="J3457"/>
    </row>
    <row r="3458" spans="1:10" x14ac:dyDescent="0.25">
      <c r="A3458" s="90">
        <v>40171</v>
      </c>
      <c r="B3458" s="17">
        <v>16.72</v>
      </c>
      <c r="C3458" s="17"/>
      <c r="F3458"/>
      <c r="G3458"/>
      <c r="H3458"/>
      <c r="I3458"/>
      <c r="J3458"/>
    </row>
    <row r="3459" spans="1:10" x14ac:dyDescent="0.25">
      <c r="A3459" s="90">
        <v>40175</v>
      </c>
      <c r="B3459" s="17">
        <v>16.88</v>
      </c>
      <c r="C3459" s="17"/>
      <c r="F3459"/>
      <c r="G3459"/>
      <c r="H3459"/>
      <c r="I3459"/>
      <c r="J3459"/>
    </row>
    <row r="3460" spans="1:10" x14ac:dyDescent="0.25">
      <c r="A3460" s="90">
        <v>40176</v>
      </c>
      <c r="B3460" s="17">
        <v>16.920000000000002</v>
      </c>
      <c r="C3460" s="17"/>
      <c r="F3460"/>
      <c r="G3460"/>
      <c r="H3460"/>
      <c r="I3460"/>
      <c r="J3460"/>
    </row>
    <row r="3461" spans="1:10" x14ac:dyDescent="0.25">
      <c r="A3461" s="90">
        <v>40177</v>
      </c>
      <c r="B3461" s="17">
        <v>16.98</v>
      </c>
      <c r="C3461" s="17"/>
      <c r="F3461"/>
      <c r="G3461"/>
      <c r="H3461"/>
      <c r="I3461"/>
      <c r="J3461"/>
    </row>
    <row r="3462" spans="1:10" x14ac:dyDescent="0.25">
      <c r="A3462" s="90">
        <v>40178</v>
      </c>
      <c r="B3462" s="17">
        <v>16.78</v>
      </c>
      <c r="C3462" s="17"/>
      <c r="F3462"/>
      <c r="G3462"/>
      <c r="H3462"/>
      <c r="I3462"/>
      <c r="J3462"/>
    </row>
    <row r="3463" spans="1:10" x14ac:dyDescent="0.25">
      <c r="A3463" s="90">
        <v>40182</v>
      </c>
      <c r="B3463" s="17">
        <v>17.100000000000001</v>
      </c>
      <c r="C3463" s="17"/>
      <c r="F3463"/>
      <c r="G3463"/>
      <c r="H3463"/>
      <c r="I3463"/>
      <c r="J3463"/>
    </row>
    <row r="3464" spans="1:10" x14ac:dyDescent="0.25">
      <c r="A3464" s="90">
        <v>40183</v>
      </c>
      <c r="B3464" s="17">
        <v>17.23</v>
      </c>
      <c r="C3464" s="17"/>
      <c r="F3464"/>
      <c r="G3464"/>
      <c r="H3464"/>
      <c r="I3464"/>
      <c r="J3464"/>
    </row>
    <row r="3465" spans="1:10" x14ac:dyDescent="0.25">
      <c r="A3465" s="90">
        <v>40184</v>
      </c>
      <c r="B3465" s="17">
        <v>17.170000000000002</v>
      </c>
      <c r="C3465" s="17"/>
      <c r="F3465"/>
      <c r="G3465"/>
      <c r="H3465"/>
      <c r="I3465"/>
      <c r="J3465"/>
    </row>
    <row r="3466" spans="1:10" x14ac:dyDescent="0.25">
      <c r="A3466" s="90">
        <v>40185</v>
      </c>
      <c r="B3466" s="17">
        <v>16.7</v>
      </c>
      <c r="C3466" s="17"/>
      <c r="F3466"/>
      <c r="G3466"/>
      <c r="H3466"/>
      <c r="I3466"/>
      <c r="J3466"/>
    </row>
    <row r="3467" spans="1:10" x14ac:dyDescent="0.25">
      <c r="A3467" s="90">
        <v>40186</v>
      </c>
      <c r="B3467" s="17">
        <v>16.7</v>
      </c>
      <c r="C3467" s="17"/>
      <c r="F3467"/>
      <c r="G3467"/>
      <c r="H3467"/>
      <c r="I3467"/>
      <c r="J3467"/>
    </row>
    <row r="3468" spans="1:10" x14ac:dyDescent="0.25">
      <c r="A3468" s="90">
        <v>40189</v>
      </c>
      <c r="B3468" s="17">
        <v>16.739999999999998</v>
      </c>
      <c r="C3468" s="17"/>
      <c r="F3468"/>
      <c r="G3468"/>
      <c r="H3468"/>
      <c r="I3468"/>
      <c r="J3468"/>
    </row>
    <row r="3469" spans="1:10" x14ac:dyDescent="0.25">
      <c r="A3469" s="90">
        <v>40190</v>
      </c>
      <c r="B3469" s="17">
        <v>16.68</v>
      </c>
      <c r="C3469" s="17"/>
      <c r="F3469"/>
      <c r="G3469"/>
      <c r="H3469"/>
      <c r="I3469"/>
      <c r="J3469"/>
    </row>
    <row r="3470" spans="1:10" x14ac:dyDescent="0.25">
      <c r="A3470" s="90">
        <v>40191</v>
      </c>
      <c r="B3470" s="17">
        <v>16.899999999999999</v>
      </c>
      <c r="C3470" s="17"/>
      <c r="F3470"/>
      <c r="G3470"/>
      <c r="H3470"/>
      <c r="I3470"/>
      <c r="J3470"/>
    </row>
    <row r="3471" spans="1:10" x14ac:dyDescent="0.25">
      <c r="A3471" s="90">
        <v>40192</v>
      </c>
      <c r="B3471" s="17">
        <v>17.12</v>
      </c>
      <c r="C3471" s="17"/>
      <c r="F3471"/>
      <c r="G3471"/>
      <c r="H3471"/>
      <c r="I3471"/>
      <c r="J3471"/>
    </row>
    <row r="3472" spans="1:10" x14ac:dyDescent="0.25">
      <c r="A3472" s="90">
        <v>40193</v>
      </c>
      <c r="B3472" s="17">
        <v>16.82</v>
      </c>
      <c r="C3472" s="17"/>
      <c r="F3472"/>
      <c r="G3472"/>
      <c r="H3472"/>
      <c r="I3472"/>
      <c r="J3472"/>
    </row>
    <row r="3473" spans="1:10" x14ac:dyDescent="0.25">
      <c r="A3473" s="90">
        <v>40197</v>
      </c>
      <c r="B3473" s="17">
        <v>16.75</v>
      </c>
      <c r="C3473" s="17"/>
      <c r="F3473"/>
      <c r="G3473"/>
      <c r="H3473"/>
      <c r="I3473"/>
      <c r="J3473"/>
    </row>
    <row r="3474" spans="1:10" x14ac:dyDescent="0.25">
      <c r="A3474" s="90">
        <v>40198</v>
      </c>
      <c r="B3474" s="17">
        <v>16.38</v>
      </c>
      <c r="C3474" s="17"/>
      <c r="F3474"/>
      <c r="G3474"/>
      <c r="H3474"/>
      <c r="I3474"/>
      <c r="J3474"/>
    </row>
    <row r="3475" spans="1:10" x14ac:dyDescent="0.25">
      <c r="A3475" s="90">
        <v>40199</v>
      </c>
      <c r="B3475" s="17">
        <v>16.2</v>
      </c>
      <c r="C3475" s="17"/>
      <c r="F3475"/>
      <c r="G3475"/>
      <c r="H3475"/>
      <c r="I3475"/>
      <c r="J3475"/>
    </row>
    <row r="3476" spans="1:10" x14ac:dyDescent="0.25">
      <c r="A3476" s="90">
        <v>40200</v>
      </c>
      <c r="B3476" s="17">
        <v>15.88</v>
      </c>
      <c r="C3476" s="17"/>
      <c r="F3476"/>
      <c r="G3476"/>
      <c r="H3476"/>
      <c r="I3476"/>
      <c r="J3476"/>
    </row>
    <row r="3477" spans="1:10" x14ac:dyDescent="0.25">
      <c r="A3477" s="90">
        <v>40203</v>
      </c>
      <c r="B3477" s="17">
        <v>15.86</v>
      </c>
      <c r="C3477" s="17"/>
      <c r="F3477"/>
      <c r="G3477"/>
      <c r="H3477"/>
      <c r="I3477"/>
      <c r="J3477"/>
    </row>
    <row r="3478" spans="1:10" x14ac:dyDescent="0.25">
      <c r="A3478" s="90">
        <v>40204</v>
      </c>
      <c r="B3478" s="17">
        <v>15.99</v>
      </c>
      <c r="C3478" s="17"/>
      <c r="F3478"/>
      <c r="G3478"/>
      <c r="H3478"/>
      <c r="I3478"/>
      <c r="J3478"/>
    </row>
    <row r="3479" spans="1:10" x14ac:dyDescent="0.25">
      <c r="A3479" s="90">
        <v>40205</v>
      </c>
      <c r="B3479" s="17">
        <v>15.98</v>
      </c>
      <c r="C3479" s="17"/>
      <c r="F3479"/>
      <c r="G3479"/>
      <c r="H3479"/>
      <c r="I3479"/>
      <c r="J3479"/>
    </row>
    <row r="3480" spans="1:10" x14ac:dyDescent="0.25">
      <c r="A3480" s="90">
        <v>40206</v>
      </c>
      <c r="B3480" s="17">
        <v>15.44</v>
      </c>
      <c r="C3480" s="17"/>
      <c r="F3480"/>
      <c r="G3480"/>
      <c r="H3480"/>
      <c r="I3480"/>
      <c r="J3480"/>
    </row>
    <row r="3481" spans="1:10" x14ac:dyDescent="0.25">
      <c r="A3481" s="90">
        <v>40207</v>
      </c>
      <c r="B3481" s="17">
        <v>15.01</v>
      </c>
      <c r="C3481" s="17"/>
      <c r="F3481"/>
      <c r="G3481"/>
      <c r="H3481"/>
      <c r="I3481"/>
      <c r="J3481"/>
    </row>
    <row r="3482" spans="1:10" x14ac:dyDescent="0.25">
      <c r="A3482" s="90">
        <v>40210</v>
      </c>
      <c r="B3482" s="17">
        <v>15.05</v>
      </c>
      <c r="C3482" s="17"/>
      <c r="F3482"/>
      <c r="G3482"/>
      <c r="H3482"/>
      <c r="I3482"/>
      <c r="J3482"/>
    </row>
    <row r="3483" spans="1:10" x14ac:dyDescent="0.25">
      <c r="A3483" s="90">
        <v>40211</v>
      </c>
      <c r="B3483" s="17">
        <v>15.17</v>
      </c>
      <c r="C3483" s="17"/>
      <c r="F3483"/>
      <c r="G3483"/>
      <c r="H3483"/>
      <c r="I3483"/>
      <c r="J3483"/>
    </row>
    <row r="3484" spans="1:10" x14ac:dyDescent="0.25">
      <c r="A3484" s="90">
        <v>40212</v>
      </c>
      <c r="B3484" s="17">
        <v>15.46</v>
      </c>
      <c r="C3484" s="17"/>
      <c r="F3484"/>
      <c r="G3484"/>
      <c r="H3484"/>
      <c r="I3484"/>
      <c r="J3484"/>
    </row>
    <row r="3485" spans="1:10" x14ac:dyDescent="0.25">
      <c r="A3485" s="90">
        <v>40213</v>
      </c>
      <c r="B3485" s="17">
        <v>15.01</v>
      </c>
      <c r="C3485" s="17"/>
      <c r="F3485"/>
      <c r="G3485"/>
      <c r="H3485"/>
      <c r="I3485"/>
      <c r="J3485"/>
    </row>
    <row r="3486" spans="1:10" x14ac:dyDescent="0.25">
      <c r="A3486" s="90">
        <v>40214</v>
      </c>
      <c r="B3486" s="17">
        <v>15.19</v>
      </c>
      <c r="C3486" s="17"/>
      <c r="F3486"/>
      <c r="G3486"/>
      <c r="H3486"/>
      <c r="I3486"/>
      <c r="J3486"/>
    </row>
    <row r="3487" spans="1:10" x14ac:dyDescent="0.25">
      <c r="A3487" s="90">
        <v>40217</v>
      </c>
      <c r="B3487" s="17">
        <v>14.99</v>
      </c>
      <c r="C3487" s="17"/>
      <c r="F3487"/>
      <c r="G3487"/>
      <c r="H3487"/>
      <c r="I3487"/>
      <c r="J3487"/>
    </row>
    <row r="3488" spans="1:10" x14ac:dyDescent="0.25">
      <c r="A3488" s="90">
        <v>40218</v>
      </c>
      <c r="B3488" s="17">
        <v>15.07</v>
      </c>
      <c r="C3488" s="17"/>
      <c r="F3488"/>
      <c r="G3488"/>
      <c r="H3488"/>
      <c r="I3488"/>
      <c r="J3488"/>
    </row>
    <row r="3489" spans="1:10" x14ac:dyDescent="0.25">
      <c r="A3489" s="90">
        <v>40219</v>
      </c>
      <c r="B3489" s="17">
        <v>14.8</v>
      </c>
      <c r="C3489" s="17"/>
      <c r="F3489"/>
      <c r="G3489"/>
      <c r="H3489"/>
      <c r="I3489"/>
      <c r="J3489"/>
    </row>
    <row r="3490" spans="1:10" x14ac:dyDescent="0.25">
      <c r="A3490" s="90">
        <v>40220</v>
      </c>
      <c r="B3490" s="17">
        <v>15.22</v>
      </c>
      <c r="C3490" s="17"/>
      <c r="F3490"/>
      <c r="G3490"/>
      <c r="H3490"/>
      <c r="I3490"/>
      <c r="J3490"/>
    </row>
    <row r="3491" spans="1:10" x14ac:dyDescent="0.25">
      <c r="A3491" s="90">
        <v>40221</v>
      </c>
      <c r="B3491" s="17">
        <v>15.17</v>
      </c>
      <c r="C3491" s="17"/>
      <c r="F3491"/>
      <c r="G3491"/>
      <c r="H3491"/>
      <c r="I3491"/>
      <c r="J3491"/>
    </row>
    <row r="3492" spans="1:10" x14ac:dyDescent="0.25">
      <c r="A3492" s="90">
        <v>40225</v>
      </c>
      <c r="B3492" s="17">
        <v>15.41</v>
      </c>
      <c r="C3492" s="17"/>
      <c r="F3492"/>
      <c r="G3492"/>
      <c r="H3492"/>
      <c r="I3492"/>
      <c r="J3492"/>
    </row>
    <row r="3493" spans="1:10" x14ac:dyDescent="0.25">
      <c r="A3493" s="90">
        <v>40226</v>
      </c>
      <c r="B3493" s="17">
        <v>15.44</v>
      </c>
      <c r="C3493" s="17"/>
      <c r="F3493"/>
      <c r="G3493"/>
      <c r="H3493"/>
      <c r="I3493"/>
      <c r="J3493"/>
    </row>
    <row r="3494" spans="1:10" x14ac:dyDescent="0.25">
      <c r="A3494" s="90">
        <v>40227</v>
      </c>
      <c r="B3494" s="17">
        <v>15.54</v>
      </c>
      <c r="C3494" s="17"/>
      <c r="F3494"/>
      <c r="G3494"/>
      <c r="H3494"/>
      <c r="I3494"/>
      <c r="J3494"/>
    </row>
    <row r="3495" spans="1:10" x14ac:dyDescent="0.25">
      <c r="A3495" s="90">
        <v>40228</v>
      </c>
      <c r="B3495" s="17">
        <v>15.58</v>
      </c>
      <c r="C3495" s="17"/>
      <c r="F3495"/>
      <c r="G3495"/>
      <c r="H3495"/>
      <c r="I3495"/>
      <c r="J3495"/>
    </row>
    <row r="3496" spans="1:10" x14ac:dyDescent="0.25">
      <c r="A3496" s="90">
        <v>40231</v>
      </c>
      <c r="B3496" s="17">
        <v>15.49</v>
      </c>
      <c r="C3496" s="17"/>
      <c r="F3496"/>
      <c r="G3496"/>
      <c r="H3496"/>
      <c r="I3496"/>
      <c r="J3496"/>
    </row>
    <row r="3497" spans="1:10" x14ac:dyDescent="0.25">
      <c r="A3497" s="90">
        <v>40232</v>
      </c>
      <c r="B3497" s="17">
        <v>15.38</v>
      </c>
      <c r="C3497" s="17"/>
      <c r="F3497"/>
      <c r="G3497"/>
      <c r="H3497"/>
      <c r="I3497"/>
      <c r="J3497"/>
    </row>
    <row r="3498" spans="1:10" x14ac:dyDescent="0.25">
      <c r="A3498" s="90">
        <v>40233</v>
      </c>
      <c r="B3498" s="17">
        <v>15.59</v>
      </c>
      <c r="C3498" s="17"/>
      <c r="F3498"/>
      <c r="G3498"/>
      <c r="H3498"/>
      <c r="I3498"/>
      <c r="J3498"/>
    </row>
    <row r="3499" spans="1:10" x14ac:dyDescent="0.25">
      <c r="A3499" s="90">
        <v>40234</v>
      </c>
      <c r="B3499" s="17">
        <v>15.24</v>
      </c>
      <c r="C3499" s="17"/>
      <c r="F3499"/>
      <c r="G3499"/>
      <c r="H3499"/>
      <c r="I3499"/>
      <c r="J3499"/>
    </row>
    <row r="3500" spans="1:10" x14ac:dyDescent="0.25">
      <c r="A3500" s="90">
        <v>40235</v>
      </c>
      <c r="B3500" s="17">
        <v>15.31</v>
      </c>
      <c r="C3500" s="17"/>
      <c r="F3500"/>
      <c r="G3500"/>
      <c r="H3500"/>
      <c r="I3500"/>
      <c r="J3500"/>
    </row>
    <row r="3501" spans="1:10" x14ac:dyDescent="0.25">
      <c r="A3501" s="90">
        <v>40238</v>
      </c>
      <c r="B3501" s="17">
        <v>15.79</v>
      </c>
      <c r="C3501" s="17"/>
      <c r="F3501"/>
      <c r="G3501"/>
      <c r="H3501"/>
      <c r="I3501"/>
      <c r="J3501"/>
    </row>
    <row r="3502" spans="1:10" x14ac:dyDescent="0.25">
      <c r="A3502" s="90">
        <v>40239</v>
      </c>
      <c r="B3502" s="17">
        <v>15.73</v>
      </c>
      <c r="C3502" s="17"/>
      <c r="F3502"/>
      <c r="G3502"/>
      <c r="H3502"/>
      <c r="I3502"/>
      <c r="J3502"/>
    </row>
    <row r="3503" spans="1:10" x14ac:dyDescent="0.25">
      <c r="A3503" s="90">
        <v>40240</v>
      </c>
      <c r="B3503" s="17">
        <v>15.57</v>
      </c>
      <c r="C3503" s="17"/>
      <c r="F3503"/>
      <c r="G3503"/>
      <c r="H3503"/>
      <c r="I3503"/>
      <c r="J3503"/>
    </row>
    <row r="3504" spans="1:10" x14ac:dyDescent="0.25">
      <c r="A3504" s="90">
        <v>40241</v>
      </c>
      <c r="B3504" s="17">
        <v>15.81</v>
      </c>
      <c r="C3504" s="17"/>
      <c r="F3504"/>
      <c r="G3504"/>
      <c r="H3504"/>
      <c r="I3504"/>
      <c r="J3504"/>
    </row>
    <row r="3505" spans="1:10" x14ac:dyDescent="0.25">
      <c r="A3505" s="90">
        <v>40242</v>
      </c>
      <c r="B3505" s="17">
        <v>16.059999999999999</v>
      </c>
      <c r="C3505" s="17"/>
      <c r="F3505"/>
      <c r="G3505"/>
      <c r="H3505"/>
      <c r="I3505"/>
      <c r="J3505"/>
    </row>
    <row r="3506" spans="1:10" x14ac:dyDescent="0.25">
      <c r="A3506" s="90">
        <v>40245</v>
      </c>
      <c r="B3506" s="17">
        <v>16.52</v>
      </c>
      <c r="C3506" s="17"/>
      <c r="F3506"/>
      <c r="G3506"/>
      <c r="H3506"/>
      <c r="I3506"/>
      <c r="J3506"/>
    </row>
    <row r="3507" spans="1:10" x14ac:dyDescent="0.25">
      <c r="A3507" s="90">
        <v>40246</v>
      </c>
      <c r="B3507" s="17">
        <v>16.53</v>
      </c>
      <c r="C3507" s="17"/>
      <c r="F3507"/>
      <c r="G3507"/>
      <c r="H3507"/>
      <c r="I3507"/>
      <c r="J3507"/>
    </row>
    <row r="3508" spans="1:10" x14ac:dyDescent="0.25">
      <c r="A3508" s="90">
        <v>40247</v>
      </c>
      <c r="B3508" s="17">
        <v>16.79</v>
      </c>
      <c r="C3508" s="17"/>
      <c r="F3508"/>
      <c r="G3508"/>
      <c r="H3508"/>
      <c r="I3508"/>
      <c r="J3508"/>
    </row>
    <row r="3509" spans="1:10" x14ac:dyDescent="0.25">
      <c r="A3509" s="90">
        <v>40248</v>
      </c>
      <c r="B3509" s="17">
        <v>16.53</v>
      </c>
      <c r="C3509" s="17"/>
      <c r="F3509"/>
      <c r="G3509"/>
      <c r="H3509"/>
      <c r="I3509"/>
      <c r="J3509"/>
    </row>
    <row r="3510" spans="1:10" x14ac:dyDescent="0.25">
      <c r="A3510" s="90">
        <v>40249</v>
      </c>
      <c r="B3510" s="17">
        <v>16.32</v>
      </c>
      <c r="C3510" s="17"/>
      <c r="F3510"/>
      <c r="G3510"/>
      <c r="H3510"/>
      <c r="I3510"/>
      <c r="J3510"/>
    </row>
    <row r="3511" spans="1:10" x14ac:dyDescent="0.25">
      <c r="A3511" s="90">
        <v>40252</v>
      </c>
      <c r="B3511" s="17">
        <v>16.46</v>
      </c>
      <c r="C3511" s="17"/>
      <c r="F3511"/>
      <c r="G3511"/>
      <c r="H3511"/>
      <c r="I3511"/>
      <c r="J3511"/>
    </row>
    <row r="3512" spans="1:10" x14ac:dyDescent="0.25">
      <c r="A3512" s="90">
        <v>40253</v>
      </c>
      <c r="B3512" s="17">
        <v>16.36</v>
      </c>
      <c r="C3512" s="17"/>
      <c r="F3512"/>
      <c r="G3512"/>
      <c r="H3512"/>
      <c r="I3512"/>
      <c r="J3512"/>
    </row>
    <row r="3513" spans="1:10" x14ac:dyDescent="0.25">
      <c r="A3513" s="90">
        <v>40254</v>
      </c>
      <c r="B3513" s="17">
        <v>16.5</v>
      </c>
      <c r="C3513" s="17"/>
      <c r="F3513"/>
      <c r="G3513"/>
      <c r="H3513"/>
      <c r="I3513"/>
      <c r="J3513"/>
    </row>
    <row r="3514" spans="1:10" x14ac:dyDescent="0.25">
      <c r="A3514" s="90">
        <v>40255</v>
      </c>
      <c r="B3514" s="17">
        <v>16.559999999999999</v>
      </c>
      <c r="C3514" s="17"/>
      <c r="F3514"/>
      <c r="G3514"/>
      <c r="H3514"/>
      <c r="I3514"/>
      <c r="J3514"/>
    </row>
    <row r="3515" spans="1:10" x14ac:dyDescent="0.25">
      <c r="A3515" s="90">
        <v>40256</v>
      </c>
      <c r="B3515" s="17">
        <v>16.440000000000001</v>
      </c>
      <c r="C3515" s="17"/>
      <c r="F3515"/>
      <c r="G3515"/>
      <c r="H3515"/>
      <c r="I3515"/>
      <c r="J3515"/>
    </row>
    <row r="3516" spans="1:10" x14ac:dyDescent="0.25">
      <c r="A3516" s="90">
        <v>40259</v>
      </c>
      <c r="B3516" s="17">
        <v>16.34</v>
      </c>
      <c r="C3516" s="17"/>
      <c r="F3516"/>
      <c r="G3516"/>
      <c r="H3516"/>
      <c r="I3516"/>
      <c r="J3516"/>
    </row>
    <row r="3517" spans="1:10" x14ac:dyDescent="0.25">
      <c r="A3517" s="90">
        <v>40260</v>
      </c>
      <c r="B3517" s="17">
        <v>16.03</v>
      </c>
      <c r="C3517" s="17"/>
      <c r="F3517"/>
      <c r="G3517"/>
      <c r="H3517"/>
      <c r="I3517"/>
      <c r="J3517"/>
    </row>
    <row r="3518" spans="1:10" x14ac:dyDescent="0.25">
      <c r="A3518" s="90">
        <v>40261</v>
      </c>
      <c r="B3518" s="17">
        <v>16.09</v>
      </c>
      <c r="C3518" s="17"/>
      <c r="F3518"/>
      <c r="G3518"/>
      <c r="H3518"/>
      <c r="I3518"/>
      <c r="J3518"/>
    </row>
    <row r="3519" spans="1:10" x14ac:dyDescent="0.25">
      <c r="A3519" s="90">
        <v>40262</v>
      </c>
      <c r="B3519" s="17">
        <v>16.32</v>
      </c>
      <c r="C3519" s="17"/>
      <c r="F3519"/>
      <c r="G3519"/>
      <c r="H3519"/>
      <c r="I3519"/>
      <c r="J3519"/>
    </row>
    <row r="3520" spans="1:10" x14ac:dyDescent="0.25">
      <c r="A3520" s="90">
        <v>40263</v>
      </c>
      <c r="B3520" s="17">
        <v>16.54</v>
      </c>
      <c r="C3520" s="17"/>
      <c r="F3520"/>
      <c r="G3520"/>
      <c r="H3520"/>
      <c r="I3520"/>
      <c r="J3520"/>
    </row>
    <row r="3521" spans="1:10" x14ac:dyDescent="0.25">
      <c r="A3521" s="90">
        <v>40266</v>
      </c>
      <c r="B3521" s="17">
        <v>16.559999999999999</v>
      </c>
      <c r="C3521" s="17"/>
      <c r="F3521"/>
      <c r="G3521"/>
      <c r="H3521"/>
      <c r="I3521"/>
      <c r="J3521"/>
    </row>
    <row r="3522" spans="1:10" x14ac:dyDescent="0.25">
      <c r="A3522" s="90">
        <v>40267</v>
      </c>
      <c r="B3522" s="17">
        <v>16.61</v>
      </c>
      <c r="C3522" s="17"/>
      <c r="F3522"/>
      <c r="G3522"/>
      <c r="H3522"/>
      <c r="I3522"/>
      <c r="J3522"/>
    </row>
    <row r="3523" spans="1:10" x14ac:dyDescent="0.25">
      <c r="A3523" s="90">
        <v>40268</v>
      </c>
      <c r="B3523" s="17">
        <v>16.53</v>
      </c>
      <c r="C3523" s="17"/>
      <c r="F3523"/>
      <c r="G3523"/>
      <c r="H3523"/>
      <c r="I3523"/>
      <c r="J3523"/>
    </row>
    <row r="3524" spans="1:10" x14ac:dyDescent="0.25">
      <c r="A3524" s="90">
        <v>40269</v>
      </c>
      <c r="B3524" s="17">
        <v>16.29</v>
      </c>
      <c r="C3524" s="17"/>
      <c r="F3524"/>
      <c r="G3524"/>
      <c r="H3524"/>
      <c r="I3524"/>
      <c r="J3524"/>
    </row>
    <row r="3525" spans="1:10" x14ac:dyDescent="0.25">
      <c r="A3525" s="90">
        <v>40273</v>
      </c>
      <c r="B3525" s="17">
        <v>16.510000000000002</v>
      </c>
      <c r="C3525" s="17"/>
      <c r="F3525"/>
      <c r="G3525"/>
      <c r="H3525"/>
      <c r="I3525"/>
      <c r="J3525"/>
    </row>
    <row r="3526" spans="1:10" x14ac:dyDescent="0.25">
      <c r="A3526" s="90">
        <v>40274</v>
      </c>
      <c r="B3526" s="17">
        <v>16.920000000000002</v>
      </c>
      <c r="C3526" s="17"/>
      <c r="F3526"/>
      <c r="G3526"/>
      <c r="H3526"/>
      <c r="I3526"/>
      <c r="J3526"/>
    </row>
    <row r="3527" spans="1:10" x14ac:dyDescent="0.25">
      <c r="A3527" s="90">
        <v>40275</v>
      </c>
      <c r="B3527" s="17">
        <v>16.87</v>
      </c>
      <c r="C3527" s="17"/>
      <c r="F3527"/>
      <c r="G3527"/>
      <c r="H3527"/>
      <c r="I3527"/>
      <c r="J3527"/>
    </row>
    <row r="3528" spans="1:10" x14ac:dyDescent="0.25">
      <c r="A3528" s="90">
        <v>40276</v>
      </c>
      <c r="B3528" s="17">
        <v>17.350000000000001</v>
      </c>
      <c r="C3528" s="17"/>
      <c r="F3528"/>
      <c r="G3528"/>
      <c r="H3528"/>
      <c r="I3528"/>
      <c r="J3528"/>
    </row>
    <row r="3529" spans="1:10" x14ac:dyDescent="0.25">
      <c r="A3529" s="90">
        <v>40277</v>
      </c>
      <c r="B3529" s="17">
        <v>17.52</v>
      </c>
      <c r="C3529" s="17"/>
      <c r="F3529"/>
      <c r="G3529"/>
      <c r="H3529"/>
      <c r="I3529"/>
      <c r="J3529"/>
    </row>
    <row r="3530" spans="1:10" x14ac:dyDescent="0.25">
      <c r="A3530" s="90">
        <v>40280</v>
      </c>
      <c r="B3530" s="17">
        <v>17.64</v>
      </c>
      <c r="C3530" s="17"/>
      <c r="F3530"/>
      <c r="G3530"/>
      <c r="H3530"/>
      <c r="I3530"/>
      <c r="J3530"/>
    </row>
    <row r="3531" spans="1:10" x14ac:dyDescent="0.25">
      <c r="A3531" s="90">
        <v>40281</v>
      </c>
      <c r="B3531" s="17">
        <v>18.18</v>
      </c>
      <c r="C3531" s="17"/>
      <c r="F3531"/>
      <c r="G3531"/>
      <c r="H3531"/>
      <c r="I3531"/>
      <c r="J3531"/>
    </row>
    <row r="3532" spans="1:10" x14ac:dyDescent="0.25">
      <c r="A3532" s="90">
        <v>40282</v>
      </c>
      <c r="B3532" s="17">
        <v>18.38</v>
      </c>
      <c r="C3532" s="17"/>
      <c r="F3532"/>
      <c r="G3532"/>
      <c r="H3532"/>
      <c r="I3532"/>
      <c r="J3532"/>
    </row>
    <row r="3533" spans="1:10" x14ac:dyDescent="0.25">
      <c r="A3533" s="90">
        <v>40283</v>
      </c>
      <c r="B3533" s="17">
        <v>18.97</v>
      </c>
      <c r="C3533" s="17"/>
      <c r="F3533"/>
      <c r="G3533"/>
      <c r="H3533"/>
      <c r="I3533"/>
      <c r="J3533"/>
    </row>
    <row r="3534" spans="1:10" x14ac:dyDescent="0.25">
      <c r="A3534" s="90">
        <v>40284</v>
      </c>
      <c r="B3534" s="17">
        <v>18.170000000000002</v>
      </c>
      <c r="C3534" s="17"/>
      <c r="F3534"/>
      <c r="G3534"/>
      <c r="H3534"/>
      <c r="I3534"/>
      <c r="J3534"/>
    </row>
    <row r="3535" spans="1:10" x14ac:dyDescent="0.25">
      <c r="A3535" s="90">
        <v>40287</v>
      </c>
      <c r="B3535" s="17">
        <v>18.39</v>
      </c>
      <c r="C3535" s="17"/>
      <c r="F3535"/>
      <c r="G3535"/>
      <c r="H3535"/>
      <c r="I3535"/>
      <c r="J3535"/>
    </row>
    <row r="3536" spans="1:10" x14ac:dyDescent="0.25">
      <c r="A3536" s="90">
        <v>40288</v>
      </c>
      <c r="B3536" s="17">
        <v>18.38</v>
      </c>
      <c r="C3536" s="17"/>
      <c r="F3536"/>
      <c r="G3536"/>
      <c r="H3536"/>
      <c r="I3536"/>
      <c r="J3536"/>
    </row>
    <row r="3537" spans="1:10" x14ac:dyDescent="0.25">
      <c r="A3537" s="90">
        <v>40289</v>
      </c>
      <c r="B3537" s="17">
        <v>17.45</v>
      </c>
      <c r="C3537" s="17"/>
      <c r="F3537"/>
      <c r="G3537"/>
      <c r="H3537"/>
      <c r="I3537"/>
      <c r="J3537"/>
    </row>
    <row r="3538" spans="1:10" x14ac:dyDescent="0.25">
      <c r="A3538" s="90">
        <v>40290</v>
      </c>
      <c r="B3538" s="17">
        <v>17.72</v>
      </c>
      <c r="C3538" s="17"/>
      <c r="F3538"/>
      <c r="G3538"/>
      <c r="H3538"/>
      <c r="I3538"/>
      <c r="J3538"/>
    </row>
    <row r="3539" spans="1:10" x14ac:dyDescent="0.25">
      <c r="A3539" s="90">
        <v>40291</v>
      </c>
      <c r="B3539" s="17">
        <v>17.64</v>
      </c>
      <c r="C3539" s="17"/>
      <c r="F3539"/>
      <c r="G3539"/>
      <c r="H3539"/>
      <c r="I3539"/>
      <c r="J3539"/>
    </row>
    <row r="3540" spans="1:10" x14ac:dyDescent="0.25">
      <c r="A3540" s="90">
        <v>40294</v>
      </c>
      <c r="B3540" s="17">
        <v>17.39</v>
      </c>
      <c r="C3540" s="17"/>
      <c r="F3540"/>
      <c r="G3540"/>
      <c r="H3540"/>
      <c r="I3540"/>
      <c r="J3540"/>
    </row>
    <row r="3541" spans="1:10" x14ac:dyDescent="0.25">
      <c r="A3541" s="90">
        <v>40295</v>
      </c>
      <c r="B3541" s="17">
        <v>16.920000000000002</v>
      </c>
      <c r="C3541" s="17"/>
      <c r="F3541"/>
      <c r="G3541"/>
      <c r="H3541"/>
      <c r="I3541"/>
      <c r="J3541"/>
    </row>
    <row r="3542" spans="1:10" x14ac:dyDescent="0.25">
      <c r="A3542" s="90">
        <v>40296</v>
      </c>
      <c r="B3542" s="17">
        <v>16.75</v>
      </c>
      <c r="C3542" s="17"/>
      <c r="F3542"/>
      <c r="G3542"/>
      <c r="H3542"/>
      <c r="I3542"/>
      <c r="J3542"/>
    </row>
    <row r="3543" spans="1:10" x14ac:dyDescent="0.25">
      <c r="A3543" s="90">
        <v>40297</v>
      </c>
      <c r="B3543" s="17">
        <v>16.97</v>
      </c>
      <c r="C3543" s="17"/>
      <c r="F3543"/>
      <c r="G3543"/>
      <c r="H3543"/>
      <c r="I3543"/>
      <c r="J3543"/>
    </row>
    <row r="3544" spans="1:10" x14ac:dyDescent="0.25">
      <c r="A3544" s="90">
        <v>40298</v>
      </c>
      <c r="B3544" s="17">
        <v>16.53</v>
      </c>
      <c r="C3544" s="17"/>
      <c r="F3544"/>
      <c r="G3544"/>
      <c r="H3544"/>
      <c r="I3544"/>
      <c r="J3544"/>
    </row>
    <row r="3545" spans="1:10" x14ac:dyDescent="0.25">
      <c r="A3545" s="90">
        <v>40301</v>
      </c>
      <c r="B3545" s="17">
        <v>16.95</v>
      </c>
      <c r="C3545" s="17"/>
      <c r="F3545"/>
      <c r="G3545"/>
      <c r="H3545"/>
      <c r="I3545"/>
      <c r="J3545"/>
    </row>
    <row r="3546" spans="1:10" x14ac:dyDescent="0.25">
      <c r="A3546" s="90">
        <v>40302</v>
      </c>
      <c r="B3546" s="17">
        <v>16.32</v>
      </c>
      <c r="C3546" s="17"/>
      <c r="F3546"/>
      <c r="G3546"/>
      <c r="H3546"/>
      <c r="I3546"/>
      <c r="J3546"/>
    </row>
    <row r="3547" spans="1:10" x14ac:dyDescent="0.25">
      <c r="A3547" s="90">
        <v>40303</v>
      </c>
      <c r="B3547" s="17">
        <v>16.489999999999998</v>
      </c>
      <c r="C3547" s="17"/>
      <c r="F3547"/>
      <c r="G3547"/>
      <c r="H3547"/>
      <c r="I3547"/>
      <c r="J3547"/>
    </row>
    <row r="3548" spans="1:10" x14ac:dyDescent="0.25">
      <c r="A3548" s="90">
        <v>40304</v>
      </c>
      <c r="B3548" s="17">
        <v>15.92</v>
      </c>
      <c r="C3548" s="17"/>
      <c r="F3548"/>
      <c r="G3548"/>
      <c r="H3548"/>
      <c r="I3548"/>
      <c r="J3548"/>
    </row>
    <row r="3549" spans="1:10" x14ac:dyDescent="0.25">
      <c r="A3549" s="90">
        <v>40305</v>
      </c>
      <c r="B3549" s="17">
        <v>15.29</v>
      </c>
      <c r="C3549" s="17"/>
      <c r="F3549"/>
      <c r="G3549"/>
      <c r="H3549"/>
      <c r="I3549"/>
      <c r="J3549"/>
    </row>
    <row r="3550" spans="1:10" x14ac:dyDescent="0.25">
      <c r="A3550" s="90">
        <v>40308</v>
      </c>
      <c r="B3550" s="17">
        <v>16.329999999999998</v>
      </c>
      <c r="C3550" s="17"/>
      <c r="F3550"/>
      <c r="G3550"/>
      <c r="H3550"/>
      <c r="I3550"/>
      <c r="J3550"/>
    </row>
    <row r="3551" spans="1:10" x14ac:dyDescent="0.25">
      <c r="A3551" s="90">
        <v>40309</v>
      </c>
      <c r="B3551" s="17">
        <v>16.41</v>
      </c>
      <c r="C3551" s="17"/>
      <c r="F3551"/>
      <c r="G3551"/>
      <c r="H3551"/>
      <c r="I3551"/>
      <c r="J3551"/>
    </row>
    <row r="3552" spans="1:10" x14ac:dyDescent="0.25">
      <c r="A3552" s="90">
        <v>40310</v>
      </c>
      <c r="B3552" s="17">
        <v>16.47</v>
      </c>
      <c r="C3552" s="17"/>
      <c r="F3552"/>
      <c r="G3552"/>
      <c r="H3552"/>
      <c r="I3552"/>
      <c r="J3552"/>
    </row>
    <row r="3553" spans="1:10" x14ac:dyDescent="0.25">
      <c r="A3553" s="90">
        <v>40311</v>
      </c>
      <c r="B3553" s="17">
        <v>16.14</v>
      </c>
      <c r="C3553" s="17"/>
      <c r="F3553"/>
      <c r="G3553"/>
      <c r="H3553"/>
      <c r="I3553"/>
      <c r="J3553"/>
    </row>
    <row r="3554" spans="1:10" x14ac:dyDescent="0.25">
      <c r="A3554" s="90">
        <v>40312</v>
      </c>
      <c r="B3554" s="17">
        <v>16.39</v>
      </c>
      <c r="C3554" s="17"/>
      <c r="F3554"/>
      <c r="G3554"/>
      <c r="H3554"/>
      <c r="I3554"/>
      <c r="J3554"/>
    </row>
    <row r="3555" spans="1:10" x14ac:dyDescent="0.25">
      <c r="A3555" s="90">
        <v>40315</v>
      </c>
      <c r="B3555" s="17">
        <v>16.27</v>
      </c>
      <c r="C3555" s="17"/>
      <c r="F3555"/>
      <c r="G3555"/>
      <c r="H3555"/>
      <c r="I3555"/>
      <c r="J3555"/>
    </row>
    <row r="3556" spans="1:10" x14ac:dyDescent="0.25">
      <c r="A3556" s="90">
        <v>40316</v>
      </c>
      <c r="B3556" s="17">
        <v>16.03</v>
      </c>
      <c r="C3556" s="17"/>
      <c r="F3556"/>
      <c r="G3556"/>
      <c r="H3556"/>
      <c r="I3556"/>
      <c r="J3556"/>
    </row>
    <row r="3557" spans="1:10" x14ac:dyDescent="0.25">
      <c r="A3557" s="90">
        <v>40317</v>
      </c>
      <c r="B3557" s="17">
        <v>15.79</v>
      </c>
      <c r="C3557" s="17"/>
      <c r="F3557"/>
      <c r="G3557"/>
      <c r="H3557"/>
      <c r="I3557"/>
      <c r="J3557"/>
    </row>
    <row r="3558" spans="1:10" x14ac:dyDescent="0.25">
      <c r="A3558" s="90">
        <v>40318</v>
      </c>
      <c r="B3558" s="17">
        <v>15.1</v>
      </c>
      <c r="C3558" s="17"/>
      <c r="F3558"/>
      <c r="G3558"/>
      <c r="H3558"/>
      <c r="I3558"/>
      <c r="J3558"/>
    </row>
    <row r="3559" spans="1:10" x14ac:dyDescent="0.25">
      <c r="A3559" s="90">
        <v>40319</v>
      </c>
      <c r="B3559" s="17">
        <v>15.48</v>
      </c>
      <c r="C3559" s="17"/>
      <c r="F3559"/>
      <c r="G3559"/>
      <c r="H3559"/>
      <c r="I3559"/>
      <c r="J3559"/>
    </row>
    <row r="3560" spans="1:10" x14ac:dyDescent="0.25">
      <c r="A3560" s="90">
        <v>40322</v>
      </c>
      <c r="B3560" s="17">
        <v>15.54</v>
      </c>
      <c r="C3560" s="17"/>
      <c r="F3560"/>
      <c r="G3560"/>
      <c r="H3560"/>
      <c r="I3560"/>
      <c r="J3560"/>
    </row>
    <row r="3561" spans="1:10" x14ac:dyDescent="0.25">
      <c r="A3561" s="90">
        <v>40323</v>
      </c>
      <c r="B3561" s="17">
        <v>15.31</v>
      </c>
      <c r="C3561" s="17"/>
      <c r="F3561"/>
      <c r="G3561"/>
      <c r="H3561"/>
      <c r="I3561"/>
      <c r="J3561"/>
    </row>
    <row r="3562" spans="1:10" x14ac:dyDescent="0.25">
      <c r="A3562" s="90">
        <v>40324</v>
      </c>
      <c r="B3562" s="17">
        <v>15.45</v>
      </c>
      <c r="C3562" s="17"/>
      <c r="F3562"/>
      <c r="G3562"/>
      <c r="H3562"/>
      <c r="I3562"/>
      <c r="J3562"/>
    </row>
    <row r="3563" spans="1:10" x14ac:dyDescent="0.25">
      <c r="A3563" s="90">
        <v>40325</v>
      </c>
      <c r="B3563" s="17">
        <v>15.69</v>
      </c>
      <c r="C3563" s="17"/>
      <c r="F3563"/>
      <c r="G3563"/>
      <c r="H3563"/>
      <c r="I3563"/>
      <c r="J3563"/>
    </row>
    <row r="3564" spans="1:10" x14ac:dyDescent="0.25">
      <c r="A3564" s="90">
        <v>40326</v>
      </c>
      <c r="B3564" s="17">
        <v>15.34</v>
      </c>
      <c r="C3564" s="17"/>
      <c r="F3564"/>
      <c r="G3564"/>
      <c r="H3564"/>
      <c r="I3564"/>
      <c r="J3564"/>
    </row>
    <row r="3565" spans="1:10" x14ac:dyDescent="0.25">
      <c r="A3565" s="90">
        <v>40330</v>
      </c>
      <c r="B3565" s="17">
        <v>15.02</v>
      </c>
      <c r="C3565" s="17"/>
      <c r="F3565"/>
      <c r="G3565"/>
      <c r="H3565"/>
      <c r="I3565"/>
      <c r="J3565"/>
    </row>
    <row r="3566" spans="1:10" x14ac:dyDescent="0.25">
      <c r="A3566" s="90">
        <v>40331</v>
      </c>
      <c r="B3566" s="17">
        <v>15.18</v>
      </c>
      <c r="C3566" s="17"/>
      <c r="F3566"/>
      <c r="G3566"/>
      <c r="H3566"/>
      <c r="I3566"/>
      <c r="J3566"/>
    </row>
    <row r="3567" spans="1:10" x14ac:dyDescent="0.25">
      <c r="A3567" s="90">
        <v>40332</v>
      </c>
      <c r="B3567" s="17">
        <v>15.43</v>
      </c>
      <c r="C3567" s="17"/>
      <c r="F3567"/>
      <c r="G3567"/>
      <c r="H3567"/>
      <c r="I3567"/>
      <c r="J3567"/>
    </row>
    <row r="3568" spans="1:10" x14ac:dyDescent="0.25">
      <c r="A3568" s="90">
        <v>40333</v>
      </c>
      <c r="B3568" s="17">
        <v>15</v>
      </c>
      <c r="C3568" s="17"/>
      <c r="F3568"/>
      <c r="G3568"/>
      <c r="H3568"/>
      <c r="I3568"/>
      <c r="J3568"/>
    </row>
    <row r="3569" spans="1:10" x14ac:dyDescent="0.25">
      <c r="A3569" s="90">
        <v>40336</v>
      </c>
      <c r="B3569" s="17">
        <v>14.94</v>
      </c>
      <c r="C3569" s="17"/>
      <c r="F3569"/>
      <c r="G3569"/>
      <c r="H3569"/>
      <c r="I3569"/>
      <c r="J3569"/>
    </row>
    <row r="3570" spans="1:10" x14ac:dyDescent="0.25">
      <c r="A3570" s="90">
        <v>40337</v>
      </c>
      <c r="B3570" s="17">
        <v>14.79</v>
      </c>
      <c r="C3570" s="17"/>
      <c r="F3570"/>
      <c r="G3570"/>
      <c r="H3570"/>
      <c r="I3570"/>
      <c r="J3570"/>
    </row>
    <row r="3571" spans="1:10" x14ac:dyDescent="0.25">
      <c r="A3571" s="90">
        <v>40338</v>
      </c>
      <c r="B3571" s="17">
        <v>14.69</v>
      </c>
      <c r="C3571" s="17"/>
      <c r="F3571"/>
      <c r="G3571"/>
      <c r="H3571"/>
      <c r="I3571"/>
      <c r="J3571"/>
    </row>
    <row r="3572" spans="1:10" x14ac:dyDescent="0.25">
      <c r="A3572" s="90">
        <v>40339</v>
      </c>
      <c r="B3572" s="17">
        <v>15.1</v>
      </c>
      <c r="C3572" s="17"/>
      <c r="F3572"/>
      <c r="G3572"/>
      <c r="H3572"/>
      <c r="I3572"/>
      <c r="J3572"/>
    </row>
    <row r="3573" spans="1:10" x14ac:dyDescent="0.25">
      <c r="A3573" s="90">
        <v>40340</v>
      </c>
      <c r="B3573" s="17">
        <v>15.29</v>
      </c>
      <c r="C3573" s="17"/>
      <c r="F3573"/>
      <c r="G3573"/>
      <c r="H3573"/>
      <c r="I3573"/>
      <c r="J3573"/>
    </row>
    <row r="3574" spans="1:10" x14ac:dyDescent="0.25">
      <c r="A3574" s="90">
        <v>40343</v>
      </c>
      <c r="B3574" s="17">
        <v>15.17</v>
      </c>
      <c r="C3574" s="17"/>
      <c r="F3574"/>
      <c r="G3574"/>
      <c r="H3574"/>
      <c r="I3574"/>
      <c r="J3574"/>
    </row>
    <row r="3575" spans="1:10" x14ac:dyDescent="0.25">
      <c r="A3575" s="90">
        <v>40344</v>
      </c>
      <c r="B3575" s="17">
        <v>15.65</v>
      </c>
      <c r="C3575" s="17"/>
      <c r="F3575"/>
      <c r="G3575"/>
      <c r="H3575"/>
      <c r="I3575"/>
      <c r="J3575"/>
    </row>
    <row r="3576" spans="1:10" x14ac:dyDescent="0.25">
      <c r="A3576" s="90">
        <v>40345</v>
      </c>
      <c r="B3576" s="17">
        <v>15.49</v>
      </c>
      <c r="C3576" s="17"/>
      <c r="F3576"/>
      <c r="G3576"/>
      <c r="H3576"/>
      <c r="I3576"/>
      <c r="J3576"/>
    </row>
    <row r="3577" spans="1:10" x14ac:dyDescent="0.25">
      <c r="A3577" s="90">
        <v>40346</v>
      </c>
      <c r="B3577" s="17">
        <v>15.6</v>
      </c>
      <c r="C3577" s="17"/>
      <c r="F3577"/>
      <c r="G3577"/>
      <c r="H3577"/>
      <c r="I3577"/>
      <c r="J3577"/>
    </row>
    <row r="3578" spans="1:10" x14ac:dyDescent="0.25">
      <c r="A3578" s="90">
        <v>40347</v>
      </c>
      <c r="B3578" s="17">
        <v>15.54</v>
      </c>
      <c r="C3578" s="17"/>
      <c r="F3578"/>
      <c r="G3578"/>
      <c r="H3578"/>
      <c r="I3578"/>
      <c r="J3578"/>
    </row>
    <row r="3579" spans="1:10" x14ac:dyDescent="0.25">
      <c r="A3579" s="90">
        <v>40350</v>
      </c>
      <c r="B3579" s="17">
        <v>15.21</v>
      </c>
      <c r="C3579" s="17"/>
      <c r="F3579"/>
      <c r="G3579"/>
      <c r="H3579"/>
      <c r="I3579"/>
      <c r="J3579"/>
    </row>
    <row r="3580" spans="1:10" x14ac:dyDescent="0.25">
      <c r="A3580" s="90">
        <v>40351</v>
      </c>
      <c r="B3580" s="17">
        <v>15.09</v>
      </c>
      <c r="C3580" s="17"/>
      <c r="F3580"/>
      <c r="G3580"/>
      <c r="H3580"/>
      <c r="I3580"/>
      <c r="J3580"/>
    </row>
    <row r="3581" spans="1:10" x14ac:dyDescent="0.25">
      <c r="A3581" s="90">
        <v>40352</v>
      </c>
      <c r="B3581" s="17">
        <v>15.23</v>
      </c>
      <c r="C3581" s="17"/>
      <c r="F3581"/>
      <c r="G3581"/>
      <c r="H3581"/>
      <c r="I3581"/>
      <c r="J3581"/>
    </row>
    <row r="3582" spans="1:10" x14ac:dyDescent="0.25">
      <c r="A3582" s="90">
        <v>40353</v>
      </c>
      <c r="B3582" s="17">
        <v>14.83</v>
      </c>
      <c r="C3582" s="17"/>
      <c r="F3582"/>
      <c r="G3582"/>
      <c r="H3582"/>
      <c r="I3582"/>
      <c r="J3582"/>
    </row>
    <row r="3583" spans="1:10" x14ac:dyDescent="0.25">
      <c r="A3583" s="90">
        <v>40354</v>
      </c>
      <c r="B3583" s="17">
        <v>14.81</v>
      </c>
      <c r="C3583" s="17"/>
      <c r="F3583"/>
      <c r="G3583"/>
      <c r="H3583"/>
      <c r="I3583"/>
      <c r="J3583"/>
    </row>
    <row r="3584" spans="1:10" x14ac:dyDescent="0.25">
      <c r="A3584" s="90">
        <v>40357</v>
      </c>
      <c r="B3584" s="17">
        <v>14.73</v>
      </c>
      <c r="C3584" s="17"/>
      <c r="F3584"/>
      <c r="G3584"/>
      <c r="H3584"/>
      <c r="I3584"/>
      <c r="J3584"/>
    </row>
    <row r="3585" spans="1:10" x14ac:dyDescent="0.25">
      <c r="A3585" s="90">
        <v>40358</v>
      </c>
      <c r="B3585" s="17">
        <v>14.04</v>
      </c>
      <c r="C3585" s="17"/>
      <c r="F3585"/>
      <c r="G3585"/>
      <c r="H3585"/>
      <c r="I3585"/>
      <c r="J3585"/>
    </row>
    <row r="3586" spans="1:10" x14ac:dyDescent="0.25">
      <c r="A3586" s="90">
        <v>40359</v>
      </c>
      <c r="B3586" s="17">
        <v>13.84</v>
      </c>
      <c r="C3586" s="17"/>
      <c r="F3586"/>
      <c r="G3586"/>
      <c r="H3586"/>
      <c r="I3586"/>
      <c r="J3586"/>
    </row>
    <row r="3587" spans="1:10" x14ac:dyDescent="0.25">
      <c r="A3587" s="90">
        <v>40360</v>
      </c>
      <c r="B3587" s="17">
        <v>14.09</v>
      </c>
      <c r="C3587" s="17"/>
      <c r="F3587"/>
      <c r="G3587"/>
      <c r="H3587"/>
      <c r="I3587"/>
      <c r="J3587"/>
    </row>
    <row r="3588" spans="1:10" x14ac:dyDescent="0.25">
      <c r="A3588" s="90">
        <v>40361</v>
      </c>
      <c r="B3588" s="17">
        <v>14.07</v>
      </c>
      <c r="C3588" s="17"/>
      <c r="F3588"/>
      <c r="G3588"/>
      <c r="H3588"/>
      <c r="I3588"/>
      <c r="J3588"/>
    </row>
    <row r="3589" spans="1:10" x14ac:dyDescent="0.25">
      <c r="A3589" s="90">
        <v>40365</v>
      </c>
      <c r="B3589" s="17">
        <v>14.13</v>
      </c>
      <c r="C3589" s="17"/>
      <c r="F3589"/>
      <c r="G3589"/>
      <c r="H3589"/>
      <c r="I3589"/>
      <c r="J3589"/>
    </row>
    <row r="3590" spans="1:10" x14ac:dyDescent="0.25">
      <c r="A3590" s="90">
        <v>40366</v>
      </c>
      <c r="B3590" s="17">
        <v>14.4</v>
      </c>
      <c r="C3590" s="17"/>
      <c r="F3590"/>
      <c r="G3590"/>
      <c r="H3590"/>
      <c r="I3590"/>
      <c r="J3590"/>
    </row>
    <row r="3591" spans="1:10" x14ac:dyDescent="0.25">
      <c r="A3591" s="90">
        <v>40367</v>
      </c>
      <c r="B3591" s="17">
        <v>14.6</v>
      </c>
      <c r="C3591" s="17"/>
      <c r="F3591"/>
      <c r="G3591"/>
      <c r="H3591"/>
      <c r="I3591"/>
      <c r="J3591"/>
    </row>
    <row r="3592" spans="1:10" x14ac:dyDescent="0.25">
      <c r="A3592" s="90">
        <v>40368</v>
      </c>
      <c r="B3592" s="17">
        <v>14.89</v>
      </c>
      <c r="C3592" s="17"/>
      <c r="F3592"/>
      <c r="G3592"/>
      <c r="H3592"/>
      <c r="I3592"/>
      <c r="J3592"/>
    </row>
    <row r="3593" spans="1:10" x14ac:dyDescent="0.25">
      <c r="A3593" s="90">
        <v>40371</v>
      </c>
      <c r="B3593" s="17">
        <v>14.94</v>
      </c>
      <c r="C3593" s="17"/>
      <c r="F3593"/>
      <c r="G3593"/>
      <c r="H3593"/>
      <c r="I3593"/>
      <c r="J3593"/>
    </row>
    <row r="3594" spans="1:10" x14ac:dyDescent="0.25">
      <c r="A3594" s="90">
        <v>40372</v>
      </c>
      <c r="B3594" s="17">
        <v>15.52</v>
      </c>
      <c r="C3594" s="17"/>
      <c r="F3594"/>
      <c r="G3594"/>
      <c r="H3594"/>
      <c r="I3594"/>
      <c r="J3594"/>
    </row>
    <row r="3595" spans="1:10" x14ac:dyDescent="0.25">
      <c r="A3595" s="90">
        <v>40373</v>
      </c>
      <c r="B3595" s="17">
        <v>15.37</v>
      </c>
      <c r="C3595" s="17"/>
      <c r="F3595"/>
      <c r="G3595"/>
      <c r="H3595"/>
      <c r="I3595"/>
      <c r="J3595"/>
    </row>
    <row r="3596" spans="1:10" x14ac:dyDescent="0.25">
      <c r="A3596" s="90">
        <v>40374</v>
      </c>
      <c r="B3596" s="17">
        <v>15.37</v>
      </c>
      <c r="C3596" s="17"/>
      <c r="F3596"/>
      <c r="G3596"/>
      <c r="H3596"/>
      <c r="I3596"/>
      <c r="J3596"/>
    </row>
    <row r="3597" spans="1:10" x14ac:dyDescent="0.25">
      <c r="A3597" s="90">
        <v>40375</v>
      </c>
      <c r="B3597" s="17">
        <v>14.9</v>
      </c>
      <c r="C3597" s="17"/>
      <c r="F3597"/>
      <c r="G3597"/>
      <c r="H3597"/>
      <c r="I3597"/>
      <c r="J3597"/>
    </row>
    <row r="3598" spans="1:10" x14ac:dyDescent="0.25">
      <c r="A3598" s="90">
        <v>40378</v>
      </c>
      <c r="B3598" s="17">
        <v>15.1</v>
      </c>
      <c r="C3598" s="17"/>
      <c r="F3598"/>
      <c r="G3598"/>
      <c r="H3598"/>
      <c r="I3598"/>
      <c r="J3598"/>
    </row>
    <row r="3599" spans="1:10" x14ac:dyDescent="0.25">
      <c r="A3599" s="90">
        <v>40379</v>
      </c>
      <c r="B3599" s="17">
        <v>15.2</v>
      </c>
      <c r="C3599" s="17"/>
      <c r="F3599"/>
      <c r="G3599"/>
      <c r="H3599"/>
      <c r="I3599"/>
      <c r="J3599"/>
    </row>
    <row r="3600" spans="1:10" x14ac:dyDescent="0.25">
      <c r="A3600" s="90">
        <v>40380</v>
      </c>
      <c r="B3600" s="17">
        <v>13.91</v>
      </c>
      <c r="C3600" s="17"/>
      <c r="F3600"/>
      <c r="G3600"/>
      <c r="H3600"/>
      <c r="I3600"/>
      <c r="J3600"/>
    </row>
    <row r="3601" spans="1:10" x14ac:dyDescent="0.25">
      <c r="A3601" s="90">
        <v>40381</v>
      </c>
      <c r="B3601" s="17">
        <v>13.88</v>
      </c>
      <c r="C3601" s="17"/>
      <c r="F3601"/>
      <c r="G3601"/>
      <c r="H3601"/>
      <c r="I3601"/>
      <c r="J3601"/>
    </row>
    <row r="3602" spans="1:10" x14ac:dyDescent="0.25">
      <c r="A3602" s="90">
        <v>40382</v>
      </c>
      <c r="B3602" s="17">
        <v>13.99</v>
      </c>
      <c r="C3602" s="17"/>
      <c r="F3602"/>
      <c r="G3602"/>
      <c r="H3602"/>
      <c r="I3602"/>
      <c r="J3602"/>
    </row>
    <row r="3603" spans="1:10" x14ac:dyDescent="0.25">
      <c r="A3603" s="90">
        <v>40385</v>
      </c>
      <c r="B3603" s="17">
        <v>14.15</v>
      </c>
      <c r="C3603" s="17"/>
      <c r="F3603"/>
      <c r="G3603"/>
      <c r="H3603"/>
      <c r="I3603"/>
      <c r="J3603"/>
    </row>
    <row r="3604" spans="1:10" x14ac:dyDescent="0.25">
      <c r="A3604" s="90">
        <v>40386</v>
      </c>
      <c r="B3604" s="17">
        <v>13.95</v>
      </c>
      <c r="C3604" s="17"/>
      <c r="F3604"/>
      <c r="G3604"/>
      <c r="H3604"/>
      <c r="I3604"/>
      <c r="J3604"/>
    </row>
    <row r="3605" spans="1:10" x14ac:dyDescent="0.25">
      <c r="A3605" s="90">
        <v>40387</v>
      </c>
      <c r="B3605" s="17">
        <v>13.87</v>
      </c>
      <c r="C3605" s="17"/>
      <c r="F3605"/>
      <c r="G3605"/>
      <c r="H3605"/>
      <c r="I3605"/>
      <c r="J3605"/>
    </row>
    <row r="3606" spans="1:10" x14ac:dyDescent="0.25">
      <c r="A3606" s="90">
        <v>40388</v>
      </c>
      <c r="B3606" s="17">
        <v>13.76</v>
      </c>
      <c r="C3606" s="17"/>
      <c r="F3606"/>
      <c r="G3606"/>
      <c r="H3606"/>
      <c r="I3606"/>
      <c r="J3606"/>
    </row>
    <row r="3607" spans="1:10" x14ac:dyDescent="0.25">
      <c r="A3607" s="90">
        <v>40389</v>
      </c>
      <c r="B3607" s="17">
        <v>13.88</v>
      </c>
      <c r="C3607" s="17"/>
      <c r="F3607"/>
      <c r="G3607"/>
      <c r="H3607"/>
      <c r="I3607"/>
      <c r="J3607"/>
    </row>
    <row r="3608" spans="1:10" x14ac:dyDescent="0.25">
      <c r="A3608" s="90">
        <v>40392</v>
      </c>
      <c r="B3608" s="17">
        <v>14</v>
      </c>
      <c r="C3608" s="17"/>
      <c r="F3608"/>
      <c r="G3608"/>
      <c r="H3608"/>
      <c r="I3608"/>
      <c r="J3608"/>
    </row>
    <row r="3609" spans="1:10" x14ac:dyDescent="0.25">
      <c r="A3609" s="90">
        <v>40393</v>
      </c>
      <c r="B3609" s="17">
        <v>13.94</v>
      </c>
      <c r="C3609" s="17"/>
      <c r="F3609"/>
      <c r="G3609"/>
      <c r="H3609"/>
      <c r="I3609"/>
      <c r="J3609"/>
    </row>
    <row r="3610" spans="1:10" x14ac:dyDescent="0.25">
      <c r="A3610" s="90">
        <v>40394</v>
      </c>
      <c r="B3610" s="17">
        <v>14.18</v>
      </c>
      <c r="C3610" s="17"/>
      <c r="F3610"/>
      <c r="G3610"/>
      <c r="H3610"/>
      <c r="I3610"/>
      <c r="J3610"/>
    </row>
    <row r="3611" spans="1:10" x14ac:dyDescent="0.25">
      <c r="A3611" s="90">
        <v>40395</v>
      </c>
      <c r="B3611" s="17">
        <v>14.16</v>
      </c>
      <c r="C3611" s="17"/>
      <c r="F3611"/>
      <c r="G3611"/>
      <c r="H3611"/>
      <c r="I3611"/>
      <c r="J3611"/>
    </row>
    <row r="3612" spans="1:10" x14ac:dyDescent="0.25">
      <c r="A3612" s="90">
        <v>40396</v>
      </c>
      <c r="B3612" s="17">
        <v>14.34</v>
      </c>
      <c r="C3612" s="17"/>
      <c r="F3612"/>
      <c r="G3612"/>
      <c r="H3612"/>
      <c r="I3612"/>
      <c r="J3612"/>
    </row>
    <row r="3613" spans="1:10" x14ac:dyDescent="0.25">
      <c r="A3613" s="90">
        <v>40399</v>
      </c>
      <c r="B3613" s="17">
        <v>14.4</v>
      </c>
      <c r="C3613" s="17"/>
      <c r="F3613"/>
      <c r="G3613"/>
      <c r="H3613"/>
      <c r="I3613"/>
      <c r="J3613"/>
    </row>
    <row r="3614" spans="1:10" x14ac:dyDescent="0.25">
      <c r="A3614" s="90">
        <v>40400</v>
      </c>
      <c r="B3614" s="17">
        <v>14.35</v>
      </c>
      <c r="C3614" s="17"/>
      <c r="F3614"/>
      <c r="G3614"/>
      <c r="H3614"/>
      <c r="I3614"/>
      <c r="J3614"/>
    </row>
    <row r="3615" spans="1:10" x14ac:dyDescent="0.25">
      <c r="A3615" s="90">
        <v>40401</v>
      </c>
      <c r="B3615" s="17">
        <v>13.87</v>
      </c>
      <c r="C3615" s="17"/>
      <c r="F3615"/>
      <c r="G3615"/>
      <c r="H3615"/>
      <c r="I3615"/>
      <c r="J3615"/>
    </row>
    <row r="3616" spans="1:10" x14ac:dyDescent="0.25">
      <c r="A3616" s="90">
        <v>40402</v>
      </c>
      <c r="B3616" s="17">
        <v>13.85</v>
      </c>
      <c r="C3616" s="17"/>
      <c r="F3616"/>
      <c r="G3616"/>
      <c r="H3616"/>
      <c r="I3616"/>
      <c r="J3616"/>
    </row>
    <row r="3617" spans="1:10" x14ac:dyDescent="0.25">
      <c r="A3617" s="90">
        <v>40403</v>
      </c>
      <c r="B3617" s="17">
        <v>13.83</v>
      </c>
      <c r="C3617" s="17"/>
      <c r="F3617"/>
      <c r="G3617"/>
      <c r="H3617"/>
      <c r="I3617"/>
      <c r="J3617"/>
    </row>
    <row r="3618" spans="1:10" x14ac:dyDescent="0.25">
      <c r="A3618" s="90">
        <v>40406</v>
      </c>
      <c r="B3618" s="17">
        <v>13.79</v>
      </c>
      <c r="C3618" s="17"/>
      <c r="F3618"/>
      <c r="G3618"/>
      <c r="H3618"/>
      <c r="I3618"/>
      <c r="J3618"/>
    </row>
    <row r="3619" spans="1:10" x14ac:dyDescent="0.25">
      <c r="A3619" s="90">
        <v>40407</v>
      </c>
      <c r="B3619" s="17">
        <v>13.94</v>
      </c>
      <c r="C3619" s="17"/>
      <c r="F3619"/>
      <c r="G3619"/>
      <c r="H3619"/>
      <c r="I3619"/>
      <c r="J3619"/>
    </row>
    <row r="3620" spans="1:10" x14ac:dyDescent="0.25">
      <c r="A3620" s="90">
        <v>40408</v>
      </c>
      <c r="B3620" s="17">
        <v>13.99</v>
      </c>
      <c r="C3620" s="17"/>
      <c r="F3620"/>
      <c r="G3620"/>
      <c r="H3620"/>
      <c r="I3620"/>
      <c r="J3620"/>
    </row>
    <row r="3621" spans="1:10" x14ac:dyDescent="0.25">
      <c r="A3621" s="90">
        <v>40409</v>
      </c>
      <c r="B3621" s="17">
        <v>13.85</v>
      </c>
      <c r="C3621" s="17"/>
      <c r="F3621"/>
      <c r="G3621"/>
      <c r="H3621"/>
      <c r="I3621"/>
      <c r="J3621"/>
    </row>
    <row r="3622" spans="1:10" x14ac:dyDescent="0.25">
      <c r="A3622" s="90">
        <v>40410</v>
      </c>
      <c r="B3622" s="17">
        <v>13.79</v>
      </c>
      <c r="C3622" s="17"/>
      <c r="F3622"/>
      <c r="G3622"/>
      <c r="H3622"/>
      <c r="I3622"/>
      <c r="J3622"/>
    </row>
    <row r="3623" spans="1:10" x14ac:dyDescent="0.25">
      <c r="A3623" s="90">
        <v>40413</v>
      </c>
      <c r="B3623" s="17">
        <v>13.65</v>
      </c>
      <c r="C3623" s="17"/>
      <c r="F3623"/>
      <c r="G3623"/>
      <c r="H3623"/>
      <c r="I3623"/>
      <c r="J3623"/>
    </row>
    <row r="3624" spans="1:10" x14ac:dyDescent="0.25">
      <c r="A3624" s="90">
        <v>40414</v>
      </c>
      <c r="B3624" s="17">
        <v>13.4</v>
      </c>
      <c r="C3624" s="17"/>
      <c r="F3624"/>
      <c r="G3624"/>
      <c r="H3624"/>
      <c r="I3624"/>
      <c r="J3624"/>
    </row>
    <row r="3625" spans="1:10" x14ac:dyDescent="0.25">
      <c r="A3625" s="90">
        <v>40415</v>
      </c>
      <c r="B3625" s="17">
        <v>13.26</v>
      </c>
      <c r="C3625" s="17"/>
      <c r="F3625"/>
      <c r="G3625"/>
      <c r="H3625"/>
      <c r="I3625"/>
      <c r="J3625"/>
    </row>
    <row r="3626" spans="1:10" x14ac:dyDescent="0.25">
      <c r="A3626" s="90">
        <v>40416</v>
      </c>
      <c r="B3626" s="17">
        <v>13.21</v>
      </c>
      <c r="C3626" s="17"/>
      <c r="F3626"/>
      <c r="G3626"/>
      <c r="H3626"/>
      <c r="I3626"/>
      <c r="J3626"/>
    </row>
    <row r="3627" spans="1:10" x14ac:dyDescent="0.25">
      <c r="A3627" s="90">
        <v>40417</v>
      </c>
      <c r="B3627" s="17">
        <v>13.43</v>
      </c>
      <c r="C3627" s="17"/>
      <c r="F3627"/>
      <c r="G3627"/>
      <c r="H3627"/>
      <c r="I3627"/>
      <c r="J3627"/>
    </row>
    <row r="3628" spans="1:10" x14ac:dyDescent="0.25">
      <c r="A3628" s="90">
        <v>40420</v>
      </c>
      <c r="B3628" s="17">
        <v>13.18</v>
      </c>
      <c r="C3628" s="17"/>
      <c r="F3628"/>
      <c r="G3628"/>
      <c r="H3628"/>
      <c r="I3628"/>
      <c r="J3628"/>
    </row>
    <row r="3629" spans="1:10" x14ac:dyDescent="0.25">
      <c r="A3629" s="90">
        <v>40421</v>
      </c>
      <c r="B3629" s="17">
        <v>13.11</v>
      </c>
      <c r="C3629" s="17"/>
      <c r="F3629"/>
      <c r="G3629"/>
      <c r="H3629"/>
      <c r="I3629"/>
      <c r="J3629"/>
    </row>
    <row r="3630" spans="1:10" x14ac:dyDescent="0.25">
      <c r="A3630" s="90">
        <v>40422</v>
      </c>
      <c r="B3630" s="17">
        <v>13.37</v>
      </c>
      <c r="C3630" s="17"/>
      <c r="F3630"/>
      <c r="G3630"/>
      <c r="H3630"/>
      <c r="I3630"/>
      <c r="J3630"/>
    </row>
    <row r="3631" spans="1:10" x14ac:dyDescent="0.25">
      <c r="A3631" s="90">
        <v>40423</v>
      </c>
      <c r="B3631" s="17">
        <v>13.51</v>
      </c>
      <c r="C3631" s="17"/>
      <c r="F3631"/>
      <c r="G3631"/>
      <c r="H3631"/>
      <c r="I3631"/>
      <c r="J3631"/>
    </row>
    <row r="3632" spans="1:10" x14ac:dyDescent="0.25">
      <c r="A3632" s="90">
        <v>40424</v>
      </c>
      <c r="B3632" s="17">
        <v>13.62</v>
      </c>
      <c r="C3632" s="17"/>
      <c r="F3632"/>
      <c r="G3632"/>
      <c r="H3632"/>
      <c r="I3632"/>
      <c r="J3632"/>
    </row>
    <row r="3633" spans="1:10" x14ac:dyDescent="0.25">
      <c r="A3633" s="90">
        <v>40428</v>
      </c>
      <c r="B3633" s="17">
        <v>13.53</v>
      </c>
      <c r="C3633" s="17"/>
      <c r="F3633"/>
      <c r="G3633"/>
      <c r="H3633"/>
      <c r="I3633"/>
      <c r="J3633"/>
    </row>
    <row r="3634" spans="1:10" x14ac:dyDescent="0.25">
      <c r="A3634" s="90">
        <v>40429</v>
      </c>
      <c r="B3634" s="17">
        <v>13.75</v>
      </c>
      <c r="C3634" s="17"/>
      <c r="F3634"/>
      <c r="G3634"/>
      <c r="H3634"/>
      <c r="I3634"/>
      <c r="J3634"/>
    </row>
    <row r="3635" spans="1:10" x14ac:dyDescent="0.25">
      <c r="A3635" s="90">
        <v>40430</v>
      </c>
      <c r="B3635" s="17">
        <v>13.65</v>
      </c>
      <c r="C3635" s="17"/>
      <c r="F3635"/>
      <c r="G3635"/>
      <c r="H3635"/>
      <c r="I3635"/>
      <c r="J3635"/>
    </row>
    <row r="3636" spans="1:10" x14ac:dyDescent="0.25">
      <c r="A3636" s="90">
        <v>40431</v>
      </c>
      <c r="B3636" s="17">
        <v>13.68</v>
      </c>
      <c r="C3636" s="17"/>
      <c r="F3636"/>
      <c r="G3636"/>
      <c r="H3636"/>
      <c r="I3636"/>
      <c r="J3636"/>
    </row>
    <row r="3637" spans="1:10" x14ac:dyDescent="0.25">
      <c r="A3637" s="90">
        <v>40434</v>
      </c>
      <c r="B3637" s="17">
        <v>13.73</v>
      </c>
      <c r="C3637" s="17"/>
      <c r="F3637"/>
      <c r="G3637"/>
      <c r="H3637"/>
      <c r="I3637"/>
      <c r="J3637"/>
    </row>
    <row r="3638" spans="1:10" x14ac:dyDescent="0.25">
      <c r="A3638" s="90">
        <v>40435</v>
      </c>
      <c r="B3638" s="17">
        <v>13.63</v>
      </c>
      <c r="C3638" s="17"/>
      <c r="F3638"/>
      <c r="G3638"/>
      <c r="H3638"/>
      <c r="I3638"/>
      <c r="J3638"/>
    </row>
    <row r="3639" spans="1:10" x14ac:dyDescent="0.25">
      <c r="A3639" s="90">
        <v>40436</v>
      </c>
      <c r="B3639" s="17">
        <v>14.27</v>
      </c>
      <c r="C3639" s="17"/>
      <c r="F3639"/>
      <c r="G3639"/>
      <c r="H3639"/>
      <c r="I3639"/>
      <c r="J3639"/>
    </row>
    <row r="3640" spans="1:10" x14ac:dyDescent="0.25">
      <c r="A3640" s="90">
        <v>40437</v>
      </c>
      <c r="B3640" s="17">
        <v>14.19</v>
      </c>
      <c r="C3640" s="17"/>
      <c r="F3640"/>
      <c r="G3640"/>
      <c r="H3640"/>
      <c r="I3640"/>
      <c r="J3640"/>
    </row>
    <row r="3641" spans="1:10" x14ac:dyDescent="0.25">
      <c r="A3641" s="90">
        <v>40438</v>
      </c>
      <c r="B3641" s="17">
        <v>13.89</v>
      </c>
      <c r="C3641" s="17"/>
      <c r="F3641"/>
      <c r="G3641"/>
      <c r="H3641"/>
      <c r="I3641"/>
      <c r="J3641"/>
    </row>
    <row r="3642" spans="1:10" x14ac:dyDescent="0.25">
      <c r="A3642" s="90">
        <v>40441</v>
      </c>
      <c r="B3642" s="17">
        <v>13.86</v>
      </c>
      <c r="C3642" s="17"/>
      <c r="F3642"/>
      <c r="G3642"/>
      <c r="H3642"/>
      <c r="I3642"/>
      <c r="J3642"/>
    </row>
    <row r="3643" spans="1:10" x14ac:dyDescent="0.25">
      <c r="A3643" s="90">
        <v>40442</v>
      </c>
      <c r="B3643" s="17">
        <v>14.18</v>
      </c>
      <c r="C3643" s="17"/>
      <c r="F3643"/>
      <c r="G3643"/>
      <c r="H3643"/>
      <c r="I3643"/>
      <c r="J3643"/>
    </row>
    <row r="3644" spans="1:10" x14ac:dyDescent="0.25">
      <c r="A3644" s="90">
        <v>40443</v>
      </c>
      <c r="B3644" s="17">
        <v>14.04</v>
      </c>
      <c r="C3644" s="17"/>
      <c r="F3644"/>
      <c r="G3644"/>
      <c r="H3644"/>
      <c r="I3644"/>
      <c r="J3644"/>
    </row>
    <row r="3645" spans="1:10" x14ac:dyDescent="0.25">
      <c r="A3645" s="90">
        <v>40444</v>
      </c>
      <c r="B3645" s="17">
        <v>14.17</v>
      </c>
      <c r="C3645" s="17"/>
      <c r="F3645"/>
      <c r="G3645"/>
      <c r="H3645"/>
      <c r="I3645"/>
      <c r="J3645"/>
    </row>
    <row r="3646" spans="1:10" x14ac:dyDescent="0.25">
      <c r="A3646" s="90">
        <v>40445</v>
      </c>
      <c r="B3646" s="17">
        <v>14.5</v>
      </c>
      <c r="C3646" s="17"/>
      <c r="F3646"/>
      <c r="G3646"/>
      <c r="H3646"/>
      <c r="I3646"/>
      <c r="J3646"/>
    </row>
    <row r="3647" spans="1:10" x14ac:dyDescent="0.25">
      <c r="A3647" s="90">
        <v>40448</v>
      </c>
      <c r="B3647" s="17">
        <v>14.28</v>
      </c>
      <c r="C3647" s="17"/>
      <c r="F3647"/>
      <c r="G3647"/>
      <c r="H3647"/>
      <c r="I3647"/>
      <c r="J3647"/>
    </row>
    <row r="3648" spans="1:10" x14ac:dyDescent="0.25">
      <c r="A3648" s="90">
        <v>40449</v>
      </c>
      <c r="B3648" s="17">
        <v>14.39</v>
      </c>
      <c r="C3648" s="17"/>
      <c r="F3648"/>
      <c r="G3648"/>
      <c r="H3648"/>
      <c r="I3648"/>
      <c r="J3648"/>
    </row>
    <row r="3649" spans="1:10" x14ac:dyDescent="0.25">
      <c r="A3649" s="90">
        <v>40450</v>
      </c>
      <c r="B3649" s="17">
        <v>14.34</v>
      </c>
      <c r="C3649" s="17"/>
      <c r="F3649"/>
      <c r="G3649"/>
      <c r="H3649"/>
      <c r="I3649"/>
      <c r="J3649"/>
    </row>
    <row r="3650" spans="1:10" x14ac:dyDescent="0.25">
      <c r="A3650" s="90">
        <v>40451</v>
      </c>
      <c r="B3650" s="17">
        <v>14.17</v>
      </c>
      <c r="C3650" s="17"/>
      <c r="F3650"/>
      <c r="G3650"/>
      <c r="H3650"/>
      <c r="I3650"/>
      <c r="J3650"/>
    </row>
    <row r="3651" spans="1:10" x14ac:dyDescent="0.25">
      <c r="A3651" s="90">
        <v>40452</v>
      </c>
      <c r="B3651" s="17">
        <v>14.27</v>
      </c>
      <c r="C3651" s="17"/>
      <c r="F3651"/>
      <c r="G3651"/>
      <c r="H3651"/>
      <c r="I3651"/>
      <c r="J3651"/>
    </row>
    <row r="3652" spans="1:10" x14ac:dyDescent="0.25">
      <c r="A3652" s="90">
        <v>40455</v>
      </c>
      <c r="B3652" s="17">
        <v>14.28</v>
      </c>
      <c r="C3652" s="17"/>
      <c r="F3652"/>
      <c r="G3652"/>
      <c r="H3652"/>
      <c r="I3652"/>
      <c r="J3652"/>
    </row>
    <row r="3653" spans="1:10" x14ac:dyDescent="0.25">
      <c r="A3653" s="90">
        <v>40456</v>
      </c>
      <c r="B3653" s="17">
        <v>14.61</v>
      </c>
      <c r="C3653" s="17"/>
      <c r="F3653"/>
      <c r="G3653"/>
      <c r="H3653"/>
      <c r="I3653"/>
      <c r="J3653"/>
    </row>
    <row r="3654" spans="1:10" x14ac:dyDescent="0.25">
      <c r="A3654" s="90">
        <v>40457</v>
      </c>
      <c r="B3654" s="17">
        <v>14.52</v>
      </c>
      <c r="C3654" s="17"/>
      <c r="F3654"/>
      <c r="G3654"/>
      <c r="H3654"/>
      <c r="I3654"/>
      <c r="J3654"/>
    </row>
    <row r="3655" spans="1:10" x14ac:dyDescent="0.25">
      <c r="A3655" s="90">
        <v>40458</v>
      </c>
      <c r="B3655" s="17">
        <v>14.23</v>
      </c>
      <c r="C3655" s="17"/>
      <c r="F3655"/>
      <c r="G3655"/>
      <c r="H3655"/>
      <c r="I3655"/>
      <c r="J3655"/>
    </row>
    <row r="3656" spans="1:10" x14ac:dyDescent="0.25">
      <c r="A3656" s="90">
        <v>40459</v>
      </c>
      <c r="B3656" s="17">
        <v>14.49</v>
      </c>
      <c r="C3656" s="17"/>
      <c r="F3656"/>
      <c r="G3656"/>
      <c r="H3656"/>
      <c r="I3656"/>
      <c r="J3656"/>
    </row>
    <row r="3657" spans="1:10" x14ac:dyDescent="0.25">
      <c r="A3657" s="90">
        <v>40462</v>
      </c>
      <c r="B3657" s="17">
        <v>14.41</v>
      </c>
      <c r="C3657" s="17"/>
      <c r="F3657"/>
      <c r="G3657"/>
      <c r="H3657"/>
      <c r="I3657"/>
      <c r="J3657"/>
    </row>
    <row r="3658" spans="1:10" x14ac:dyDescent="0.25">
      <c r="A3658" s="90">
        <v>40463</v>
      </c>
      <c r="B3658" s="17">
        <v>14.43</v>
      </c>
      <c r="C3658" s="17"/>
      <c r="F3658"/>
      <c r="G3658"/>
      <c r="H3658"/>
      <c r="I3658"/>
      <c r="J3658"/>
    </row>
    <row r="3659" spans="1:10" x14ac:dyDescent="0.25">
      <c r="A3659" s="90">
        <v>40464</v>
      </c>
      <c r="B3659" s="17">
        <v>15.25</v>
      </c>
      <c r="C3659" s="17"/>
      <c r="F3659"/>
      <c r="G3659"/>
      <c r="H3659"/>
      <c r="I3659"/>
      <c r="J3659"/>
    </row>
    <row r="3660" spans="1:10" x14ac:dyDescent="0.25">
      <c r="A3660" s="90">
        <v>40465</v>
      </c>
      <c r="B3660" s="17">
        <v>15.93</v>
      </c>
      <c r="C3660" s="17"/>
      <c r="F3660"/>
      <c r="G3660"/>
      <c r="H3660"/>
      <c r="I3660"/>
      <c r="J3660"/>
    </row>
    <row r="3661" spans="1:10" x14ac:dyDescent="0.25">
      <c r="A3661" s="90">
        <v>40466</v>
      </c>
      <c r="B3661" s="17">
        <v>16.25</v>
      </c>
      <c r="C3661" s="17"/>
      <c r="F3661"/>
      <c r="G3661"/>
      <c r="H3661"/>
      <c r="I3661"/>
      <c r="J3661"/>
    </row>
    <row r="3662" spans="1:10" x14ac:dyDescent="0.25">
      <c r="A3662" s="90">
        <v>40469</v>
      </c>
      <c r="B3662" s="17">
        <v>15.93</v>
      </c>
      <c r="C3662" s="17"/>
      <c r="F3662"/>
      <c r="G3662"/>
      <c r="H3662"/>
      <c r="I3662"/>
      <c r="J3662"/>
    </row>
    <row r="3663" spans="1:10" x14ac:dyDescent="0.25">
      <c r="A3663" s="90">
        <v>40470</v>
      </c>
      <c r="B3663" s="17">
        <v>15.49</v>
      </c>
      <c r="C3663" s="17"/>
      <c r="F3663"/>
      <c r="G3663"/>
      <c r="H3663"/>
      <c r="I3663"/>
      <c r="J3663"/>
    </row>
    <row r="3664" spans="1:10" x14ac:dyDescent="0.25">
      <c r="A3664" s="90">
        <v>40471</v>
      </c>
      <c r="B3664" s="17">
        <v>15.8</v>
      </c>
      <c r="C3664" s="17"/>
      <c r="F3664"/>
      <c r="G3664"/>
      <c r="H3664"/>
      <c r="I3664"/>
      <c r="J3664"/>
    </row>
    <row r="3665" spans="1:10" x14ac:dyDescent="0.25">
      <c r="A3665" s="90">
        <v>40472</v>
      </c>
      <c r="B3665" s="17">
        <v>15.97</v>
      </c>
      <c r="C3665" s="17"/>
      <c r="F3665"/>
      <c r="G3665"/>
      <c r="H3665"/>
      <c r="I3665"/>
      <c r="J3665"/>
    </row>
    <row r="3666" spans="1:10" x14ac:dyDescent="0.25">
      <c r="A3666" s="90">
        <v>40473</v>
      </c>
      <c r="B3666" s="17">
        <v>16.309999999999999</v>
      </c>
      <c r="C3666" s="17"/>
      <c r="F3666"/>
      <c r="G3666"/>
      <c r="H3666"/>
      <c r="I3666"/>
      <c r="J3666"/>
    </row>
    <row r="3667" spans="1:10" x14ac:dyDescent="0.25">
      <c r="A3667" s="90">
        <v>40476</v>
      </c>
      <c r="B3667" s="17">
        <v>16.399999999999999</v>
      </c>
      <c r="C3667" s="17"/>
      <c r="F3667"/>
      <c r="G3667"/>
      <c r="H3667"/>
      <c r="I3667"/>
      <c r="J3667"/>
    </row>
    <row r="3668" spans="1:10" x14ac:dyDescent="0.25">
      <c r="A3668" s="90">
        <v>40477</v>
      </c>
      <c r="B3668" s="17">
        <v>16.46</v>
      </c>
      <c r="C3668" s="17"/>
      <c r="F3668"/>
      <c r="G3668"/>
      <c r="H3668"/>
      <c r="I3668"/>
      <c r="J3668"/>
    </row>
    <row r="3669" spans="1:10" x14ac:dyDescent="0.25">
      <c r="A3669" s="90">
        <v>40478</v>
      </c>
      <c r="B3669" s="17">
        <v>16.420000000000002</v>
      </c>
      <c r="C3669" s="17"/>
      <c r="F3669"/>
      <c r="G3669"/>
      <c r="H3669"/>
      <c r="I3669"/>
      <c r="J3669"/>
    </row>
    <row r="3670" spans="1:10" x14ac:dyDescent="0.25">
      <c r="A3670" s="90">
        <v>40479</v>
      </c>
      <c r="B3670" s="17">
        <v>16.399999999999999</v>
      </c>
      <c r="C3670" s="17"/>
      <c r="F3670"/>
      <c r="G3670"/>
      <c r="H3670"/>
      <c r="I3670"/>
      <c r="J3670"/>
    </row>
    <row r="3671" spans="1:10" x14ac:dyDescent="0.25">
      <c r="A3671" s="90">
        <v>40480</v>
      </c>
      <c r="B3671" s="17">
        <v>16.489999999999998</v>
      </c>
      <c r="C3671" s="17"/>
      <c r="F3671"/>
      <c r="G3671"/>
      <c r="H3671"/>
      <c r="I3671"/>
      <c r="J3671"/>
    </row>
    <row r="3672" spans="1:10" x14ac:dyDescent="0.25">
      <c r="A3672" s="90">
        <v>40483</v>
      </c>
      <c r="B3672" s="17">
        <v>16.149999999999999</v>
      </c>
      <c r="C3672" s="17"/>
      <c r="F3672"/>
      <c r="G3672"/>
      <c r="H3672"/>
      <c r="I3672"/>
      <c r="J3672"/>
    </row>
    <row r="3673" spans="1:10" x14ac:dyDescent="0.25">
      <c r="A3673" s="90">
        <v>40484</v>
      </c>
      <c r="B3673" s="17">
        <v>16.190000000000001</v>
      </c>
      <c r="C3673" s="17"/>
      <c r="F3673"/>
      <c r="G3673"/>
      <c r="H3673"/>
      <c r="I3673"/>
      <c r="J3673"/>
    </row>
    <row r="3674" spans="1:10" x14ac:dyDescent="0.25">
      <c r="A3674" s="90">
        <v>40485</v>
      </c>
      <c r="B3674" s="17">
        <v>16.170000000000002</v>
      </c>
      <c r="C3674" s="17"/>
      <c r="F3674"/>
      <c r="G3674"/>
      <c r="H3674"/>
      <c r="I3674"/>
      <c r="J3674"/>
    </row>
    <row r="3675" spans="1:10" x14ac:dyDescent="0.25">
      <c r="A3675" s="90">
        <v>40486</v>
      </c>
      <c r="B3675" s="17">
        <v>16.2</v>
      </c>
      <c r="C3675" s="17"/>
      <c r="F3675"/>
      <c r="G3675"/>
      <c r="H3675"/>
      <c r="I3675"/>
      <c r="J3675"/>
    </row>
    <row r="3676" spans="1:10" x14ac:dyDescent="0.25">
      <c r="A3676" s="90">
        <v>40487</v>
      </c>
      <c r="B3676" s="17">
        <v>16.27</v>
      </c>
      <c r="C3676" s="17"/>
      <c r="F3676"/>
      <c r="G3676"/>
      <c r="H3676"/>
      <c r="I3676"/>
      <c r="J3676"/>
    </row>
    <row r="3677" spans="1:10" x14ac:dyDescent="0.25">
      <c r="A3677" s="90">
        <v>40490</v>
      </c>
      <c r="B3677" s="17">
        <v>16.440000000000001</v>
      </c>
      <c r="C3677" s="17"/>
      <c r="F3677"/>
      <c r="G3677"/>
      <c r="H3677"/>
      <c r="I3677"/>
      <c r="J3677"/>
    </row>
    <row r="3678" spans="1:10" x14ac:dyDescent="0.25">
      <c r="A3678" s="90">
        <v>40491</v>
      </c>
      <c r="B3678" s="17">
        <v>16.97</v>
      </c>
      <c r="C3678" s="17"/>
      <c r="F3678"/>
      <c r="G3678"/>
      <c r="H3678"/>
      <c r="I3678"/>
      <c r="J3678"/>
    </row>
    <row r="3679" spans="1:10" x14ac:dyDescent="0.25">
      <c r="A3679" s="90">
        <v>40492</v>
      </c>
      <c r="B3679" s="17">
        <v>16.940000000000001</v>
      </c>
      <c r="C3679" s="17"/>
      <c r="F3679"/>
      <c r="G3679"/>
      <c r="H3679"/>
      <c r="I3679"/>
      <c r="J3679"/>
    </row>
    <row r="3680" spans="1:10" x14ac:dyDescent="0.25">
      <c r="A3680" s="90">
        <v>40493</v>
      </c>
      <c r="B3680" s="17">
        <v>16.8</v>
      </c>
      <c r="C3680" s="17"/>
      <c r="F3680"/>
      <c r="G3680"/>
      <c r="H3680"/>
      <c r="I3680"/>
      <c r="J3680"/>
    </row>
    <row r="3681" spans="1:10" x14ac:dyDescent="0.25">
      <c r="A3681" s="90">
        <v>40494</v>
      </c>
      <c r="B3681" s="17">
        <v>16.55</v>
      </c>
      <c r="C3681" s="17"/>
      <c r="F3681"/>
      <c r="G3681"/>
      <c r="H3681"/>
      <c r="I3681"/>
      <c r="J3681"/>
    </row>
    <row r="3682" spans="1:10" x14ac:dyDescent="0.25">
      <c r="A3682" s="90">
        <v>40497</v>
      </c>
      <c r="B3682" s="17">
        <v>16.600000000000001</v>
      </c>
      <c r="C3682" s="17"/>
      <c r="F3682"/>
      <c r="G3682"/>
      <c r="H3682"/>
      <c r="I3682"/>
      <c r="J3682"/>
    </row>
    <row r="3683" spans="1:10" x14ac:dyDescent="0.25">
      <c r="A3683" s="90">
        <v>40498</v>
      </c>
      <c r="B3683" s="17">
        <v>16.239999999999998</v>
      </c>
      <c r="C3683" s="17"/>
      <c r="F3683"/>
      <c r="G3683"/>
      <c r="H3683"/>
      <c r="I3683"/>
      <c r="J3683"/>
    </row>
    <row r="3684" spans="1:10" x14ac:dyDescent="0.25">
      <c r="A3684" s="90">
        <v>40499</v>
      </c>
      <c r="B3684" s="17">
        <v>16.149999999999999</v>
      </c>
      <c r="C3684" s="17"/>
      <c r="F3684"/>
      <c r="G3684"/>
      <c r="H3684"/>
      <c r="I3684"/>
      <c r="J3684"/>
    </row>
    <row r="3685" spans="1:10" x14ac:dyDescent="0.25">
      <c r="A3685" s="90">
        <v>40500</v>
      </c>
      <c r="B3685" s="17">
        <v>16.989999999999998</v>
      </c>
      <c r="C3685" s="17"/>
      <c r="F3685"/>
      <c r="G3685"/>
      <c r="H3685"/>
      <c r="I3685"/>
      <c r="J3685"/>
    </row>
    <row r="3686" spans="1:10" x14ac:dyDescent="0.25">
      <c r="A3686" s="90">
        <v>40501</v>
      </c>
      <c r="B3686" s="17">
        <v>16.57</v>
      </c>
      <c r="C3686" s="17"/>
      <c r="F3686"/>
      <c r="G3686"/>
      <c r="H3686"/>
      <c r="I3686"/>
      <c r="J3686"/>
    </row>
    <row r="3687" spans="1:10" x14ac:dyDescent="0.25">
      <c r="A3687" s="90">
        <v>40504</v>
      </c>
      <c r="B3687" s="17">
        <v>16.559999999999999</v>
      </c>
      <c r="C3687" s="17"/>
      <c r="F3687"/>
      <c r="G3687"/>
      <c r="H3687"/>
      <c r="I3687"/>
      <c r="J3687"/>
    </row>
    <row r="3688" spans="1:10" x14ac:dyDescent="0.25">
      <c r="A3688" s="90">
        <v>40505</v>
      </c>
      <c r="B3688" s="17">
        <v>16.190000000000001</v>
      </c>
      <c r="C3688" s="17"/>
      <c r="F3688"/>
      <c r="G3688"/>
      <c r="H3688"/>
      <c r="I3688"/>
      <c r="J3688"/>
    </row>
    <row r="3689" spans="1:10" x14ac:dyDescent="0.25">
      <c r="A3689" s="90">
        <v>40506</v>
      </c>
      <c r="B3689" s="17">
        <v>16.41</v>
      </c>
      <c r="C3689" s="17"/>
      <c r="F3689"/>
      <c r="G3689"/>
      <c r="H3689"/>
      <c r="I3689"/>
      <c r="J3689"/>
    </row>
    <row r="3690" spans="1:10" x14ac:dyDescent="0.25">
      <c r="A3690" s="90">
        <v>40508</v>
      </c>
      <c r="B3690" s="17">
        <v>16.22</v>
      </c>
      <c r="C3690" s="17"/>
      <c r="F3690"/>
      <c r="G3690"/>
      <c r="H3690"/>
      <c r="I3690"/>
      <c r="J3690"/>
    </row>
    <row r="3691" spans="1:10" x14ac:dyDescent="0.25">
      <c r="A3691" s="90">
        <v>40511</v>
      </c>
      <c r="B3691" s="17">
        <v>16.38</v>
      </c>
      <c r="C3691" s="17"/>
      <c r="F3691"/>
      <c r="G3691"/>
      <c r="H3691"/>
      <c r="I3691"/>
      <c r="J3691"/>
    </row>
    <row r="3692" spans="1:10" x14ac:dyDescent="0.25">
      <c r="A3692" s="90">
        <v>40512</v>
      </c>
      <c r="B3692" s="17">
        <v>15.82</v>
      </c>
      <c r="C3692" s="17"/>
      <c r="F3692"/>
      <c r="G3692"/>
      <c r="H3692"/>
      <c r="I3692"/>
      <c r="J3692"/>
    </row>
    <row r="3693" spans="1:10" x14ac:dyDescent="0.25">
      <c r="A3693" s="90">
        <v>40513</v>
      </c>
      <c r="B3693" s="17">
        <v>16.149999999999999</v>
      </c>
      <c r="C3693" s="17"/>
      <c r="F3693"/>
      <c r="G3693"/>
      <c r="H3693"/>
      <c r="I3693"/>
      <c r="J3693"/>
    </row>
    <row r="3694" spans="1:10" x14ac:dyDescent="0.25">
      <c r="A3694" s="90">
        <v>40514</v>
      </c>
      <c r="B3694" s="17">
        <v>16.329999999999998</v>
      </c>
      <c r="C3694" s="17"/>
      <c r="F3694"/>
      <c r="G3694"/>
      <c r="H3694"/>
      <c r="I3694"/>
      <c r="J3694"/>
    </row>
    <row r="3695" spans="1:10" x14ac:dyDescent="0.25">
      <c r="A3695" s="90">
        <v>40515</v>
      </c>
      <c r="B3695" s="17">
        <v>16.350000000000001</v>
      </c>
      <c r="C3695" s="17"/>
      <c r="F3695"/>
      <c r="G3695"/>
      <c r="H3695"/>
      <c r="I3695"/>
      <c r="J3695"/>
    </row>
    <row r="3696" spans="1:10" x14ac:dyDescent="0.25">
      <c r="A3696" s="90">
        <v>40518</v>
      </c>
      <c r="B3696" s="17">
        <v>16.329999999999998</v>
      </c>
      <c r="C3696" s="17"/>
      <c r="F3696"/>
      <c r="G3696"/>
      <c r="H3696"/>
      <c r="I3696"/>
      <c r="J3696"/>
    </row>
    <row r="3697" spans="1:10" x14ac:dyDescent="0.25">
      <c r="A3697" s="90">
        <v>40519</v>
      </c>
      <c r="B3697" s="17">
        <v>16.940000000000001</v>
      </c>
      <c r="C3697" s="17"/>
      <c r="F3697"/>
      <c r="G3697"/>
      <c r="H3697"/>
      <c r="I3697"/>
      <c r="J3697"/>
    </row>
    <row r="3698" spans="1:10" x14ac:dyDescent="0.25">
      <c r="A3698" s="90">
        <v>40520</v>
      </c>
      <c r="B3698" s="17">
        <v>17.02</v>
      </c>
      <c r="C3698" s="17"/>
      <c r="F3698"/>
      <c r="G3698"/>
      <c r="H3698"/>
      <c r="I3698"/>
      <c r="J3698"/>
    </row>
    <row r="3699" spans="1:10" x14ac:dyDescent="0.25">
      <c r="A3699" s="90">
        <v>40521</v>
      </c>
      <c r="B3699" s="17">
        <v>16.95</v>
      </c>
      <c r="C3699" s="17"/>
      <c r="F3699"/>
      <c r="G3699"/>
      <c r="H3699"/>
      <c r="I3699"/>
      <c r="J3699"/>
    </row>
    <row r="3700" spans="1:10" x14ac:dyDescent="0.25">
      <c r="A3700" s="90">
        <v>40522</v>
      </c>
      <c r="B3700" s="17">
        <v>17.010000000000002</v>
      </c>
      <c r="C3700" s="17"/>
      <c r="F3700"/>
      <c r="G3700"/>
      <c r="H3700"/>
      <c r="I3700"/>
      <c r="J3700"/>
    </row>
    <row r="3701" spans="1:10" x14ac:dyDescent="0.25">
      <c r="A3701" s="90">
        <v>40525</v>
      </c>
      <c r="B3701" s="17">
        <v>16.7</v>
      </c>
      <c r="C3701" s="17"/>
      <c r="F3701"/>
      <c r="G3701"/>
      <c r="H3701"/>
      <c r="I3701"/>
      <c r="J3701"/>
    </row>
    <row r="3702" spans="1:10" x14ac:dyDescent="0.25">
      <c r="A3702" s="90">
        <v>40526</v>
      </c>
      <c r="B3702" s="17">
        <v>16.63</v>
      </c>
      <c r="C3702" s="17"/>
      <c r="F3702"/>
      <c r="G3702"/>
      <c r="H3702"/>
      <c r="I3702"/>
      <c r="J3702"/>
    </row>
    <row r="3703" spans="1:10" x14ac:dyDescent="0.25">
      <c r="A3703" s="90">
        <v>40527</v>
      </c>
      <c r="B3703" s="17">
        <v>16.45</v>
      </c>
      <c r="C3703" s="17"/>
      <c r="F3703"/>
      <c r="G3703"/>
      <c r="H3703"/>
      <c r="I3703"/>
      <c r="J3703"/>
    </row>
    <row r="3704" spans="1:10" x14ac:dyDescent="0.25">
      <c r="A3704" s="90">
        <v>40528</v>
      </c>
      <c r="B3704" s="17">
        <v>16.510000000000002</v>
      </c>
      <c r="C3704" s="17"/>
      <c r="F3704"/>
      <c r="G3704"/>
      <c r="H3704"/>
      <c r="I3704"/>
      <c r="J3704"/>
    </row>
    <row r="3705" spans="1:10" x14ac:dyDescent="0.25">
      <c r="A3705" s="90">
        <v>40529</v>
      </c>
      <c r="B3705" s="17">
        <v>16.38</v>
      </c>
      <c r="C3705" s="17"/>
      <c r="F3705"/>
      <c r="G3705"/>
      <c r="H3705"/>
      <c r="I3705"/>
      <c r="J3705"/>
    </row>
    <row r="3706" spans="1:10" x14ac:dyDescent="0.25">
      <c r="A3706" s="90">
        <v>40532</v>
      </c>
      <c r="B3706" s="17">
        <v>16.28</v>
      </c>
      <c r="C3706" s="17"/>
      <c r="F3706"/>
      <c r="G3706"/>
      <c r="H3706"/>
      <c r="I3706"/>
      <c r="J3706"/>
    </row>
    <row r="3707" spans="1:10" x14ac:dyDescent="0.25">
      <c r="A3707" s="90">
        <v>40533</v>
      </c>
      <c r="B3707" s="17">
        <v>16.600000000000001</v>
      </c>
      <c r="C3707" s="17"/>
      <c r="F3707"/>
      <c r="G3707"/>
      <c r="H3707"/>
      <c r="I3707"/>
      <c r="J3707"/>
    </row>
    <row r="3708" spans="1:10" x14ac:dyDescent="0.25">
      <c r="A3708" s="90">
        <v>40534</v>
      </c>
      <c r="B3708" s="17">
        <v>16.63</v>
      </c>
      <c r="C3708" s="17"/>
      <c r="F3708"/>
      <c r="G3708"/>
      <c r="H3708"/>
      <c r="I3708"/>
      <c r="J3708"/>
    </row>
    <row r="3709" spans="1:10" x14ac:dyDescent="0.25">
      <c r="A3709" s="90">
        <v>40535</v>
      </c>
      <c r="B3709" s="17">
        <v>16.72</v>
      </c>
      <c r="C3709" s="17"/>
      <c r="F3709"/>
      <c r="G3709"/>
      <c r="H3709"/>
      <c r="I3709"/>
      <c r="J3709"/>
    </row>
    <row r="3710" spans="1:10" x14ac:dyDescent="0.25">
      <c r="A3710" s="90">
        <v>40539</v>
      </c>
      <c r="B3710" s="17">
        <v>16.48</v>
      </c>
      <c r="C3710" s="17"/>
      <c r="F3710"/>
      <c r="G3710"/>
      <c r="H3710"/>
      <c r="I3710"/>
      <c r="J3710"/>
    </row>
    <row r="3711" spans="1:10" x14ac:dyDescent="0.25">
      <c r="A3711" s="90">
        <v>40540</v>
      </c>
      <c r="B3711" s="17">
        <v>16.43</v>
      </c>
      <c r="C3711" s="17"/>
      <c r="F3711"/>
      <c r="G3711"/>
      <c r="H3711"/>
      <c r="I3711"/>
      <c r="J3711"/>
    </row>
    <row r="3712" spans="1:10" x14ac:dyDescent="0.25">
      <c r="A3712" s="90">
        <v>40541</v>
      </c>
      <c r="B3712" s="17">
        <v>16.61</v>
      </c>
      <c r="C3712" s="17"/>
      <c r="F3712"/>
      <c r="G3712"/>
      <c r="H3712"/>
      <c r="I3712"/>
      <c r="J3712"/>
    </row>
    <row r="3713" spans="1:10" x14ac:dyDescent="0.25">
      <c r="A3713" s="90">
        <v>40542</v>
      </c>
      <c r="B3713" s="17">
        <v>16.760000000000002</v>
      </c>
      <c r="C3713" s="17"/>
      <c r="F3713"/>
      <c r="G3713"/>
      <c r="H3713"/>
      <c r="I3713"/>
      <c r="J3713"/>
    </row>
    <row r="3714" spans="1:10" x14ac:dyDescent="0.25">
      <c r="A3714" s="90">
        <v>40543</v>
      </c>
      <c r="B3714" s="17">
        <v>16.63</v>
      </c>
      <c r="C3714" s="17"/>
      <c r="F3714"/>
      <c r="G3714"/>
      <c r="H3714"/>
      <c r="I3714"/>
      <c r="J3714"/>
    </row>
    <row r="3715" spans="1:10" x14ac:dyDescent="0.25">
      <c r="A3715" s="90">
        <v>40546</v>
      </c>
      <c r="B3715" s="17">
        <v>16.75</v>
      </c>
      <c r="C3715" s="17"/>
      <c r="F3715"/>
      <c r="G3715"/>
      <c r="H3715"/>
      <c r="I3715"/>
      <c r="J3715"/>
    </row>
    <row r="3716" spans="1:10" x14ac:dyDescent="0.25">
      <c r="A3716" s="90">
        <v>40547</v>
      </c>
      <c r="B3716" s="17">
        <v>16.59</v>
      </c>
      <c r="C3716" s="17"/>
      <c r="F3716"/>
      <c r="G3716"/>
      <c r="H3716"/>
      <c r="I3716"/>
      <c r="J3716"/>
    </row>
    <row r="3717" spans="1:10" x14ac:dyDescent="0.25">
      <c r="A3717" s="90">
        <v>40548</v>
      </c>
      <c r="B3717" s="17">
        <v>16.91</v>
      </c>
      <c r="C3717" s="17"/>
      <c r="F3717"/>
      <c r="G3717"/>
      <c r="H3717"/>
      <c r="I3717"/>
      <c r="J3717"/>
    </row>
    <row r="3718" spans="1:10" x14ac:dyDescent="0.25">
      <c r="A3718" s="90">
        <v>40549</v>
      </c>
      <c r="B3718" s="17">
        <v>17.059999999999999</v>
      </c>
      <c r="C3718" s="17"/>
      <c r="F3718"/>
      <c r="G3718"/>
      <c r="H3718"/>
      <c r="I3718"/>
      <c r="J3718"/>
    </row>
    <row r="3719" spans="1:10" x14ac:dyDescent="0.25">
      <c r="A3719" s="90">
        <v>40550</v>
      </c>
      <c r="B3719" s="17">
        <v>16.899999999999999</v>
      </c>
      <c r="C3719" s="17"/>
      <c r="F3719"/>
      <c r="G3719"/>
      <c r="H3719"/>
      <c r="I3719"/>
      <c r="J3719"/>
    </row>
    <row r="3720" spans="1:10" x14ac:dyDescent="0.25">
      <c r="A3720" s="90">
        <v>40553</v>
      </c>
      <c r="B3720" s="17">
        <v>16.600000000000001</v>
      </c>
      <c r="C3720" s="17"/>
      <c r="F3720"/>
      <c r="G3720"/>
      <c r="H3720"/>
      <c r="I3720"/>
      <c r="J3720"/>
    </row>
    <row r="3721" spans="1:10" x14ac:dyDescent="0.25">
      <c r="A3721" s="90">
        <v>40554</v>
      </c>
      <c r="B3721" s="17">
        <v>16.579999999999998</v>
      </c>
      <c r="C3721" s="17"/>
      <c r="F3721"/>
      <c r="G3721"/>
      <c r="H3721"/>
      <c r="I3721"/>
      <c r="J3721"/>
    </row>
    <row r="3722" spans="1:10" x14ac:dyDescent="0.25">
      <c r="A3722" s="90">
        <v>40555</v>
      </c>
      <c r="B3722" s="17">
        <v>16.649999999999999</v>
      </c>
      <c r="C3722" s="17"/>
      <c r="F3722"/>
      <c r="G3722"/>
      <c r="H3722"/>
      <c r="I3722"/>
      <c r="J3722"/>
    </row>
    <row r="3723" spans="1:10" x14ac:dyDescent="0.25">
      <c r="A3723" s="90">
        <v>40556</v>
      </c>
      <c r="B3723" s="17">
        <v>16.75</v>
      </c>
      <c r="C3723" s="17"/>
      <c r="F3723"/>
      <c r="G3723"/>
      <c r="H3723"/>
      <c r="I3723"/>
      <c r="J3723"/>
    </row>
    <row r="3724" spans="1:10" x14ac:dyDescent="0.25">
      <c r="A3724" s="90">
        <v>40557</v>
      </c>
      <c r="B3724" s="17">
        <v>16.809999999999999</v>
      </c>
      <c r="C3724" s="17"/>
      <c r="F3724"/>
      <c r="G3724"/>
      <c r="H3724"/>
      <c r="I3724"/>
      <c r="J3724"/>
    </row>
    <row r="3725" spans="1:10" x14ac:dyDescent="0.25">
      <c r="A3725" s="90">
        <v>40561</v>
      </c>
      <c r="B3725" s="17">
        <v>16.5</v>
      </c>
      <c r="C3725" s="17"/>
      <c r="F3725"/>
      <c r="G3725"/>
      <c r="H3725"/>
      <c r="I3725"/>
      <c r="J3725"/>
    </row>
    <row r="3726" spans="1:10" x14ac:dyDescent="0.25">
      <c r="A3726" s="90">
        <v>40562</v>
      </c>
      <c r="B3726" s="17">
        <v>16.309999999999999</v>
      </c>
      <c r="C3726" s="17"/>
      <c r="F3726"/>
      <c r="G3726"/>
      <c r="H3726"/>
      <c r="I3726"/>
      <c r="J3726"/>
    </row>
    <row r="3727" spans="1:10" x14ac:dyDescent="0.25">
      <c r="A3727" s="90">
        <v>40563</v>
      </c>
      <c r="B3727" s="17">
        <v>16.23</v>
      </c>
      <c r="C3727" s="17"/>
      <c r="F3727"/>
      <c r="G3727"/>
      <c r="H3727"/>
      <c r="I3727"/>
      <c r="J3727"/>
    </row>
    <row r="3728" spans="1:10" x14ac:dyDescent="0.25">
      <c r="A3728" s="90">
        <v>40564</v>
      </c>
      <c r="B3728" s="17">
        <v>15.97</v>
      </c>
      <c r="C3728" s="17"/>
      <c r="F3728"/>
      <c r="G3728"/>
      <c r="H3728"/>
      <c r="I3728"/>
      <c r="J3728"/>
    </row>
    <row r="3729" spans="1:10" x14ac:dyDescent="0.25">
      <c r="A3729" s="90">
        <v>40567</v>
      </c>
      <c r="B3729" s="17">
        <v>16.09</v>
      </c>
      <c r="C3729" s="17"/>
      <c r="F3729"/>
      <c r="G3729"/>
      <c r="H3729"/>
      <c r="I3729"/>
      <c r="J3729"/>
    </row>
    <row r="3730" spans="1:10" x14ac:dyDescent="0.25">
      <c r="A3730" s="90">
        <v>40568</v>
      </c>
      <c r="B3730" s="17">
        <v>16.02</v>
      </c>
      <c r="C3730" s="17"/>
      <c r="F3730"/>
      <c r="G3730"/>
      <c r="H3730"/>
      <c r="I3730"/>
      <c r="J3730"/>
    </row>
    <row r="3731" spans="1:10" x14ac:dyDescent="0.25">
      <c r="A3731" s="90">
        <v>40569</v>
      </c>
      <c r="B3731" s="17">
        <v>15.57</v>
      </c>
      <c r="C3731" s="17"/>
      <c r="F3731"/>
      <c r="G3731"/>
      <c r="H3731"/>
      <c r="I3731"/>
      <c r="J3731"/>
    </row>
    <row r="3732" spans="1:10" x14ac:dyDescent="0.25">
      <c r="A3732" s="90">
        <v>40570</v>
      </c>
      <c r="B3732" s="17">
        <v>16.2</v>
      </c>
      <c r="C3732" s="17"/>
      <c r="F3732"/>
      <c r="G3732"/>
      <c r="H3732"/>
      <c r="I3732"/>
      <c r="J3732"/>
    </row>
    <row r="3733" spans="1:10" x14ac:dyDescent="0.25">
      <c r="A3733" s="90">
        <v>40571</v>
      </c>
      <c r="B3733" s="17">
        <v>15.83</v>
      </c>
      <c r="C3733" s="17"/>
      <c r="F3733"/>
      <c r="G3733"/>
      <c r="H3733"/>
      <c r="I3733"/>
      <c r="J3733"/>
    </row>
    <row r="3734" spans="1:10" x14ac:dyDescent="0.25">
      <c r="A3734" s="90">
        <v>40574</v>
      </c>
      <c r="B3734" s="17">
        <v>16.12</v>
      </c>
      <c r="C3734" s="17"/>
      <c r="F3734"/>
      <c r="G3734"/>
      <c r="H3734"/>
      <c r="I3734"/>
      <c r="J3734"/>
    </row>
    <row r="3735" spans="1:10" x14ac:dyDescent="0.25">
      <c r="A3735" s="90">
        <v>40575</v>
      </c>
      <c r="B3735" s="17">
        <v>16.38</v>
      </c>
      <c r="C3735" s="17"/>
      <c r="F3735"/>
      <c r="G3735"/>
      <c r="H3735"/>
      <c r="I3735"/>
      <c r="J3735"/>
    </row>
    <row r="3736" spans="1:10" x14ac:dyDescent="0.25">
      <c r="A3736" s="90">
        <v>40576</v>
      </c>
      <c r="B3736" s="17">
        <v>16.57</v>
      </c>
      <c r="C3736" s="17"/>
      <c r="F3736"/>
      <c r="G3736"/>
      <c r="H3736"/>
      <c r="I3736"/>
      <c r="J3736"/>
    </row>
    <row r="3737" spans="1:10" x14ac:dyDescent="0.25">
      <c r="A3737" s="90">
        <v>40577</v>
      </c>
      <c r="B3737" s="17">
        <v>16.690000000000001</v>
      </c>
      <c r="C3737" s="17"/>
      <c r="F3737"/>
      <c r="G3737"/>
      <c r="H3737"/>
      <c r="I3737"/>
      <c r="J3737"/>
    </row>
    <row r="3738" spans="1:10" x14ac:dyDescent="0.25">
      <c r="A3738" s="90">
        <v>40578</v>
      </c>
      <c r="B3738" s="17">
        <v>16.79</v>
      </c>
      <c r="C3738" s="17"/>
      <c r="F3738"/>
      <c r="G3738"/>
      <c r="H3738"/>
      <c r="I3738"/>
      <c r="J3738"/>
    </row>
    <row r="3739" spans="1:10" x14ac:dyDescent="0.25">
      <c r="A3739" s="90">
        <v>40581</v>
      </c>
      <c r="B3739" s="17">
        <v>16.8</v>
      </c>
      <c r="C3739" s="17"/>
      <c r="F3739"/>
      <c r="G3739"/>
      <c r="H3739"/>
      <c r="I3739"/>
      <c r="J3739"/>
    </row>
    <row r="3740" spans="1:10" x14ac:dyDescent="0.25">
      <c r="A3740" s="90">
        <v>40582</v>
      </c>
      <c r="B3740" s="17">
        <v>16.600000000000001</v>
      </c>
      <c r="C3740" s="17"/>
      <c r="F3740"/>
      <c r="G3740"/>
      <c r="H3740"/>
      <c r="I3740"/>
      <c r="J3740"/>
    </row>
    <row r="3741" spans="1:10" x14ac:dyDescent="0.25">
      <c r="A3741" s="90">
        <v>40583</v>
      </c>
      <c r="B3741" s="17">
        <v>16.43</v>
      </c>
      <c r="C3741" s="17"/>
      <c r="F3741"/>
      <c r="G3741"/>
      <c r="H3741"/>
      <c r="I3741"/>
      <c r="J3741"/>
    </row>
    <row r="3742" spans="1:10" x14ac:dyDescent="0.25">
      <c r="A3742" s="90">
        <v>40584</v>
      </c>
      <c r="B3742" s="17">
        <v>16.62</v>
      </c>
      <c r="C3742" s="17"/>
      <c r="F3742"/>
      <c r="G3742"/>
      <c r="H3742"/>
      <c r="I3742"/>
      <c r="J3742"/>
    </row>
    <row r="3743" spans="1:10" x14ac:dyDescent="0.25">
      <c r="A3743" s="90">
        <v>40585</v>
      </c>
      <c r="B3743" s="17">
        <v>16.850000000000001</v>
      </c>
      <c r="C3743" s="17"/>
      <c r="F3743"/>
      <c r="G3743"/>
      <c r="H3743"/>
      <c r="I3743"/>
      <c r="J3743"/>
    </row>
    <row r="3744" spans="1:10" x14ac:dyDescent="0.25">
      <c r="A3744" s="90">
        <v>40588</v>
      </c>
      <c r="B3744" s="17">
        <v>16.89</v>
      </c>
      <c r="C3744" s="17"/>
      <c r="F3744"/>
      <c r="G3744"/>
      <c r="H3744"/>
      <c r="I3744"/>
      <c r="J3744"/>
    </row>
    <row r="3745" spans="1:10" x14ac:dyDescent="0.25">
      <c r="A3745" s="90">
        <v>40589</v>
      </c>
      <c r="B3745" s="17">
        <v>17.2</v>
      </c>
      <c r="C3745" s="17"/>
      <c r="F3745"/>
      <c r="G3745"/>
      <c r="H3745"/>
      <c r="I3745"/>
      <c r="J3745"/>
    </row>
    <row r="3746" spans="1:10" x14ac:dyDescent="0.25">
      <c r="A3746" s="90">
        <v>40590</v>
      </c>
      <c r="B3746" s="17">
        <v>17.760000000000002</v>
      </c>
      <c r="C3746" s="17"/>
      <c r="F3746"/>
      <c r="G3746"/>
      <c r="H3746"/>
      <c r="I3746"/>
      <c r="J3746"/>
    </row>
    <row r="3747" spans="1:10" x14ac:dyDescent="0.25">
      <c r="A3747" s="90">
        <v>40591</v>
      </c>
      <c r="B3747" s="17">
        <v>17.77</v>
      </c>
      <c r="C3747" s="17"/>
      <c r="F3747"/>
      <c r="G3747"/>
      <c r="H3747"/>
      <c r="I3747"/>
      <c r="J3747"/>
    </row>
    <row r="3748" spans="1:10" x14ac:dyDescent="0.25">
      <c r="A3748" s="90">
        <v>40592</v>
      </c>
      <c r="B3748" s="17">
        <v>17.66</v>
      </c>
      <c r="C3748" s="17"/>
      <c r="F3748"/>
      <c r="G3748"/>
      <c r="H3748"/>
      <c r="I3748"/>
      <c r="J3748"/>
    </row>
    <row r="3749" spans="1:10" x14ac:dyDescent="0.25">
      <c r="A3749" s="90">
        <v>40596</v>
      </c>
      <c r="B3749" s="17">
        <v>16.91</v>
      </c>
      <c r="C3749" s="17"/>
      <c r="F3749"/>
      <c r="G3749"/>
      <c r="H3749"/>
      <c r="I3749"/>
      <c r="J3749"/>
    </row>
    <row r="3750" spans="1:10" x14ac:dyDescent="0.25">
      <c r="A3750" s="90">
        <v>40597</v>
      </c>
      <c r="B3750" s="17">
        <v>16.579999999999998</v>
      </c>
      <c r="C3750" s="17"/>
      <c r="F3750"/>
      <c r="G3750"/>
      <c r="H3750"/>
      <c r="I3750"/>
      <c r="J3750"/>
    </row>
    <row r="3751" spans="1:10" x14ac:dyDescent="0.25">
      <c r="A3751" s="90">
        <v>40598</v>
      </c>
      <c r="B3751" s="17">
        <v>16.37</v>
      </c>
      <c r="C3751" s="17"/>
      <c r="F3751"/>
      <c r="G3751"/>
      <c r="H3751"/>
      <c r="I3751"/>
      <c r="J3751"/>
    </row>
    <row r="3752" spans="1:10" x14ac:dyDescent="0.25">
      <c r="A3752" s="90">
        <v>40599</v>
      </c>
      <c r="B3752" s="17">
        <v>16.5</v>
      </c>
      <c r="C3752" s="17"/>
      <c r="F3752"/>
      <c r="G3752"/>
      <c r="H3752"/>
      <c r="I3752"/>
      <c r="J3752"/>
    </row>
    <row r="3753" spans="1:10" x14ac:dyDescent="0.25">
      <c r="A3753" s="90">
        <v>40602</v>
      </c>
      <c r="B3753" s="17">
        <v>16.399999999999999</v>
      </c>
      <c r="C3753" s="17"/>
      <c r="F3753"/>
      <c r="G3753"/>
      <c r="H3753"/>
      <c r="I3753"/>
      <c r="J3753"/>
    </row>
    <row r="3754" spans="1:10" x14ac:dyDescent="0.25">
      <c r="A3754" s="90">
        <v>40603</v>
      </c>
      <c r="B3754" s="17">
        <v>16.100000000000001</v>
      </c>
      <c r="C3754" s="17"/>
      <c r="F3754"/>
      <c r="G3754"/>
      <c r="H3754"/>
      <c r="I3754"/>
      <c r="J3754"/>
    </row>
    <row r="3755" spans="1:10" x14ac:dyDescent="0.25">
      <c r="A3755" s="90">
        <v>40604</v>
      </c>
      <c r="B3755" s="17">
        <v>16.63</v>
      </c>
      <c r="C3755" s="17"/>
      <c r="F3755"/>
      <c r="G3755"/>
      <c r="H3755"/>
      <c r="I3755"/>
      <c r="J3755"/>
    </row>
    <row r="3756" spans="1:10" x14ac:dyDescent="0.25">
      <c r="A3756" s="90">
        <v>40605</v>
      </c>
      <c r="B3756" s="17">
        <v>16.86</v>
      </c>
      <c r="C3756" s="17"/>
      <c r="F3756"/>
      <c r="G3756"/>
      <c r="H3756"/>
      <c r="I3756"/>
      <c r="J3756"/>
    </row>
    <row r="3757" spans="1:10" x14ac:dyDescent="0.25">
      <c r="A3757" s="90">
        <v>40606</v>
      </c>
      <c r="B3757" s="17">
        <v>17.079999999999998</v>
      </c>
      <c r="C3757" s="17"/>
      <c r="F3757"/>
      <c r="G3757"/>
      <c r="H3757"/>
      <c r="I3757"/>
      <c r="J3757"/>
    </row>
    <row r="3758" spans="1:10" x14ac:dyDescent="0.25">
      <c r="A3758" s="90">
        <v>40609</v>
      </c>
      <c r="B3758" s="17">
        <v>16.7</v>
      </c>
      <c r="C3758" s="17"/>
      <c r="F3758"/>
      <c r="G3758"/>
      <c r="H3758"/>
      <c r="I3758"/>
      <c r="J3758"/>
    </row>
    <row r="3759" spans="1:10" x14ac:dyDescent="0.25">
      <c r="A3759" s="90">
        <v>40610</v>
      </c>
      <c r="B3759" s="17">
        <v>16.940000000000001</v>
      </c>
      <c r="C3759" s="17"/>
      <c r="F3759"/>
      <c r="G3759"/>
      <c r="H3759"/>
      <c r="I3759"/>
      <c r="J3759"/>
    </row>
    <row r="3760" spans="1:10" x14ac:dyDescent="0.25">
      <c r="A3760" s="90">
        <v>40611</v>
      </c>
      <c r="B3760" s="17">
        <v>17.649999999999999</v>
      </c>
      <c r="C3760" s="17"/>
      <c r="F3760"/>
      <c r="G3760"/>
      <c r="H3760"/>
      <c r="I3760"/>
      <c r="J3760"/>
    </row>
    <row r="3761" spans="1:10" x14ac:dyDescent="0.25">
      <c r="A3761" s="90">
        <v>40612</v>
      </c>
      <c r="B3761" s="17">
        <v>17.059999999999999</v>
      </c>
      <c r="C3761" s="17"/>
      <c r="F3761"/>
      <c r="G3761"/>
      <c r="H3761"/>
      <c r="I3761"/>
      <c r="J3761"/>
    </row>
    <row r="3762" spans="1:10" x14ac:dyDescent="0.25">
      <c r="A3762" s="90">
        <v>40613</v>
      </c>
      <c r="B3762" s="17">
        <v>17.420000000000002</v>
      </c>
      <c r="C3762" s="17"/>
      <c r="F3762"/>
      <c r="G3762"/>
      <c r="H3762"/>
      <c r="I3762"/>
      <c r="J3762"/>
    </row>
    <row r="3763" spans="1:10" x14ac:dyDescent="0.25">
      <c r="A3763" s="90">
        <v>40616</v>
      </c>
      <c r="B3763" s="17">
        <v>17.309999999999999</v>
      </c>
      <c r="C3763" s="17"/>
      <c r="F3763"/>
      <c r="G3763"/>
      <c r="H3763"/>
      <c r="I3763"/>
      <c r="J3763"/>
    </row>
    <row r="3764" spans="1:10" x14ac:dyDescent="0.25">
      <c r="A3764" s="90">
        <v>40617</v>
      </c>
      <c r="B3764" s="17">
        <v>16.329999999999998</v>
      </c>
      <c r="C3764" s="17"/>
      <c r="F3764"/>
      <c r="G3764"/>
      <c r="H3764"/>
      <c r="I3764"/>
      <c r="J3764"/>
    </row>
    <row r="3765" spans="1:10" x14ac:dyDescent="0.25">
      <c r="A3765" s="90">
        <v>40618</v>
      </c>
      <c r="B3765" s="17">
        <v>15.91</v>
      </c>
      <c r="C3765" s="17"/>
      <c r="F3765"/>
      <c r="G3765"/>
      <c r="H3765"/>
      <c r="I3765"/>
      <c r="J3765"/>
    </row>
    <row r="3766" spans="1:10" x14ac:dyDescent="0.25">
      <c r="A3766" s="90">
        <v>40619</v>
      </c>
      <c r="B3766" s="17">
        <v>15.86</v>
      </c>
      <c r="C3766" s="17"/>
      <c r="F3766"/>
      <c r="G3766"/>
      <c r="H3766"/>
      <c r="I3766"/>
      <c r="J3766"/>
    </row>
    <row r="3767" spans="1:10" x14ac:dyDescent="0.25">
      <c r="A3767" s="90">
        <v>40620</v>
      </c>
      <c r="B3767" s="17">
        <v>16.03</v>
      </c>
      <c r="C3767" s="17"/>
      <c r="F3767"/>
      <c r="G3767"/>
      <c r="H3767"/>
      <c r="I3767"/>
      <c r="J3767"/>
    </row>
    <row r="3768" spans="1:10" x14ac:dyDescent="0.25">
      <c r="A3768" s="90">
        <v>40623</v>
      </c>
      <c r="B3768" s="17">
        <v>16.29</v>
      </c>
      <c r="C3768" s="17"/>
      <c r="F3768"/>
      <c r="G3768"/>
      <c r="H3768"/>
      <c r="I3768"/>
      <c r="J3768"/>
    </row>
    <row r="3769" spans="1:10" x14ac:dyDescent="0.25">
      <c r="A3769" s="90">
        <v>40624</v>
      </c>
      <c r="B3769" s="17">
        <v>16.36</v>
      </c>
      <c r="C3769" s="17"/>
      <c r="F3769"/>
      <c r="G3769"/>
      <c r="H3769"/>
      <c r="I3769"/>
      <c r="J3769"/>
    </row>
    <row r="3770" spans="1:10" x14ac:dyDescent="0.25">
      <c r="A3770" s="90">
        <v>40625</v>
      </c>
      <c r="B3770" s="17">
        <v>16.13</v>
      </c>
      <c r="C3770" s="17"/>
      <c r="F3770"/>
      <c r="G3770"/>
      <c r="H3770"/>
      <c r="I3770"/>
      <c r="J3770"/>
    </row>
    <row r="3771" spans="1:10" x14ac:dyDescent="0.25">
      <c r="A3771" s="90">
        <v>40626</v>
      </c>
      <c r="B3771" s="17">
        <v>16.829999999999998</v>
      </c>
      <c r="C3771" s="17"/>
      <c r="F3771"/>
      <c r="G3771"/>
      <c r="H3771"/>
      <c r="I3771"/>
      <c r="J3771"/>
    </row>
    <row r="3772" spans="1:10" x14ac:dyDescent="0.25">
      <c r="A3772" s="90">
        <v>40627</v>
      </c>
      <c r="B3772" s="17">
        <v>16.96</v>
      </c>
      <c r="C3772" s="17"/>
      <c r="F3772"/>
      <c r="G3772"/>
      <c r="H3772"/>
      <c r="I3772"/>
      <c r="J3772"/>
    </row>
    <row r="3773" spans="1:10" x14ac:dyDescent="0.25">
      <c r="A3773" s="90">
        <v>40630</v>
      </c>
      <c r="B3773" s="17">
        <v>16.579999999999998</v>
      </c>
      <c r="C3773" s="17"/>
      <c r="F3773"/>
      <c r="G3773"/>
      <c r="H3773"/>
      <c r="I3773"/>
      <c r="J3773"/>
    </row>
    <row r="3774" spans="1:10" x14ac:dyDescent="0.25">
      <c r="A3774" s="90">
        <v>40631</v>
      </c>
      <c r="B3774" s="17">
        <v>16.75</v>
      </c>
      <c r="C3774" s="17"/>
      <c r="F3774"/>
      <c r="G3774"/>
      <c r="H3774"/>
      <c r="I3774"/>
      <c r="J3774"/>
    </row>
    <row r="3775" spans="1:10" x14ac:dyDescent="0.25">
      <c r="A3775" s="90">
        <v>40632</v>
      </c>
      <c r="B3775" s="17">
        <v>16.739999999999998</v>
      </c>
      <c r="C3775" s="17"/>
      <c r="F3775"/>
      <c r="G3775"/>
      <c r="H3775"/>
      <c r="I3775"/>
      <c r="J3775"/>
    </row>
    <row r="3776" spans="1:10" x14ac:dyDescent="0.25">
      <c r="A3776" s="90">
        <v>40633</v>
      </c>
      <c r="B3776" s="17">
        <v>16.68</v>
      </c>
      <c r="C3776" s="17"/>
      <c r="F3776"/>
      <c r="G3776"/>
      <c r="H3776"/>
      <c r="I3776"/>
      <c r="J3776"/>
    </row>
    <row r="3777" spans="1:10" x14ac:dyDescent="0.25">
      <c r="A3777" s="90">
        <v>40634</v>
      </c>
      <c r="B3777" s="17">
        <v>16.84</v>
      </c>
      <c r="C3777" s="17"/>
      <c r="F3777"/>
      <c r="G3777"/>
      <c r="H3777"/>
      <c r="I3777"/>
      <c r="J3777"/>
    </row>
    <row r="3778" spans="1:10" x14ac:dyDescent="0.25">
      <c r="A3778" s="90">
        <v>40637</v>
      </c>
      <c r="B3778" s="17">
        <v>16.87</v>
      </c>
      <c r="C3778" s="17"/>
      <c r="F3778"/>
      <c r="G3778"/>
      <c r="H3778"/>
      <c r="I3778"/>
      <c r="J3778"/>
    </row>
    <row r="3779" spans="1:10" x14ac:dyDescent="0.25">
      <c r="A3779" s="90">
        <v>40638</v>
      </c>
      <c r="B3779" s="17">
        <v>17.11</v>
      </c>
      <c r="C3779" s="17"/>
      <c r="F3779"/>
      <c r="G3779"/>
      <c r="H3779"/>
      <c r="I3779"/>
      <c r="J3779"/>
    </row>
    <row r="3780" spans="1:10" x14ac:dyDescent="0.25">
      <c r="A3780" s="90">
        <v>40639</v>
      </c>
      <c r="B3780" s="17">
        <v>17.05</v>
      </c>
      <c r="C3780" s="17"/>
      <c r="F3780"/>
      <c r="G3780"/>
      <c r="H3780"/>
      <c r="I3780"/>
      <c r="J3780"/>
    </row>
    <row r="3781" spans="1:10" x14ac:dyDescent="0.25">
      <c r="A3781" s="90">
        <v>40640</v>
      </c>
      <c r="B3781" s="17">
        <v>17</v>
      </c>
      <c r="C3781" s="17"/>
      <c r="F3781"/>
      <c r="G3781"/>
      <c r="H3781"/>
      <c r="I3781"/>
      <c r="J3781"/>
    </row>
    <row r="3782" spans="1:10" x14ac:dyDescent="0.25">
      <c r="A3782" s="90">
        <v>40641</v>
      </c>
      <c r="B3782" s="17">
        <v>16.77</v>
      </c>
      <c r="C3782" s="17"/>
      <c r="F3782"/>
      <c r="G3782"/>
      <c r="H3782"/>
      <c r="I3782"/>
      <c r="J3782"/>
    </row>
    <row r="3783" spans="1:10" x14ac:dyDescent="0.25">
      <c r="A3783" s="90">
        <v>40644</v>
      </c>
      <c r="B3783" s="17">
        <v>16.59</v>
      </c>
      <c r="C3783" s="17"/>
      <c r="F3783"/>
      <c r="G3783"/>
      <c r="H3783"/>
      <c r="I3783"/>
      <c r="J3783"/>
    </row>
    <row r="3784" spans="1:10" x14ac:dyDescent="0.25">
      <c r="A3784" s="90">
        <v>40645</v>
      </c>
      <c r="B3784" s="17">
        <v>16.36</v>
      </c>
      <c r="C3784" s="17"/>
      <c r="F3784"/>
      <c r="G3784"/>
      <c r="H3784"/>
      <c r="I3784"/>
      <c r="J3784"/>
    </row>
    <row r="3785" spans="1:10" x14ac:dyDescent="0.25">
      <c r="A3785" s="90">
        <v>40646</v>
      </c>
      <c r="B3785" s="17">
        <v>16.64</v>
      </c>
      <c r="C3785" s="17"/>
      <c r="F3785"/>
      <c r="G3785"/>
      <c r="H3785"/>
      <c r="I3785"/>
      <c r="J3785"/>
    </row>
    <row r="3786" spans="1:10" x14ac:dyDescent="0.25">
      <c r="A3786" s="90">
        <v>40647</v>
      </c>
      <c r="B3786" s="17">
        <v>16.690000000000001</v>
      </c>
      <c r="C3786" s="17"/>
      <c r="F3786"/>
      <c r="G3786"/>
      <c r="H3786"/>
      <c r="I3786"/>
      <c r="J3786"/>
    </row>
    <row r="3787" spans="1:10" x14ac:dyDescent="0.25">
      <c r="A3787" s="90">
        <v>40648</v>
      </c>
      <c r="B3787" s="17">
        <v>16.62</v>
      </c>
      <c r="C3787" s="17"/>
      <c r="F3787"/>
      <c r="G3787"/>
      <c r="H3787"/>
      <c r="I3787"/>
      <c r="J3787"/>
    </row>
    <row r="3788" spans="1:10" x14ac:dyDescent="0.25">
      <c r="A3788" s="90">
        <v>40651</v>
      </c>
      <c r="B3788" s="17">
        <v>16.350000000000001</v>
      </c>
      <c r="C3788" s="17"/>
      <c r="F3788"/>
      <c r="G3788"/>
      <c r="H3788"/>
      <c r="I3788"/>
      <c r="J3788"/>
    </row>
    <row r="3789" spans="1:10" x14ac:dyDescent="0.25">
      <c r="A3789" s="90">
        <v>40652</v>
      </c>
      <c r="B3789" s="17">
        <v>16.12</v>
      </c>
      <c r="C3789" s="17"/>
      <c r="F3789"/>
      <c r="G3789"/>
      <c r="H3789"/>
      <c r="I3789"/>
      <c r="J3789"/>
    </row>
    <row r="3790" spans="1:10" x14ac:dyDescent="0.25">
      <c r="A3790" s="90">
        <v>40653</v>
      </c>
      <c r="B3790" s="17">
        <v>16.87</v>
      </c>
      <c r="C3790" s="17"/>
      <c r="F3790"/>
      <c r="G3790"/>
      <c r="H3790"/>
      <c r="I3790"/>
      <c r="J3790"/>
    </row>
    <row r="3791" spans="1:10" x14ac:dyDescent="0.25">
      <c r="A3791" s="90">
        <v>40654</v>
      </c>
      <c r="B3791" s="17">
        <v>16.850000000000001</v>
      </c>
      <c r="C3791" s="17"/>
      <c r="F3791"/>
      <c r="G3791"/>
      <c r="H3791"/>
      <c r="I3791"/>
      <c r="J3791"/>
    </row>
    <row r="3792" spans="1:10" x14ac:dyDescent="0.25">
      <c r="A3792" s="90">
        <v>40658</v>
      </c>
      <c r="B3792" s="17">
        <v>17.11</v>
      </c>
      <c r="C3792" s="17"/>
      <c r="F3792"/>
      <c r="G3792"/>
      <c r="H3792"/>
      <c r="I3792"/>
      <c r="J3792"/>
    </row>
    <row r="3793" spans="1:10" x14ac:dyDescent="0.25">
      <c r="A3793" s="90">
        <v>40659</v>
      </c>
      <c r="B3793" s="17">
        <v>17.28</v>
      </c>
      <c r="C3793" s="17"/>
      <c r="F3793"/>
      <c r="G3793"/>
      <c r="H3793"/>
      <c r="I3793"/>
      <c r="J3793"/>
    </row>
    <row r="3794" spans="1:10" x14ac:dyDescent="0.25">
      <c r="A3794" s="90">
        <v>40660</v>
      </c>
      <c r="B3794" s="17">
        <v>17.260000000000002</v>
      </c>
      <c r="C3794" s="17"/>
      <c r="F3794"/>
      <c r="G3794"/>
      <c r="H3794"/>
      <c r="I3794"/>
      <c r="J3794"/>
    </row>
    <row r="3795" spans="1:10" x14ac:dyDescent="0.25">
      <c r="A3795" s="90">
        <v>40661</v>
      </c>
      <c r="B3795" s="17">
        <v>17.510000000000002</v>
      </c>
      <c r="C3795" s="17"/>
      <c r="F3795"/>
      <c r="G3795"/>
      <c r="H3795"/>
      <c r="I3795"/>
      <c r="J3795"/>
    </row>
    <row r="3796" spans="1:10" x14ac:dyDescent="0.25">
      <c r="A3796" s="90">
        <v>40662</v>
      </c>
      <c r="B3796" s="17">
        <v>17.7</v>
      </c>
      <c r="C3796" s="17"/>
      <c r="F3796"/>
      <c r="G3796"/>
      <c r="H3796"/>
      <c r="I3796"/>
      <c r="J3796"/>
    </row>
    <row r="3797" spans="1:10" x14ac:dyDescent="0.25">
      <c r="A3797" s="90">
        <v>40665</v>
      </c>
      <c r="B3797" s="17">
        <v>18.14</v>
      </c>
      <c r="C3797" s="17"/>
      <c r="F3797"/>
      <c r="G3797"/>
      <c r="H3797"/>
      <c r="I3797"/>
      <c r="J3797"/>
    </row>
    <row r="3798" spans="1:10" x14ac:dyDescent="0.25">
      <c r="A3798" s="90">
        <v>40666</v>
      </c>
      <c r="B3798" s="17">
        <v>17.920000000000002</v>
      </c>
      <c r="C3798" s="17"/>
      <c r="F3798"/>
      <c r="G3798"/>
      <c r="H3798"/>
      <c r="I3798"/>
      <c r="J3798"/>
    </row>
    <row r="3799" spans="1:10" x14ac:dyDescent="0.25">
      <c r="A3799" s="90">
        <v>40667</v>
      </c>
      <c r="B3799" s="17">
        <v>18.2</v>
      </c>
      <c r="C3799" s="17"/>
      <c r="F3799"/>
      <c r="G3799"/>
      <c r="H3799"/>
      <c r="I3799"/>
      <c r="J3799"/>
    </row>
    <row r="3800" spans="1:10" x14ac:dyDescent="0.25">
      <c r="A3800" s="90">
        <v>40668</v>
      </c>
      <c r="B3800" s="17">
        <v>18.43</v>
      </c>
      <c r="C3800" s="17"/>
      <c r="F3800"/>
      <c r="G3800"/>
      <c r="H3800"/>
      <c r="I3800"/>
      <c r="J3800"/>
    </row>
    <row r="3801" spans="1:10" x14ac:dyDescent="0.25">
      <c r="A3801" s="90">
        <v>40669</v>
      </c>
      <c r="B3801" s="17">
        <v>18.649999999999999</v>
      </c>
      <c r="C3801" s="17"/>
      <c r="F3801"/>
      <c r="G3801"/>
      <c r="H3801"/>
      <c r="I3801"/>
      <c r="J3801"/>
    </row>
    <row r="3802" spans="1:10" x14ac:dyDescent="0.25">
      <c r="A3802" s="90">
        <v>40672</v>
      </c>
      <c r="B3802" s="17">
        <v>18.559999999999999</v>
      </c>
      <c r="C3802" s="17"/>
      <c r="F3802"/>
      <c r="G3802"/>
      <c r="H3802"/>
      <c r="I3802"/>
      <c r="J3802"/>
    </row>
    <row r="3803" spans="1:10" x14ac:dyDescent="0.25">
      <c r="A3803" s="90">
        <v>40673</v>
      </c>
      <c r="B3803" s="17">
        <v>18.55</v>
      </c>
      <c r="C3803" s="17"/>
      <c r="F3803"/>
      <c r="G3803"/>
      <c r="H3803"/>
      <c r="I3803"/>
      <c r="J3803"/>
    </row>
    <row r="3804" spans="1:10" x14ac:dyDescent="0.25">
      <c r="A3804" s="90">
        <v>40674</v>
      </c>
      <c r="B3804" s="17">
        <v>17.2</v>
      </c>
      <c r="C3804" s="17"/>
      <c r="F3804"/>
      <c r="G3804"/>
      <c r="H3804"/>
      <c r="I3804"/>
      <c r="J3804"/>
    </row>
    <row r="3805" spans="1:10" x14ac:dyDescent="0.25">
      <c r="A3805" s="90">
        <v>40675</v>
      </c>
      <c r="B3805" s="17">
        <v>17.170000000000002</v>
      </c>
      <c r="C3805" s="17"/>
      <c r="F3805"/>
      <c r="G3805"/>
      <c r="H3805"/>
      <c r="I3805"/>
      <c r="J3805"/>
    </row>
    <row r="3806" spans="1:10" x14ac:dyDescent="0.25">
      <c r="A3806" s="90">
        <v>40676</v>
      </c>
      <c r="B3806" s="17">
        <v>16.55</v>
      </c>
      <c r="C3806" s="17"/>
      <c r="F3806"/>
      <c r="G3806"/>
      <c r="H3806"/>
      <c r="I3806"/>
      <c r="J3806"/>
    </row>
    <row r="3807" spans="1:10" x14ac:dyDescent="0.25">
      <c r="A3807" s="90">
        <v>40679</v>
      </c>
      <c r="B3807" s="17">
        <v>15.81</v>
      </c>
      <c r="C3807" s="17"/>
      <c r="F3807"/>
      <c r="G3807"/>
      <c r="H3807"/>
      <c r="I3807"/>
      <c r="J3807"/>
    </row>
    <row r="3808" spans="1:10" x14ac:dyDescent="0.25">
      <c r="A3808" s="90">
        <v>40680</v>
      </c>
      <c r="B3808" s="17">
        <v>16</v>
      </c>
      <c r="C3808" s="17"/>
      <c r="F3808"/>
      <c r="G3808"/>
      <c r="H3808"/>
      <c r="I3808"/>
      <c r="J3808"/>
    </row>
    <row r="3809" spans="1:10" x14ac:dyDescent="0.25">
      <c r="A3809" s="90">
        <v>40681</v>
      </c>
      <c r="B3809" s="17">
        <v>15.96</v>
      </c>
      <c r="C3809" s="17"/>
      <c r="F3809"/>
      <c r="G3809"/>
      <c r="H3809"/>
      <c r="I3809"/>
      <c r="J3809"/>
    </row>
    <row r="3810" spans="1:10" x14ac:dyDescent="0.25">
      <c r="A3810" s="90">
        <v>40682</v>
      </c>
      <c r="B3810" s="17">
        <v>16.350000000000001</v>
      </c>
      <c r="C3810" s="17"/>
      <c r="F3810"/>
      <c r="G3810"/>
      <c r="H3810"/>
      <c r="I3810"/>
      <c r="J3810"/>
    </row>
    <row r="3811" spans="1:10" x14ac:dyDescent="0.25">
      <c r="A3811" s="90">
        <v>40683</v>
      </c>
      <c r="B3811" s="17">
        <v>16.3</v>
      </c>
      <c r="C3811" s="17"/>
      <c r="F3811"/>
      <c r="G3811"/>
      <c r="H3811"/>
      <c r="I3811"/>
      <c r="J3811"/>
    </row>
    <row r="3812" spans="1:10" x14ac:dyDescent="0.25">
      <c r="A3812" s="90">
        <v>40686</v>
      </c>
      <c r="B3812" s="17">
        <v>16.059999999999999</v>
      </c>
      <c r="C3812" s="17"/>
      <c r="F3812"/>
      <c r="G3812"/>
      <c r="H3812"/>
      <c r="I3812"/>
      <c r="J3812"/>
    </row>
    <row r="3813" spans="1:10" x14ac:dyDescent="0.25">
      <c r="A3813" s="90">
        <v>40687</v>
      </c>
      <c r="B3813" s="17">
        <v>16.14</v>
      </c>
      <c r="C3813" s="17"/>
      <c r="F3813"/>
      <c r="G3813"/>
      <c r="H3813"/>
      <c r="I3813"/>
      <c r="J3813"/>
    </row>
    <row r="3814" spans="1:10" x14ac:dyDescent="0.25">
      <c r="A3814" s="90">
        <v>40688</v>
      </c>
      <c r="B3814" s="17">
        <v>16.149999999999999</v>
      </c>
      <c r="C3814" s="17"/>
      <c r="F3814"/>
      <c r="G3814"/>
      <c r="H3814"/>
      <c r="I3814"/>
      <c r="J3814"/>
    </row>
    <row r="3815" spans="1:10" x14ac:dyDescent="0.25">
      <c r="A3815" s="90">
        <v>40689</v>
      </c>
      <c r="B3815" s="17">
        <v>15.98</v>
      </c>
      <c r="C3815" s="17"/>
      <c r="F3815"/>
      <c r="G3815"/>
      <c r="H3815"/>
      <c r="I3815"/>
      <c r="J3815"/>
    </row>
    <row r="3816" spans="1:10" x14ac:dyDescent="0.25">
      <c r="A3816" s="90">
        <v>40690</v>
      </c>
      <c r="B3816" s="17">
        <v>16.02</v>
      </c>
      <c r="C3816" s="17"/>
      <c r="F3816"/>
      <c r="G3816"/>
      <c r="H3816"/>
      <c r="I3816"/>
      <c r="J3816"/>
    </row>
    <row r="3817" spans="1:10" x14ac:dyDescent="0.25">
      <c r="A3817" s="90">
        <v>40694</v>
      </c>
      <c r="B3817" s="17">
        <v>16.55</v>
      </c>
      <c r="C3817" s="17"/>
      <c r="F3817"/>
      <c r="G3817"/>
      <c r="H3817"/>
      <c r="I3817"/>
      <c r="J3817"/>
    </row>
    <row r="3818" spans="1:10" x14ac:dyDescent="0.25">
      <c r="A3818" s="90">
        <v>40695</v>
      </c>
      <c r="B3818" s="17">
        <v>15.85</v>
      </c>
      <c r="C3818" s="17"/>
      <c r="F3818"/>
      <c r="G3818"/>
      <c r="H3818"/>
      <c r="I3818"/>
      <c r="J3818"/>
    </row>
    <row r="3819" spans="1:10" x14ac:dyDescent="0.25">
      <c r="A3819" s="90">
        <v>40696</v>
      </c>
      <c r="B3819" s="17">
        <v>16.02</v>
      </c>
      <c r="C3819" s="17"/>
      <c r="F3819"/>
      <c r="G3819"/>
      <c r="H3819"/>
      <c r="I3819"/>
      <c r="J3819"/>
    </row>
    <row r="3820" spans="1:10" x14ac:dyDescent="0.25">
      <c r="A3820" s="90">
        <v>40697</v>
      </c>
      <c r="B3820" s="17">
        <v>15.68</v>
      </c>
      <c r="C3820" s="17"/>
      <c r="F3820"/>
      <c r="G3820"/>
      <c r="H3820"/>
      <c r="I3820"/>
      <c r="J3820"/>
    </row>
    <row r="3821" spans="1:10" x14ac:dyDescent="0.25">
      <c r="A3821" s="90">
        <v>40700</v>
      </c>
      <c r="B3821" s="17">
        <v>15.45</v>
      </c>
      <c r="C3821" s="17"/>
      <c r="F3821"/>
      <c r="G3821"/>
      <c r="H3821"/>
      <c r="I3821"/>
      <c r="J3821"/>
    </row>
    <row r="3822" spans="1:10" x14ac:dyDescent="0.25">
      <c r="A3822" s="90">
        <v>40701</v>
      </c>
      <c r="B3822" s="17">
        <v>15.45</v>
      </c>
      <c r="C3822" s="17"/>
      <c r="F3822"/>
      <c r="G3822"/>
      <c r="H3822"/>
      <c r="I3822"/>
      <c r="J3822"/>
    </row>
    <row r="3823" spans="1:10" x14ac:dyDescent="0.25">
      <c r="A3823" s="90">
        <v>40702</v>
      </c>
      <c r="B3823" s="17">
        <v>15.1</v>
      </c>
      <c r="C3823" s="17"/>
      <c r="F3823"/>
      <c r="G3823"/>
      <c r="H3823"/>
      <c r="I3823"/>
      <c r="J3823"/>
    </row>
    <row r="3824" spans="1:10" x14ac:dyDescent="0.25">
      <c r="A3824" s="90">
        <v>40703</v>
      </c>
      <c r="B3824" s="17">
        <v>15.22</v>
      </c>
      <c r="C3824" s="17"/>
      <c r="F3824"/>
      <c r="G3824"/>
      <c r="H3824"/>
      <c r="I3824"/>
      <c r="J3824"/>
    </row>
    <row r="3825" spans="1:10" x14ac:dyDescent="0.25">
      <c r="A3825" s="90">
        <v>40704</v>
      </c>
      <c r="B3825" s="17">
        <v>15.2</v>
      </c>
      <c r="C3825" s="17"/>
      <c r="F3825"/>
      <c r="G3825"/>
      <c r="H3825"/>
      <c r="I3825"/>
      <c r="J3825"/>
    </row>
    <row r="3826" spans="1:10" x14ac:dyDescent="0.25">
      <c r="A3826" s="90">
        <v>40707</v>
      </c>
      <c r="B3826" s="17">
        <v>15.16</v>
      </c>
      <c r="C3826" s="17"/>
      <c r="F3826"/>
      <c r="G3826"/>
      <c r="H3826"/>
      <c r="I3826"/>
      <c r="J3826"/>
    </row>
    <row r="3827" spans="1:10" x14ac:dyDescent="0.25">
      <c r="A3827" s="90">
        <v>40708</v>
      </c>
      <c r="B3827" s="17">
        <v>15.2</v>
      </c>
      <c r="C3827" s="17"/>
      <c r="F3827"/>
      <c r="G3827"/>
      <c r="H3827"/>
      <c r="I3827"/>
      <c r="J3827"/>
    </row>
    <row r="3828" spans="1:10" x14ac:dyDescent="0.25">
      <c r="A3828" s="90">
        <v>40709</v>
      </c>
      <c r="B3828" s="17">
        <v>14.81</v>
      </c>
      <c r="C3828" s="17"/>
      <c r="F3828"/>
      <c r="G3828"/>
      <c r="H3828"/>
      <c r="I3828"/>
      <c r="J3828"/>
    </row>
    <row r="3829" spans="1:10" x14ac:dyDescent="0.25">
      <c r="A3829" s="90">
        <v>40710</v>
      </c>
      <c r="B3829" s="17">
        <v>14.78</v>
      </c>
      <c r="C3829" s="17"/>
      <c r="F3829"/>
      <c r="G3829"/>
      <c r="H3829"/>
      <c r="I3829"/>
      <c r="J3829"/>
    </row>
    <row r="3830" spans="1:10" x14ac:dyDescent="0.25">
      <c r="A3830" s="90">
        <v>40711</v>
      </c>
      <c r="B3830" s="17">
        <v>14.7</v>
      </c>
      <c r="C3830" s="17"/>
      <c r="F3830"/>
      <c r="G3830"/>
      <c r="H3830"/>
      <c r="I3830"/>
      <c r="J3830"/>
    </row>
    <row r="3831" spans="1:10" x14ac:dyDescent="0.25">
      <c r="A3831" s="90">
        <v>40714</v>
      </c>
      <c r="B3831" s="17">
        <v>14.99</v>
      </c>
      <c r="C3831" s="17"/>
      <c r="F3831"/>
      <c r="G3831"/>
      <c r="H3831"/>
      <c r="I3831"/>
      <c r="J3831"/>
    </row>
    <row r="3832" spans="1:10" x14ac:dyDescent="0.25">
      <c r="A3832" s="90">
        <v>40715</v>
      </c>
      <c r="B3832" s="17">
        <v>15.35</v>
      </c>
      <c r="C3832" s="17"/>
      <c r="F3832"/>
      <c r="G3832"/>
      <c r="H3832"/>
      <c r="I3832"/>
      <c r="J3832"/>
    </row>
    <row r="3833" spans="1:10" x14ac:dyDescent="0.25">
      <c r="A3833" s="90">
        <v>40716</v>
      </c>
      <c r="B3833" s="17">
        <v>15.23</v>
      </c>
      <c r="C3833" s="17"/>
      <c r="F3833"/>
      <c r="G3833"/>
      <c r="H3833"/>
      <c r="I3833"/>
      <c r="J3833"/>
    </row>
    <row r="3834" spans="1:10" x14ac:dyDescent="0.25">
      <c r="A3834" s="90">
        <v>40717</v>
      </c>
      <c r="B3834" s="17">
        <v>15.08</v>
      </c>
      <c r="C3834" s="17"/>
      <c r="F3834"/>
      <c r="G3834"/>
      <c r="H3834"/>
      <c r="I3834"/>
      <c r="J3834"/>
    </row>
    <row r="3835" spans="1:10" x14ac:dyDescent="0.25">
      <c r="A3835" s="90">
        <v>40718</v>
      </c>
      <c r="B3835" s="17">
        <v>14.89</v>
      </c>
      <c r="C3835" s="17"/>
      <c r="F3835"/>
      <c r="G3835"/>
      <c r="H3835"/>
      <c r="I3835"/>
      <c r="J3835"/>
    </row>
    <row r="3836" spans="1:10" x14ac:dyDescent="0.25">
      <c r="A3836" s="90">
        <v>40721</v>
      </c>
      <c r="B3836" s="17">
        <v>14.88</v>
      </c>
      <c r="C3836" s="17"/>
      <c r="F3836"/>
      <c r="G3836"/>
      <c r="H3836"/>
      <c r="I3836"/>
      <c r="J3836"/>
    </row>
    <row r="3837" spans="1:10" x14ac:dyDescent="0.25">
      <c r="A3837" s="90">
        <v>40722</v>
      </c>
      <c r="B3837" s="17">
        <v>14.95</v>
      </c>
      <c r="C3837" s="17"/>
      <c r="F3837"/>
      <c r="G3837"/>
      <c r="H3837"/>
      <c r="I3837"/>
      <c r="J3837"/>
    </row>
    <row r="3838" spans="1:10" x14ac:dyDescent="0.25">
      <c r="A3838" s="90">
        <v>40723</v>
      </c>
      <c r="B3838" s="17">
        <v>14.89</v>
      </c>
      <c r="C3838" s="17"/>
      <c r="F3838"/>
      <c r="G3838"/>
      <c r="H3838"/>
      <c r="I3838"/>
      <c r="J3838"/>
    </row>
    <row r="3839" spans="1:10" x14ac:dyDescent="0.25">
      <c r="A3839" s="90">
        <v>40724</v>
      </c>
      <c r="B3839" s="17">
        <v>15.04</v>
      </c>
      <c r="C3839" s="17"/>
      <c r="F3839"/>
      <c r="G3839"/>
      <c r="H3839"/>
      <c r="I3839"/>
      <c r="J3839"/>
    </row>
    <row r="3840" spans="1:10" x14ac:dyDescent="0.25">
      <c r="A3840" s="90">
        <v>40725</v>
      </c>
      <c r="B3840" s="17">
        <v>15.45</v>
      </c>
      <c r="C3840" s="17"/>
      <c r="F3840"/>
      <c r="G3840"/>
      <c r="H3840"/>
      <c r="I3840"/>
      <c r="J3840"/>
    </row>
    <row r="3841" spans="1:10" x14ac:dyDescent="0.25">
      <c r="A3841" s="90">
        <v>40729</v>
      </c>
      <c r="B3841" s="17">
        <v>15.49</v>
      </c>
      <c r="C3841" s="17"/>
      <c r="F3841"/>
      <c r="G3841"/>
      <c r="H3841"/>
      <c r="I3841"/>
      <c r="J3841"/>
    </row>
    <row r="3842" spans="1:10" x14ac:dyDescent="0.25">
      <c r="A3842" s="90">
        <v>40730</v>
      </c>
      <c r="B3842" s="17">
        <v>15.72</v>
      </c>
      <c r="C3842" s="17"/>
      <c r="F3842"/>
      <c r="G3842"/>
      <c r="H3842"/>
      <c r="I3842"/>
      <c r="J3842"/>
    </row>
    <row r="3843" spans="1:10" x14ac:dyDescent="0.25">
      <c r="A3843" s="90">
        <v>40731</v>
      </c>
      <c r="B3843" s="17">
        <v>15.81</v>
      </c>
      <c r="C3843" s="17"/>
      <c r="F3843"/>
      <c r="G3843"/>
      <c r="H3843"/>
      <c r="I3843"/>
      <c r="J3843"/>
    </row>
    <row r="3844" spans="1:10" x14ac:dyDescent="0.25">
      <c r="A3844" s="90">
        <v>40732</v>
      </c>
      <c r="B3844" s="17">
        <v>15.61</v>
      </c>
      <c r="C3844" s="17"/>
      <c r="F3844"/>
      <c r="G3844"/>
      <c r="H3844"/>
      <c r="I3844"/>
      <c r="J3844"/>
    </row>
    <row r="3845" spans="1:10" x14ac:dyDescent="0.25">
      <c r="A3845" s="90">
        <v>40735</v>
      </c>
      <c r="B3845" s="17">
        <v>15.05</v>
      </c>
      <c r="C3845" s="17"/>
      <c r="F3845"/>
      <c r="G3845"/>
      <c r="H3845"/>
      <c r="I3845"/>
      <c r="J3845"/>
    </row>
    <row r="3846" spans="1:10" x14ac:dyDescent="0.25">
      <c r="A3846" s="90">
        <v>40736</v>
      </c>
      <c r="B3846" s="17">
        <v>14.86</v>
      </c>
      <c r="C3846" s="17"/>
      <c r="F3846"/>
      <c r="G3846"/>
      <c r="H3846"/>
      <c r="I3846"/>
      <c r="J3846"/>
    </row>
    <row r="3847" spans="1:10" x14ac:dyDescent="0.25">
      <c r="A3847" s="90">
        <v>40737</v>
      </c>
      <c r="B3847" s="17">
        <v>14.91</v>
      </c>
      <c r="C3847" s="17"/>
      <c r="F3847"/>
      <c r="G3847"/>
      <c r="H3847"/>
      <c r="I3847"/>
      <c r="J3847"/>
    </row>
    <row r="3848" spans="1:10" x14ac:dyDescent="0.25">
      <c r="A3848" s="90">
        <v>40738</v>
      </c>
      <c r="B3848" s="17">
        <v>14.63</v>
      </c>
      <c r="C3848" s="17"/>
      <c r="F3848"/>
      <c r="G3848"/>
      <c r="H3848"/>
      <c r="I3848"/>
      <c r="J3848"/>
    </row>
    <row r="3849" spans="1:10" x14ac:dyDescent="0.25">
      <c r="A3849" s="90">
        <v>40739</v>
      </c>
      <c r="B3849" s="17">
        <v>14.69</v>
      </c>
      <c r="C3849" s="17"/>
      <c r="F3849"/>
      <c r="G3849"/>
      <c r="H3849"/>
      <c r="I3849"/>
      <c r="J3849"/>
    </row>
    <row r="3850" spans="1:10" x14ac:dyDescent="0.25">
      <c r="A3850" s="90">
        <v>40742</v>
      </c>
      <c r="B3850" s="17">
        <v>14.42</v>
      </c>
      <c r="C3850" s="17"/>
      <c r="F3850"/>
      <c r="G3850"/>
      <c r="H3850"/>
      <c r="I3850"/>
      <c r="J3850"/>
    </row>
    <row r="3851" spans="1:10" x14ac:dyDescent="0.25">
      <c r="A3851" s="90">
        <v>40743</v>
      </c>
      <c r="B3851" s="17">
        <v>14.59</v>
      </c>
      <c r="C3851" s="17"/>
      <c r="F3851"/>
      <c r="G3851"/>
      <c r="H3851"/>
      <c r="I3851"/>
      <c r="J3851"/>
    </row>
    <row r="3852" spans="1:10" x14ac:dyDescent="0.25">
      <c r="A3852" s="90">
        <v>40744</v>
      </c>
      <c r="B3852" s="17">
        <v>13.48</v>
      </c>
      <c r="C3852" s="17"/>
      <c r="F3852"/>
      <c r="G3852"/>
      <c r="H3852"/>
      <c r="I3852"/>
      <c r="J3852"/>
    </row>
    <row r="3853" spans="1:10" x14ac:dyDescent="0.25">
      <c r="A3853" s="90">
        <v>40745</v>
      </c>
      <c r="B3853" s="17">
        <v>13.59</v>
      </c>
      <c r="C3853" s="17"/>
      <c r="F3853"/>
      <c r="G3853"/>
      <c r="H3853"/>
      <c r="I3853"/>
      <c r="J3853"/>
    </row>
    <row r="3854" spans="1:10" x14ac:dyDescent="0.25">
      <c r="A3854" s="90">
        <v>40746</v>
      </c>
      <c r="B3854" s="17">
        <v>13.98</v>
      </c>
      <c r="C3854" s="17"/>
      <c r="F3854"/>
      <c r="G3854"/>
      <c r="H3854"/>
      <c r="I3854"/>
      <c r="J3854"/>
    </row>
    <row r="3855" spans="1:10" x14ac:dyDescent="0.25">
      <c r="A3855" s="90">
        <v>40749</v>
      </c>
      <c r="B3855" s="17">
        <v>13.69</v>
      </c>
      <c r="C3855" s="17"/>
      <c r="F3855"/>
      <c r="G3855"/>
      <c r="H3855"/>
      <c r="I3855"/>
      <c r="J3855"/>
    </row>
    <row r="3856" spans="1:10" x14ac:dyDescent="0.25">
      <c r="A3856" s="90">
        <v>40750</v>
      </c>
      <c r="B3856" s="17">
        <v>13.94</v>
      </c>
      <c r="C3856" s="17"/>
      <c r="F3856"/>
      <c r="G3856"/>
      <c r="H3856"/>
      <c r="I3856"/>
      <c r="J3856"/>
    </row>
    <row r="3857" spans="1:10" x14ac:dyDescent="0.25">
      <c r="A3857" s="90">
        <v>40751</v>
      </c>
      <c r="B3857" s="17">
        <v>13.59</v>
      </c>
      <c r="C3857" s="17"/>
      <c r="F3857"/>
      <c r="G3857"/>
      <c r="H3857"/>
      <c r="I3857"/>
      <c r="J3857"/>
    </row>
    <row r="3858" spans="1:10" x14ac:dyDescent="0.25">
      <c r="A3858" s="90">
        <v>40752</v>
      </c>
      <c r="B3858" s="17">
        <v>13.5</v>
      </c>
      <c r="C3858" s="17"/>
      <c r="F3858"/>
      <c r="G3858"/>
      <c r="H3858"/>
      <c r="I3858"/>
      <c r="J3858"/>
    </row>
    <row r="3859" spans="1:10" x14ac:dyDescent="0.25">
      <c r="A3859" s="90">
        <v>40753</v>
      </c>
      <c r="B3859" s="17">
        <v>13.1</v>
      </c>
      <c r="C3859" s="17"/>
      <c r="F3859"/>
      <c r="G3859"/>
      <c r="H3859"/>
      <c r="I3859"/>
      <c r="J3859"/>
    </row>
    <row r="3860" spans="1:10" x14ac:dyDescent="0.25">
      <c r="A3860" s="90">
        <v>40756</v>
      </c>
      <c r="B3860" s="17">
        <v>13.1</v>
      </c>
      <c r="C3860" s="17"/>
      <c r="F3860"/>
      <c r="G3860"/>
      <c r="H3860"/>
      <c r="I3860"/>
      <c r="J3860"/>
    </row>
    <row r="3861" spans="1:10" x14ac:dyDescent="0.25">
      <c r="A3861" s="90">
        <v>40757</v>
      </c>
      <c r="B3861" s="17">
        <v>12.76</v>
      </c>
      <c r="C3861" s="17"/>
      <c r="F3861"/>
      <c r="G3861"/>
      <c r="H3861"/>
      <c r="I3861"/>
      <c r="J3861"/>
    </row>
    <row r="3862" spans="1:10" x14ac:dyDescent="0.25">
      <c r="A3862" s="90">
        <v>40758</v>
      </c>
      <c r="B3862" s="17">
        <v>13.02</v>
      </c>
      <c r="C3862" s="17"/>
      <c r="F3862"/>
      <c r="G3862"/>
      <c r="H3862"/>
      <c r="I3862"/>
      <c r="J3862"/>
    </row>
    <row r="3863" spans="1:10" x14ac:dyDescent="0.25">
      <c r="A3863" s="90">
        <v>40759</v>
      </c>
      <c r="B3863" s="17">
        <v>12</v>
      </c>
      <c r="C3863" s="17"/>
      <c r="F3863"/>
      <c r="G3863"/>
      <c r="H3863"/>
      <c r="I3863"/>
      <c r="J3863"/>
    </row>
    <row r="3864" spans="1:10" x14ac:dyDescent="0.25">
      <c r="A3864" s="90">
        <v>40760</v>
      </c>
      <c r="B3864" s="17">
        <v>11.74</v>
      </c>
      <c r="C3864" s="17"/>
      <c r="F3864"/>
      <c r="G3864"/>
      <c r="H3864"/>
      <c r="I3864"/>
      <c r="J3864"/>
    </row>
    <row r="3865" spans="1:10" x14ac:dyDescent="0.25">
      <c r="A3865" s="90">
        <v>40763</v>
      </c>
      <c r="B3865" s="17">
        <v>11.09</v>
      </c>
      <c r="C3865" s="17"/>
      <c r="F3865"/>
      <c r="G3865"/>
      <c r="H3865"/>
      <c r="I3865"/>
      <c r="J3865"/>
    </row>
    <row r="3866" spans="1:10" x14ac:dyDescent="0.25">
      <c r="A3866" s="90">
        <v>40764</v>
      </c>
      <c r="B3866" s="17">
        <v>12.09</v>
      </c>
      <c r="C3866" s="17"/>
      <c r="F3866"/>
      <c r="G3866"/>
      <c r="H3866"/>
      <c r="I3866"/>
      <c r="J3866"/>
    </row>
    <row r="3867" spans="1:10" x14ac:dyDescent="0.25">
      <c r="A3867" s="90">
        <v>40765</v>
      </c>
      <c r="B3867" s="17">
        <v>11.77</v>
      </c>
      <c r="C3867" s="17"/>
      <c r="F3867"/>
      <c r="G3867"/>
      <c r="H3867"/>
      <c r="I3867"/>
      <c r="J3867"/>
    </row>
    <row r="3868" spans="1:10" x14ac:dyDescent="0.25">
      <c r="A3868" s="90">
        <v>40766</v>
      </c>
      <c r="B3868" s="17">
        <v>12.86</v>
      </c>
      <c r="C3868" s="17"/>
      <c r="F3868"/>
      <c r="G3868"/>
      <c r="H3868"/>
      <c r="I3868"/>
      <c r="J3868"/>
    </row>
    <row r="3869" spans="1:10" x14ac:dyDescent="0.25">
      <c r="A3869" s="90">
        <v>40767</v>
      </c>
      <c r="B3869" s="17">
        <v>13.59</v>
      </c>
      <c r="C3869" s="17"/>
      <c r="F3869"/>
      <c r="G3869"/>
      <c r="H3869"/>
      <c r="I3869"/>
      <c r="J3869"/>
    </row>
    <row r="3870" spans="1:10" x14ac:dyDescent="0.25">
      <c r="A3870" s="90">
        <v>40770</v>
      </c>
      <c r="B3870" s="17">
        <v>13.47</v>
      </c>
      <c r="C3870" s="17"/>
      <c r="F3870"/>
      <c r="G3870"/>
      <c r="H3870"/>
      <c r="I3870"/>
      <c r="J3870"/>
    </row>
    <row r="3871" spans="1:10" x14ac:dyDescent="0.25">
      <c r="A3871" s="90">
        <v>40771</v>
      </c>
      <c r="B3871" s="17">
        <v>13.48</v>
      </c>
      <c r="C3871" s="17"/>
      <c r="F3871"/>
      <c r="G3871"/>
      <c r="H3871"/>
      <c r="I3871"/>
      <c r="J3871"/>
    </row>
    <row r="3872" spans="1:10" x14ac:dyDescent="0.25">
      <c r="A3872" s="90">
        <v>40772</v>
      </c>
      <c r="B3872" s="17">
        <v>13.47</v>
      </c>
      <c r="C3872" s="17"/>
      <c r="F3872"/>
      <c r="G3872"/>
      <c r="H3872"/>
      <c r="I3872"/>
      <c r="J3872"/>
    </row>
    <row r="3873" spans="1:10" x14ac:dyDescent="0.25">
      <c r="A3873" s="90">
        <v>40773</v>
      </c>
      <c r="B3873" s="17">
        <v>12.96</v>
      </c>
      <c r="C3873" s="17"/>
      <c r="F3873"/>
      <c r="G3873"/>
      <c r="H3873"/>
      <c r="I3873"/>
      <c r="J3873"/>
    </row>
    <row r="3874" spans="1:10" x14ac:dyDescent="0.25">
      <c r="A3874" s="90">
        <v>40774</v>
      </c>
      <c r="B3874" s="17">
        <v>12.92</v>
      </c>
      <c r="C3874" s="17"/>
      <c r="F3874"/>
      <c r="G3874"/>
      <c r="H3874"/>
      <c r="I3874"/>
      <c r="J3874"/>
    </row>
    <row r="3875" spans="1:10" x14ac:dyDescent="0.25">
      <c r="A3875" s="90">
        <v>40777</v>
      </c>
      <c r="B3875" s="17">
        <v>12.84</v>
      </c>
      <c r="C3875" s="17"/>
      <c r="F3875"/>
      <c r="G3875"/>
      <c r="H3875"/>
      <c r="I3875"/>
      <c r="J3875"/>
    </row>
    <row r="3876" spans="1:10" x14ac:dyDescent="0.25">
      <c r="A3876" s="90">
        <v>40778</v>
      </c>
      <c r="B3876" s="17">
        <v>13.35</v>
      </c>
      <c r="C3876" s="17"/>
      <c r="F3876"/>
      <c r="G3876"/>
      <c r="H3876"/>
      <c r="I3876"/>
      <c r="J3876"/>
    </row>
    <row r="3877" spans="1:10" x14ac:dyDescent="0.25">
      <c r="A3877" s="90">
        <v>40779</v>
      </c>
      <c r="B3877" s="17">
        <v>13.15</v>
      </c>
      <c r="C3877" s="17"/>
      <c r="F3877"/>
      <c r="G3877"/>
      <c r="H3877"/>
      <c r="I3877"/>
      <c r="J3877"/>
    </row>
    <row r="3878" spans="1:10" x14ac:dyDescent="0.25">
      <c r="A3878" s="90">
        <v>40780</v>
      </c>
      <c r="B3878" s="17">
        <v>12.87</v>
      </c>
      <c r="C3878" s="17"/>
      <c r="F3878"/>
      <c r="G3878"/>
      <c r="H3878"/>
      <c r="I3878"/>
      <c r="J3878"/>
    </row>
    <row r="3879" spans="1:10" x14ac:dyDescent="0.25">
      <c r="A3879" s="90">
        <v>40781</v>
      </c>
      <c r="B3879" s="17">
        <v>12.74</v>
      </c>
      <c r="C3879" s="17"/>
      <c r="F3879"/>
      <c r="G3879"/>
      <c r="H3879"/>
      <c r="I3879"/>
      <c r="J3879"/>
    </row>
    <row r="3880" spans="1:10" x14ac:dyDescent="0.25">
      <c r="A3880" s="90">
        <v>40784</v>
      </c>
      <c r="B3880" s="17">
        <v>13.68</v>
      </c>
      <c r="C3880" s="17"/>
      <c r="F3880"/>
      <c r="G3880"/>
      <c r="H3880"/>
      <c r="I3880"/>
      <c r="J3880"/>
    </row>
    <row r="3881" spans="1:10" x14ac:dyDescent="0.25">
      <c r="A3881" s="90">
        <v>40785</v>
      </c>
      <c r="B3881" s="17">
        <v>13.84</v>
      </c>
      <c r="C3881" s="17"/>
      <c r="F3881"/>
      <c r="G3881"/>
      <c r="H3881"/>
      <c r="I3881"/>
      <c r="J3881"/>
    </row>
    <row r="3882" spans="1:10" x14ac:dyDescent="0.25">
      <c r="A3882" s="90">
        <v>40786</v>
      </c>
      <c r="B3882" s="17">
        <v>13.61</v>
      </c>
      <c r="C3882" s="17"/>
      <c r="F3882"/>
      <c r="G3882"/>
      <c r="H3882"/>
      <c r="I3882"/>
      <c r="J3882"/>
    </row>
    <row r="3883" spans="1:10" x14ac:dyDescent="0.25">
      <c r="A3883" s="90">
        <v>40787</v>
      </c>
      <c r="B3883" s="17">
        <v>13.35</v>
      </c>
      <c r="C3883" s="17"/>
      <c r="F3883"/>
      <c r="G3883"/>
      <c r="H3883"/>
      <c r="I3883"/>
      <c r="J3883"/>
    </row>
    <row r="3884" spans="1:10" x14ac:dyDescent="0.25">
      <c r="A3884" s="90">
        <v>40788</v>
      </c>
      <c r="B3884" s="17">
        <v>12.87</v>
      </c>
      <c r="C3884" s="17"/>
      <c r="F3884"/>
      <c r="G3884"/>
      <c r="H3884"/>
      <c r="I3884"/>
      <c r="J3884"/>
    </row>
    <row r="3885" spans="1:10" x14ac:dyDescent="0.25">
      <c r="A3885" s="90">
        <v>40792</v>
      </c>
      <c r="B3885" s="17">
        <v>12.91</v>
      </c>
      <c r="C3885" s="17"/>
      <c r="F3885"/>
      <c r="G3885"/>
      <c r="H3885"/>
      <c r="I3885"/>
      <c r="J3885"/>
    </row>
    <row r="3886" spans="1:10" x14ac:dyDescent="0.25">
      <c r="A3886" s="90">
        <v>40793</v>
      </c>
      <c r="B3886" s="17">
        <v>13.61</v>
      </c>
      <c r="C3886" s="17"/>
      <c r="F3886"/>
      <c r="G3886"/>
      <c r="H3886"/>
      <c r="I3886"/>
      <c r="J3886"/>
    </row>
    <row r="3887" spans="1:10" x14ac:dyDescent="0.25">
      <c r="A3887" s="90">
        <v>40794</v>
      </c>
      <c r="B3887" s="17">
        <v>14.44</v>
      </c>
      <c r="C3887" s="17"/>
      <c r="F3887"/>
      <c r="G3887"/>
      <c r="H3887"/>
      <c r="I3887"/>
      <c r="J3887"/>
    </row>
    <row r="3888" spans="1:10" x14ac:dyDescent="0.25">
      <c r="A3888" s="90">
        <v>40795</v>
      </c>
      <c r="B3888" s="17">
        <v>14.48</v>
      </c>
      <c r="C3888" s="17"/>
      <c r="F3888"/>
      <c r="G3888"/>
      <c r="H3888"/>
      <c r="I3888"/>
      <c r="J3888"/>
    </row>
    <row r="3889" spans="1:10" x14ac:dyDescent="0.25">
      <c r="A3889" s="90">
        <v>40798</v>
      </c>
      <c r="B3889" s="17">
        <v>14.26</v>
      </c>
      <c r="C3889" s="17"/>
      <c r="F3889"/>
      <c r="G3889"/>
      <c r="H3889"/>
      <c r="I3889"/>
      <c r="J3889"/>
    </row>
    <row r="3890" spans="1:10" x14ac:dyDescent="0.25">
      <c r="A3890" s="90">
        <v>40799</v>
      </c>
      <c r="B3890" s="17">
        <v>14.26</v>
      </c>
      <c r="C3890" s="17"/>
      <c r="F3890"/>
      <c r="G3890"/>
      <c r="H3890"/>
      <c r="I3890"/>
      <c r="J3890"/>
    </row>
    <row r="3891" spans="1:10" x14ac:dyDescent="0.25">
      <c r="A3891" s="90">
        <v>40800</v>
      </c>
      <c r="B3891" s="17">
        <v>14.55</v>
      </c>
      <c r="C3891" s="17"/>
      <c r="F3891"/>
      <c r="G3891"/>
      <c r="H3891"/>
      <c r="I3891"/>
      <c r="J3891"/>
    </row>
    <row r="3892" spans="1:10" x14ac:dyDescent="0.25">
      <c r="A3892" s="90">
        <v>40801</v>
      </c>
      <c r="B3892" s="17">
        <v>14.89</v>
      </c>
      <c r="C3892" s="17"/>
      <c r="F3892"/>
      <c r="G3892"/>
      <c r="H3892"/>
      <c r="I3892"/>
      <c r="J3892"/>
    </row>
    <row r="3893" spans="1:10" x14ac:dyDescent="0.25">
      <c r="A3893" s="90">
        <v>40802</v>
      </c>
      <c r="B3893" s="17">
        <v>14.97</v>
      </c>
      <c r="C3893" s="17"/>
      <c r="F3893"/>
      <c r="G3893"/>
      <c r="H3893"/>
      <c r="I3893"/>
      <c r="J3893"/>
    </row>
    <row r="3894" spans="1:10" x14ac:dyDescent="0.25">
      <c r="A3894" s="90">
        <v>40805</v>
      </c>
      <c r="B3894" s="17">
        <v>14.61</v>
      </c>
      <c r="C3894" s="17"/>
      <c r="F3894"/>
      <c r="G3894"/>
      <c r="H3894"/>
      <c r="I3894"/>
      <c r="J3894"/>
    </row>
    <row r="3895" spans="1:10" x14ac:dyDescent="0.25">
      <c r="A3895" s="90">
        <v>40806</v>
      </c>
      <c r="B3895" s="17">
        <v>14.36</v>
      </c>
      <c r="C3895" s="17"/>
      <c r="F3895"/>
      <c r="G3895"/>
      <c r="H3895"/>
      <c r="I3895"/>
      <c r="J3895"/>
    </row>
    <row r="3896" spans="1:10" x14ac:dyDescent="0.25">
      <c r="A3896" s="90">
        <v>40807</v>
      </c>
      <c r="B3896" s="17">
        <v>13.96</v>
      </c>
      <c r="C3896" s="17"/>
      <c r="F3896"/>
      <c r="G3896"/>
      <c r="H3896"/>
      <c r="I3896"/>
      <c r="J3896"/>
    </row>
    <row r="3897" spans="1:10" x14ac:dyDescent="0.25">
      <c r="A3897" s="90">
        <v>40808</v>
      </c>
      <c r="B3897" s="17">
        <v>13.99</v>
      </c>
      <c r="C3897" s="17"/>
      <c r="F3897"/>
      <c r="G3897"/>
      <c r="H3897"/>
      <c r="I3897"/>
      <c r="J3897"/>
    </row>
    <row r="3898" spans="1:10" x14ac:dyDescent="0.25">
      <c r="A3898" s="90">
        <v>40809</v>
      </c>
      <c r="B3898" s="17">
        <v>14.71</v>
      </c>
      <c r="C3898" s="17"/>
      <c r="F3898"/>
      <c r="G3898"/>
      <c r="H3898"/>
      <c r="I3898"/>
      <c r="J3898"/>
    </row>
    <row r="3899" spans="1:10" x14ac:dyDescent="0.25">
      <c r="A3899" s="90">
        <v>40812</v>
      </c>
      <c r="B3899" s="17">
        <v>14.75</v>
      </c>
      <c r="C3899" s="17"/>
      <c r="F3899"/>
      <c r="G3899"/>
      <c r="H3899"/>
      <c r="I3899"/>
      <c r="J3899"/>
    </row>
    <row r="3900" spans="1:10" x14ac:dyDescent="0.25">
      <c r="A3900" s="90">
        <v>40813</v>
      </c>
      <c r="B3900" s="17">
        <v>14.54</v>
      </c>
      <c r="C3900" s="17"/>
      <c r="F3900"/>
      <c r="G3900"/>
      <c r="H3900"/>
      <c r="I3900"/>
      <c r="J3900"/>
    </row>
    <row r="3901" spans="1:10" x14ac:dyDescent="0.25">
      <c r="A3901" s="90">
        <v>40814</v>
      </c>
      <c r="B3901" s="17">
        <v>14.19</v>
      </c>
      <c r="C3901" s="17"/>
      <c r="F3901"/>
      <c r="G3901"/>
      <c r="H3901"/>
      <c r="I3901"/>
      <c r="J3901"/>
    </row>
    <row r="3902" spans="1:10" x14ac:dyDescent="0.25">
      <c r="A3902" s="90">
        <v>40815</v>
      </c>
      <c r="B3902" s="17">
        <v>13.42</v>
      </c>
      <c r="C3902" s="17"/>
      <c r="F3902"/>
      <c r="G3902"/>
      <c r="H3902"/>
      <c r="I3902"/>
      <c r="J3902"/>
    </row>
    <row r="3903" spans="1:10" x14ac:dyDescent="0.25">
      <c r="A3903" s="90">
        <v>40816</v>
      </c>
      <c r="B3903" s="17">
        <v>13.17</v>
      </c>
      <c r="C3903" s="17"/>
      <c r="F3903"/>
      <c r="G3903"/>
      <c r="H3903"/>
      <c r="I3903"/>
      <c r="J3903"/>
    </row>
    <row r="3904" spans="1:10" x14ac:dyDescent="0.25">
      <c r="A3904" s="90">
        <v>40819</v>
      </c>
      <c r="B3904" s="17">
        <v>13.53</v>
      </c>
      <c r="C3904" s="17"/>
      <c r="F3904"/>
      <c r="G3904"/>
      <c r="H3904"/>
      <c r="I3904"/>
      <c r="J3904"/>
    </row>
    <row r="3905" spans="1:10" x14ac:dyDescent="0.25">
      <c r="A3905" s="90">
        <v>40820</v>
      </c>
      <c r="B3905" s="17">
        <v>14.46</v>
      </c>
      <c r="C3905" s="17"/>
      <c r="F3905"/>
      <c r="G3905"/>
      <c r="H3905"/>
      <c r="I3905"/>
      <c r="J3905"/>
    </row>
    <row r="3906" spans="1:10" x14ac:dyDescent="0.25">
      <c r="A3906" s="90">
        <v>40821</v>
      </c>
      <c r="B3906" s="17">
        <v>15.92</v>
      </c>
      <c r="C3906" s="17"/>
      <c r="F3906"/>
      <c r="G3906"/>
      <c r="H3906"/>
      <c r="I3906"/>
      <c r="J3906"/>
    </row>
    <row r="3907" spans="1:10" x14ac:dyDescent="0.25">
      <c r="A3907" s="90">
        <v>40822</v>
      </c>
      <c r="B3907" s="17">
        <v>15.65</v>
      </c>
      <c r="C3907" s="17"/>
      <c r="F3907"/>
      <c r="G3907"/>
      <c r="H3907"/>
      <c r="I3907"/>
      <c r="J3907"/>
    </row>
    <row r="3908" spans="1:10" x14ac:dyDescent="0.25">
      <c r="A3908" s="90">
        <v>40823</v>
      </c>
      <c r="B3908" s="17">
        <v>15.47</v>
      </c>
      <c r="C3908" s="17"/>
      <c r="F3908"/>
      <c r="G3908"/>
      <c r="H3908"/>
      <c r="I3908"/>
      <c r="J3908"/>
    </row>
    <row r="3909" spans="1:10" x14ac:dyDescent="0.25">
      <c r="A3909" s="90">
        <v>40826</v>
      </c>
      <c r="B3909" s="17">
        <v>15.84</v>
      </c>
      <c r="C3909" s="17"/>
      <c r="F3909"/>
      <c r="G3909"/>
      <c r="H3909"/>
      <c r="I3909"/>
      <c r="J3909"/>
    </row>
    <row r="3910" spans="1:10" x14ac:dyDescent="0.25">
      <c r="A3910" s="90">
        <v>40827</v>
      </c>
      <c r="B3910" s="17">
        <v>15.86</v>
      </c>
      <c r="C3910" s="17"/>
      <c r="F3910"/>
      <c r="G3910"/>
      <c r="H3910"/>
      <c r="I3910"/>
      <c r="J3910"/>
    </row>
    <row r="3911" spans="1:10" x14ac:dyDescent="0.25">
      <c r="A3911" s="90">
        <v>40828</v>
      </c>
      <c r="B3911" s="17">
        <v>15.77</v>
      </c>
      <c r="C3911" s="17"/>
      <c r="F3911"/>
      <c r="G3911"/>
      <c r="H3911"/>
      <c r="I3911"/>
      <c r="J3911"/>
    </row>
    <row r="3912" spans="1:10" x14ac:dyDescent="0.25">
      <c r="A3912" s="90">
        <v>40829</v>
      </c>
      <c r="B3912" s="17">
        <v>15.93</v>
      </c>
      <c r="C3912" s="17"/>
      <c r="F3912"/>
      <c r="G3912"/>
      <c r="H3912"/>
      <c r="I3912"/>
      <c r="J3912"/>
    </row>
    <row r="3913" spans="1:10" x14ac:dyDescent="0.25">
      <c r="A3913" s="90">
        <v>40830</v>
      </c>
      <c r="B3913" s="17">
        <v>15.91</v>
      </c>
      <c r="C3913" s="17"/>
      <c r="F3913"/>
      <c r="G3913"/>
      <c r="H3913"/>
      <c r="I3913"/>
      <c r="J3913"/>
    </row>
    <row r="3914" spans="1:10" x14ac:dyDescent="0.25">
      <c r="A3914" s="90">
        <v>40833</v>
      </c>
      <c r="B3914" s="17">
        <v>15.7</v>
      </c>
      <c r="C3914" s="17"/>
      <c r="F3914"/>
      <c r="G3914"/>
      <c r="H3914"/>
      <c r="I3914"/>
      <c r="J3914"/>
    </row>
    <row r="3915" spans="1:10" x14ac:dyDescent="0.25">
      <c r="A3915" s="90">
        <v>40834</v>
      </c>
      <c r="B3915" s="17">
        <v>15.47</v>
      </c>
      <c r="C3915" s="17"/>
      <c r="F3915"/>
      <c r="G3915"/>
      <c r="H3915"/>
      <c r="I3915"/>
      <c r="J3915"/>
    </row>
    <row r="3916" spans="1:10" x14ac:dyDescent="0.25">
      <c r="A3916" s="90">
        <v>40835</v>
      </c>
      <c r="B3916" s="17">
        <v>15.94</v>
      </c>
      <c r="C3916" s="17"/>
      <c r="F3916"/>
      <c r="G3916"/>
      <c r="H3916"/>
      <c r="I3916"/>
      <c r="J3916"/>
    </row>
    <row r="3917" spans="1:10" x14ac:dyDescent="0.25">
      <c r="A3917" s="90">
        <v>40836</v>
      </c>
      <c r="B3917" s="17">
        <v>16.18</v>
      </c>
      <c r="C3917" s="17"/>
      <c r="F3917"/>
      <c r="G3917"/>
      <c r="H3917"/>
      <c r="I3917"/>
      <c r="J3917"/>
    </row>
    <row r="3918" spans="1:10" x14ac:dyDescent="0.25">
      <c r="A3918" s="90">
        <v>40837</v>
      </c>
      <c r="B3918" s="17">
        <v>16.12</v>
      </c>
      <c r="C3918" s="17"/>
      <c r="F3918"/>
      <c r="G3918"/>
      <c r="H3918"/>
      <c r="I3918"/>
      <c r="J3918"/>
    </row>
    <row r="3919" spans="1:10" x14ac:dyDescent="0.25">
      <c r="A3919" s="90">
        <v>40840</v>
      </c>
      <c r="B3919" s="17">
        <v>16.71</v>
      </c>
      <c r="C3919" s="17"/>
      <c r="F3919"/>
      <c r="G3919"/>
      <c r="H3919"/>
      <c r="I3919"/>
      <c r="J3919"/>
    </row>
    <row r="3920" spans="1:10" x14ac:dyDescent="0.25">
      <c r="A3920" s="90">
        <v>40841</v>
      </c>
      <c r="B3920" s="17">
        <v>16.239999999999998</v>
      </c>
      <c r="C3920" s="17"/>
      <c r="F3920"/>
      <c r="G3920"/>
      <c r="H3920"/>
      <c r="I3920"/>
      <c r="J3920"/>
    </row>
    <row r="3921" spans="1:10" x14ac:dyDescent="0.25">
      <c r="A3921" s="90">
        <v>40842</v>
      </c>
      <c r="B3921" s="17">
        <v>16.3</v>
      </c>
      <c r="C3921" s="17"/>
      <c r="F3921"/>
      <c r="G3921"/>
      <c r="H3921"/>
      <c r="I3921"/>
      <c r="J3921"/>
    </row>
    <row r="3922" spans="1:10" x14ac:dyDescent="0.25">
      <c r="A3922" s="90">
        <v>40843</v>
      </c>
      <c r="B3922" s="17">
        <v>16.63</v>
      </c>
      <c r="C3922" s="17"/>
      <c r="F3922"/>
      <c r="G3922"/>
      <c r="H3922"/>
      <c r="I3922"/>
      <c r="J3922"/>
    </row>
    <row r="3923" spans="1:10" x14ac:dyDescent="0.25">
      <c r="A3923" s="90">
        <v>40844</v>
      </c>
      <c r="B3923" s="17">
        <v>16.559999999999999</v>
      </c>
      <c r="C3923" s="17"/>
      <c r="F3923"/>
      <c r="G3923"/>
      <c r="H3923"/>
      <c r="I3923"/>
      <c r="J3923"/>
    </row>
    <row r="3924" spans="1:10" x14ac:dyDescent="0.25">
      <c r="A3924" s="90">
        <v>40847</v>
      </c>
      <c r="B3924" s="17">
        <v>15.64</v>
      </c>
      <c r="C3924" s="17"/>
      <c r="F3924"/>
      <c r="G3924"/>
      <c r="H3924"/>
      <c r="I3924"/>
      <c r="J3924"/>
    </row>
    <row r="3925" spans="1:10" x14ac:dyDescent="0.25">
      <c r="A3925" s="90">
        <v>40848</v>
      </c>
      <c r="B3925" s="17">
        <v>14.93</v>
      </c>
      <c r="C3925" s="17"/>
      <c r="F3925"/>
      <c r="G3925"/>
      <c r="H3925"/>
      <c r="I3925"/>
      <c r="J3925"/>
    </row>
    <row r="3926" spans="1:10" x14ac:dyDescent="0.25">
      <c r="A3926" s="90">
        <v>40849</v>
      </c>
      <c r="B3926" s="17">
        <v>15.1</v>
      </c>
      <c r="C3926" s="17"/>
      <c r="F3926"/>
      <c r="G3926"/>
      <c r="H3926"/>
      <c r="I3926"/>
      <c r="J3926"/>
    </row>
    <row r="3927" spans="1:10" x14ac:dyDescent="0.25">
      <c r="A3927" s="90">
        <v>40850</v>
      </c>
      <c r="B3927" s="17">
        <v>15.48</v>
      </c>
      <c r="C3927" s="17"/>
      <c r="F3927"/>
      <c r="G3927"/>
      <c r="H3927"/>
      <c r="I3927"/>
      <c r="J3927"/>
    </row>
    <row r="3928" spans="1:10" x14ac:dyDescent="0.25">
      <c r="A3928" s="90">
        <v>40851</v>
      </c>
      <c r="B3928" s="17">
        <v>15.24</v>
      </c>
      <c r="C3928" s="17"/>
      <c r="F3928"/>
      <c r="G3928"/>
      <c r="H3928"/>
      <c r="I3928"/>
      <c r="J3928"/>
    </row>
    <row r="3929" spans="1:10" x14ac:dyDescent="0.25">
      <c r="A3929" s="90">
        <v>40854</v>
      </c>
      <c r="B3929" s="17">
        <v>15.69</v>
      </c>
      <c r="C3929" s="17"/>
      <c r="F3929"/>
      <c r="G3929"/>
      <c r="H3929"/>
      <c r="I3929"/>
      <c r="J3929"/>
    </row>
    <row r="3930" spans="1:10" x14ac:dyDescent="0.25">
      <c r="A3930" s="90">
        <v>40855</v>
      </c>
      <c r="B3930" s="17">
        <v>15.97</v>
      </c>
      <c r="C3930" s="17"/>
      <c r="F3930"/>
      <c r="G3930"/>
      <c r="H3930"/>
      <c r="I3930"/>
      <c r="J3930"/>
    </row>
    <row r="3931" spans="1:10" x14ac:dyDescent="0.25">
      <c r="A3931" s="90">
        <v>40856</v>
      </c>
      <c r="B3931" s="17">
        <v>15.92</v>
      </c>
      <c r="C3931" s="17"/>
      <c r="F3931"/>
      <c r="G3931"/>
      <c r="H3931"/>
      <c r="I3931"/>
      <c r="J3931"/>
    </row>
    <row r="3932" spans="1:10" x14ac:dyDescent="0.25">
      <c r="A3932" s="90">
        <v>40857</v>
      </c>
      <c r="B3932" s="17">
        <v>15.95</v>
      </c>
      <c r="C3932" s="17"/>
      <c r="F3932"/>
      <c r="G3932"/>
      <c r="H3932"/>
      <c r="I3932"/>
      <c r="J3932"/>
    </row>
    <row r="3933" spans="1:10" x14ac:dyDescent="0.25">
      <c r="A3933" s="90">
        <v>40858</v>
      </c>
      <c r="B3933" s="17">
        <v>16.27</v>
      </c>
      <c r="C3933" s="17"/>
      <c r="F3933"/>
      <c r="G3933"/>
      <c r="H3933"/>
      <c r="I3933"/>
      <c r="J3933"/>
    </row>
    <row r="3934" spans="1:10" x14ac:dyDescent="0.25">
      <c r="A3934" s="90">
        <v>40861</v>
      </c>
      <c r="B3934" s="17">
        <v>16</v>
      </c>
      <c r="C3934" s="17"/>
      <c r="F3934"/>
      <c r="G3934"/>
      <c r="H3934"/>
      <c r="I3934"/>
      <c r="J3934"/>
    </row>
    <row r="3935" spans="1:10" x14ac:dyDescent="0.25">
      <c r="A3935" s="90">
        <v>40862</v>
      </c>
      <c r="B3935" s="17">
        <v>15.93</v>
      </c>
      <c r="C3935" s="17"/>
      <c r="F3935"/>
      <c r="G3935"/>
      <c r="H3935"/>
      <c r="I3935"/>
      <c r="J3935"/>
    </row>
    <row r="3936" spans="1:10" x14ac:dyDescent="0.25">
      <c r="A3936" s="90">
        <v>40863</v>
      </c>
      <c r="B3936" s="17">
        <v>15.72</v>
      </c>
      <c r="C3936" s="17"/>
      <c r="F3936"/>
      <c r="G3936"/>
      <c r="H3936"/>
      <c r="I3936"/>
      <c r="J3936"/>
    </row>
    <row r="3937" spans="1:10" x14ac:dyDescent="0.25">
      <c r="A3937" s="90">
        <v>40864</v>
      </c>
      <c r="B3937" s="17">
        <v>15.34</v>
      </c>
      <c r="C3937" s="17"/>
      <c r="F3937"/>
      <c r="G3937"/>
      <c r="H3937"/>
      <c r="I3937"/>
      <c r="J3937"/>
    </row>
    <row r="3938" spans="1:10" x14ac:dyDescent="0.25">
      <c r="A3938" s="90">
        <v>40865</v>
      </c>
      <c r="B3938" s="17">
        <v>15.38</v>
      </c>
      <c r="C3938" s="17"/>
      <c r="F3938"/>
      <c r="G3938"/>
      <c r="H3938"/>
      <c r="I3938"/>
      <c r="J3938"/>
    </row>
    <row r="3939" spans="1:10" x14ac:dyDescent="0.25">
      <c r="A3939" s="90">
        <v>40868</v>
      </c>
      <c r="B3939" s="17">
        <v>14.99</v>
      </c>
      <c r="C3939" s="17"/>
      <c r="F3939"/>
      <c r="G3939"/>
      <c r="H3939"/>
      <c r="I3939"/>
      <c r="J3939"/>
    </row>
    <row r="3940" spans="1:10" x14ac:dyDescent="0.25">
      <c r="A3940" s="90">
        <v>40869</v>
      </c>
      <c r="B3940" s="17">
        <v>14.97</v>
      </c>
      <c r="C3940" s="17"/>
      <c r="F3940"/>
      <c r="G3940"/>
      <c r="H3940"/>
      <c r="I3940"/>
      <c r="J3940"/>
    </row>
    <row r="3941" spans="1:10" x14ac:dyDescent="0.25">
      <c r="A3941" s="90">
        <v>40870</v>
      </c>
      <c r="B3941" s="17">
        <v>14.94</v>
      </c>
      <c r="C3941" s="17"/>
      <c r="F3941"/>
      <c r="G3941"/>
      <c r="H3941"/>
      <c r="I3941"/>
      <c r="J3941"/>
    </row>
    <row r="3942" spans="1:10" x14ac:dyDescent="0.25">
      <c r="A3942" s="90">
        <v>40872</v>
      </c>
      <c r="B3942" s="17">
        <v>15.1</v>
      </c>
      <c r="C3942" s="17"/>
      <c r="F3942"/>
      <c r="G3942"/>
      <c r="H3942"/>
      <c r="I3942"/>
      <c r="J3942"/>
    </row>
    <row r="3943" spans="1:10" x14ac:dyDescent="0.25">
      <c r="A3943" s="90">
        <v>40875</v>
      </c>
      <c r="B3943" s="17">
        <v>15.35</v>
      </c>
      <c r="C3943" s="17"/>
      <c r="F3943"/>
      <c r="G3943"/>
      <c r="H3943"/>
      <c r="I3943"/>
      <c r="J3943"/>
    </row>
    <row r="3944" spans="1:10" x14ac:dyDescent="0.25">
      <c r="A3944" s="90">
        <v>40876</v>
      </c>
      <c r="B3944" s="17">
        <v>15.7</v>
      </c>
      <c r="C3944" s="17"/>
      <c r="F3944"/>
      <c r="G3944"/>
      <c r="H3944"/>
      <c r="I3944"/>
      <c r="J3944"/>
    </row>
    <row r="3945" spans="1:10" x14ac:dyDescent="0.25">
      <c r="A3945" s="90">
        <v>40877</v>
      </c>
      <c r="B3945" s="17">
        <v>15.71</v>
      </c>
      <c r="C3945" s="17"/>
      <c r="F3945"/>
      <c r="G3945"/>
      <c r="H3945"/>
      <c r="I3945"/>
      <c r="J3945"/>
    </row>
    <row r="3946" spans="1:10" x14ac:dyDescent="0.25">
      <c r="A3946" s="90">
        <v>40878</v>
      </c>
      <c r="B3946" s="17">
        <v>16.23</v>
      </c>
      <c r="C3946" s="17"/>
      <c r="F3946"/>
      <c r="G3946"/>
      <c r="H3946"/>
      <c r="I3946"/>
      <c r="J3946"/>
    </row>
    <row r="3947" spans="1:10" x14ac:dyDescent="0.25">
      <c r="A3947" s="90">
        <v>40879</v>
      </c>
      <c r="B3947" s="17">
        <v>16.05</v>
      </c>
      <c r="C3947" s="17"/>
      <c r="F3947"/>
      <c r="G3947"/>
      <c r="H3947"/>
      <c r="I3947"/>
      <c r="J3947"/>
    </row>
    <row r="3948" spans="1:10" x14ac:dyDescent="0.25">
      <c r="A3948" s="90">
        <v>40882</v>
      </c>
      <c r="B3948" s="17">
        <v>15.89</v>
      </c>
      <c r="C3948" s="17"/>
      <c r="F3948"/>
      <c r="G3948"/>
      <c r="H3948"/>
      <c r="I3948"/>
      <c r="J3948"/>
    </row>
    <row r="3949" spans="1:10" x14ac:dyDescent="0.25">
      <c r="A3949" s="90">
        <v>40883</v>
      </c>
      <c r="B3949" s="17">
        <v>15.84</v>
      </c>
      <c r="C3949" s="17"/>
      <c r="F3949"/>
      <c r="G3949"/>
      <c r="H3949"/>
      <c r="I3949"/>
      <c r="J3949"/>
    </row>
    <row r="3950" spans="1:10" x14ac:dyDescent="0.25">
      <c r="A3950" s="90">
        <v>40884</v>
      </c>
      <c r="B3950" s="17">
        <v>15.62</v>
      </c>
      <c r="C3950" s="17"/>
      <c r="F3950"/>
      <c r="G3950"/>
      <c r="H3950"/>
      <c r="I3950"/>
      <c r="J3950"/>
    </row>
    <row r="3951" spans="1:10" x14ac:dyDescent="0.25">
      <c r="A3951" s="90">
        <v>40885</v>
      </c>
      <c r="B3951" s="17">
        <v>15.61</v>
      </c>
      <c r="C3951" s="17"/>
      <c r="F3951"/>
      <c r="G3951"/>
      <c r="H3951"/>
      <c r="I3951"/>
      <c r="J3951"/>
    </row>
    <row r="3952" spans="1:10" x14ac:dyDescent="0.25">
      <c r="A3952" s="90">
        <v>40886</v>
      </c>
      <c r="B3952" s="17">
        <v>15.94</v>
      </c>
      <c r="C3952" s="17"/>
      <c r="F3952"/>
      <c r="G3952"/>
      <c r="H3952"/>
      <c r="I3952"/>
      <c r="J3952"/>
    </row>
    <row r="3953" spans="1:10" x14ac:dyDescent="0.25">
      <c r="A3953" s="90">
        <v>40889</v>
      </c>
      <c r="B3953" s="17">
        <v>15.47</v>
      </c>
      <c r="C3953" s="17"/>
      <c r="F3953"/>
      <c r="G3953"/>
      <c r="H3953"/>
      <c r="I3953"/>
      <c r="J3953"/>
    </row>
    <row r="3954" spans="1:10" x14ac:dyDescent="0.25">
      <c r="A3954" s="90">
        <v>40890</v>
      </c>
      <c r="B3954" s="17">
        <v>15.42</v>
      </c>
      <c r="C3954" s="17"/>
      <c r="F3954"/>
      <c r="G3954"/>
      <c r="H3954"/>
      <c r="I3954"/>
      <c r="J3954"/>
    </row>
    <row r="3955" spans="1:10" x14ac:dyDescent="0.25">
      <c r="A3955" s="90">
        <v>40891</v>
      </c>
      <c r="B3955" s="17">
        <v>15.02</v>
      </c>
      <c r="C3955" s="17"/>
      <c r="F3955"/>
      <c r="G3955"/>
      <c r="H3955"/>
      <c r="I3955"/>
      <c r="J3955"/>
    </row>
    <row r="3956" spans="1:10" x14ac:dyDescent="0.25">
      <c r="A3956" s="90">
        <v>40892</v>
      </c>
      <c r="B3956" s="17">
        <v>15.16</v>
      </c>
      <c r="C3956" s="17"/>
      <c r="F3956"/>
      <c r="G3956"/>
      <c r="H3956"/>
      <c r="I3956"/>
      <c r="J3956"/>
    </row>
    <row r="3957" spans="1:10" x14ac:dyDescent="0.25">
      <c r="A3957" s="90">
        <v>40893</v>
      </c>
      <c r="B3957" s="17">
        <v>14.96</v>
      </c>
      <c r="C3957" s="17"/>
      <c r="F3957"/>
      <c r="G3957"/>
      <c r="H3957"/>
      <c r="I3957"/>
      <c r="J3957"/>
    </row>
    <row r="3958" spans="1:10" x14ac:dyDescent="0.25">
      <c r="A3958" s="90">
        <v>40896</v>
      </c>
      <c r="B3958" s="17">
        <v>14.62</v>
      </c>
      <c r="C3958" s="17"/>
      <c r="F3958"/>
      <c r="G3958"/>
      <c r="H3958"/>
      <c r="I3958"/>
      <c r="J3958"/>
    </row>
    <row r="3959" spans="1:10" x14ac:dyDescent="0.25">
      <c r="A3959" s="90">
        <v>40897</v>
      </c>
      <c r="B3959" s="17">
        <v>15.11</v>
      </c>
      <c r="C3959" s="17"/>
      <c r="F3959"/>
      <c r="G3959"/>
      <c r="H3959"/>
      <c r="I3959"/>
      <c r="J3959"/>
    </row>
    <row r="3960" spans="1:10" x14ac:dyDescent="0.25">
      <c r="A3960" s="90">
        <v>40898</v>
      </c>
      <c r="B3960" s="17">
        <v>15.99</v>
      </c>
      <c r="C3960" s="17"/>
      <c r="F3960"/>
      <c r="G3960"/>
      <c r="H3960"/>
      <c r="I3960"/>
      <c r="J3960"/>
    </row>
    <row r="3961" spans="1:10" x14ac:dyDescent="0.25">
      <c r="A3961" s="90">
        <v>40899</v>
      </c>
      <c r="B3961" s="17">
        <v>16</v>
      </c>
      <c r="C3961" s="17"/>
      <c r="F3961"/>
      <c r="G3961"/>
      <c r="H3961"/>
      <c r="I3961"/>
      <c r="J3961"/>
    </row>
    <row r="3962" spans="1:10" x14ac:dyDescent="0.25">
      <c r="A3962" s="90">
        <v>40900</v>
      </c>
      <c r="B3962" s="17">
        <v>16.190000000000001</v>
      </c>
      <c r="C3962" s="17"/>
      <c r="F3962"/>
      <c r="G3962"/>
      <c r="H3962"/>
      <c r="I3962"/>
      <c r="J3962"/>
    </row>
    <row r="3963" spans="1:10" x14ac:dyDescent="0.25">
      <c r="A3963" s="90">
        <v>40904</v>
      </c>
      <c r="B3963" s="17">
        <v>16.09</v>
      </c>
      <c r="C3963" s="17"/>
      <c r="F3963"/>
      <c r="G3963"/>
      <c r="H3963"/>
      <c r="I3963"/>
      <c r="J3963"/>
    </row>
    <row r="3964" spans="1:10" x14ac:dyDescent="0.25">
      <c r="A3964" s="90">
        <v>40905</v>
      </c>
      <c r="B3964" s="17">
        <v>15.78</v>
      </c>
      <c r="C3964" s="17"/>
      <c r="F3964"/>
      <c r="G3964"/>
      <c r="H3964"/>
      <c r="I3964"/>
      <c r="J3964"/>
    </row>
    <row r="3965" spans="1:10" x14ac:dyDescent="0.25">
      <c r="A3965" s="90">
        <v>40906</v>
      </c>
      <c r="B3965" s="17">
        <v>16.13</v>
      </c>
      <c r="C3965" s="17"/>
      <c r="F3965"/>
      <c r="G3965"/>
      <c r="H3965"/>
      <c r="I3965"/>
      <c r="J3965"/>
    </row>
    <row r="3966" spans="1:10" x14ac:dyDescent="0.25">
      <c r="A3966" s="90">
        <v>40907</v>
      </c>
      <c r="B3966" s="17">
        <v>16.13</v>
      </c>
      <c r="C3966" s="17"/>
      <c r="F3966"/>
      <c r="G3966"/>
      <c r="H3966"/>
      <c r="I3966"/>
      <c r="J3966"/>
    </row>
    <row r="3967" spans="1:10" x14ac:dyDescent="0.25">
      <c r="A3967" s="90">
        <v>40911</v>
      </c>
      <c r="B3967" s="17">
        <v>16.29</v>
      </c>
      <c r="C3967" s="17"/>
      <c r="F3967"/>
      <c r="G3967"/>
      <c r="H3967"/>
      <c r="I3967"/>
      <c r="J3967"/>
    </row>
    <row r="3968" spans="1:10" x14ac:dyDescent="0.25">
      <c r="A3968" s="90">
        <v>40912</v>
      </c>
      <c r="B3968" s="17">
        <v>15.78</v>
      </c>
      <c r="C3968" s="17"/>
      <c r="F3968"/>
      <c r="G3968"/>
      <c r="H3968"/>
      <c r="I3968"/>
      <c r="J3968"/>
    </row>
    <row r="3969" spans="1:10" x14ac:dyDescent="0.25">
      <c r="A3969" s="90">
        <v>40913</v>
      </c>
      <c r="B3969" s="17">
        <v>15.64</v>
      </c>
      <c r="C3969" s="17"/>
      <c r="F3969"/>
      <c r="G3969"/>
      <c r="H3969"/>
      <c r="I3969"/>
      <c r="J3969"/>
    </row>
    <row r="3970" spans="1:10" x14ac:dyDescent="0.25">
      <c r="A3970" s="90">
        <v>40914</v>
      </c>
      <c r="B3970" s="17">
        <v>15.52</v>
      </c>
      <c r="C3970" s="17"/>
      <c r="F3970"/>
      <c r="G3970"/>
      <c r="H3970"/>
      <c r="I3970"/>
      <c r="J3970"/>
    </row>
    <row r="3971" spans="1:10" x14ac:dyDescent="0.25">
      <c r="A3971" s="90">
        <v>40917</v>
      </c>
      <c r="B3971" s="17">
        <v>15.46</v>
      </c>
      <c r="C3971" s="17"/>
      <c r="F3971"/>
      <c r="G3971"/>
      <c r="H3971"/>
      <c r="I3971"/>
      <c r="J3971"/>
    </row>
    <row r="3972" spans="1:10" x14ac:dyDescent="0.25">
      <c r="A3972" s="90">
        <v>40918</v>
      </c>
      <c r="B3972" s="17">
        <v>15.51</v>
      </c>
      <c r="C3972" s="17"/>
      <c r="F3972"/>
      <c r="G3972"/>
      <c r="H3972"/>
      <c r="I3972"/>
      <c r="J3972"/>
    </row>
    <row r="3973" spans="1:10" x14ac:dyDescent="0.25">
      <c r="A3973" s="90">
        <v>40919</v>
      </c>
      <c r="B3973" s="17">
        <v>15.53</v>
      </c>
      <c r="C3973" s="17"/>
      <c r="F3973"/>
      <c r="G3973"/>
      <c r="H3973"/>
      <c r="I3973"/>
      <c r="J3973"/>
    </row>
    <row r="3974" spans="1:10" x14ac:dyDescent="0.25">
      <c r="A3974" s="90">
        <v>40920</v>
      </c>
      <c r="B3974" s="17">
        <v>15.66</v>
      </c>
      <c r="C3974" s="17"/>
      <c r="F3974"/>
      <c r="G3974"/>
      <c r="H3974"/>
      <c r="I3974"/>
      <c r="J3974"/>
    </row>
    <row r="3975" spans="1:10" x14ac:dyDescent="0.25">
      <c r="A3975" s="90">
        <v>40921</v>
      </c>
      <c r="B3975" s="17">
        <v>15.48</v>
      </c>
      <c r="C3975" s="17"/>
      <c r="F3975"/>
      <c r="G3975"/>
      <c r="H3975"/>
      <c r="I3975"/>
      <c r="J3975"/>
    </row>
    <row r="3976" spans="1:10" x14ac:dyDescent="0.25">
      <c r="A3976" s="90">
        <v>40925</v>
      </c>
      <c r="B3976" s="17">
        <v>15.43</v>
      </c>
      <c r="C3976" s="17"/>
      <c r="F3976"/>
      <c r="G3976"/>
      <c r="H3976"/>
      <c r="I3976"/>
      <c r="J3976"/>
    </row>
    <row r="3977" spans="1:10" x14ac:dyDescent="0.25">
      <c r="A3977" s="90">
        <v>40926</v>
      </c>
      <c r="B3977" s="17">
        <v>15.92</v>
      </c>
      <c r="C3977" s="17"/>
      <c r="F3977"/>
      <c r="G3977"/>
      <c r="H3977"/>
      <c r="I3977"/>
      <c r="J3977"/>
    </row>
    <row r="3978" spans="1:10" x14ac:dyDescent="0.25">
      <c r="A3978" s="90">
        <v>40927</v>
      </c>
      <c r="B3978" s="17">
        <v>16.12</v>
      </c>
      <c r="C3978" s="17"/>
      <c r="F3978"/>
      <c r="G3978"/>
      <c r="H3978"/>
      <c r="I3978"/>
      <c r="J3978"/>
    </row>
    <row r="3979" spans="1:10" x14ac:dyDescent="0.25">
      <c r="A3979" s="90">
        <v>40928</v>
      </c>
      <c r="B3979" s="17">
        <v>15.96</v>
      </c>
      <c r="C3979" s="17"/>
      <c r="F3979"/>
      <c r="G3979"/>
      <c r="H3979"/>
      <c r="I3979"/>
      <c r="J3979"/>
    </row>
    <row r="3980" spans="1:10" x14ac:dyDescent="0.25">
      <c r="A3980" s="90">
        <v>40931</v>
      </c>
      <c r="B3980" s="17">
        <v>15.68</v>
      </c>
      <c r="C3980" s="17"/>
      <c r="F3980"/>
      <c r="G3980"/>
      <c r="H3980"/>
      <c r="I3980"/>
      <c r="J3980"/>
    </row>
    <row r="3981" spans="1:10" x14ac:dyDescent="0.25">
      <c r="A3981" s="90">
        <v>40932</v>
      </c>
      <c r="B3981" s="17">
        <v>15.69</v>
      </c>
      <c r="C3981" s="17"/>
      <c r="F3981"/>
      <c r="G3981"/>
      <c r="H3981"/>
      <c r="I3981"/>
      <c r="J3981"/>
    </row>
    <row r="3982" spans="1:10" x14ac:dyDescent="0.25">
      <c r="A3982" s="90">
        <v>40933</v>
      </c>
      <c r="B3982" s="17">
        <v>15.56</v>
      </c>
      <c r="C3982" s="17"/>
      <c r="F3982"/>
      <c r="G3982"/>
      <c r="H3982"/>
      <c r="I3982"/>
      <c r="J3982"/>
    </row>
    <row r="3983" spans="1:10" x14ac:dyDescent="0.25">
      <c r="A3983" s="90">
        <v>40934</v>
      </c>
      <c r="B3983" s="17">
        <v>15.53</v>
      </c>
      <c r="C3983" s="17"/>
      <c r="F3983"/>
      <c r="G3983"/>
      <c r="H3983"/>
      <c r="I3983"/>
      <c r="J3983"/>
    </row>
    <row r="3984" spans="1:10" x14ac:dyDescent="0.25">
      <c r="A3984" s="90">
        <v>40935</v>
      </c>
      <c r="B3984" s="17">
        <v>15.74</v>
      </c>
      <c r="C3984" s="17"/>
      <c r="F3984"/>
      <c r="G3984"/>
      <c r="H3984"/>
      <c r="I3984"/>
      <c r="J3984"/>
    </row>
    <row r="3985" spans="1:10" x14ac:dyDescent="0.25">
      <c r="A3985" s="90">
        <v>40938</v>
      </c>
      <c r="B3985" s="17">
        <v>15.55</v>
      </c>
      <c r="C3985" s="17"/>
      <c r="F3985"/>
      <c r="G3985"/>
      <c r="H3985"/>
      <c r="I3985"/>
      <c r="J3985"/>
    </row>
    <row r="3986" spans="1:10" x14ac:dyDescent="0.25">
      <c r="A3986" s="90">
        <v>40939</v>
      </c>
      <c r="B3986" s="17">
        <v>15.47</v>
      </c>
      <c r="C3986" s="17"/>
      <c r="F3986"/>
      <c r="G3986"/>
      <c r="H3986"/>
      <c r="I3986"/>
      <c r="J3986"/>
    </row>
    <row r="3987" spans="1:10" x14ac:dyDescent="0.25">
      <c r="A3987" s="90">
        <v>40940</v>
      </c>
      <c r="B3987" s="17">
        <v>15.73</v>
      </c>
      <c r="C3987" s="17"/>
      <c r="F3987"/>
      <c r="G3987"/>
      <c r="H3987"/>
      <c r="I3987"/>
      <c r="J3987"/>
    </row>
    <row r="3988" spans="1:10" x14ac:dyDescent="0.25">
      <c r="A3988" s="90">
        <v>40941</v>
      </c>
      <c r="B3988" s="17">
        <v>15.72</v>
      </c>
      <c r="C3988" s="17"/>
      <c r="F3988"/>
      <c r="G3988"/>
      <c r="H3988"/>
      <c r="I3988"/>
      <c r="J3988"/>
    </row>
    <row r="3989" spans="1:10" x14ac:dyDescent="0.25">
      <c r="A3989" s="90">
        <v>40942</v>
      </c>
      <c r="B3989" s="17">
        <v>15.92</v>
      </c>
      <c r="C3989" s="17"/>
      <c r="F3989"/>
      <c r="G3989"/>
      <c r="H3989"/>
      <c r="I3989"/>
      <c r="J3989"/>
    </row>
    <row r="3990" spans="1:10" x14ac:dyDescent="0.25">
      <c r="A3990" s="90">
        <v>40945</v>
      </c>
      <c r="B3990" s="17">
        <v>15.82</v>
      </c>
      <c r="C3990" s="17"/>
      <c r="F3990"/>
      <c r="G3990"/>
      <c r="H3990"/>
      <c r="I3990"/>
      <c r="J3990"/>
    </row>
    <row r="3991" spans="1:10" x14ac:dyDescent="0.25">
      <c r="A3991" s="90">
        <v>40946</v>
      </c>
      <c r="B3991" s="17">
        <v>15.83</v>
      </c>
      <c r="C3991" s="17"/>
      <c r="F3991"/>
      <c r="G3991"/>
      <c r="H3991"/>
      <c r="I3991"/>
      <c r="J3991"/>
    </row>
    <row r="3992" spans="1:10" x14ac:dyDescent="0.25">
      <c r="A3992" s="90">
        <v>40947</v>
      </c>
      <c r="B3992" s="17">
        <v>15.78</v>
      </c>
      <c r="C3992" s="17"/>
      <c r="F3992"/>
      <c r="G3992"/>
      <c r="H3992"/>
      <c r="I3992"/>
      <c r="J3992"/>
    </row>
    <row r="3993" spans="1:10" x14ac:dyDescent="0.25">
      <c r="A3993" s="90">
        <v>40948</v>
      </c>
      <c r="B3993" s="17">
        <v>16</v>
      </c>
      <c r="C3993" s="17"/>
      <c r="F3993"/>
      <c r="G3993"/>
      <c r="H3993"/>
      <c r="I3993"/>
      <c r="J3993"/>
    </row>
    <row r="3994" spans="1:10" x14ac:dyDescent="0.25">
      <c r="A3994" s="90">
        <v>40949</v>
      </c>
      <c r="B3994" s="17">
        <v>16.14</v>
      </c>
      <c r="C3994" s="17"/>
      <c r="F3994"/>
      <c r="G3994"/>
      <c r="H3994"/>
      <c r="I3994"/>
      <c r="J3994"/>
    </row>
    <row r="3995" spans="1:10" x14ac:dyDescent="0.25">
      <c r="A3995" s="90">
        <v>40952</v>
      </c>
      <c r="B3995" s="17">
        <v>16.12</v>
      </c>
      <c r="C3995" s="17"/>
      <c r="F3995"/>
      <c r="G3995"/>
      <c r="H3995"/>
      <c r="I3995"/>
      <c r="J3995"/>
    </row>
    <row r="3996" spans="1:10" x14ac:dyDescent="0.25">
      <c r="A3996" s="90">
        <v>40953</v>
      </c>
      <c r="B3996" s="17">
        <v>15.37</v>
      </c>
      <c r="C3996" s="17"/>
      <c r="F3996"/>
      <c r="G3996"/>
      <c r="H3996"/>
      <c r="I3996"/>
      <c r="J3996"/>
    </row>
    <row r="3997" spans="1:10" x14ac:dyDescent="0.25">
      <c r="A3997" s="90">
        <v>40954</v>
      </c>
      <c r="B3997" s="17">
        <v>15.12</v>
      </c>
      <c r="C3997" s="17"/>
      <c r="F3997"/>
      <c r="G3997"/>
      <c r="H3997"/>
      <c r="I3997"/>
      <c r="J3997"/>
    </row>
    <row r="3998" spans="1:10" x14ac:dyDescent="0.25">
      <c r="A3998" s="90">
        <v>40955</v>
      </c>
      <c r="B3998" s="17">
        <v>15.36</v>
      </c>
      <c r="C3998" s="17"/>
      <c r="F3998"/>
      <c r="G3998"/>
      <c r="H3998"/>
      <c r="I3998"/>
      <c r="J3998"/>
    </row>
    <row r="3999" spans="1:10" x14ac:dyDescent="0.25">
      <c r="A3999" s="90">
        <v>40956</v>
      </c>
      <c r="B3999" s="17">
        <v>15.01</v>
      </c>
      <c r="C3999" s="17"/>
      <c r="F3999"/>
      <c r="G3999"/>
      <c r="H3999"/>
      <c r="I3999"/>
      <c r="J3999"/>
    </row>
    <row r="4000" spans="1:10" x14ac:dyDescent="0.25">
      <c r="A4000" s="90">
        <v>40960</v>
      </c>
      <c r="B4000" s="17">
        <v>14.75</v>
      </c>
      <c r="C4000" s="17"/>
      <c r="F4000"/>
      <c r="G4000"/>
      <c r="H4000"/>
      <c r="I4000"/>
      <c r="J4000"/>
    </row>
    <row r="4001" spans="1:10" x14ac:dyDescent="0.25">
      <c r="A4001" s="90">
        <v>40961</v>
      </c>
      <c r="B4001" s="17">
        <v>14.5</v>
      </c>
      <c r="C4001" s="17"/>
      <c r="F4001"/>
      <c r="G4001"/>
      <c r="H4001"/>
      <c r="I4001"/>
      <c r="J4001"/>
    </row>
    <row r="4002" spans="1:10" x14ac:dyDescent="0.25">
      <c r="A4002" s="90">
        <v>40962</v>
      </c>
      <c r="B4002" s="17">
        <v>14.78</v>
      </c>
      <c r="C4002" s="17"/>
      <c r="F4002"/>
      <c r="G4002"/>
      <c r="H4002"/>
      <c r="I4002"/>
      <c r="J4002"/>
    </row>
    <row r="4003" spans="1:10" x14ac:dyDescent="0.25">
      <c r="A4003" s="90">
        <v>40963</v>
      </c>
      <c r="B4003" s="17">
        <v>14.89</v>
      </c>
      <c r="C4003" s="17"/>
      <c r="F4003"/>
      <c r="G4003"/>
      <c r="H4003"/>
      <c r="I4003"/>
      <c r="J4003"/>
    </row>
    <row r="4004" spans="1:10" x14ac:dyDescent="0.25">
      <c r="A4004" s="90">
        <v>40966</v>
      </c>
      <c r="B4004" s="17">
        <v>14.86</v>
      </c>
      <c r="C4004" s="17"/>
      <c r="F4004"/>
      <c r="G4004"/>
      <c r="H4004"/>
      <c r="I4004"/>
      <c r="J4004"/>
    </row>
    <row r="4005" spans="1:10" x14ac:dyDescent="0.25">
      <c r="A4005" s="90">
        <v>40967</v>
      </c>
      <c r="B4005" s="17">
        <v>14.9</v>
      </c>
      <c r="C4005" s="17"/>
      <c r="F4005"/>
      <c r="G4005"/>
      <c r="H4005"/>
      <c r="I4005"/>
      <c r="J4005"/>
    </row>
    <row r="4006" spans="1:10" x14ac:dyDescent="0.25">
      <c r="A4006" s="90">
        <v>40968</v>
      </c>
      <c r="B4006" s="17">
        <v>14.83</v>
      </c>
      <c r="C4006" s="17"/>
      <c r="F4006"/>
      <c r="G4006"/>
      <c r="H4006"/>
      <c r="I4006"/>
      <c r="J4006"/>
    </row>
    <row r="4007" spans="1:10" x14ac:dyDescent="0.25">
      <c r="A4007" s="90">
        <v>40969</v>
      </c>
      <c r="B4007" s="17">
        <v>14.93</v>
      </c>
      <c r="C4007" s="17"/>
      <c r="F4007"/>
      <c r="G4007"/>
      <c r="H4007"/>
      <c r="I4007"/>
      <c r="J4007"/>
    </row>
    <row r="4008" spans="1:10" x14ac:dyDescent="0.25">
      <c r="A4008" s="90">
        <v>40970</v>
      </c>
      <c r="B4008" s="17">
        <v>14.72</v>
      </c>
      <c r="C4008" s="17"/>
      <c r="F4008"/>
      <c r="G4008"/>
      <c r="H4008"/>
      <c r="I4008"/>
      <c r="J4008"/>
    </row>
    <row r="4009" spans="1:10" x14ac:dyDescent="0.25">
      <c r="A4009" s="90">
        <v>40973</v>
      </c>
      <c r="B4009" s="17">
        <v>14.62</v>
      </c>
      <c r="C4009" s="17"/>
      <c r="F4009"/>
      <c r="G4009"/>
      <c r="H4009"/>
      <c r="I4009"/>
      <c r="J4009"/>
    </row>
    <row r="4010" spans="1:10" x14ac:dyDescent="0.25">
      <c r="A4010" s="90">
        <v>40974</v>
      </c>
      <c r="B4010" s="17">
        <v>14.42</v>
      </c>
      <c r="C4010" s="17"/>
      <c r="F4010"/>
      <c r="G4010"/>
      <c r="H4010"/>
      <c r="I4010"/>
      <c r="J4010"/>
    </row>
    <row r="4011" spans="1:10" x14ac:dyDescent="0.25">
      <c r="A4011" s="90">
        <v>40975</v>
      </c>
      <c r="B4011" s="17">
        <v>14.62</v>
      </c>
      <c r="C4011" s="17"/>
      <c r="F4011"/>
      <c r="G4011"/>
      <c r="H4011"/>
      <c r="I4011"/>
      <c r="J4011"/>
    </row>
    <row r="4012" spans="1:10" x14ac:dyDescent="0.25">
      <c r="A4012" s="90">
        <v>40976</v>
      </c>
      <c r="B4012" s="17">
        <v>14.62</v>
      </c>
      <c r="C4012" s="17"/>
      <c r="F4012"/>
      <c r="G4012"/>
      <c r="H4012"/>
      <c r="I4012"/>
      <c r="J4012"/>
    </row>
    <row r="4013" spans="1:10" x14ac:dyDescent="0.25">
      <c r="A4013" s="90">
        <v>40977</v>
      </c>
      <c r="B4013" s="17">
        <v>14.63</v>
      </c>
      <c r="C4013" s="17"/>
      <c r="F4013"/>
      <c r="G4013"/>
      <c r="H4013"/>
      <c r="I4013"/>
      <c r="J4013"/>
    </row>
    <row r="4014" spans="1:10" x14ac:dyDescent="0.25">
      <c r="A4014" s="90">
        <v>40980</v>
      </c>
      <c r="B4014" s="17">
        <v>14.49</v>
      </c>
      <c r="C4014" s="17"/>
      <c r="F4014"/>
      <c r="G4014"/>
      <c r="H4014"/>
      <c r="I4014"/>
      <c r="J4014"/>
    </row>
    <row r="4015" spans="1:10" x14ac:dyDescent="0.25">
      <c r="A4015" s="90">
        <v>40981</v>
      </c>
      <c r="B4015" s="17">
        <v>14.55</v>
      </c>
      <c r="C4015" s="17"/>
      <c r="F4015"/>
      <c r="G4015"/>
      <c r="H4015"/>
      <c r="I4015"/>
      <c r="J4015"/>
    </row>
    <row r="4016" spans="1:10" x14ac:dyDescent="0.25">
      <c r="A4016" s="90">
        <v>40982</v>
      </c>
      <c r="B4016" s="17">
        <v>14.63</v>
      </c>
      <c r="C4016" s="17"/>
      <c r="F4016"/>
      <c r="G4016"/>
      <c r="H4016"/>
      <c r="I4016"/>
      <c r="J4016"/>
    </row>
    <row r="4017" spans="1:10" x14ac:dyDescent="0.25">
      <c r="A4017" s="90">
        <v>40983</v>
      </c>
      <c r="B4017" s="17">
        <v>14.89</v>
      </c>
      <c r="C4017" s="17"/>
      <c r="F4017"/>
      <c r="G4017"/>
      <c r="H4017"/>
      <c r="I4017"/>
      <c r="J4017"/>
    </row>
    <row r="4018" spans="1:10" x14ac:dyDescent="0.25">
      <c r="A4018" s="90">
        <v>40984</v>
      </c>
      <c r="B4018" s="17">
        <v>15.18</v>
      </c>
      <c r="C4018" s="17"/>
      <c r="F4018"/>
      <c r="G4018"/>
      <c r="H4018"/>
      <c r="I4018"/>
      <c r="J4018"/>
    </row>
    <row r="4019" spans="1:10" x14ac:dyDescent="0.25">
      <c r="A4019" s="90">
        <v>40987</v>
      </c>
      <c r="B4019" s="17">
        <v>15.15</v>
      </c>
      <c r="C4019" s="17"/>
      <c r="F4019"/>
      <c r="G4019"/>
      <c r="H4019"/>
      <c r="I4019"/>
      <c r="J4019"/>
    </row>
    <row r="4020" spans="1:10" x14ac:dyDescent="0.25">
      <c r="A4020" s="90">
        <v>40988</v>
      </c>
      <c r="B4020" s="17">
        <v>15.41</v>
      </c>
      <c r="C4020" s="17"/>
      <c r="F4020"/>
      <c r="G4020"/>
      <c r="H4020"/>
      <c r="I4020"/>
      <c r="J4020"/>
    </row>
    <row r="4021" spans="1:10" x14ac:dyDescent="0.25">
      <c r="A4021" s="90">
        <v>40989</v>
      </c>
      <c r="B4021" s="17">
        <v>15.51</v>
      </c>
      <c r="C4021" s="17"/>
      <c r="F4021"/>
      <c r="G4021"/>
      <c r="H4021"/>
      <c r="I4021"/>
      <c r="J4021"/>
    </row>
    <row r="4022" spans="1:10" x14ac:dyDescent="0.25">
      <c r="A4022" s="90">
        <v>40990</v>
      </c>
      <c r="B4022" s="17">
        <v>15.49</v>
      </c>
      <c r="C4022" s="17"/>
      <c r="F4022"/>
      <c r="G4022"/>
      <c r="H4022"/>
      <c r="I4022"/>
      <c r="J4022"/>
    </row>
    <row r="4023" spans="1:10" x14ac:dyDescent="0.25">
      <c r="A4023" s="90">
        <v>40991</v>
      </c>
      <c r="B4023" s="17">
        <v>15.39</v>
      </c>
      <c r="C4023" s="17"/>
      <c r="F4023"/>
      <c r="G4023"/>
      <c r="H4023"/>
      <c r="I4023"/>
      <c r="J4023"/>
    </row>
    <row r="4024" spans="1:10" x14ac:dyDescent="0.25">
      <c r="A4024" s="90">
        <v>40994</v>
      </c>
      <c r="B4024" s="17">
        <v>15.54</v>
      </c>
      <c r="C4024" s="17"/>
      <c r="F4024"/>
      <c r="G4024"/>
      <c r="H4024"/>
      <c r="I4024"/>
      <c r="J4024"/>
    </row>
    <row r="4025" spans="1:10" x14ac:dyDescent="0.25">
      <c r="A4025" s="90">
        <v>40995</v>
      </c>
      <c r="B4025" s="17">
        <v>15.43</v>
      </c>
      <c r="C4025" s="17"/>
      <c r="F4025"/>
      <c r="G4025"/>
      <c r="H4025"/>
      <c r="I4025"/>
      <c r="J4025"/>
    </row>
    <row r="4026" spans="1:10" x14ac:dyDescent="0.25">
      <c r="A4026" s="90">
        <v>40996</v>
      </c>
      <c r="B4026" s="17">
        <v>15.32</v>
      </c>
      <c r="C4026" s="17"/>
      <c r="F4026"/>
      <c r="G4026"/>
      <c r="H4026"/>
      <c r="I4026"/>
      <c r="J4026"/>
    </row>
    <row r="4027" spans="1:10" x14ac:dyDescent="0.25">
      <c r="A4027" s="90">
        <v>40997</v>
      </c>
      <c r="B4027" s="17">
        <v>15.3</v>
      </c>
      <c r="C4027" s="17"/>
      <c r="F4027"/>
      <c r="G4027"/>
      <c r="H4027"/>
      <c r="I4027"/>
      <c r="J4027"/>
    </row>
    <row r="4028" spans="1:10" x14ac:dyDescent="0.25">
      <c r="A4028" s="90">
        <v>40998</v>
      </c>
      <c r="B4028" s="17">
        <v>15.22</v>
      </c>
      <c r="C4028" s="17"/>
      <c r="F4028"/>
      <c r="G4028"/>
      <c r="H4028"/>
      <c r="I4028"/>
      <c r="J4028"/>
    </row>
    <row r="4029" spans="1:10" x14ac:dyDescent="0.25">
      <c r="A4029" s="90">
        <v>41001</v>
      </c>
      <c r="B4029" s="17">
        <v>15.46</v>
      </c>
      <c r="C4029" s="17"/>
      <c r="F4029"/>
      <c r="G4029"/>
      <c r="H4029"/>
      <c r="I4029"/>
      <c r="J4029"/>
    </row>
    <row r="4030" spans="1:10" x14ac:dyDescent="0.25">
      <c r="A4030" s="90">
        <v>41002</v>
      </c>
      <c r="B4030" s="17">
        <v>15.18</v>
      </c>
      <c r="C4030" s="17"/>
      <c r="F4030"/>
      <c r="G4030"/>
      <c r="H4030"/>
      <c r="I4030"/>
      <c r="J4030"/>
    </row>
    <row r="4031" spans="1:10" x14ac:dyDescent="0.25">
      <c r="A4031" s="90">
        <v>41003</v>
      </c>
      <c r="B4031" s="17">
        <v>15.27</v>
      </c>
      <c r="C4031" s="17"/>
      <c r="F4031"/>
      <c r="G4031"/>
      <c r="H4031"/>
      <c r="I4031"/>
      <c r="J4031"/>
    </row>
    <row r="4032" spans="1:10" x14ac:dyDescent="0.25">
      <c r="A4032" s="90">
        <v>41004</v>
      </c>
      <c r="B4032" s="17">
        <v>15.07</v>
      </c>
      <c r="C4032" s="17"/>
      <c r="F4032"/>
      <c r="G4032"/>
      <c r="H4032"/>
      <c r="I4032"/>
      <c r="J4032"/>
    </row>
    <row r="4033" spans="1:10" x14ac:dyDescent="0.25">
      <c r="A4033" s="90">
        <v>41008</v>
      </c>
      <c r="B4033" s="17">
        <v>15.1</v>
      </c>
      <c r="C4033" s="17"/>
      <c r="F4033"/>
      <c r="G4033"/>
      <c r="H4033"/>
      <c r="I4033"/>
      <c r="J4033"/>
    </row>
    <row r="4034" spans="1:10" x14ac:dyDescent="0.25">
      <c r="A4034" s="90">
        <v>41009</v>
      </c>
      <c r="B4034" s="17">
        <v>14.99</v>
      </c>
      <c r="C4034" s="17"/>
      <c r="F4034"/>
      <c r="G4034"/>
      <c r="H4034"/>
      <c r="I4034"/>
      <c r="J4034"/>
    </row>
    <row r="4035" spans="1:10" x14ac:dyDescent="0.25">
      <c r="A4035" s="90">
        <v>41010</v>
      </c>
      <c r="B4035" s="17">
        <v>14.88</v>
      </c>
      <c r="C4035" s="17"/>
      <c r="F4035"/>
      <c r="G4035"/>
      <c r="H4035"/>
      <c r="I4035"/>
      <c r="J4035"/>
    </row>
    <row r="4036" spans="1:10" x14ac:dyDescent="0.25">
      <c r="A4036" s="90">
        <v>41011</v>
      </c>
      <c r="B4036" s="17">
        <v>15.06</v>
      </c>
      <c r="C4036" s="17"/>
      <c r="F4036"/>
      <c r="G4036"/>
      <c r="H4036"/>
      <c r="I4036"/>
      <c r="J4036"/>
    </row>
    <row r="4037" spans="1:10" x14ac:dyDescent="0.25">
      <c r="A4037" s="90">
        <v>41012</v>
      </c>
      <c r="B4037" s="17">
        <v>14.87</v>
      </c>
      <c r="C4037" s="17"/>
      <c r="F4037"/>
      <c r="G4037"/>
      <c r="H4037"/>
      <c r="I4037"/>
      <c r="J4037"/>
    </row>
    <row r="4038" spans="1:10" x14ac:dyDescent="0.25">
      <c r="A4038" s="90">
        <v>41015</v>
      </c>
      <c r="B4038" s="17">
        <v>14.79</v>
      </c>
      <c r="C4038" s="17"/>
      <c r="F4038"/>
      <c r="G4038"/>
      <c r="H4038"/>
      <c r="I4038"/>
      <c r="J4038"/>
    </row>
    <row r="4039" spans="1:10" x14ac:dyDescent="0.25">
      <c r="A4039" s="90">
        <v>41016</v>
      </c>
      <c r="B4039" s="17">
        <v>15.01</v>
      </c>
      <c r="C4039" s="17"/>
      <c r="F4039"/>
      <c r="G4039"/>
      <c r="H4039"/>
      <c r="I4039"/>
      <c r="J4039"/>
    </row>
    <row r="4040" spans="1:10" x14ac:dyDescent="0.25">
      <c r="A4040" s="90">
        <v>41017</v>
      </c>
      <c r="B4040" s="17">
        <v>15.49</v>
      </c>
      <c r="C4040" s="17"/>
      <c r="F4040"/>
      <c r="G4040"/>
      <c r="H4040"/>
      <c r="I4040"/>
      <c r="J4040"/>
    </row>
    <row r="4041" spans="1:10" x14ac:dyDescent="0.25">
      <c r="A4041" s="90">
        <v>41018</v>
      </c>
      <c r="B4041" s="17">
        <v>15.4</v>
      </c>
      <c r="C4041" s="17"/>
      <c r="F4041"/>
      <c r="G4041"/>
      <c r="H4041"/>
      <c r="I4041"/>
      <c r="J4041"/>
    </row>
    <row r="4042" spans="1:10" x14ac:dyDescent="0.25">
      <c r="A4042" s="90">
        <v>41019</v>
      </c>
      <c r="B4042" s="17">
        <v>15.6</v>
      </c>
      <c r="C4042" s="17"/>
      <c r="F4042"/>
      <c r="G4042"/>
      <c r="H4042"/>
      <c r="I4042"/>
      <c r="J4042"/>
    </row>
    <row r="4043" spans="1:10" x14ac:dyDescent="0.25">
      <c r="A4043" s="90">
        <v>41022</v>
      </c>
      <c r="B4043" s="17">
        <v>15.33</v>
      </c>
      <c r="C4043" s="17"/>
      <c r="F4043"/>
      <c r="G4043"/>
      <c r="H4043"/>
      <c r="I4043"/>
      <c r="J4043"/>
    </row>
    <row r="4044" spans="1:10" x14ac:dyDescent="0.25">
      <c r="A4044" s="90">
        <v>41023</v>
      </c>
      <c r="B4044" s="17">
        <v>15.43</v>
      </c>
      <c r="C4044" s="17"/>
      <c r="F4044"/>
      <c r="G4044"/>
      <c r="H4044"/>
      <c r="I4044"/>
      <c r="J4044"/>
    </row>
    <row r="4045" spans="1:10" x14ac:dyDescent="0.25">
      <c r="A4045" s="90">
        <v>41024</v>
      </c>
      <c r="B4045" s="17">
        <v>15.5</v>
      </c>
      <c r="C4045" s="17"/>
      <c r="F4045"/>
      <c r="G4045"/>
      <c r="H4045"/>
      <c r="I4045"/>
      <c r="J4045"/>
    </row>
    <row r="4046" spans="1:10" x14ac:dyDescent="0.25">
      <c r="A4046" s="90">
        <v>41025</v>
      </c>
      <c r="B4046" s="17">
        <v>15.53</v>
      </c>
      <c r="C4046" s="17"/>
      <c r="F4046"/>
      <c r="G4046"/>
      <c r="H4046"/>
      <c r="I4046"/>
      <c r="J4046"/>
    </row>
    <row r="4047" spans="1:10" x14ac:dyDescent="0.25">
      <c r="A4047" s="90">
        <v>41026</v>
      </c>
      <c r="B4047" s="17">
        <v>15.57</v>
      </c>
      <c r="C4047" s="17"/>
      <c r="F4047"/>
      <c r="G4047"/>
      <c r="H4047"/>
      <c r="I4047"/>
      <c r="J4047"/>
    </row>
    <row r="4048" spans="1:10" x14ac:dyDescent="0.25">
      <c r="A4048" s="90">
        <v>41029</v>
      </c>
      <c r="B4048" s="17">
        <v>15.54</v>
      </c>
      <c r="C4048" s="17"/>
      <c r="F4048"/>
      <c r="G4048"/>
      <c r="H4048"/>
      <c r="I4048"/>
      <c r="J4048"/>
    </row>
    <row r="4049" spans="1:10" x14ac:dyDescent="0.25">
      <c r="A4049" s="90">
        <v>41030</v>
      </c>
      <c r="B4049" s="17">
        <v>15.63</v>
      </c>
      <c r="C4049" s="17"/>
      <c r="F4049"/>
      <c r="G4049"/>
      <c r="H4049"/>
      <c r="I4049"/>
      <c r="J4049"/>
    </row>
    <row r="4050" spans="1:10" x14ac:dyDescent="0.25">
      <c r="A4050" s="90">
        <v>41031</v>
      </c>
      <c r="B4050" s="17">
        <v>15.67</v>
      </c>
      <c r="C4050" s="17"/>
      <c r="F4050"/>
      <c r="G4050"/>
      <c r="H4050"/>
      <c r="I4050"/>
      <c r="J4050"/>
    </row>
    <row r="4051" spans="1:10" x14ac:dyDescent="0.25">
      <c r="A4051" s="90">
        <v>41032</v>
      </c>
      <c r="B4051" s="17">
        <v>15.4</v>
      </c>
      <c r="C4051" s="17"/>
      <c r="F4051"/>
      <c r="G4051"/>
      <c r="H4051"/>
      <c r="I4051"/>
      <c r="J4051"/>
    </row>
    <row r="4052" spans="1:10" x14ac:dyDescent="0.25">
      <c r="A4052" s="90">
        <v>41033</v>
      </c>
      <c r="B4052" s="17">
        <v>15.15</v>
      </c>
      <c r="C4052" s="17"/>
      <c r="F4052"/>
      <c r="G4052"/>
      <c r="H4052"/>
      <c r="I4052"/>
      <c r="J4052"/>
    </row>
    <row r="4053" spans="1:10" x14ac:dyDescent="0.25">
      <c r="A4053" s="90">
        <v>41036</v>
      </c>
      <c r="B4053" s="17">
        <v>15.35</v>
      </c>
      <c r="C4053" s="17"/>
      <c r="F4053"/>
      <c r="G4053"/>
      <c r="H4053"/>
      <c r="I4053"/>
      <c r="J4053"/>
    </row>
    <row r="4054" spans="1:10" x14ac:dyDescent="0.25">
      <c r="A4054" s="90">
        <v>41037</v>
      </c>
      <c r="B4054" s="17">
        <v>15.36</v>
      </c>
      <c r="C4054" s="17"/>
      <c r="F4054"/>
      <c r="G4054"/>
      <c r="H4054"/>
      <c r="I4054"/>
      <c r="J4054"/>
    </row>
    <row r="4055" spans="1:10" x14ac:dyDescent="0.25">
      <c r="A4055" s="90">
        <v>41038</v>
      </c>
      <c r="B4055" s="17">
        <v>15.3</v>
      </c>
      <c r="C4055" s="17"/>
      <c r="F4055"/>
      <c r="G4055"/>
      <c r="H4055"/>
      <c r="I4055"/>
      <c r="J4055"/>
    </row>
    <row r="4056" spans="1:10" x14ac:dyDescent="0.25">
      <c r="A4056" s="90">
        <v>41039</v>
      </c>
      <c r="B4056" s="17">
        <v>15.44</v>
      </c>
      <c r="C4056" s="17"/>
      <c r="F4056"/>
      <c r="G4056"/>
      <c r="H4056"/>
      <c r="I4056"/>
      <c r="J4056"/>
    </row>
    <row r="4057" spans="1:10" x14ac:dyDescent="0.25">
      <c r="A4057" s="90">
        <v>41040</v>
      </c>
      <c r="B4057" s="17">
        <v>15.19</v>
      </c>
      <c r="C4057" s="17"/>
      <c r="F4057"/>
      <c r="G4057"/>
      <c r="H4057"/>
      <c r="I4057"/>
      <c r="J4057"/>
    </row>
    <row r="4058" spans="1:10" x14ac:dyDescent="0.25">
      <c r="A4058" s="90">
        <v>41043</v>
      </c>
      <c r="B4058" s="17">
        <v>15.5</v>
      </c>
      <c r="C4058" s="17"/>
      <c r="F4058"/>
      <c r="G4058"/>
      <c r="H4058"/>
      <c r="I4058"/>
      <c r="J4058"/>
    </row>
    <row r="4059" spans="1:10" x14ac:dyDescent="0.25">
      <c r="A4059" s="90">
        <v>41044</v>
      </c>
      <c r="B4059" s="17">
        <v>15.4</v>
      </c>
      <c r="C4059" s="17"/>
      <c r="F4059"/>
      <c r="G4059"/>
      <c r="H4059"/>
      <c r="I4059"/>
      <c r="J4059"/>
    </row>
    <row r="4060" spans="1:10" x14ac:dyDescent="0.25">
      <c r="A4060" s="90">
        <v>41045</v>
      </c>
      <c r="B4060" s="17">
        <v>15.28</v>
      </c>
      <c r="C4060" s="17"/>
      <c r="F4060"/>
      <c r="G4060"/>
      <c r="H4060"/>
      <c r="I4060"/>
      <c r="J4060"/>
    </row>
    <row r="4061" spans="1:10" x14ac:dyDescent="0.25">
      <c r="A4061" s="90">
        <v>41046</v>
      </c>
      <c r="B4061" s="17">
        <v>14.87</v>
      </c>
      <c r="C4061" s="17"/>
      <c r="F4061"/>
      <c r="G4061"/>
      <c r="H4061"/>
      <c r="I4061"/>
      <c r="J4061"/>
    </row>
    <row r="4062" spans="1:10" x14ac:dyDescent="0.25">
      <c r="A4062" s="90">
        <v>41047</v>
      </c>
      <c r="B4062" s="17">
        <v>15.42</v>
      </c>
      <c r="C4062" s="17"/>
      <c r="F4062"/>
      <c r="G4062"/>
      <c r="H4062"/>
      <c r="I4062"/>
      <c r="J4062"/>
    </row>
    <row r="4063" spans="1:10" x14ac:dyDescent="0.25">
      <c r="A4063" s="90">
        <v>41050</v>
      </c>
      <c r="B4063" s="17">
        <v>15.58</v>
      </c>
      <c r="C4063" s="17"/>
      <c r="F4063"/>
      <c r="G4063"/>
      <c r="H4063"/>
      <c r="I4063"/>
      <c r="J4063"/>
    </row>
    <row r="4064" spans="1:10" x14ac:dyDescent="0.25">
      <c r="A4064" s="90">
        <v>41051</v>
      </c>
      <c r="B4064" s="17">
        <v>15.29</v>
      </c>
      <c r="C4064" s="17"/>
      <c r="F4064"/>
      <c r="G4064"/>
      <c r="H4064"/>
      <c r="I4064"/>
      <c r="J4064"/>
    </row>
    <row r="4065" spans="1:10" x14ac:dyDescent="0.25">
      <c r="A4065" s="90">
        <v>41052</v>
      </c>
      <c r="B4065" s="17">
        <v>15.38</v>
      </c>
      <c r="C4065" s="17"/>
      <c r="F4065"/>
      <c r="G4065"/>
      <c r="H4065"/>
      <c r="I4065"/>
      <c r="J4065"/>
    </row>
    <row r="4066" spans="1:10" x14ac:dyDescent="0.25">
      <c r="A4066" s="90">
        <v>41053</v>
      </c>
      <c r="B4066" s="17">
        <v>15.35</v>
      </c>
      <c r="C4066" s="17"/>
      <c r="F4066"/>
      <c r="G4066"/>
      <c r="H4066"/>
      <c r="I4066"/>
      <c r="J4066"/>
    </row>
    <row r="4067" spans="1:10" x14ac:dyDescent="0.25">
      <c r="A4067" s="90">
        <v>41054</v>
      </c>
      <c r="B4067" s="17">
        <v>15.36</v>
      </c>
      <c r="C4067" s="17"/>
      <c r="F4067"/>
      <c r="G4067"/>
      <c r="H4067"/>
      <c r="I4067"/>
      <c r="J4067"/>
    </row>
    <row r="4068" spans="1:10" x14ac:dyDescent="0.25">
      <c r="A4068" s="90">
        <v>41058</v>
      </c>
      <c r="B4068" s="17">
        <v>15.47</v>
      </c>
      <c r="C4068" s="17"/>
      <c r="F4068"/>
      <c r="G4068"/>
      <c r="H4068"/>
      <c r="I4068"/>
      <c r="J4068"/>
    </row>
    <row r="4069" spans="1:10" x14ac:dyDescent="0.25">
      <c r="A4069" s="90">
        <v>41059</v>
      </c>
      <c r="B4069" s="17">
        <v>15.25</v>
      </c>
      <c r="C4069" s="17"/>
      <c r="F4069"/>
      <c r="G4069"/>
      <c r="H4069"/>
      <c r="I4069"/>
      <c r="J4069"/>
    </row>
    <row r="4070" spans="1:10" x14ac:dyDescent="0.25">
      <c r="A4070" s="90">
        <v>41060</v>
      </c>
      <c r="B4070" s="17">
        <v>15.24</v>
      </c>
      <c r="C4070" s="17"/>
      <c r="F4070"/>
      <c r="G4070"/>
      <c r="H4070"/>
      <c r="I4070"/>
      <c r="J4070"/>
    </row>
    <row r="4071" spans="1:10" x14ac:dyDescent="0.25">
      <c r="A4071" s="90">
        <v>41061</v>
      </c>
      <c r="B4071" s="17">
        <v>14.92</v>
      </c>
      <c r="C4071" s="17"/>
      <c r="F4071"/>
      <c r="G4071"/>
      <c r="H4071"/>
      <c r="I4071"/>
      <c r="J4071"/>
    </row>
    <row r="4072" spans="1:10" x14ac:dyDescent="0.25">
      <c r="A4072" s="90">
        <v>41064</v>
      </c>
      <c r="B4072" s="17">
        <v>15.01</v>
      </c>
      <c r="C4072" s="17"/>
      <c r="F4072"/>
      <c r="G4072"/>
      <c r="H4072"/>
      <c r="I4072"/>
      <c r="J4072"/>
    </row>
    <row r="4073" spans="1:10" x14ac:dyDescent="0.25">
      <c r="A4073" s="90">
        <v>41065</v>
      </c>
      <c r="B4073" s="17">
        <v>15.1</v>
      </c>
      <c r="C4073" s="17"/>
      <c r="F4073"/>
      <c r="G4073"/>
      <c r="H4073"/>
      <c r="I4073"/>
      <c r="J4073"/>
    </row>
    <row r="4074" spans="1:10" x14ac:dyDescent="0.25">
      <c r="A4074" s="90">
        <v>41066</v>
      </c>
      <c r="B4074" s="17">
        <v>15.36</v>
      </c>
      <c r="C4074" s="17"/>
      <c r="F4074"/>
      <c r="G4074"/>
      <c r="H4074"/>
      <c r="I4074"/>
      <c r="J4074"/>
    </row>
    <row r="4075" spans="1:10" x14ac:dyDescent="0.25">
      <c r="A4075" s="90">
        <v>41067</v>
      </c>
      <c r="B4075" s="17">
        <v>15.36</v>
      </c>
      <c r="C4075" s="17"/>
      <c r="F4075"/>
      <c r="G4075"/>
      <c r="H4075"/>
      <c r="I4075"/>
      <c r="J4075"/>
    </row>
    <row r="4076" spans="1:10" x14ac:dyDescent="0.25">
      <c r="A4076" s="90">
        <v>41068</v>
      </c>
      <c r="B4076" s="17">
        <v>15.65</v>
      </c>
      <c r="C4076" s="17"/>
      <c r="F4076"/>
      <c r="G4076"/>
      <c r="H4076"/>
      <c r="I4076"/>
      <c r="J4076"/>
    </row>
    <row r="4077" spans="1:10" x14ac:dyDescent="0.25">
      <c r="A4077" s="90">
        <v>41071</v>
      </c>
      <c r="B4077" s="17">
        <v>15.3</v>
      </c>
      <c r="C4077" s="17"/>
      <c r="F4077"/>
      <c r="G4077"/>
      <c r="H4077"/>
      <c r="I4077"/>
      <c r="J4077"/>
    </row>
    <row r="4078" spans="1:10" x14ac:dyDescent="0.25">
      <c r="A4078" s="90">
        <v>41072</v>
      </c>
      <c r="B4078" s="17">
        <v>15.47</v>
      </c>
      <c r="C4078" s="17"/>
      <c r="F4078"/>
      <c r="G4078"/>
      <c r="H4078"/>
      <c r="I4078"/>
      <c r="J4078"/>
    </row>
    <row r="4079" spans="1:10" x14ac:dyDescent="0.25">
      <c r="A4079" s="90">
        <v>41073</v>
      </c>
      <c r="B4079" s="17">
        <v>15.34</v>
      </c>
      <c r="C4079" s="17"/>
      <c r="F4079"/>
      <c r="G4079"/>
      <c r="H4079"/>
      <c r="I4079"/>
      <c r="J4079"/>
    </row>
    <row r="4080" spans="1:10" x14ac:dyDescent="0.25">
      <c r="A4080" s="90">
        <v>41074</v>
      </c>
      <c r="B4080" s="17">
        <v>15.36</v>
      </c>
      <c r="C4080" s="17"/>
      <c r="F4080"/>
      <c r="G4080"/>
      <c r="H4080"/>
      <c r="I4080"/>
      <c r="J4080"/>
    </row>
    <row r="4081" spans="1:10" x14ac:dyDescent="0.25">
      <c r="A4081" s="90">
        <v>41075</v>
      </c>
      <c r="B4081" s="17">
        <v>15.36</v>
      </c>
      <c r="C4081" s="17"/>
      <c r="F4081"/>
      <c r="G4081"/>
      <c r="H4081"/>
      <c r="I4081"/>
      <c r="J4081"/>
    </row>
    <row r="4082" spans="1:10" x14ac:dyDescent="0.25">
      <c r="A4082" s="90">
        <v>41078</v>
      </c>
      <c r="B4082" s="17">
        <v>15.49</v>
      </c>
      <c r="C4082" s="17"/>
      <c r="F4082"/>
      <c r="G4082"/>
      <c r="H4082"/>
      <c r="I4082"/>
      <c r="J4082"/>
    </row>
    <row r="4083" spans="1:10" x14ac:dyDescent="0.25">
      <c r="A4083" s="90">
        <v>41079</v>
      </c>
      <c r="B4083" s="17">
        <v>15.65</v>
      </c>
      <c r="C4083" s="17"/>
      <c r="F4083"/>
      <c r="G4083"/>
      <c r="H4083"/>
      <c r="I4083"/>
      <c r="J4083"/>
    </row>
    <row r="4084" spans="1:10" x14ac:dyDescent="0.25">
      <c r="A4084" s="90">
        <v>41080</v>
      </c>
      <c r="B4084" s="17">
        <v>15.74</v>
      </c>
      <c r="C4084" s="17"/>
      <c r="F4084"/>
      <c r="G4084"/>
      <c r="H4084"/>
      <c r="I4084"/>
      <c r="J4084"/>
    </row>
    <row r="4085" spans="1:10" x14ac:dyDescent="0.25">
      <c r="A4085" s="90">
        <v>41081</v>
      </c>
      <c r="B4085" s="17">
        <v>15.52</v>
      </c>
      <c r="C4085" s="17"/>
      <c r="F4085"/>
      <c r="G4085"/>
      <c r="H4085"/>
      <c r="I4085"/>
      <c r="J4085"/>
    </row>
    <row r="4086" spans="1:10" x14ac:dyDescent="0.25">
      <c r="A4086" s="90">
        <v>41082</v>
      </c>
      <c r="B4086" s="17">
        <v>15.61</v>
      </c>
      <c r="C4086" s="17"/>
      <c r="F4086"/>
      <c r="G4086"/>
      <c r="H4086"/>
      <c r="I4086"/>
      <c r="J4086"/>
    </row>
    <row r="4087" spans="1:10" x14ac:dyDescent="0.25">
      <c r="A4087" s="90">
        <v>41085</v>
      </c>
      <c r="B4087" s="17">
        <v>15.44</v>
      </c>
      <c r="C4087" s="17"/>
      <c r="F4087"/>
      <c r="G4087"/>
      <c r="H4087"/>
      <c r="I4087"/>
      <c r="J4087"/>
    </row>
    <row r="4088" spans="1:10" x14ac:dyDescent="0.25">
      <c r="A4088" s="90">
        <v>41086</v>
      </c>
      <c r="B4088" s="17">
        <v>15.35</v>
      </c>
      <c r="C4088" s="17"/>
      <c r="F4088"/>
      <c r="G4088"/>
      <c r="H4088"/>
      <c r="I4088"/>
      <c r="J4088"/>
    </row>
    <row r="4089" spans="1:10" x14ac:dyDescent="0.25">
      <c r="A4089" s="90">
        <v>41087</v>
      </c>
      <c r="B4089" s="17">
        <v>15.52</v>
      </c>
      <c r="C4089" s="17"/>
      <c r="F4089"/>
      <c r="G4089"/>
      <c r="H4089"/>
      <c r="I4089"/>
      <c r="J4089"/>
    </row>
    <row r="4090" spans="1:10" x14ac:dyDescent="0.25">
      <c r="A4090" s="90">
        <v>41088</v>
      </c>
      <c r="B4090" s="17">
        <v>15.45</v>
      </c>
      <c r="C4090" s="17"/>
      <c r="F4090"/>
      <c r="G4090"/>
      <c r="H4090"/>
      <c r="I4090"/>
      <c r="J4090"/>
    </row>
    <row r="4091" spans="1:10" x14ac:dyDescent="0.25">
      <c r="A4091" s="90">
        <v>41089</v>
      </c>
      <c r="B4091" s="17">
        <v>15.83</v>
      </c>
      <c r="C4091" s="17"/>
      <c r="F4091"/>
      <c r="G4091"/>
      <c r="H4091"/>
      <c r="I4091"/>
      <c r="J4091"/>
    </row>
    <row r="4092" spans="1:10" x14ac:dyDescent="0.25">
      <c r="A4092" s="90">
        <v>41092</v>
      </c>
      <c r="B4092" s="17">
        <v>15.84</v>
      </c>
      <c r="C4092" s="17"/>
      <c r="F4092"/>
      <c r="G4092"/>
      <c r="H4092"/>
      <c r="I4092"/>
      <c r="J4092"/>
    </row>
    <row r="4093" spans="1:10" x14ac:dyDescent="0.25">
      <c r="A4093" s="90">
        <v>41093</v>
      </c>
      <c r="B4093" s="17">
        <v>15.98</v>
      </c>
      <c r="C4093" s="17"/>
      <c r="F4093"/>
      <c r="G4093"/>
      <c r="H4093"/>
      <c r="I4093"/>
      <c r="J4093"/>
    </row>
    <row r="4094" spans="1:10" x14ac:dyDescent="0.25">
      <c r="A4094" s="90">
        <v>41095</v>
      </c>
      <c r="B4094" s="17">
        <v>15.85</v>
      </c>
      <c r="C4094" s="17"/>
      <c r="F4094"/>
      <c r="G4094"/>
      <c r="H4094"/>
      <c r="I4094"/>
      <c r="J4094"/>
    </row>
    <row r="4095" spans="1:10" x14ac:dyDescent="0.25">
      <c r="A4095" s="90">
        <v>41096</v>
      </c>
      <c r="B4095" s="17">
        <v>15.78</v>
      </c>
      <c r="C4095" s="17"/>
      <c r="F4095"/>
      <c r="G4095"/>
      <c r="H4095"/>
      <c r="I4095"/>
      <c r="J4095"/>
    </row>
    <row r="4096" spans="1:10" x14ac:dyDescent="0.25">
      <c r="A4096" s="90">
        <v>41099</v>
      </c>
      <c r="B4096" s="17">
        <v>15.75</v>
      </c>
      <c r="C4096" s="17"/>
      <c r="F4096"/>
      <c r="G4096"/>
      <c r="H4096"/>
      <c r="I4096"/>
      <c r="J4096"/>
    </row>
    <row r="4097" spans="1:10" x14ac:dyDescent="0.25">
      <c r="A4097" s="90">
        <v>41100</v>
      </c>
      <c r="B4097" s="17">
        <v>15.82</v>
      </c>
      <c r="C4097" s="17"/>
      <c r="F4097"/>
      <c r="G4097"/>
      <c r="H4097"/>
      <c r="I4097"/>
      <c r="J4097"/>
    </row>
    <row r="4098" spans="1:10" x14ac:dyDescent="0.25">
      <c r="A4098" s="90">
        <v>41101</v>
      </c>
      <c r="B4098" s="17">
        <v>15.8</v>
      </c>
      <c r="C4098" s="17"/>
      <c r="F4098"/>
      <c r="G4098"/>
      <c r="H4098"/>
      <c r="I4098"/>
      <c r="J4098"/>
    </row>
    <row r="4099" spans="1:10" x14ac:dyDescent="0.25">
      <c r="A4099" s="90">
        <v>41102</v>
      </c>
      <c r="B4099" s="17">
        <v>15.69</v>
      </c>
      <c r="C4099" s="17"/>
      <c r="F4099"/>
      <c r="G4099"/>
      <c r="H4099"/>
      <c r="I4099"/>
      <c r="J4099"/>
    </row>
    <row r="4100" spans="1:10" x14ac:dyDescent="0.25">
      <c r="A4100" s="90">
        <v>41103</v>
      </c>
      <c r="B4100" s="17">
        <v>15.74</v>
      </c>
      <c r="C4100" s="17"/>
      <c r="F4100"/>
      <c r="G4100"/>
      <c r="H4100"/>
      <c r="I4100"/>
      <c r="J4100"/>
    </row>
    <row r="4101" spans="1:10" x14ac:dyDescent="0.25">
      <c r="A4101" s="90">
        <v>41106</v>
      </c>
      <c r="B4101" s="17">
        <v>15.65</v>
      </c>
      <c r="C4101" s="17"/>
      <c r="F4101"/>
      <c r="G4101"/>
      <c r="H4101"/>
      <c r="I4101"/>
      <c r="J4101"/>
    </row>
    <row r="4102" spans="1:10" x14ac:dyDescent="0.25">
      <c r="A4102" s="90">
        <v>41107</v>
      </c>
      <c r="B4102" s="17">
        <v>15.6</v>
      </c>
      <c r="C4102" s="17"/>
      <c r="F4102"/>
      <c r="G4102"/>
      <c r="H4102"/>
      <c r="I4102"/>
      <c r="J4102"/>
    </row>
    <row r="4103" spans="1:10" x14ac:dyDescent="0.25">
      <c r="A4103" s="90">
        <v>41108</v>
      </c>
      <c r="B4103" s="17">
        <v>15.7</v>
      </c>
      <c r="C4103" s="17"/>
      <c r="F4103"/>
      <c r="G4103"/>
      <c r="H4103"/>
      <c r="I4103"/>
      <c r="J4103"/>
    </row>
    <row r="4104" spans="1:10" x14ac:dyDescent="0.25">
      <c r="A4104" s="90">
        <v>41109</v>
      </c>
      <c r="B4104" s="17">
        <v>15.73</v>
      </c>
      <c r="C4104" s="17"/>
      <c r="F4104"/>
      <c r="G4104"/>
      <c r="H4104"/>
      <c r="I4104"/>
      <c r="J4104"/>
    </row>
    <row r="4105" spans="1:10" x14ac:dyDescent="0.25">
      <c r="A4105" s="90">
        <v>41110</v>
      </c>
      <c r="B4105" s="17">
        <v>15.92</v>
      </c>
      <c r="C4105" s="17"/>
      <c r="F4105"/>
      <c r="G4105"/>
      <c r="H4105"/>
      <c r="I4105"/>
      <c r="J4105"/>
    </row>
    <row r="4106" spans="1:10" x14ac:dyDescent="0.25">
      <c r="A4106" s="90">
        <v>41113</v>
      </c>
      <c r="B4106" s="17">
        <v>15.76</v>
      </c>
      <c r="C4106" s="17"/>
      <c r="F4106"/>
      <c r="G4106"/>
      <c r="H4106"/>
      <c r="I4106"/>
      <c r="J4106"/>
    </row>
    <row r="4107" spans="1:10" x14ac:dyDescent="0.25">
      <c r="A4107" s="90">
        <v>41114</v>
      </c>
      <c r="B4107" s="17">
        <v>15.43</v>
      </c>
      <c r="C4107" s="17"/>
      <c r="F4107"/>
      <c r="G4107"/>
      <c r="H4107"/>
      <c r="I4107"/>
      <c r="J4107"/>
    </row>
    <row r="4108" spans="1:10" x14ac:dyDescent="0.25">
      <c r="A4108" s="90">
        <v>41115</v>
      </c>
      <c r="B4108" s="17">
        <v>15.5</v>
      </c>
      <c r="C4108" s="17"/>
      <c r="F4108"/>
      <c r="G4108"/>
      <c r="H4108"/>
      <c r="I4108"/>
      <c r="J4108"/>
    </row>
    <row r="4109" spans="1:10" x14ac:dyDescent="0.25">
      <c r="A4109" s="90">
        <v>41116</v>
      </c>
      <c r="B4109" s="17">
        <v>15.8</v>
      </c>
      <c r="C4109" s="17"/>
      <c r="F4109"/>
      <c r="G4109"/>
      <c r="H4109"/>
      <c r="I4109"/>
      <c r="J4109"/>
    </row>
    <row r="4110" spans="1:10" x14ac:dyDescent="0.25">
      <c r="A4110" s="90">
        <v>41117</v>
      </c>
      <c r="B4110" s="17">
        <v>16.11</v>
      </c>
      <c r="C4110" s="17"/>
      <c r="F4110"/>
      <c r="G4110"/>
      <c r="H4110"/>
      <c r="I4110"/>
      <c r="J4110"/>
    </row>
    <row r="4111" spans="1:10" x14ac:dyDescent="0.25">
      <c r="A4111" s="90">
        <v>41120</v>
      </c>
      <c r="B4111" s="17">
        <v>15.98</v>
      </c>
      <c r="C4111" s="17"/>
      <c r="F4111"/>
      <c r="G4111"/>
      <c r="H4111"/>
      <c r="I4111"/>
      <c r="J4111"/>
    </row>
    <row r="4112" spans="1:10" x14ac:dyDescent="0.25">
      <c r="A4112" s="90">
        <v>41121</v>
      </c>
      <c r="B4112" s="17">
        <v>15.84</v>
      </c>
      <c r="C4112" s="17"/>
      <c r="F4112"/>
      <c r="G4112"/>
      <c r="H4112"/>
      <c r="I4112"/>
      <c r="J4112"/>
    </row>
    <row r="4113" spans="1:10" x14ac:dyDescent="0.25">
      <c r="A4113" s="90">
        <v>41122</v>
      </c>
      <c r="B4113" s="17">
        <v>15.99</v>
      </c>
      <c r="C4113" s="17"/>
      <c r="F4113"/>
      <c r="G4113"/>
      <c r="H4113"/>
      <c r="I4113"/>
      <c r="J4113"/>
    </row>
    <row r="4114" spans="1:10" x14ac:dyDescent="0.25">
      <c r="A4114" s="90">
        <v>41123</v>
      </c>
      <c r="B4114" s="17">
        <v>15.75</v>
      </c>
      <c r="C4114" s="17"/>
      <c r="F4114"/>
      <c r="G4114"/>
      <c r="H4114"/>
      <c r="I4114"/>
      <c r="J4114"/>
    </row>
    <row r="4115" spans="1:10" x14ac:dyDescent="0.25">
      <c r="A4115" s="90">
        <v>41124</v>
      </c>
      <c r="B4115" s="17">
        <v>15.97</v>
      </c>
      <c r="C4115" s="17"/>
      <c r="F4115"/>
      <c r="G4115"/>
      <c r="H4115"/>
      <c r="I4115"/>
      <c r="J4115"/>
    </row>
    <row r="4116" spans="1:10" x14ac:dyDescent="0.25">
      <c r="A4116" s="90">
        <v>41127</v>
      </c>
      <c r="B4116" s="17">
        <v>16.04</v>
      </c>
      <c r="C4116" s="17"/>
      <c r="F4116"/>
      <c r="G4116"/>
      <c r="H4116"/>
      <c r="I4116"/>
      <c r="J4116"/>
    </row>
    <row r="4117" spans="1:10" x14ac:dyDescent="0.25">
      <c r="A4117" s="90">
        <v>41128</v>
      </c>
      <c r="B4117" s="17">
        <v>16.22</v>
      </c>
      <c r="C4117" s="17"/>
      <c r="F4117"/>
      <c r="G4117"/>
      <c r="H4117"/>
      <c r="I4117"/>
      <c r="J4117"/>
    </row>
    <row r="4118" spans="1:10" x14ac:dyDescent="0.25">
      <c r="A4118" s="90">
        <v>41129</v>
      </c>
      <c r="B4118" s="17">
        <v>16.170000000000002</v>
      </c>
      <c r="C4118" s="17"/>
      <c r="F4118"/>
      <c r="G4118"/>
      <c r="H4118"/>
      <c r="I4118"/>
      <c r="J4118"/>
    </row>
    <row r="4119" spans="1:10" x14ac:dyDescent="0.25">
      <c r="A4119" s="90">
        <v>41130</v>
      </c>
      <c r="B4119" s="17">
        <v>16.010000000000002</v>
      </c>
      <c r="C4119" s="17"/>
      <c r="F4119"/>
      <c r="G4119"/>
      <c r="H4119"/>
      <c r="I4119"/>
      <c r="J4119"/>
    </row>
    <row r="4120" spans="1:10" x14ac:dyDescent="0.25">
      <c r="A4120" s="90">
        <v>41131</v>
      </c>
      <c r="B4120" s="17">
        <v>15.15</v>
      </c>
      <c r="C4120" s="17"/>
      <c r="F4120"/>
      <c r="G4120"/>
      <c r="H4120"/>
      <c r="I4120"/>
      <c r="J4120"/>
    </row>
    <row r="4121" spans="1:10" x14ac:dyDescent="0.25">
      <c r="A4121" s="90">
        <v>41134</v>
      </c>
      <c r="B4121" s="17">
        <v>15.02</v>
      </c>
      <c r="C4121" s="17"/>
      <c r="F4121"/>
      <c r="G4121"/>
      <c r="H4121"/>
      <c r="I4121"/>
      <c r="J4121"/>
    </row>
    <row r="4122" spans="1:10" x14ac:dyDescent="0.25">
      <c r="A4122" s="90">
        <v>41135</v>
      </c>
      <c r="B4122" s="17">
        <v>14.73</v>
      </c>
      <c r="C4122" s="17"/>
      <c r="F4122"/>
      <c r="G4122"/>
      <c r="H4122"/>
      <c r="I4122"/>
      <c r="J4122"/>
    </row>
    <row r="4123" spans="1:10" x14ac:dyDescent="0.25">
      <c r="A4123" s="90">
        <v>41136</v>
      </c>
      <c r="B4123" s="17">
        <v>14.76</v>
      </c>
      <c r="C4123" s="17"/>
      <c r="F4123"/>
      <c r="G4123"/>
      <c r="H4123"/>
      <c r="I4123"/>
      <c r="J4123"/>
    </row>
    <row r="4124" spans="1:10" x14ac:dyDescent="0.25">
      <c r="A4124" s="90">
        <v>41137</v>
      </c>
      <c r="B4124" s="17">
        <v>14.99</v>
      </c>
      <c r="C4124" s="17"/>
      <c r="F4124"/>
      <c r="G4124"/>
      <c r="H4124"/>
      <c r="I4124"/>
      <c r="J4124"/>
    </row>
    <row r="4125" spans="1:10" x14ac:dyDescent="0.25">
      <c r="A4125" s="90">
        <v>41138</v>
      </c>
      <c r="B4125" s="17">
        <v>15.03</v>
      </c>
      <c r="C4125" s="17"/>
      <c r="F4125"/>
      <c r="G4125"/>
      <c r="H4125"/>
      <c r="I4125"/>
      <c r="J4125"/>
    </row>
    <row r="4126" spans="1:10" x14ac:dyDescent="0.25">
      <c r="A4126" s="90">
        <v>41141</v>
      </c>
      <c r="B4126" s="17">
        <v>14.96</v>
      </c>
      <c r="C4126" s="17"/>
      <c r="F4126"/>
      <c r="G4126"/>
      <c r="H4126"/>
      <c r="I4126"/>
      <c r="J4126"/>
    </row>
    <row r="4127" spans="1:10" x14ac:dyDescent="0.25">
      <c r="A4127" s="90">
        <v>41142</v>
      </c>
      <c r="B4127" s="17">
        <v>14.97</v>
      </c>
      <c r="C4127" s="17"/>
      <c r="F4127"/>
      <c r="G4127"/>
      <c r="H4127"/>
      <c r="I4127"/>
      <c r="J4127"/>
    </row>
    <row r="4128" spans="1:10" x14ac:dyDescent="0.25">
      <c r="A4128" s="90">
        <v>41143</v>
      </c>
      <c r="B4128" s="17">
        <v>14.92</v>
      </c>
      <c r="C4128" s="17"/>
      <c r="F4128"/>
      <c r="G4128"/>
      <c r="H4128"/>
      <c r="I4128"/>
      <c r="J4128"/>
    </row>
    <row r="4129" spans="1:10" x14ac:dyDescent="0.25">
      <c r="A4129" s="90">
        <v>41144</v>
      </c>
      <c r="B4129" s="17">
        <v>14.87</v>
      </c>
      <c r="C4129" s="17"/>
      <c r="F4129"/>
      <c r="G4129"/>
      <c r="H4129"/>
      <c r="I4129"/>
      <c r="J4129"/>
    </row>
    <row r="4130" spans="1:10" x14ac:dyDescent="0.25">
      <c r="A4130" s="90">
        <v>41145</v>
      </c>
      <c r="B4130" s="17">
        <v>14.92</v>
      </c>
      <c r="C4130" s="17"/>
      <c r="F4130"/>
      <c r="G4130"/>
      <c r="H4130"/>
      <c r="I4130"/>
      <c r="J4130"/>
    </row>
    <row r="4131" spans="1:10" x14ac:dyDescent="0.25">
      <c r="A4131" s="90">
        <v>41148</v>
      </c>
      <c r="B4131" s="17">
        <v>14.85</v>
      </c>
      <c r="C4131" s="17"/>
      <c r="F4131"/>
      <c r="G4131"/>
      <c r="H4131"/>
      <c r="I4131"/>
      <c r="J4131"/>
    </row>
    <row r="4132" spans="1:10" x14ac:dyDescent="0.25">
      <c r="A4132" s="90">
        <v>41149</v>
      </c>
      <c r="B4132" s="17">
        <v>14.72</v>
      </c>
      <c r="C4132" s="17"/>
      <c r="F4132"/>
      <c r="G4132"/>
      <c r="H4132"/>
      <c r="I4132"/>
      <c r="J4132"/>
    </row>
    <row r="4133" spans="1:10" x14ac:dyDescent="0.25">
      <c r="A4133" s="90">
        <v>41150</v>
      </c>
      <c r="B4133" s="17">
        <v>14.84</v>
      </c>
      <c r="C4133" s="17"/>
      <c r="F4133"/>
      <c r="G4133"/>
      <c r="H4133"/>
      <c r="I4133"/>
      <c r="J4133"/>
    </row>
    <row r="4134" spans="1:10" x14ac:dyDescent="0.25">
      <c r="A4134" s="90">
        <v>41151</v>
      </c>
      <c r="B4134" s="17">
        <v>14.67</v>
      </c>
      <c r="C4134" s="17"/>
      <c r="F4134"/>
      <c r="G4134"/>
      <c r="H4134"/>
      <c r="I4134"/>
      <c r="J4134"/>
    </row>
    <row r="4135" spans="1:10" x14ac:dyDescent="0.25">
      <c r="A4135" s="90">
        <v>41152</v>
      </c>
      <c r="B4135" s="17">
        <v>14.65</v>
      </c>
      <c r="C4135" s="17"/>
      <c r="F4135"/>
      <c r="G4135"/>
      <c r="H4135"/>
      <c r="I4135"/>
      <c r="J4135"/>
    </row>
    <row r="4136" spans="1:10" x14ac:dyDescent="0.25">
      <c r="A4136" s="90">
        <v>41156</v>
      </c>
      <c r="B4136" s="17">
        <v>14.89</v>
      </c>
      <c r="C4136" s="17"/>
      <c r="F4136"/>
      <c r="G4136"/>
      <c r="H4136"/>
      <c r="I4136"/>
      <c r="J4136"/>
    </row>
    <row r="4137" spans="1:10" x14ac:dyDescent="0.25">
      <c r="A4137" s="90">
        <v>41157</v>
      </c>
      <c r="B4137" s="17">
        <v>15.09</v>
      </c>
      <c r="C4137" s="17"/>
      <c r="F4137"/>
      <c r="G4137"/>
      <c r="H4137"/>
      <c r="I4137"/>
      <c r="J4137"/>
    </row>
    <row r="4138" spans="1:10" x14ac:dyDescent="0.25">
      <c r="A4138" s="90">
        <v>41158</v>
      </c>
      <c r="B4138" s="17">
        <v>15.11</v>
      </c>
      <c r="C4138" s="17"/>
      <c r="F4138"/>
      <c r="G4138"/>
      <c r="H4138"/>
      <c r="I4138"/>
      <c r="J4138"/>
    </row>
    <row r="4139" spans="1:10" x14ac:dyDescent="0.25">
      <c r="A4139" s="90">
        <v>41159</v>
      </c>
      <c r="B4139" s="17">
        <v>15.22</v>
      </c>
      <c r="C4139" s="17"/>
      <c r="F4139"/>
      <c r="G4139"/>
      <c r="H4139"/>
      <c r="I4139"/>
      <c r="J4139"/>
    </row>
    <row r="4140" spans="1:10" x14ac:dyDescent="0.25">
      <c r="A4140" s="90">
        <v>41162</v>
      </c>
      <c r="B4140" s="17">
        <v>15.11</v>
      </c>
      <c r="C4140" s="17"/>
      <c r="F4140"/>
      <c r="G4140"/>
      <c r="H4140"/>
      <c r="I4140"/>
      <c r="J4140"/>
    </row>
    <row r="4141" spans="1:10" x14ac:dyDescent="0.25">
      <c r="A4141" s="90">
        <v>41163</v>
      </c>
      <c r="B4141" s="17">
        <v>15.16</v>
      </c>
      <c r="C4141" s="17"/>
      <c r="F4141"/>
      <c r="G4141"/>
      <c r="H4141"/>
      <c r="I4141"/>
      <c r="J4141"/>
    </row>
    <row r="4142" spans="1:10" x14ac:dyDescent="0.25">
      <c r="A4142" s="90">
        <v>41164</v>
      </c>
      <c r="B4142" s="17">
        <v>15.4</v>
      </c>
      <c r="C4142" s="17"/>
      <c r="F4142"/>
      <c r="G4142"/>
      <c r="H4142"/>
      <c r="I4142"/>
      <c r="J4142"/>
    </row>
    <row r="4143" spans="1:10" x14ac:dyDescent="0.25">
      <c r="A4143" s="90">
        <v>41165</v>
      </c>
      <c r="B4143" s="17">
        <v>15.6</v>
      </c>
      <c r="C4143" s="17"/>
      <c r="F4143"/>
      <c r="G4143"/>
      <c r="H4143"/>
      <c r="I4143"/>
      <c r="J4143"/>
    </row>
    <row r="4144" spans="1:10" x14ac:dyDescent="0.25">
      <c r="A4144" s="90">
        <v>41166</v>
      </c>
      <c r="B4144" s="17">
        <v>15.77</v>
      </c>
      <c r="C4144" s="17"/>
      <c r="F4144"/>
      <c r="G4144"/>
      <c r="H4144"/>
      <c r="I4144"/>
      <c r="J4144"/>
    </row>
    <row r="4145" spans="1:10" x14ac:dyDescent="0.25">
      <c r="A4145" s="90">
        <v>41169</v>
      </c>
      <c r="B4145" s="17">
        <v>15.68</v>
      </c>
      <c r="C4145" s="17"/>
      <c r="F4145"/>
      <c r="G4145"/>
      <c r="H4145"/>
      <c r="I4145"/>
      <c r="J4145"/>
    </row>
    <row r="4146" spans="1:10" x14ac:dyDescent="0.25">
      <c r="A4146" s="90">
        <v>41170</v>
      </c>
      <c r="B4146" s="17">
        <v>15.91</v>
      </c>
      <c r="C4146" s="17"/>
      <c r="F4146"/>
      <c r="G4146"/>
      <c r="H4146"/>
      <c r="I4146"/>
      <c r="J4146"/>
    </row>
    <row r="4147" spans="1:10" x14ac:dyDescent="0.25">
      <c r="A4147" s="90">
        <v>41171</v>
      </c>
      <c r="B4147" s="17">
        <v>15.86</v>
      </c>
      <c r="C4147" s="17"/>
      <c r="F4147"/>
      <c r="G4147"/>
      <c r="H4147"/>
      <c r="I4147"/>
      <c r="J4147"/>
    </row>
    <row r="4148" spans="1:10" x14ac:dyDescent="0.25">
      <c r="A4148" s="90">
        <v>41172</v>
      </c>
      <c r="B4148" s="17">
        <v>15.79</v>
      </c>
      <c r="C4148" s="17"/>
      <c r="F4148"/>
      <c r="G4148"/>
      <c r="H4148"/>
      <c r="I4148"/>
      <c r="J4148"/>
    </row>
    <row r="4149" spans="1:10" x14ac:dyDescent="0.25">
      <c r="A4149" s="90">
        <v>41173</v>
      </c>
      <c r="B4149" s="17">
        <v>15.74</v>
      </c>
      <c r="C4149" s="17"/>
      <c r="F4149"/>
      <c r="G4149"/>
      <c r="H4149"/>
      <c r="I4149"/>
      <c r="J4149"/>
    </row>
    <row r="4150" spans="1:10" x14ac:dyDescent="0.25">
      <c r="A4150" s="90">
        <v>41176</v>
      </c>
      <c r="B4150" s="17">
        <v>16</v>
      </c>
      <c r="C4150" s="17"/>
      <c r="F4150"/>
      <c r="G4150"/>
      <c r="H4150"/>
      <c r="I4150"/>
      <c r="J4150"/>
    </row>
    <row r="4151" spans="1:10" x14ac:dyDescent="0.25">
      <c r="A4151" s="90">
        <v>41177</v>
      </c>
      <c r="B4151" s="17">
        <v>15.68</v>
      </c>
      <c r="C4151" s="17"/>
      <c r="F4151"/>
      <c r="G4151"/>
      <c r="H4151"/>
      <c r="I4151"/>
      <c r="J4151"/>
    </row>
    <row r="4152" spans="1:10" x14ac:dyDescent="0.25">
      <c r="A4152" s="90">
        <v>41178</v>
      </c>
      <c r="B4152" s="17">
        <v>15.61</v>
      </c>
      <c r="C4152" s="17"/>
      <c r="F4152"/>
      <c r="G4152"/>
      <c r="H4152"/>
      <c r="I4152"/>
      <c r="J4152"/>
    </row>
    <row r="4153" spans="1:10" x14ac:dyDescent="0.25">
      <c r="A4153" s="90">
        <v>41179</v>
      </c>
      <c r="B4153" s="17">
        <v>16.04</v>
      </c>
      <c r="C4153" s="17"/>
      <c r="F4153"/>
      <c r="G4153"/>
      <c r="H4153"/>
      <c r="I4153"/>
      <c r="J4153"/>
    </row>
    <row r="4154" spans="1:10" x14ac:dyDescent="0.25">
      <c r="A4154" s="90">
        <v>41180</v>
      </c>
      <c r="B4154" s="17">
        <v>15.98</v>
      </c>
      <c r="C4154" s="17"/>
      <c r="F4154"/>
      <c r="G4154"/>
      <c r="H4154"/>
      <c r="I4154"/>
      <c r="J4154"/>
    </row>
    <row r="4155" spans="1:10" x14ac:dyDescent="0.25">
      <c r="A4155" s="90">
        <v>41183</v>
      </c>
      <c r="B4155" s="17">
        <v>15.83</v>
      </c>
      <c r="C4155" s="17"/>
      <c r="F4155"/>
      <c r="G4155"/>
      <c r="H4155"/>
      <c r="I4155"/>
      <c r="J4155"/>
    </row>
    <row r="4156" spans="1:10" x14ac:dyDescent="0.25">
      <c r="A4156" s="90">
        <v>41184</v>
      </c>
      <c r="B4156" s="17">
        <v>15.94</v>
      </c>
      <c r="C4156" s="17"/>
      <c r="F4156"/>
      <c r="G4156"/>
      <c r="H4156"/>
      <c r="I4156"/>
      <c r="J4156"/>
    </row>
    <row r="4157" spans="1:10" x14ac:dyDescent="0.25">
      <c r="A4157" s="90">
        <v>41185</v>
      </c>
      <c r="B4157" s="17">
        <v>16.21</v>
      </c>
      <c r="C4157" s="17"/>
      <c r="F4157"/>
      <c r="G4157"/>
      <c r="H4157"/>
      <c r="I4157"/>
      <c r="J4157"/>
    </row>
    <row r="4158" spans="1:10" x14ac:dyDescent="0.25">
      <c r="A4158" s="90">
        <v>41186</v>
      </c>
      <c r="B4158" s="17">
        <v>16.27</v>
      </c>
      <c r="C4158" s="17"/>
      <c r="F4158"/>
      <c r="G4158"/>
      <c r="H4158"/>
      <c r="I4158"/>
      <c r="J4158"/>
    </row>
    <row r="4159" spans="1:10" x14ac:dyDescent="0.25">
      <c r="A4159" s="90">
        <v>41187</v>
      </c>
      <c r="B4159" s="17">
        <v>16.09</v>
      </c>
      <c r="C4159" s="17"/>
      <c r="F4159"/>
      <c r="G4159"/>
      <c r="H4159"/>
      <c r="I4159"/>
      <c r="J4159"/>
    </row>
    <row r="4160" spans="1:10" x14ac:dyDescent="0.25">
      <c r="A4160" s="90">
        <v>41190</v>
      </c>
      <c r="B4160" s="17">
        <v>16.03</v>
      </c>
      <c r="C4160" s="17"/>
      <c r="F4160"/>
      <c r="G4160"/>
      <c r="H4160"/>
      <c r="I4160"/>
      <c r="J4160"/>
    </row>
    <row r="4161" spans="1:10" x14ac:dyDescent="0.25">
      <c r="A4161" s="90">
        <v>41191</v>
      </c>
      <c r="B4161" s="17">
        <v>15.85</v>
      </c>
      <c r="C4161" s="17"/>
      <c r="F4161"/>
      <c r="G4161"/>
      <c r="H4161"/>
      <c r="I4161"/>
      <c r="J4161"/>
    </row>
    <row r="4162" spans="1:10" x14ac:dyDescent="0.25">
      <c r="A4162" s="90">
        <v>41192</v>
      </c>
      <c r="B4162" s="17">
        <v>15.83</v>
      </c>
      <c r="C4162" s="17"/>
      <c r="F4162"/>
      <c r="G4162"/>
      <c r="H4162"/>
      <c r="I4162"/>
      <c r="J4162"/>
    </row>
    <row r="4163" spans="1:10" x14ac:dyDescent="0.25">
      <c r="A4163" s="90">
        <v>41193</v>
      </c>
      <c r="B4163" s="17">
        <v>15.92</v>
      </c>
      <c r="C4163" s="17"/>
      <c r="F4163"/>
      <c r="G4163"/>
      <c r="H4163"/>
      <c r="I4163"/>
      <c r="J4163"/>
    </row>
    <row r="4164" spans="1:10" x14ac:dyDescent="0.25">
      <c r="A4164" s="90">
        <v>41194</v>
      </c>
      <c r="B4164" s="17">
        <v>15.88</v>
      </c>
      <c r="C4164" s="17"/>
      <c r="F4164"/>
      <c r="G4164"/>
      <c r="H4164"/>
      <c r="I4164"/>
      <c r="J4164"/>
    </row>
    <row r="4165" spans="1:10" x14ac:dyDescent="0.25">
      <c r="A4165" s="90">
        <v>41197</v>
      </c>
      <c r="B4165" s="17">
        <v>15.68</v>
      </c>
      <c r="C4165" s="17"/>
      <c r="F4165"/>
      <c r="G4165"/>
      <c r="H4165"/>
      <c r="I4165"/>
      <c r="J4165"/>
    </row>
    <row r="4166" spans="1:10" x14ac:dyDescent="0.25">
      <c r="A4166" s="90">
        <v>41198</v>
      </c>
      <c r="B4166" s="17">
        <v>15.92</v>
      </c>
      <c r="C4166" s="17"/>
      <c r="F4166"/>
      <c r="G4166"/>
      <c r="H4166"/>
      <c r="I4166"/>
      <c r="J4166"/>
    </row>
    <row r="4167" spans="1:10" x14ac:dyDescent="0.25">
      <c r="A4167" s="90">
        <v>41199</v>
      </c>
      <c r="B4167" s="17">
        <v>16.09</v>
      </c>
      <c r="C4167" s="17"/>
      <c r="F4167"/>
      <c r="G4167"/>
      <c r="H4167"/>
      <c r="I4167"/>
      <c r="J4167"/>
    </row>
    <row r="4168" spans="1:10" x14ac:dyDescent="0.25">
      <c r="A4168" s="90">
        <v>41200</v>
      </c>
      <c r="B4168" s="17">
        <v>16</v>
      </c>
      <c r="C4168" s="17"/>
      <c r="F4168"/>
      <c r="G4168"/>
      <c r="H4168"/>
      <c r="I4168"/>
      <c r="J4168"/>
    </row>
    <row r="4169" spans="1:10" x14ac:dyDescent="0.25">
      <c r="A4169" s="90">
        <v>41201</v>
      </c>
      <c r="B4169" s="17">
        <v>15.84</v>
      </c>
      <c r="C4169" s="17"/>
      <c r="F4169"/>
      <c r="G4169"/>
      <c r="H4169"/>
      <c r="I4169"/>
      <c r="J4169"/>
    </row>
    <row r="4170" spans="1:10" x14ac:dyDescent="0.25">
      <c r="A4170" s="90">
        <v>41204</v>
      </c>
      <c r="B4170" s="17">
        <v>15.77</v>
      </c>
      <c r="C4170" s="17"/>
      <c r="F4170"/>
      <c r="G4170"/>
      <c r="H4170"/>
      <c r="I4170"/>
      <c r="J4170"/>
    </row>
    <row r="4171" spans="1:10" x14ac:dyDescent="0.25">
      <c r="A4171" s="90">
        <v>41205</v>
      </c>
      <c r="B4171" s="17">
        <v>16.670000000000002</v>
      </c>
      <c r="C4171" s="17"/>
      <c r="F4171"/>
      <c r="G4171"/>
      <c r="H4171"/>
      <c r="I4171"/>
      <c r="J4171"/>
    </row>
    <row r="4172" spans="1:10" x14ac:dyDescent="0.25">
      <c r="A4172" s="90">
        <v>41206</v>
      </c>
      <c r="B4172" s="17">
        <v>16.55</v>
      </c>
      <c r="C4172" s="17"/>
      <c r="F4172"/>
      <c r="G4172"/>
      <c r="H4172"/>
      <c r="I4172"/>
      <c r="J4172"/>
    </row>
    <row r="4173" spans="1:10" x14ac:dyDescent="0.25">
      <c r="A4173" s="90">
        <v>41207</v>
      </c>
      <c r="B4173" s="17">
        <v>16.61</v>
      </c>
      <c r="C4173" s="17"/>
      <c r="F4173"/>
      <c r="G4173"/>
      <c r="H4173"/>
      <c r="I4173"/>
      <c r="J4173"/>
    </row>
    <row r="4174" spans="1:10" x14ac:dyDescent="0.25">
      <c r="A4174" s="90">
        <v>41208</v>
      </c>
      <c r="B4174" s="17">
        <v>16.79</v>
      </c>
      <c r="C4174" s="17"/>
      <c r="F4174"/>
      <c r="G4174"/>
      <c r="H4174"/>
      <c r="I4174"/>
      <c r="J4174"/>
    </row>
    <row r="4175" spans="1:10" x14ac:dyDescent="0.25">
      <c r="A4175" s="90">
        <v>41213</v>
      </c>
      <c r="B4175" s="17">
        <v>16.84</v>
      </c>
      <c r="C4175" s="17"/>
      <c r="F4175"/>
      <c r="G4175"/>
      <c r="H4175"/>
      <c r="I4175"/>
      <c r="J4175"/>
    </row>
    <row r="4176" spans="1:10" x14ac:dyDescent="0.25">
      <c r="A4176" s="90">
        <v>41214</v>
      </c>
      <c r="B4176" s="17">
        <v>16.95</v>
      </c>
      <c r="C4176" s="17"/>
      <c r="F4176"/>
      <c r="G4176"/>
      <c r="H4176"/>
      <c r="I4176"/>
      <c r="J4176"/>
    </row>
    <row r="4177" spans="1:10" x14ac:dyDescent="0.25">
      <c r="A4177" s="90">
        <v>41215</v>
      </c>
      <c r="B4177" s="17">
        <v>17.11</v>
      </c>
      <c r="C4177" s="17"/>
      <c r="F4177"/>
      <c r="G4177"/>
      <c r="H4177"/>
      <c r="I4177"/>
      <c r="J4177"/>
    </row>
    <row r="4178" spans="1:10" x14ac:dyDescent="0.25">
      <c r="A4178" s="90">
        <v>41218</v>
      </c>
      <c r="B4178" s="17">
        <v>17.37</v>
      </c>
      <c r="C4178" s="17"/>
      <c r="F4178"/>
      <c r="G4178"/>
      <c r="H4178"/>
      <c r="I4178"/>
      <c r="J4178"/>
    </row>
    <row r="4179" spans="1:10" x14ac:dyDescent="0.25">
      <c r="A4179" s="90">
        <v>41219</v>
      </c>
      <c r="B4179" s="17">
        <v>17.46</v>
      </c>
      <c r="C4179" s="17"/>
      <c r="F4179"/>
      <c r="G4179"/>
      <c r="H4179"/>
      <c r="I4179"/>
      <c r="J4179"/>
    </row>
    <row r="4180" spans="1:10" x14ac:dyDescent="0.25">
      <c r="A4180" s="90">
        <v>41220</v>
      </c>
      <c r="B4180" s="17">
        <v>17.39</v>
      </c>
      <c r="C4180" s="17"/>
      <c r="F4180"/>
      <c r="G4180"/>
      <c r="H4180"/>
      <c r="I4180"/>
      <c r="J4180"/>
    </row>
    <row r="4181" spans="1:10" x14ac:dyDescent="0.25">
      <c r="A4181" s="90">
        <v>41221</v>
      </c>
      <c r="B4181" s="17">
        <v>17.239999999999998</v>
      </c>
      <c r="C4181" s="17"/>
      <c r="F4181"/>
      <c r="G4181"/>
      <c r="H4181"/>
      <c r="I4181"/>
      <c r="J4181"/>
    </row>
    <row r="4182" spans="1:10" x14ac:dyDescent="0.25">
      <c r="A4182" s="90">
        <v>41222</v>
      </c>
      <c r="B4182" s="17">
        <v>17.260000000000002</v>
      </c>
      <c r="C4182" s="17"/>
      <c r="F4182"/>
      <c r="G4182"/>
      <c r="H4182"/>
      <c r="I4182"/>
      <c r="J4182"/>
    </row>
    <row r="4183" spans="1:10" x14ac:dyDescent="0.25">
      <c r="A4183" s="90">
        <v>41225</v>
      </c>
      <c r="B4183" s="17">
        <v>17.510000000000002</v>
      </c>
      <c r="C4183" s="17"/>
      <c r="F4183"/>
      <c r="G4183"/>
      <c r="H4183"/>
      <c r="I4183"/>
      <c r="J4183"/>
    </row>
    <row r="4184" spans="1:10" x14ac:dyDescent="0.25">
      <c r="A4184" s="90">
        <v>41226</v>
      </c>
      <c r="B4184" s="17">
        <v>17.850000000000001</v>
      </c>
      <c r="C4184" s="17"/>
      <c r="F4184"/>
      <c r="G4184"/>
      <c r="H4184"/>
      <c r="I4184"/>
      <c r="J4184"/>
    </row>
    <row r="4185" spans="1:10" x14ac:dyDescent="0.25">
      <c r="A4185" s="90">
        <v>41227</v>
      </c>
      <c r="B4185" s="17">
        <v>17.829999999999998</v>
      </c>
      <c r="C4185" s="17"/>
      <c r="F4185"/>
      <c r="G4185"/>
      <c r="H4185"/>
      <c r="I4185"/>
      <c r="J4185"/>
    </row>
    <row r="4186" spans="1:10" x14ac:dyDescent="0.25">
      <c r="A4186" s="90">
        <v>41228</v>
      </c>
      <c r="B4186" s="17">
        <v>17.89</v>
      </c>
      <c r="C4186" s="17"/>
      <c r="F4186"/>
      <c r="G4186"/>
      <c r="H4186"/>
      <c r="I4186"/>
      <c r="J4186"/>
    </row>
    <row r="4187" spans="1:10" x14ac:dyDescent="0.25">
      <c r="A4187" s="90">
        <v>41229</v>
      </c>
      <c r="B4187" s="17">
        <v>17.86</v>
      </c>
      <c r="C4187" s="17"/>
      <c r="F4187"/>
      <c r="G4187"/>
      <c r="H4187"/>
      <c r="I4187"/>
      <c r="J4187"/>
    </row>
    <row r="4188" spans="1:10" x14ac:dyDescent="0.25">
      <c r="A4188" s="90">
        <v>41232</v>
      </c>
      <c r="B4188" s="17">
        <v>18.36</v>
      </c>
      <c r="C4188" s="17"/>
      <c r="F4188"/>
      <c r="G4188"/>
      <c r="H4188"/>
      <c r="I4188"/>
      <c r="J4188"/>
    </row>
    <row r="4189" spans="1:10" x14ac:dyDescent="0.25">
      <c r="A4189" s="90">
        <v>41233</v>
      </c>
      <c r="B4189" s="17">
        <v>18.239999999999998</v>
      </c>
      <c r="C4189" s="17"/>
      <c r="F4189"/>
      <c r="G4189"/>
      <c r="H4189"/>
      <c r="I4189"/>
      <c r="J4189"/>
    </row>
    <row r="4190" spans="1:10" x14ac:dyDescent="0.25">
      <c r="A4190" s="90">
        <v>41234</v>
      </c>
      <c r="B4190" s="17">
        <v>18.399999999999999</v>
      </c>
      <c r="C4190" s="17"/>
      <c r="F4190"/>
      <c r="G4190"/>
      <c r="H4190"/>
      <c r="I4190"/>
      <c r="J4190"/>
    </row>
    <row r="4191" spans="1:10" x14ac:dyDescent="0.25">
      <c r="A4191" s="90">
        <v>41236</v>
      </c>
      <c r="B4191" s="17">
        <v>18.57</v>
      </c>
      <c r="C4191" s="17"/>
      <c r="F4191"/>
      <c r="G4191"/>
      <c r="H4191"/>
      <c r="I4191"/>
      <c r="J4191"/>
    </row>
    <row r="4192" spans="1:10" x14ac:dyDescent="0.25">
      <c r="A4192" s="90">
        <v>41239</v>
      </c>
      <c r="B4192" s="17">
        <v>18.760000000000002</v>
      </c>
      <c r="C4192" s="17"/>
      <c r="F4192"/>
      <c r="G4192"/>
      <c r="H4192"/>
      <c r="I4192"/>
      <c r="J4192"/>
    </row>
    <row r="4193" spans="1:10" x14ac:dyDescent="0.25">
      <c r="A4193" s="90">
        <v>41240</v>
      </c>
      <c r="B4193" s="17">
        <v>18.93</v>
      </c>
      <c r="C4193" s="17"/>
      <c r="F4193"/>
      <c r="G4193"/>
      <c r="H4193"/>
      <c r="I4193"/>
      <c r="J4193"/>
    </row>
    <row r="4194" spans="1:10" x14ac:dyDescent="0.25">
      <c r="A4194" s="90">
        <v>41241</v>
      </c>
      <c r="B4194" s="17">
        <v>18.91</v>
      </c>
      <c r="C4194" s="17"/>
      <c r="F4194"/>
      <c r="G4194"/>
      <c r="H4194"/>
      <c r="I4194"/>
      <c r="J4194"/>
    </row>
    <row r="4195" spans="1:10" x14ac:dyDescent="0.25">
      <c r="A4195" s="90">
        <v>41242</v>
      </c>
      <c r="B4195" s="17">
        <v>18.87</v>
      </c>
      <c r="C4195" s="17"/>
      <c r="F4195"/>
      <c r="G4195"/>
      <c r="H4195"/>
      <c r="I4195"/>
      <c r="J4195"/>
    </row>
    <row r="4196" spans="1:10" x14ac:dyDescent="0.25">
      <c r="A4196" s="90">
        <v>41243</v>
      </c>
      <c r="B4196" s="17">
        <v>18.77</v>
      </c>
      <c r="C4196" s="17"/>
      <c r="F4196"/>
      <c r="G4196"/>
      <c r="H4196"/>
      <c r="I4196"/>
      <c r="J4196"/>
    </row>
    <row r="4197" spans="1:10" x14ac:dyDescent="0.25">
      <c r="A4197" s="90">
        <v>41246</v>
      </c>
      <c r="B4197" s="17">
        <v>18.55</v>
      </c>
      <c r="C4197" s="17"/>
      <c r="F4197"/>
      <c r="G4197"/>
      <c r="H4197"/>
      <c r="I4197"/>
      <c r="J4197"/>
    </row>
    <row r="4198" spans="1:10" x14ac:dyDescent="0.25">
      <c r="A4198" s="90">
        <v>41247</v>
      </c>
      <c r="B4198" s="17">
        <v>18.93</v>
      </c>
      <c r="C4198" s="17"/>
      <c r="F4198"/>
      <c r="G4198"/>
      <c r="H4198"/>
      <c r="I4198"/>
      <c r="J4198"/>
    </row>
    <row r="4199" spans="1:10" x14ac:dyDescent="0.25">
      <c r="A4199" s="90">
        <v>41248</v>
      </c>
      <c r="B4199" s="17">
        <v>18.89</v>
      </c>
      <c r="C4199" s="17"/>
      <c r="F4199"/>
      <c r="G4199"/>
      <c r="H4199"/>
      <c r="I4199"/>
      <c r="J4199"/>
    </row>
    <row r="4200" spans="1:10" x14ac:dyDescent="0.25">
      <c r="A4200" s="90">
        <v>41249</v>
      </c>
      <c r="B4200" s="17">
        <v>19.2</v>
      </c>
      <c r="C4200" s="17"/>
      <c r="F4200"/>
      <c r="G4200"/>
      <c r="H4200"/>
      <c r="I4200"/>
      <c r="J4200"/>
    </row>
    <row r="4201" spans="1:10" x14ac:dyDescent="0.25">
      <c r="A4201" s="90">
        <v>41250</v>
      </c>
      <c r="B4201" s="17">
        <v>19.2</v>
      </c>
      <c r="C4201" s="17"/>
      <c r="F4201"/>
      <c r="G4201"/>
      <c r="H4201"/>
      <c r="I4201"/>
      <c r="J4201"/>
    </row>
    <row r="4202" spans="1:10" x14ac:dyDescent="0.25">
      <c r="A4202" s="90">
        <v>41253</v>
      </c>
      <c r="B4202" s="17">
        <v>19.43</v>
      </c>
      <c r="C4202" s="17"/>
      <c r="F4202"/>
      <c r="G4202"/>
      <c r="H4202"/>
      <c r="I4202"/>
      <c r="J4202"/>
    </row>
    <row r="4203" spans="1:10" x14ac:dyDescent="0.25">
      <c r="A4203" s="90">
        <v>41254</v>
      </c>
      <c r="B4203" s="17">
        <v>19.52</v>
      </c>
      <c r="C4203" s="17"/>
      <c r="F4203"/>
      <c r="G4203"/>
      <c r="H4203"/>
      <c r="I4203"/>
      <c r="J4203"/>
    </row>
    <row r="4204" spans="1:10" x14ac:dyDescent="0.25">
      <c r="A4204" s="90">
        <v>41255</v>
      </c>
      <c r="B4204" s="17">
        <v>19.38</v>
      </c>
      <c r="C4204" s="17"/>
      <c r="F4204"/>
      <c r="G4204"/>
      <c r="H4204"/>
      <c r="I4204"/>
      <c r="J4204"/>
    </row>
    <row r="4205" spans="1:10" x14ac:dyDescent="0.25">
      <c r="A4205" s="90">
        <v>41256</v>
      </c>
      <c r="B4205" s="17">
        <v>19.350000000000001</v>
      </c>
      <c r="C4205" s="17"/>
      <c r="F4205"/>
      <c r="G4205"/>
      <c r="H4205"/>
      <c r="I4205"/>
      <c r="J4205"/>
    </row>
    <row r="4206" spans="1:10" x14ac:dyDescent="0.25">
      <c r="A4206" s="90">
        <v>41257</v>
      </c>
      <c r="B4206" s="17">
        <v>19.64</v>
      </c>
      <c r="C4206" s="17"/>
      <c r="F4206"/>
      <c r="G4206"/>
      <c r="H4206"/>
      <c r="I4206"/>
      <c r="J4206"/>
    </row>
    <row r="4207" spans="1:10" x14ac:dyDescent="0.25">
      <c r="A4207" s="90">
        <v>41260</v>
      </c>
      <c r="B4207" s="17">
        <v>19.690000000000001</v>
      </c>
      <c r="C4207" s="17"/>
      <c r="F4207"/>
      <c r="G4207"/>
      <c r="H4207"/>
      <c r="I4207"/>
      <c r="J4207"/>
    </row>
    <row r="4208" spans="1:10" x14ac:dyDescent="0.25">
      <c r="A4208" s="90">
        <v>41261</v>
      </c>
      <c r="B4208" s="17">
        <v>19.62</v>
      </c>
      <c r="C4208" s="17"/>
      <c r="F4208"/>
      <c r="G4208"/>
      <c r="H4208"/>
      <c r="I4208"/>
      <c r="J4208"/>
    </row>
    <row r="4209" spans="1:10" x14ac:dyDescent="0.25">
      <c r="A4209" s="90">
        <v>41262</v>
      </c>
      <c r="B4209" s="17">
        <v>19.600000000000001</v>
      </c>
      <c r="C4209" s="17"/>
      <c r="F4209"/>
      <c r="G4209"/>
      <c r="H4209"/>
      <c r="I4209"/>
      <c r="J4209"/>
    </row>
    <row r="4210" spans="1:10" x14ac:dyDescent="0.25">
      <c r="A4210" s="90">
        <v>41263</v>
      </c>
      <c r="B4210" s="17">
        <v>19.690000000000001</v>
      </c>
      <c r="C4210" s="17"/>
      <c r="F4210"/>
      <c r="G4210"/>
      <c r="H4210"/>
      <c r="I4210"/>
      <c r="J4210"/>
    </row>
    <row r="4211" spans="1:10" x14ac:dyDescent="0.25">
      <c r="A4211" s="90">
        <v>41264</v>
      </c>
      <c r="B4211" s="17">
        <v>19.350000000000001</v>
      </c>
      <c r="C4211" s="17"/>
      <c r="F4211"/>
      <c r="G4211"/>
      <c r="H4211"/>
      <c r="I4211"/>
      <c r="J4211"/>
    </row>
    <row r="4212" spans="1:10" x14ac:dyDescent="0.25">
      <c r="A4212" s="90">
        <v>41267</v>
      </c>
      <c r="B4212" s="17">
        <v>19.649999999999999</v>
      </c>
      <c r="C4212" s="17"/>
      <c r="F4212"/>
      <c r="G4212"/>
      <c r="H4212"/>
      <c r="I4212"/>
      <c r="J4212"/>
    </row>
    <row r="4213" spans="1:10" x14ac:dyDescent="0.25">
      <c r="A4213" s="90">
        <v>41269</v>
      </c>
      <c r="B4213" s="17">
        <v>19.57</v>
      </c>
      <c r="C4213" s="17"/>
      <c r="F4213"/>
      <c r="G4213"/>
      <c r="H4213"/>
      <c r="I4213"/>
      <c r="J4213"/>
    </row>
    <row r="4214" spans="1:10" x14ac:dyDescent="0.25">
      <c r="A4214" s="90">
        <v>41270</v>
      </c>
      <c r="B4214" s="17">
        <v>19.600000000000001</v>
      </c>
      <c r="C4214" s="17"/>
      <c r="F4214"/>
      <c r="G4214"/>
      <c r="H4214"/>
      <c r="I4214"/>
      <c r="J4214"/>
    </row>
    <row r="4215" spans="1:10" x14ac:dyDescent="0.25">
      <c r="A4215" s="90">
        <v>41271</v>
      </c>
      <c r="B4215" s="17">
        <v>19.5</v>
      </c>
      <c r="C4215" s="17"/>
      <c r="F4215"/>
      <c r="G4215"/>
      <c r="H4215"/>
      <c r="I4215"/>
      <c r="J4215"/>
    </row>
    <row r="4216" spans="1:10" x14ac:dyDescent="0.25">
      <c r="A4216" s="90">
        <v>41274</v>
      </c>
      <c r="B4216" s="17">
        <v>19.899999999999999</v>
      </c>
      <c r="C4216" s="17"/>
      <c r="F4216"/>
      <c r="G4216"/>
      <c r="H4216"/>
      <c r="I4216"/>
      <c r="J4216"/>
    </row>
    <row r="4217" spans="1:10" x14ac:dyDescent="0.25">
      <c r="A4217" s="90">
        <v>41276</v>
      </c>
      <c r="B4217" s="17">
        <v>20.079999999999998</v>
      </c>
      <c r="C4217" s="17"/>
      <c r="F4217"/>
      <c r="G4217"/>
      <c r="H4217"/>
      <c r="I4217"/>
      <c r="J4217"/>
    </row>
    <row r="4218" spans="1:10" x14ac:dyDescent="0.25">
      <c r="A4218" s="90">
        <v>41277</v>
      </c>
      <c r="B4218" s="17">
        <v>19.78</v>
      </c>
      <c r="C4218" s="17"/>
      <c r="F4218"/>
      <c r="G4218"/>
      <c r="H4218"/>
      <c r="I4218"/>
      <c r="J4218"/>
    </row>
    <row r="4219" spans="1:10" x14ac:dyDescent="0.25">
      <c r="A4219" s="90">
        <v>41278</v>
      </c>
      <c r="B4219" s="17">
        <v>19.86</v>
      </c>
      <c r="C4219" s="17"/>
      <c r="F4219"/>
      <c r="G4219"/>
      <c r="H4219"/>
      <c r="I4219"/>
      <c r="J4219"/>
    </row>
    <row r="4220" spans="1:10" x14ac:dyDescent="0.25">
      <c r="A4220" s="90">
        <v>41281</v>
      </c>
      <c r="B4220" s="17">
        <v>19.399999999999999</v>
      </c>
      <c r="C4220" s="17"/>
      <c r="F4220"/>
      <c r="G4220"/>
      <c r="H4220"/>
      <c r="I4220"/>
      <c r="J4220"/>
    </row>
    <row r="4221" spans="1:10" x14ac:dyDescent="0.25">
      <c r="A4221" s="90">
        <v>41282</v>
      </c>
      <c r="B4221" s="17">
        <v>19.66</v>
      </c>
      <c r="C4221" s="17"/>
      <c r="F4221"/>
      <c r="G4221"/>
      <c r="H4221"/>
      <c r="I4221"/>
      <c r="J4221"/>
    </row>
    <row r="4222" spans="1:10" x14ac:dyDescent="0.25">
      <c r="A4222" s="90">
        <v>41283</v>
      </c>
      <c r="B4222" s="17">
        <v>19.32</v>
      </c>
      <c r="C4222" s="17"/>
      <c r="F4222"/>
      <c r="G4222"/>
      <c r="H4222"/>
      <c r="I4222"/>
      <c r="J4222"/>
    </row>
    <row r="4223" spans="1:10" x14ac:dyDescent="0.25">
      <c r="A4223" s="90">
        <v>41284</v>
      </c>
      <c r="B4223" s="17">
        <v>18.989999999999998</v>
      </c>
      <c r="C4223" s="17"/>
      <c r="F4223"/>
      <c r="G4223"/>
      <c r="H4223"/>
      <c r="I4223"/>
      <c r="J4223"/>
    </row>
    <row r="4224" spans="1:10" x14ac:dyDescent="0.25">
      <c r="A4224" s="90">
        <v>41285</v>
      </c>
      <c r="B4224" s="17">
        <v>19.29</v>
      </c>
      <c r="C4224" s="17"/>
      <c r="F4224"/>
      <c r="G4224"/>
      <c r="H4224"/>
      <c r="I4224"/>
      <c r="J4224"/>
    </row>
    <row r="4225" spans="1:10" x14ac:dyDescent="0.25">
      <c r="A4225" s="90">
        <v>41288</v>
      </c>
      <c r="B4225" s="17">
        <v>19.43</v>
      </c>
      <c r="C4225" s="17"/>
      <c r="F4225"/>
      <c r="G4225"/>
      <c r="H4225"/>
      <c r="I4225"/>
      <c r="J4225"/>
    </row>
    <row r="4226" spans="1:10" x14ac:dyDescent="0.25">
      <c r="A4226" s="90">
        <v>41289</v>
      </c>
      <c r="B4226" s="17">
        <v>19.52</v>
      </c>
      <c r="C4226" s="17"/>
      <c r="F4226"/>
      <c r="G4226"/>
      <c r="H4226"/>
      <c r="I4226"/>
      <c r="J4226"/>
    </row>
    <row r="4227" spans="1:10" x14ac:dyDescent="0.25">
      <c r="A4227" s="90">
        <v>41290</v>
      </c>
      <c r="B4227" s="17">
        <v>20.07</v>
      </c>
      <c r="C4227" s="17"/>
      <c r="F4227"/>
      <c r="G4227"/>
      <c r="H4227"/>
      <c r="I4227"/>
      <c r="J4227"/>
    </row>
    <row r="4228" spans="1:10" x14ac:dyDescent="0.25">
      <c r="A4228" s="90">
        <v>41291</v>
      </c>
      <c r="B4228" s="17">
        <v>20.13</v>
      </c>
      <c r="C4228" s="17"/>
      <c r="F4228"/>
      <c r="G4228"/>
      <c r="H4228"/>
      <c r="I4228"/>
      <c r="J4228"/>
    </row>
    <row r="4229" spans="1:10" x14ac:dyDescent="0.25">
      <c r="A4229" s="90">
        <v>41292</v>
      </c>
      <c r="B4229" s="17">
        <v>20.02</v>
      </c>
      <c r="C4229" s="17"/>
      <c r="F4229"/>
      <c r="G4229"/>
      <c r="H4229"/>
      <c r="I4229"/>
      <c r="J4229"/>
    </row>
    <row r="4230" spans="1:10" x14ac:dyDescent="0.25">
      <c r="A4230" s="90">
        <v>41296</v>
      </c>
      <c r="B4230" s="17">
        <v>19.899999999999999</v>
      </c>
      <c r="C4230" s="17"/>
      <c r="F4230"/>
      <c r="G4230"/>
      <c r="H4230"/>
      <c r="I4230"/>
      <c r="J4230"/>
    </row>
    <row r="4231" spans="1:10" x14ac:dyDescent="0.25">
      <c r="A4231" s="90">
        <v>41297</v>
      </c>
      <c r="B4231" s="17">
        <v>20.11</v>
      </c>
      <c r="C4231" s="17"/>
      <c r="F4231"/>
      <c r="G4231"/>
      <c r="H4231"/>
      <c r="I4231"/>
      <c r="J4231"/>
    </row>
    <row r="4232" spans="1:10" x14ac:dyDescent="0.25">
      <c r="A4232" s="90">
        <v>41298</v>
      </c>
      <c r="B4232" s="17">
        <v>20.440000000000001</v>
      </c>
      <c r="C4232" s="17"/>
      <c r="F4232"/>
      <c r="G4232"/>
      <c r="H4232"/>
      <c r="I4232"/>
      <c r="J4232"/>
    </row>
    <row r="4233" spans="1:10" x14ac:dyDescent="0.25">
      <c r="A4233" s="90">
        <v>41299</v>
      </c>
      <c r="B4233" s="17">
        <v>20.37</v>
      </c>
      <c r="C4233" s="17"/>
      <c r="F4233"/>
      <c r="G4233"/>
      <c r="H4233"/>
      <c r="I4233"/>
      <c r="J4233"/>
    </row>
    <row r="4234" spans="1:10" x14ac:dyDescent="0.25">
      <c r="A4234" s="90">
        <v>41302</v>
      </c>
      <c r="B4234" s="17">
        <v>20.309999999999999</v>
      </c>
      <c r="C4234" s="17"/>
      <c r="F4234"/>
      <c r="G4234"/>
      <c r="H4234"/>
      <c r="I4234"/>
      <c r="J4234"/>
    </row>
    <row r="4235" spans="1:10" x14ac:dyDescent="0.25">
      <c r="A4235" s="90">
        <v>41303</v>
      </c>
      <c r="B4235" s="17">
        <v>19.7</v>
      </c>
      <c r="C4235" s="17"/>
      <c r="F4235"/>
      <c r="G4235"/>
      <c r="H4235"/>
      <c r="I4235"/>
      <c r="J4235"/>
    </row>
    <row r="4236" spans="1:10" x14ac:dyDescent="0.25">
      <c r="A4236" s="90">
        <v>41304</v>
      </c>
      <c r="B4236" s="17">
        <v>20.12</v>
      </c>
      <c r="C4236" s="17"/>
      <c r="F4236"/>
      <c r="G4236"/>
      <c r="H4236"/>
      <c r="I4236"/>
      <c r="J4236"/>
    </row>
    <row r="4237" spans="1:10" x14ac:dyDescent="0.25">
      <c r="A4237" s="90">
        <v>41305</v>
      </c>
      <c r="B4237" s="17">
        <v>19.63</v>
      </c>
      <c r="C4237" s="17"/>
      <c r="F4237"/>
      <c r="G4237"/>
      <c r="H4237"/>
      <c r="I4237"/>
      <c r="J4237"/>
    </row>
    <row r="4238" spans="1:10" x14ac:dyDescent="0.25">
      <c r="A4238" s="90">
        <v>41306</v>
      </c>
      <c r="B4238" s="17">
        <v>19.760000000000002</v>
      </c>
      <c r="C4238" s="17"/>
      <c r="F4238"/>
      <c r="G4238"/>
      <c r="H4238"/>
      <c r="I4238"/>
      <c r="J4238"/>
    </row>
    <row r="4239" spans="1:10" x14ac:dyDescent="0.25">
      <c r="A4239" s="90">
        <v>41309</v>
      </c>
      <c r="B4239" s="17">
        <v>19.34</v>
      </c>
      <c r="C4239" s="17"/>
      <c r="F4239"/>
      <c r="G4239"/>
      <c r="H4239"/>
      <c r="I4239"/>
      <c r="J4239"/>
    </row>
    <row r="4240" spans="1:10" x14ac:dyDescent="0.25">
      <c r="A4240" s="90">
        <v>41310</v>
      </c>
      <c r="B4240" s="17">
        <v>19.66</v>
      </c>
      <c r="C4240" s="17"/>
      <c r="F4240"/>
      <c r="G4240"/>
      <c r="H4240"/>
      <c r="I4240"/>
      <c r="J4240"/>
    </row>
    <row r="4241" spans="1:10" x14ac:dyDescent="0.25">
      <c r="A4241" s="90">
        <v>41311</v>
      </c>
      <c r="B4241" s="17">
        <v>19.850000000000001</v>
      </c>
      <c r="C4241" s="17"/>
      <c r="F4241"/>
      <c r="G4241"/>
      <c r="H4241"/>
      <c r="I4241"/>
      <c r="J4241"/>
    </row>
    <row r="4242" spans="1:10" x14ac:dyDescent="0.25">
      <c r="A4242" s="90">
        <v>41312</v>
      </c>
      <c r="B4242" s="17">
        <v>20.32</v>
      </c>
      <c r="C4242" s="17"/>
      <c r="F4242"/>
      <c r="G4242"/>
      <c r="H4242"/>
      <c r="I4242"/>
      <c r="J4242"/>
    </row>
    <row r="4243" spans="1:10" x14ac:dyDescent="0.25">
      <c r="A4243" s="90">
        <v>41313</v>
      </c>
      <c r="B4243" s="17">
        <v>20.5</v>
      </c>
      <c r="C4243" s="17"/>
      <c r="F4243"/>
      <c r="G4243"/>
      <c r="H4243"/>
      <c r="I4243"/>
      <c r="J4243"/>
    </row>
    <row r="4244" spans="1:10" x14ac:dyDescent="0.25">
      <c r="A4244" s="90">
        <v>41316</v>
      </c>
      <c r="B4244" s="17">
        <v>20.9</v>
      </c>
      <c r="C4244" s="17"/>
      <c r="F4244"/>
      <c r="G4244"/>
      <c r="H4244"/>
      <c r="I4244"/>
      <c r="J4244"/>
    </row>
    <row r="4245" spans="1:10" x14ac:dyDescent="0.25">
      <c r="A4245" s="90">
        <v>41317</v>
      </c>
      <c r="B4245" s="17">
        <v>21.21</v>
      </c>
      <c r="C4245" s="17"/>
      <c r="F4245"/>
      <c r="G4245"/>
      <c r="H4245"/>
      <c r="I4245"/>
      <c r="J4245"/>
    </row>
    <row r="4246" spans="1:10" x14ac:dyDescent="0.25">
      <c r="A4246" s="90">
        <v>41318</v>
      </c>
      <c r="B4246" s="17">
        <v>21.15</v>
      </c>
      <c r="C4246" s="17"/>
      <c r="F4246"/>
      <c r="G4246"/>
      <c r="H4246"/>
      <c r="I4246"/>
      <c r="J4246"/>
    </row>
    <row r="4247" spans="1:10" x14ac:dyDescent="0.25">
      <c r="A4247" s="90">
        <v>41319</v>
      </c>
      <c r="B4247" s="17">
        <v>21.18</v>
      </c>
      <c r="C4247" s="17"/>
      <c r="F4247"/>
      <c r="G4247"/>
      <c r="H4247"/>
      <c r="I4247"/>
      <c r="J4247"/>
    </row>
    <row r="4248" spans="1:10" x14ac:dyDescent="0.25">
      <c r="A4248" s="90">
        <v>41320</v>
      </c>
      <c r="B4248" s="17">
        <v>21.02</v>
      </c>
      <c r="C4248" s="17"/>
      <c r="F4248"/>
      <c r="G4248"/>
      <c r="H4248"/>
      <c r="I4248"/>
      <c r="J4248"/>
    </row>
    <row r="4249" spans="1:10" x14ac:dyDescent="0.25">
      <c r="A4249" s="90">
        <v>41324</v>
      </c>
      <c r="B4249" s="17">
        <v>21.29</v>
      </c>
      <c r="C4249" s="17"/>
      <c r="F4249"/>
      <c r="G4249"/>
      <c r="H4249"/>
      <c r="I4249"/>
      <c r="J4249"/>
    </row>
    <row r="4250" spans="1:10" x14ac:dyDescent="0.25">
      <c r="A4250" s="90">
        <v>41325</v>
      </c>
      <c r="B4250" s="17">
        <v>20.92</v>
      </c>
      <c r="C4250" s="17"/>
      <c r="F4250"/>
      <c r="G4250"/>
      <c r="H4250"/>
      <c r="I4250"/>
      <c r="J4250"/>
    </row>
    <row r="4251" spans="1:10" x14ac:dyDescent="0.25">
      <c r="A4251" s="90">
        <v>41326</v>
      </c>
      <c r="B4251" s="17">
        <v>20.83</v>
      </c>
      <c r="C4251" s="17"/>
      <c r="F4251"/>
      <c r="G4251"/>
      <c r="H4251"/>
      <c r="I4251"/>
      <c r="J4251"/>
    </row>
    <row r="4252" spans="1:10" x14ac:dyDescent="0.25">
      <c r="A4252" s="90">
        <v>41327</v>
      </c>
      <c r="B4252" s="17">
        <v>21.22</v>
      </c>
      <c r="C4252" s="17"/>
      <c r="F4252"/>
      <c r="G4252"/>
      <c r="H4252"/>
      <c r="I4252"/>
      <c r="J4252"/>
    </row>
    <row r="4253" spans="1:10" x14ac:dyDescent="0.25">
      <c r="A4253" s="90">
        <v>41330</v>
      </c>
      <c r="B4253" s="17">
        <v>20.73</v>
      </c>
      <c r="C4253" s="17"/>
      <c r="F4253"/>
      <c r="G4253"/>
      <c r="H4253"/>
      <c r="I4253"/>
      <c r="J4253"/>
    </row>
    <row r="4254" spans="1:10" x14ac:dyDescent="0.25">
      <c r="A4254" s="90">
        <v>41331</v>
      </c>
      <c r="B4254" s="17">
        <v>20.76</v>
      </c>
      <c r="C4254" s="17"/>
      <c r="F4254"/>
      <c r="G4254"/>
      <c r="H4254"/>
      <c r="I4254"/>
      <c r="J4254"/>
    </row>
    <row r="4255" spans="1:10" x14ac:dyDescent="0.25">
      <c r="A4255" s="90">
        <v>41332</v>
      </c>
      <c r="B4255" s="17">
        <v>21.16</v>
      </c>
      <c r="C4255" s="17"/>
      <c r="F4255"/>
      <c r="G4255"/>
      <c r="H4255"/>
      <c r="I4255"/>
      <c r="J4255"/>
    </row>
    <row r="4256" spans="1:10" x14ac:dyDescent="0.25">
      <c r="A4256" s="90">
        <v>41333</v>
      </c>
      <c r="B4256" s="17">
        <v>21.31</v>
      </c>
      <c r="C4256" s="17"/>
      <c r="F4256"/>
      <c r="G4256"/>
      <c r="H4256"/>
      <c r="I4256"/>
      <c r="J4256"/>
    </row>
    <row r="4257" spans="1:10" x14ac:dyDescent="0.25">
      <c r="A4257" s="90">
        <v>41334</v>
      </c>
      <c r="B4257" s="17">
        <v>21.94</v>
      </c>
      <c r="C4257" s="17"/>
      <c r="F4257"/>
      <c r="G4257"/>
      <c r="H4257"/>
      <c r="I4257"/>
      <c r="J4257"/>
    </row>
    <row r="4258" spans="1:10" x14ac:dyDescent="0.25">
      <c r="A4258" s="90">
        <v>41337</v>
      </c>
      <c r="B4258" s="17">
        <v>22.7</v>
      </c>
      <c r="C4258" s="17"/>
      <c r="F4258"/>
      <c r="G4258"/>
      <c r="H4258"/>
      <c r="I4258"/>
      <c r="J4258"/>
    </row>
    <row r="4259" spans="1:10" x14ac:dyDescent="0.25">
      <c r="A4259" s="90">
        <v>41338</v>
      </c>
      <c r="B4259" s="17">
        <v>22.95</v>
      </c>
      <c r="C4259" s="17"/>
      <c r="F4259"/>
      <c r="G4259"/>
      <c r="H4259"/>
      <c r="I4259"/>
      <c r="J4259"/>
    </row>
    <row r="4260" spans="1:10" x14ac:dyDescent="0.25">
      <c r="A4260" s="90">
        <v>41339</v>
      </c>
      <c r="B4260" s="17">
        <v>22.8</v>
      </c>
      <c r="C4260" s="17"/>
      <c r="F4260"/>
      <c r="G4260"/>
      <c r="H4260"/>
      <c r="I4260"/>
      <c r="J4260"/>
    </row>
    <row r="4261" spans="1:10" x14ac:dyDescent="0.25">
      <c r="A4261" s="90">
        <v>41340</v>
      </c>
      <c r="B4261" s="17">
        <v>22.7</v>
      </c>
      <c r="C4261" s="17"/>
      <c r="F4261"/>
      <c r="G4261"/>
      <c r="H4261"/>
      <c r="I4261"/>
      <c r="J4261"/>
    </row>
    <row r="4262" spans="1:10" x14ac:dyDescent="0.25">
      <c r="A4262" s="90">
        <v>41341</v>
      </c>
      <c r="B4262" s="17">
        <v>22.9</v>
      </c>
      <c r="C4262" s="17"/>
      <c r="F4262"/>
      <c r="G4262"/>
      <c r="H4262"/>
      <c r="I4262"/>
      <c r="J4262"/>
    </row>
    <row r="4263" spans="1:10" x14ac:dyDescent="0.25">
      <c r="A4263" s="90">
        <v>41344</v>
      </c>
      <c r="B4263" s="17">
        <v>22.6</v>
      </c>
      <c r="C4263" s="17"/>
      <c r="F4263"/>
      <c r="G4263"/>
      <c r="H4263"/>
      <c r="I4263"/>
      <c r="J4263"/>
    </row>
    <row r="4264" spans="1:10" x14ac:dyDescent="0.25">
      <c r="A4264" s="90">
        <v>41345</v>
      </c>
      <c r="B4264" s="17">
        <v>22.4</v>
      </c>
      <c r="C4264" s="17"/>
      <c r="F4264"/>
      <c r="G4264"/>
      <c r="H4264"/>
      <c r="I4264"/>
      <c r="J4264"/>
    </row>
    <row r="4265" spans="1:10" x14ac:dyDescent="0.25">
      <c r="A4265" s="90">
        <v>41346</v>
      </c>
      <c r="B4265" s="17">
        <v>22.34</v>
      </c>
      <c r="C4265" s="17"/>
      <c r="F4265"/>
      <c r="G4265"/>
      <c r="H4265"/>
      <c r="I4265"/>
      <c r="J4265"/>
    </row>
    <row r="4266" spans="1:10" x14ac:dyDescent="0.25">
      <c r="A4266" s="90">
        <v>41347</v>
      </c>
      <c r="B4266" s="17">
        <v>22.43</v>
      </c>
      <c r="C4266" s="17"/>
      <c r="F4266"/>
      <c r="G4266"/>
      <c r="H4266"/>
      <c r="I4266"/>
      <c r="J4266"/>
    </row>
    <row r="4267" spans="1:10" x14ac:dyDescent="0.25">
      <c r="A4267" s="90">
        <v>41348</v>
      </c>
      <c r="B4267" s="17">
        <v>22.07</v>
      </c>
      <c r="C4267" s="17"/>
      <c r="F4267"/>
      <c r="G4267"/>
      <c r="H4267"/>
      <c r="I4267"/>
      <c r="J4267"/>
    </row>
    <row r="4268" spans="1:10" x14ac:dyDescent="0.25">
      <c r="A4268" s="90">
        <v>41351</v>
      </c>
      <c r="B4268" s="17">
        <v>22.01</v>
      </c>
      <c r="C4268" s="17"/>
      <c r="F4268"/>
      <c r="G4268"/>
      <c r="H4268"/>
      <c r="I4268"/>
      <c r="J4268"/>
    </row>
    <row r="4269" spans="1:10" x14ac:dyDescent="0.25">
      <c r="A4269" s="90">
        <v>41352</v>
      </c>
      <c r="B4269" s="17">
        <v>22.17</v>
      </c>
      <c r="C4269" s="17"/>
      <c r="F4269"/>
      <c r="G4269"/>
      <c r="H4269"/>
      <c r="I4269"/>
      <c r="J4269"/>
    </row>
    <row r="4270" spans="1:10" x14ac:dyDescent="0.25">
      <c r="A4270" s="90">
        <v>41353</v>
      </c>
      <c r="B4270" s="17">
        <v>22.1</v>
      </c>
      <c r="C4270" s="17"/>
      <c r="F4270"/>
      <c r="G4270"/>
      <c r="H4270"/>
      <c r="I4270"/>
      <c r="J4270"/>
    </row>
    <row r="4271" spans="1:10" x14ac:dyDescent="0.25">
      <c r="A4271" s="90">
        <v>41354</v>
      </c>
      <c r="B4271" s="17">
        <v>22.86</v>
      </c>
      <c r="C4271" s="17"/>
      <c r="F4271"/>
      <c r="G4271"/>
      <c r="H4271"/>
      <c r="I4271"/>
      <c r="J4271"/>
    </row>
    <row r="4272" spans="1:10" x14ac:dyDescent="0.25">
      <c r="A4272" s="90">
        <v>41355</v>
      </c>
      <c r="B4272" s="17">
        <v>23.26</v>
      </c>
      <c r="C4272" s="17"/>
      <c r="F4272"/>
      <c r="G4272"/>
      <c r="H4272"/>
      <c r="I4272"/>
      <c r="J4272"/>
    </row>
    <row r="4273" spans="1:10" x14ac:dyDescent="0.25">
      <c r="A4273" s="90">
        <v>41358</v>
      </c>
      <c r="B4273" s="17">
        <v>23.38</v>
      </c>
      <c r="C4273" s="17"/>
      <c r="F4273"/>
      <c r="G4273"/>
      <c r="H4273"/>
      <c r="I4273"/>
      <c r="J4273"/>
    </row>
    <row r="4274" spans="1:10" x14ac:dyDescent="0.25">
      <c r="A4274" s="90">
        <v>41359</v>
      </c>
      <c r="B4274" s="17">
        <v>23.59</v>
      </c>
      <c r="C4274" s="17"/>
      <c r="F4274"/>
      <c r="G4274"/>
      <c r="H4274"/>
      <c r="I4274"/>
      <c r="J4274"/>
    </row>
    <row r="4275" spans="1:10" x14ac:dyDescent="0.25">
      <c r="A4275" s="90">
        <v>41360</v>
      </c>
      <c r="B4275" s="17">
        <v>23.59</v>
      </c>
      <c r="C4275" s="17"/>
      <c r="F4275"/>
      <c r="G4275"/>
      <c r="H4275"/>
      <c r="I4275"/>
      <c r="J4275"/>
    </row>
    <row r="4276" spans="1:10" x14ac:dyDescent="0.25">
      <c r="A4276" s="90">
        <v>41361</v>
      </c>
      <c r="B4276" s="17">
        <v>23.53</v>
      </c>
      <c r="C4276" s="17"/>
      <c r="F4276"/>
      <c r="G4276"/>
      <c r="H4276"/>
      <c r="I4276"/>
      <c r="J4276"/>
    </row>
    <row r="4277" spans="1:10" x14ac:dyDescent="0.25">
      <c r="A4277" s="90">
        <v>41365</v>
      </c>
      <c r="B4277" s="17">
        <v>23.5</v>
      </c>
      <c r="C4277" s="17"/>
      <c r="F4277"/>
      <c r="G4277"/>
      <c r="H4277"/>
      <c r="I4277"/>
      <c r="J4277"/>
    </row>
    <row r="4278" spans="1:10" x14ac:dyDescent="0.25">
      <c r="A4278" s="90">
        <v>41366</v>
      </c>
      <c r="B4278" s="17">
        <v>23.78</v>
      </c>
      <c r="C4278" s="17"/>
      <c r="F4278"/>
      <c r="G4278"/>
      <c r="H4278"/>
      <c r="I4278"/>
      <c r="J4278"/>
    </row>
    <row r="4279" spans="1:10" x14ac:dyDescent="0.25">
      <c r="A4279" s="90">
        <v>41367</v>
      </c>
      <c r="B4279" s="17">
        <v>23.38</v>
      </c>
      <c r="C4279" s="17"/>
      <c r="F4279"/>
      <c r="G4279"/>
      <c r="H4279"/>
      <c r="I4279"/>
      <c r="J4279"/>
    </row>
    <row r="4280" spans="1:10" x14ac:dyDescent="0.25">
      <c r="A4280" s="90">
        <v>41368</v>
      </c>
      <c r="B4280" s="17">
        <v>23.52</v>
      </c>
      <c r="C4280" s="17"/>
      <c r="F4280"/>
      <c r="G4280"/>
      <c r="H4280"/>
      <c r="I4280"/>
      <c r="J4280"/>
    </row>
    <row r="4281" spans="1:10" x14ac:dyDescent="0.25">
      <c r="A4281" s="90">
        <v>41369</v>
      </c>
      <c r="B4281" s="17">
        <v>23.3</v>
      </c>
      <c r="C4281" s="17"/>
      <c r="F4281"/>
      <c r="G4281"/>
      <c r="H4281"/>
      <c r="I4281"/>
      <c r="J4281"/>
    </row>
    <row r="4282" spans="1:10" x14ac:dyDescent="0.25">
      <c r="A4282" s="90">
        <v>41372</v>
      </c>
      <c r="B4282" s="17">
        <v>23.48</v>
      </c>
      <c r="C4282" s="17"/>
      <c r="F4282"/>
      <c r="G4282"/>
      <c r="H4282"/>
      <c r="I4282"/>
      <c r="J4282"/>
    </row>
    <row r="4283" spans="1:10" x14ac:dyDescent="0.25">
      <c r="A4283" s="90">
        <v>41373</v>
      </c>
      <c r="B4283" s="17">
        <v>23.83</v>
      </c>
      <c r="C4283" s="17"/>
      <c r="F4283"/>
      <c r="G4283"/>
      <c r="H4283"/>
      <c r="I4283"/>
      <c r="J4283"/>
    </row>
    <row r="4284" spans="1:10" x14ac:dyDescent="0.25">
      <c r="A4284" s="90">
        <v>41374</v>
      </c>
      <c r="B4284" s="17">
        <v>24.2</v>
      </c>
      <c r="C4284" s="17"/>
      <c r="F4284"/>
      <c r="G4284"/>
      <c r="H4284"/>
      <c r="I4284"/>
      <c r="J4284"/>
    </row>
    <row r="4285" spans="1:10" x14ac:dyDescent="0.25">
      <c r="A4285" s="90">
        <v>41375</v>
      </c>
      <c r="B4285" s="17">
        <v>24.49</v>
      </c>
      <c r="C4285" s="17"/>
      <c r="F4285"/>
      <c r="G4285"/>
      <c r="H4285"/>
      <c r="I4285"/>
      <c r="J4285"/>
    </row>
    <row r="4286" spans="1:10" x14ac:dyDescent="0.25">
      <c r="A4286" s="90">
        <v>41376</v>
      </c>
      <c r="B4286" s="17">
        <v>24.69</v>
      </c>
      <c r="C4286" s="17"/>
      <c r="F4286"/>
      <c r="G4286"/>
      <c r="H4286"/>
      <c r="I4286"/>
      <c r="J4286"/>
    </row>
    <row r="4287" spans="1:10" x14ac:dyDescent="0.25">
      <c r="A4287" s="90">
        <v>41379</v>
      </c>
      <c r="B4287" s="17">
        <v>23.98</v>
      </c>
      <c r="C4287" s="17"/>
      <c r="F4287"/>
      <c r="G4287"/>
      <c r="H4287"/>
      <c r="I4287"/>
      <c r="J4287"/>
    </row>
    <row r="4288" spans="1:10" x14ac:dyDescent="0.25">
      <c r="A4288" s="90">
        <v>41380</v>
      </c>
      <c r="B4288" s="17">
        <v>23.79</v>
      </c>
      <c r="C4288" s="17"/>
      <c r="F4288"/>
      <c r="G4288"/>
      <c r="H4288"/>
      <c r="I4288"/>
      <c r="J4288"/>
    </row>
    <row r="4289" spans="1:10" x14ac:dyDescent="0.25">
      <c r="A4289" s="90">
        <v>41381</v>
      </c>
      <c r="B4289" s="17">
        <v>23.7</v>
      </c>
      <c r="C4289" s="17"/>
      <c r="F4289"/>
      <c r="G4289"/>
      <c r="H4289"/>
      <c r="I4289"/>
      <c r="J4289"/>
    </row>
    <row r="4290" spans="1:10" x14ac:dyDescent="0.25">
      <c r="A4290" s="90">
        <v>41382</v>
      </c>
      <c r="B4290" s="17">
        <v>23.26</v>
      </c>
      <c r="C4290" s="17"/>
      <c r="F4290"/>
      <c r="G4290"/>
      <c r="H4290"/>
      <c r="I4290"/>
      <c r="J4290"/>
    </row>
    <row r="4291" spans="1:10" x14ac:dyDescent="0.25">
      <c r="A4291" s="90">
        <v>41383</v>
      </c>
      <c r="B4291" s="17">
        <v>23.47</v>
      </c>
      <c r="C4291" s="17"/>
      <c r="F4291"/>
      <c r="G4291"/>
      <c r="H4291"/>
      <c r="I4291"/>
      <c r="J4291"/>
    </row>
    <row r="4292" spans="1:10" x14ac:dyDescent="0.25">
      <c r="A4292" s="90">
        <v>41386</v>
      </c>
      <c r="B4292" s="17">
        <v>23.95</v>
      </c>
      <c r="C4292" s="17"/>
      <c r="F4292"/>
      <c r="G4292"/>
      <c r="H4292"/>
      <c r="I4292"/>
      <c r="J4292"/>
    </row>
    <row r="4293" spans="1:10" x14ac:dyDescent="0.25">
      <c r="A4293" s="90">
        <v>41387</v>
      </c>
      <c r="B4293" s="17">
        <v>24.38</v>
      </c>
      <c r="C4293" s="17"/>
      <c r="F4293"/>
      <c r="G4293"/>
      <c r="H4293"/>
      <c r="I4293"/>
      <c r="J4293"/>
    </row>
    <row r="4294" spans="1:10" x14ac:dyDescent="0.25">
      <c r="A4294" s="90">
        <v>41388</v>
      </c>
      <c r="B4294" s="17">
        <v>24.75</v>
      </c>
      <c r="C4294" s="17"/>
      <c r="F4294"/>
      <c r="G4294"/>
      <c r="H4294"/>
      <c r="I4294"/>
      <c r="J4294"/>
    </row>
    <row r="4295" spans="1:10" x14ac:dyDescent="0.25">
      <c r="A4295" s="90">
        <v>41389</v>
      </c>
      <c r="B4295" s="17">
        <v>25.2</v>
      </c>
      <c r="C4295" s="17"/>
      <c r="F4295"/>
      <c r="G4295"/>
      <c r="H4295"/>
      <c r="I4295"/>
      <c r="J4295"/>
    </row>
    <row r="4296" spans="1:10" x14ac:dyDescent="0.25">
      <c r="A4296" s="90">
        <v>41390</v>
      </c>
      <c r="B4296" s="17">
        <v>24.68</v>
      </c>
      <c r="C4296" s="17"/>
      <c r="F4296"/>
      <c r="G4296"/>
      <c r="H4296"/>
      <c r="I4296"/>
      <c r="J4296"/>
    </row>
    <row r="4297" spans="1:10" x14ac:dyDescent="0.25">
      <c r="A4297" s="90">
        <v>41393</v>
      </c>
      <c r="B4297" s="17">
        <v>24.43</v>
      </c>
      <c r="C4297" s="17"/>
      <c r="F4297"/>
      <c r="G4297"/>
      <c r="H4297"/>
      <c r="I4297"/>
      <c r="J4297"/>
    </row>
    <row r="4298" spans="1:10" x14ac:dyDescent="0.25">
      <c r="A4298" s="90">
        <v>41394</v>
      </c>
      <c r="B4298" s="17">
        <v>24.73</v>
      </c>
      <c r="C4298" s="17"/>
      <c r="F4298"/>
      <c r="G4298"/>
      <c r="H4298"/>
      <c r="I4298"/>
      <c r="J4298"/>
    </row>
    <row r="4299" spans="1:10" x14ac:dyDescent="0.25">
      <c r="A4299" s="90">
        <v>41395</v>
      </c>
      <c r="B4299" s="17">
        <v>24.3</v>
      </c>
      <c r="C4299" s="17"/>
      <c r="F4299"/>
      <c r="G4299"/>
      <c r="H4299"/>
      <c r="I4299"/>
      <c r="J4299"/>
    </row>
    <row r="4300" spans="1:10" x14ac:dyDescent="0.25">
      <c r="A4300" s="90">
        <v>41396</v>
      </c>
      <c r="B4300" s="17">
        <v>24.97</v>
      </c>
      <c r="C4300" s="17"/>
      <c r="F4300"/>
      <c r="G4300"/>
      <c r="H4300"/>
      <c r="I4300"/>
      <c r="J4300"/>
    </row>
    <row r="4301" spans="1:10" x14ac:dyDescent="0.25">
      <c r="A4301" s="90">
        <v>41397</v>
      </c>
      <c r="B4301" s="17">
        <v>25.07</v>
      </c>
      <c r="C4301" s="17"/>
      <c r="F4301"/>
      <c r="G4301"/>
      <c r="H4301"/>
      <c r="I4301"/>
      <c r="J4301"/>
    </row>
    <row r="4302" spans="1:10" x14ac:dyDescent="0.25">
      <c r="A4302" s="90">
        <v>41400</v>
      </c>
      <c r="B4302" s="17">
        <v>25.17</v>
      </c>
      <c r="C4302" s="17"/>
      <c r="F4302"/>
      <c r="G4302"/>
      <c r="H4302"/>
      <c r="I4302"/>
      <c r="J4302"/>
    </row>
    <row r="4303" spans="1:10" x14ac:dyDescent="0.25">
      <c r="A4303" s="90">
        <v>41401</v>
      </c>
      <c r="B4303" s="17">
        <v>26.07</v>
      </c>
      <c r="C4303" s="17"/>
      <c r="F4303"/>
      <c r="G4303"/>
      <c r="H4303"/>
      <c r="I4303"/>
      <c r="J4303"/>
    </row>
    <row r="4304" spans="1:10" x14ac:dyDescent="0.25">
      <c r="A4304" s="90">
        <v>41402</v>
      </c>
      <c r="B4304" s="17">
        <v>26.41</v>
      </c>
      <c r="C4304" s="17"/>
      <c r="F4304"/>
      <c r="G4304"/>
      <c r="H4304"/>
      <c r="I4304"/>
      <c r="J4304"/>
    </row>
    <row r="4305" spans="1:10" x14ac:dyDescent="0.25">
      <c r="A4305" s="90">
        <v>41403</v>
      </c>
      <c r="B4305" s="17">
        <v>26.24</v>
      </c>
      <c r="C4305" s="17"/>
      <c r="F4305"/>
      <c r="G4305"/>
      <c r="H4305"/>
      <c r="I4305"/>
      <c r="J4305"/>
    </row>
    <row r="4306" spans="1:10" x14ac:dyDescent="0.25">
      <c r="A4306" s="90">
        <v>41404</v>
      </c>
      <c r="B4306" s="17">
        <v>26.83</v>
      </c>
      <c r="C4306" s="17"/>
      <c r="F4306"/>
      <c r="G4306"/>
      <c r="H4306"/>
      <c r="I4306"/>
      <c r="J4306"/>
    </row>
    <row r="4307" spans="1:10" x14ac:dyDescent="0.25">
      <c r="A4307" s="90">
        <v>41407</v>
      </c>
      <c r="B4307" s="17">
        <v>26.39</v>
      </c>
      <c r="C4307" s="17"/>
      <c r="F4307"/>
      <c r="G4307"/>
      <c r="H4307"/>
      <c r="I4307"/>
      <c r="J4307"/>
    </row>
    <row r="4308" spans="1:10" x14ac:dyDescent="0.25">
      <c r="A4308" s="90">
        <v>41408</v>
      </c>
      <c r="B4308" s="17">
        <v>26.64</v>
      </c>
      <c r="C4308" s="17"/>
      <c r="F4308"/>
      <c r="G4308"/>
      <c r="H4308"/>
      <c r="I4308"/>
      <c r="J4308"/>
    </row>
    <row r="4309" spans="1:10" x14ac:dyDescent="0.25">
      <c r="A4309" s="90">
        <v>41409</v>
      </c>
      <c r="B4309" s="17">
        <v>27.34</v>
      </c>
      <c r="C4309" s="17"/>
      <c r="F4309"/>
      <c r="G4309"/>
      <c r="H4309"/>
      <c r="I4309"/>
      <c r="J4309"/>
    </row>
    <row r="4310" spans="1:10" x14ac:dyDescent="0.25">
      <c r="A4310" s="90">
        <v>41410</v>
      </c>
      <c r="B4310" s="17">
        <v>26.58</v>
      </c>
      <c r="C4310" s="17"/>
      <c r="F4310"/>
      <c r="G4310"/>
      <c r="H4310"/>
      <c r="I4310"/>
      <c r="J4310"/>
    </row>
    <row r="4311" spans="1:10" x14ac:dyDescent="0.25">
      <c r="A4311" s="90">
        <v>41411</v>
      </c>
      <c r="B4311" s="17">
        <v>26.52</v>
      </c>
      <c r="C4311" s="17"/>
      <c r="F4311"/>
      <c r="G4311"/>
      <c r="H4311"/>
      <c r="I4311"/>
      <c r="J4311"/>
    </row>
    <row r="4312" spans="1:10" x14ac:dyDescent="0.25">
      <c r="A4312" s="90">
        <v>41414</v>
      </c>
      <c r="B4312" s="17">
        <v>26.58</v>
      </c>
      <c r="C4312" s="17"/>
      <c r="F4312"/>
      <c r="G4312"/>
      <c r="H4312"/>
      <c r="I4312"/>
      <c r="J4312"/>
    </row>
    <row r="4313" spans="1:10" x14ac:dyDescent="0.25">
      <c r="A4313" s="90">
        <v>41415</v>
      </c>
      <c r="B4313" s="17">
        <v>27</v>
      </c>
      <c r="C4313" s="17"/>
      <c r="F4313"/>
      <c r="G4313"/>
      <c r="H4313"/>
      <c r="I4313"/>
      <c r="J4313"/>
    </row>
    <row r="4314" spans="1:10" x14ac:dyDescent="0.25">
      <c r="A4314" s="90">
        <v>41416</v>
      </c>
      <c r="B4314" s="17">
        <v>26.54</v>
      </c>
      <c r="C4314" s="17"/>
      <c r="F4314"/>
      <c r="G4314"/>
      <c r="H4314"/>
      <c r="I4314"/>
      <c r="J4314"/>
    </row>
    <row r="4315" spans="1:10" x14ac:dyDescent="0.25">
      <c r="A4315" s="90">
        <v>41417</v>
      </c>
      <c r="B4315" s="17">
        <v>26.02</v>
      </c>
      <c r="C4315" s="17"/>
      <c r="F4315"/>
      <c r="G4315"/>
      <c r="H4315"/>
      <c r="I4315"/>
      <c r="J4315"/>
    </row>
    <row r="4316" spans="1:10" x14ac:dyDescent="0.25">
      <c r="A4316" s="90">
        <v>41418</v>
      </c>
      <c r="B4316" s="17">
        <v>26.33</v>
      </c>
      <c r="C4316" s="17"/>
      <c r="F4316"/>
      <c r="G4316"/>
      <c r="H4316"/>
      <c r="I4316"/>
      <c r="J4316"/>
    </row>
    <row r="4317" spans="1:10" x14ac:dyDescent="0.25">
      <c r="A4317" s="90">
        <v>41422</v>
      </c>
      <c r="B4317" s="17">
        <v>26.07</v>
      </c>
      <c r="C4317" s="17"/>
      <c r="F4317"/>
      <c r="G4317"/>
      <c r="H4317"/>
      <c r="I4317"/>
      <c r="J4317"/>
    </row>
    <row r="4318" spans="1:10" x14ac:dyDescent="0.25">
      <c r="A4318" s="90">
        <v>41423</v>
      </c>
      <c r="B4318" s="17">
        <v>25.81</v>
      </c>
      <c r="C4318" s="17"/>
      <c r="F4318"/>
      <c r="G4318"/>
      <c r="H4318"/>
      <c r="I4318"/>
      <c r="J4318"/>
    </row>
    <row r="4319" spans="1:10" x14ac:dyDescent="0.25">
      <c r="A4319" s="90">
        <v>41424</v>
      </c>
      <c r="B4319" s="17">
        <v>26.33</v>
      </c>
      <c r="C4319" s="17"/>
      <c r="F4319"/>
      <c r="G4319"/>
      <c r="H4319"/>
      <c r="I4319"/>
      <c r="J4319"/>
    </row>
    <row r="4320" spans="1:10" x14ac:dyDescent="0.25">
      <c r="A4320" s="90">
        <v>41425</v>
      </c>
      <c r="B4320" s="17">
        <v>26.3</v>
      </c>
      <c r="C4320" s="17"/>
      <c r="F4320"/>
      <c r="G4320"/>
      <c r="H4320"/>
      <c r="I4320"/>
      <c r="J4320"/>
    </row>
    <row r="4321" spans="1:10" x14ac:dyDescent="0.25">
      <c r="A4321" s="90">
        <v>41428</v>
      </c>
      <c r="B4321" s="17">
        <v>26.39</v>
      </c>
      <c r="C4321" s="17"/>
      <c r="F4321"/>
      <c r="G4321"/>
      <c r="H4321"/>
      <c r="I4321"/>
      <c r="J4321"/>
    </row>
    <row r="4322" spans="1:10" x14ac:dyDescent="0.25">
      <c r="A4322" s="90">
        <v>41429</v>
      </c>
      <c r="B4322" s="17">
        <v>26.26</v>
      </c>
      <c r="C4322" s="17"/>
      <c r="F4322"/>
      <c r="G4322"/>
      <c r="H4322"/>
      <c r="I4322"/>
      <c r="J4322"/>
    </row>
    <row r="4323" spans="1:10" x14ac:dyDescent="0.25">
      <c r="A4323" s="90">
        <v>41430</v>
      </c>
      <c r="B4323" s="17">
        <v>25.75</v>
      </c>
      <c r="C4323" s="17"/>
      <c r="F4323"/>
      <c r="G4323"/>
      <c r="H4323"/>
      <c r="I4323"/>
      <c r="J4323"/>
    </row>
    <row r="4324" spans="1:10" x14ac:dyDescent="0.25">
      <c r="A4324" s="90">
        <v>41431</v>
      </c>
      <c r="B4324" s="17">
        <v>26.21</v>
      </c>
      <c r="C4324" s="17"/>
      <c r="F4324"/>
      <c r="G4324"/>
      <c r="H4324"/>
      <c r="I4324"/>
      <c r="J4324"/>
    </row>
    <row r="4325" spans="1:10" x14ac:dyDescent="0.25">
      <c r="A4325" s="90">
        <v>41432</v>
      </c>
      <c r="B4325" s="17">
        <v>27.04</v>
      </c>
      <c r="C4325" s="17"/>
      <c r="F4325"/>
      <c r="G4325"/>
      <c r="H4325"/>
      <c r="I4325"/>
      <c r="J4325"/>
    </row>
    <row r="4326" spans="1:10" x14ac:dyDescent="0.25">
      <c r="A4326" s="90">
        <v>41435</v>
      </c>
      <c r="B4326" s="17">
        <v>26.74</v>
      </c>
      <c r="C4326" s="17"/>
      <c r="F4326"/>
      <c r="G4326"/>
      <c r="H4326"/>
      <c r="I4326"/>
      <c r="J4326"/>
    </row>
    <row r="4327" spans="1:10" x14ac:dyDescent="0.25">
      <c r="A4327" s="90">
        <v>41436</v>
      </c>
      <c r="B4327" s="17">
        <v>26.4</v>
      </c>
      <c r="C4327" s="17"/>
      <c r="F4327"/>
      <c r="G4327"/>
      <c r="H4327"/>
      <c r="I4327"/>
      <c r="J4327"/>
    </row>
    <row r="4328" spans="1:10" x14ac:dyDescent="0.25">
      <c r="A4328" s="90">
        <v>41437</v>
      </c>
      <c r="B4328" s="17">
        <v>25.89</v>
      </c>
      <c r="C4328" s="17"/>
      <c r="F4328"/>
      <c r="G4328"/>
      <c r="H4328"/>
      <c r="I4328"/>
      <c r="J4328"/>
    </row>
    <row r="4329" spans="1:10" x14ac:dyDescent="0.25">
      <c r="A4329" s="90">
        <v>41438</v>
      </c>
      <c r="B4329" s="17">
        <v>26.37</v>
      </c>
      <c r="C4329" s="17"/>
      <c r="F4329"/>
      <c r="G4329"/>
      <c r="H4329"/>
      <c r="I4329"/>
      <c r="J4329"/>
    </row>
    <row r="4330" spans="1:10" x14ac:dyDescent="0.25">
      <c r="A4330" s="90">
        <v>41439</v>
      </c>
      <c r="B4330" s="17">
        <v>26.28</v>
      </c>
      <c r="C4330" s="17"/>
      <c r="F4330"/>
      <c r="G4330"/>
      <c r="H4330"/>
      <c r="I4330"/>
      <c r="J4330"/>
    </row>
    <row r="4331" spans="1:10" x14ac:dyDescent="0.25">
      <c r="A4331" s="90">
        <v>41442</v>
      </c>
      <c r="B4331" s="17">
        <v>26.54</v>
      </c>
      <c r="C4331" s="17"/>
      <c r="F4331"/>
      <c r="G4331"/>
      <c r="H4331"/>
      <c r="I4331"/>
      <c r="J4331"/>
    </row>
    <row r="4332" spans="1:10" x14ac:dyDescent="0.25">
      <c r="A4332" s="90">
        <v>41443</v>
      </c>
      <c r="B4332" s="17">
        <v>26.66</v>
      </c>
      <c r="C4332" s="17"/>
      <c r="F4332"/>
      <c r="G4332"/>
      <c r="H4332"/>
      <c r="I4332"/>
      <c r="J4332"/>
    </row>
    <row r="4333" spans="1:10" x14ac:dyDescent="0.25">
      <c r="A4333" s="90">
        <v>41444</v>
      </c>
      <c r="B4333" s="17">
        <v>26.24</v>
      </c>
      <c r="C4333" s="17"/>
      <c r="F4333"/>
      <c r="G4333"/>
      <c r="H4333"/>
      <c r="I4333"/>
      <c r="J4333"/>
    </row>
    <row r="4334" spans="1:10" x14ac:dyDescent="0.25">
      <c r="A4334" s="90">
        <v>41445</v>
      </c>
      <c r="B4334" s="17">
        <v>25.35</v>
      </c>
      <c r="C4334" s="17"/>
      <c r="F4334"/>
      <c r="G4334"/>
      <c r="H4334"/>
      <c r="I4334"/>
      <c r="J4334"/>
    </row>
    <row r="4335" spans="1:10" x14ac:dyDescent="0.25">
      <c r="A4335" s="90">
        <v>41446</v>
      </c>
      <c r="B4335" s="17">
        <v>25.19</v>
      </c>
      <c r="C4335" s="17"/>
      <c r="F4335"/>
      <c r="G4335"/>
      <c r="H4335"/>
      <c r="I4335"/>
      <c r="J4335"/>
    </row>
    <row r="4336" spans="1:10" x14ac:dyDescent="0.25">
      <c r="A4336" s="90">
        <v>41449</v>
      </c>
      <c r="B4336" s="17">
        <v>24.07</v>
      </c>
      <c r="C4336" s="17"/>
      <c r="F4336"/>
      <c r="G4336"/>
      <c r="H4336"/>
      <c r="I4336"/>
      <c r="J4336"/>
    </row>
    <row r="4337" spans="1:10" x14ac:dyDescent="0.25">
      <c r="A4337" s="90">
        <v>41450</v>
      </c>
      <c r="B4337" s="17">
        <v>24.96</v>
      </c>
      <c r="C4337" s="17"/>
      <c r="F4337"/>
      <c r="G4337"/>
      <c r="H4337"/>
      <c r="I4337"/>
      <c r="J4337"/>
    </row>
    <row r="4338" spans="1:10" x14ac:dyDescent="0.25">
      <c r="A4338" s="90">
        <v>41451</v>
      </c>
      <c r="B4338" s="17">
        <v>25.29</v>
      </c>
      <c r="C4338" s="17"/>
      <c r="F4338"/>
      <c r="G4338"/>
      <c r="H4338"/>
      <c r="I4338"/>
      <c r="J4338"/>
    </row>
    <row r="4339" spans="1:10" x14ac:dyDescent="0.25">
      <c r="A4339" s="90">
        <v>41452</v>
      </c>
      <c r="B4339" s="17">
        <v>25.47</v>
      </c>
      <c r="C4339" s="17"/>
      <c r="F4339"/>
      <c r="G4339"/>
      <c r="H4339"/>
      <c r="I4339"/>
      <c r="J4339"/>
    </row>
    <row r="4340" spans="1:10" x14ac:dyDescent="0.25">
      <c r="A4340" s="90">
        <v>41453</v>
      </c>
      <c r="B4340" s="17">
        <v>25.13</v>
      </c>
      <c r="C4340" s="17"/>
      <c r="F4340"/>
      <c r="G4340"/>
      <c r="H4340"/>
      <c r="I4340"/>
      <c r="J4340"/>
    </row>
    <row r="4341" spans="1:10" x14ac:dyDescent="0.25">
      <c r="A4341" s="90">
        <v>41456</v>
      </c>
      <c r="B4341" s="17">
        <v>25.24</v>
      </c>
      <c r="C4341" s="17"/>
      <c r="F4341"/>
      <c r="G4341"/>
      <c r="H4341"/>
      <c r="I4341"/>
      <c r="J4341"/>
    </row>
    <row r="4342" spans="1:10" x14ac:dyDescent="0.25">
      <c r="A4342" s="90">
        <v>41457</v>
      </c>
      <c r="B4342" s="17">
        <v>24.99</v>
      </c>
      <c r="C4342" s="17"/>
      <c r="F4342"/>
      <c r="G4342"/>
      <c r="H4342"/>
      <c r="I4342"/>
      <c r="J4342"/>
    </row>
    <row r="4343" spans="1:10" x14ac:dyDescent="0.25">
      <c r="A4343" s="90">
        <v>41458</v>
      </c>
      <c r="B4343" s="17">
        <v>25.59</v>
      </c>
      <c r="C4343" s="17"/>
      <c r="F4343"/>
      <c r="G4343"/>
      <c r="H4343"/>
      <c r="I4343"/>
      <c r="J4343"/>
    </row>
    <row r="4344" spans="1:10" x14ac:dyDescent="0.25">
      <c r="A4344" s="90">
        <v>41460</v>
      </c>
      <c r="B4344" s="17">
        <v>25.68</v>
      </c>
      <c r="C4344" s="17"/>
      <c r="F4344"/>
      <c r="G4344"/>
      <c r="H4344"/>
      <c r="I4344"/>
      <c r="J4344"/>
    </row>
    <row r="4345" spans="1:10" x14ac:dyDescent="0.25">
      <c r="A4345" s="90">
        <v>41463</v>
      </c>
      <c r="B4345" s="17">
        <v>25.53</v>
      </c>
      <c r="C4345" s="17"/>
      <c r="F4345"/>
      <c r="G4345"/>
      <c r="H4345"/>
      <c r="I4345"/>
      <c r="J4345"/>
    </row>
    <row r="4346" spans="1:10" x14ac:dyDescent="0.25">
      <c r="A4346" s="90">
        <v>41464</v>
      </c>
      <c r="B4346" s="17">
        <v>26.68</v>
      </c>
      <c r="C4346" s="17"/>
      <c r="F4346"/>
      <c r="G4346"/>
      <c r="H4346"/>
      <c r="I4346"/>
      <c r="J4346"/>
    </row>
    <row r="4347" spans="1:10" x14ac:dyDescent="0.25">
      <c r="A4347" s="90">
        <v>41465</v>
      </c>
      <c r="B4347" s="17">
        <v>26.56</v>
      </c>
      <c r="C4347" s="17"/>
      <c r="F4347"/>
      <c r="G4347"/>
      <c r="H4347"/>
      <c r="I4347"/>
      <c r="J4347"/>
    </row>
    <row r="4348" spans="1:10" x14ac:dyDescent="0.25">
      <c r="A4348" s="90">
        <v>41466</v>
      </c>
      <c r="B4348" s="17">
        <v>27.04</v>
      </c>
      <c r="C4348" s="17"/>
      <c r="F4348"/>
      <c r="G4348"/>
      <c r="H4348"/>
      <c r="I4348"/>
      <c r="J4348"/>
    </row>
    <row r="4349" spans="1:10" x14ac:dyDescent="0.25">
      <c r="A4349" s="90">
        <v>41467</v>
      </c>
      <c r="B4349" s="17">
        <v>27.23</v>
      </c>
      <c r="C4349" s="17"/>
      <c r="F4349"/>
      <c r="G4349"/>
      <c r="H4349"/>
      <c r="I4349"/>
      <c r="J4349"/>
    </row>
    <row r="4350" spans="1:10" x14ac:dyDescent="0.25">
      <c r="A4350" s="90">
        <v>41470</v>
      </c>
      <c r="B4350" s="17">
        <v>27.34</v>
      </c>
      <c r="C4350" s="17"/>
      <c r="F4350"/>
      <c r="G4350"/>
      <c r="H4350"/>
      <c r="I4350"/>
      <c r="J4350"/>
    </row>
    <row r="4351" spans="1:10" x14ac:dyDescent="0.25">
      <c r="A4351" s="90">
        <v>41471</v>
      </c>
      <c r="B4351" s="17">
        <v>26.88</v>
      </c>
      <c r="C4351" s="17"/>
      <c r="F4351"/>
      <c r="G4351"/>
      <c r="H4351"/>
      <c r="I4351"/>
      <c r="J4351"/>
    </row>
    <row r="4352" spans="1:10" x14ac:dyDescent="0.25">
      <c r="A4352" s="90">
        <v>41472</v>
      </c>
      <c r="B4352" s="17">
        <v>29.66</v>
      </c>
      <c r="C4352" s="17"/>
      <c r="F4352"/>
      <c r="G4352"/>
      <c r="H4352"/>
      <c r="I4352"/>
      <c r="J4352"/>
    </row>
    <row r="4353" spans="1:10" x14ac:dyDescent="0.25">
      <c r="A4353" s="90">
        <v>41473</v>
      </c>
      <c r="B4353" s="17">
        <v>29.66</v>
      </c>
      <c r="C4353" s="17"/>
      <c r="F4353"/>
      <c r="G4353"/>
      <c r="H4353"/>
      <c r="I4353"/>
      <c r="J4353"/>
    </row>
    <row r="4354" spans="1:10" x14ac:dyDescent="0.25">
      <c r="A4354" s="90">
        <v>41474</v>
      </c>
      <c r="B4354" s="17">
        <v>29.11</v>
      </c>
      <c r="C4354" s="17"/>
      <c r="F4354"/>
      <c r="G4354"/>
      <c r="H4354"/>
      <c r="I4354"/>
      <c r="J4354"/>
    </row>
    <row r="4355" spans="1:10" x14ac:dyDescent="0.25">
      <c r="A4355" s="90">
        <v>41477</v>
      </c>
      <c r="B4355" s="17">
        <v>27.86</v>
      </c>
      <c r="C4355" s="17"/>
      <c r="F4355"/>
      <c r="G4355"/>
      <c r="H4355"/>
      <c r="I4355"/>
      <c r="J4355"/>
    </row>
    <row r="4356" spans="1:10" x14ac:dyDescent="0.25">
      <c r="A4356" s="90">
        <v>41478</v>
      </c>
      <c r="B4356" s="17">
        <v>27.36</v>
      </c>
      <c r="C4356" s="17"/>
      <c r="F4356"/>
      <c r="G4356"/>
      <c r="H4356"/>
      <c r="I4356"/>
      <c r="J4356"/>
    </row>
    <row r="4357" spans="1:10" x14ac:dyDescent="0.25">
      <c r="A4357" s="90">
        <v>41479</v>
      </c>
      <c r="B4357" s="17">
        <v>27.84</v>
      </c>
      <c r="C4357" s="17"/>
      <c r="F4357"/>
      <c r="G4357"/>
      <c r="H4357"/>
      <c r="I4357"/>
      <c r="J4357"/>
    </row>
    <row r="4358" spans="1:10" x14ac:dyDescent="0.25">
      <c r="A4358" s="90">
        <v>41480</v>
      </c>
      <c r="B4358" s="17">
        <v>28.27</v>
      </c>
      <c r="C4358" s="17"/>
      <c r="F4358"/>
      <c r="G4358"/>
      <c r="H4358"/>
      <c r="I4358"/>
      <c r="J4358"/>
    </row>
    <row r="4359" spans="1:10" x14ac:dyDescent="0.25">
      <c r="A4359" s="90">
        <v>41481</v>
      </c>
      <c r="B4359" s="17">
        <v>28.11</v>
      </c>
      <c r="C4359" s="17"/>
      <c r="F4359"/>
      <c r="G4359"/>
      <c r="H4359"/>
      <c r="I4359"/>
      <c r="J4359"/>
    </row>
    <row r="4360" spans="1:10" x14ac:dyDescent="0.25">
      <c r="A4360" s="90">
        <v>41484</v>
      </c>
      <c r="B4360" s="17">
        <v>27.93</v>
      </c>
      <c r="C4360" s="17"/>
      <c r="F4360"/>
      <c r="G4360"/>
      <c r="H4360"/>
      <c r="I4360"/>
      <c r="J4360"/>
    </row>
    <row r="4361" spans="1:10" x14ac:dyDescent="0.25">
      <c r="A4361" s="90">
        <v>41485</v>
      </c>
      <c r="B4361" s="17">
        <v>28.05</v>
      </c>
      <c r="C4361" s="17"/>
      <c r="F4361"/>
      <c r="G4361"/>
      <c r="H4361"/>
      <c r="I4361"/>
      <c r="J4361"/>
    </row>
    <row r="4362" spans="1:10" x14ac:dyDescent="0.25">
      <c r="A4362" s="90">
        <v>41486</v>
      </c>
      <c r="B4362" s="17">
        <v>28.09</v>
      </c>
      <c r="C4362" s="17"/>
      <c r="F4362"/>
      <c r="G4362"/>
      <c r="H4362"/>
      <c r="I4362"/>
      <c r="J4362"/>
    </row>
    <row r="4363" spans="1:10" x14ac:dyDescent="0.25">
      <c r="A4363" s="90">
        <v>41487</v>
      </c>
      <c r="B4363" s="17">
        <v>27.96</v>
      </c>
      <c r="C4363" s="17"/>
      <c r="F4363"/>
      <c r="G4363"/>
      <c r="H4363"/>
      <c r="I4363"/>
      <c r="J4363"/>
    </row>
    <row r="4364" spans="1:10" x14ac:dyDescent="0.25">
      <c r="A4364" s="90">
        <v>41488</v>
      </c>
      <c r="B4364" s="17">
        <v>27.65</v>
      </c>
      <c r="C4364" s="17"/>
      <c r="F4364"/>
      <c r="G4364"/>
      <c r="H4364"/>
      <c r="I4364"/>
      <c r="J4364"/>
    </row>
    <row r="4365" spans="1:10" x14ac:dyDescent="0.25">
      <c r="A4365" s="90">
        <v>41491</v>
      </c>
      <c r="B4365" s="17">
        <v>27.67</v>
      </c>
      <c r="C4365" s="17"/>
      <c r="F4365"/>
      <c r="G4365"/>
      <c r="H4365"/>
      <c r="I4365"/>
      <c r="J4365"/>
    </row>
    <row r="4366" spans="1:10" x14ac:dyDescent="0.25">
      <c r="A4366" s="90">
        <v>41492</v>
      </c>
      <c r="B4366" s="17">
        <v>27.32</v>
      </c>
      <c r="C4366" s="17"/>
      <c r="F4366"/>
      <c r="G4366"/>
      <c r="H4366"/>
      <c r="I4366"/>
      <c r="J4366"/>
    </row>
    <row r="4367" spans="1:10" x14ac:dyDescent="0.25">
      <c r="A4367" s="90">
        <v>41493</v>
      </c>
      <c r="B4367" s="17">
        <v>27.39</v>
      </c>
      <c r="C4367" s="17"/>
      <c r="F4367"/>
      <c r="G4367"/>
      <c r="H4367"/>
      <c r="I4367"/>
      <c r="J4367"/>
    </row>
    <row r="4368" spans="1:10" x14ac:dyDescent="0.25">
      <c r="A4368" s="90">
        <v>41494</v>
      </c>
      <c r="B4368" s="17">
        <v>27.48</v>
      </c>
      <c r="C4368" s="17"/>
      <c r="F4368"/>
      <c r="G4368"/>
      <c r="H4368"/>
      <c r="I4368"/>
      <c r="J4368"/>
    </row>
    <row r="4369" spans="1:10" x14ac:dyDescent="0.25">
      <c r="A4369" s="90">
        <v>41495</v>
      </c>
      <c r="B4369" s="17">
        <v>27.68</v>
      </c>
      <c r="C4369" s="17"/>
      <c r="F4369"/>
      <c r="G4369"/>
      <c r="H4369"/>
      <c r="I4369"/>
      <c r="J4369"/>
    </row>
    <row r="4370" spans="1:10" x14ac:dyDescent="0.25">
      <c r="A4370" s="90">
        <v>41498</v>
      </c>
      <c r="B4370" s="17">
        <v>28.35</v>
      </c>
      <c r="C4370" s="17"/>
      <c r="F4370"/>
      <c r="G4370"/>
      <c r="H4370"/>
      <c r="I4370"/>
      <c r="J4370"/>
    </row>
    <row r="4371" spans="1:10" x14ac:dyDescent="0.25">
      <c r="A4371" s="90">
        <v>41499</v>
      </c>
      <c r="B4371" s="17">
        <v>28.34</v>
      </c>
      <c r="C4371" s="17"/>
      <c r="F4371"/>
      <c r="G4371"/>
      <c r="H4371"/>
      <c r="I4371"/>
      <c r="J4371"/>
    </row>
    <row r="4372" spans="1:10" x14ac:dyDescent="0.25">
      <c r="A4372" s="90">
        <v>41500</v>
      </c>
      <c r="B4372" s="17">
        <v>28.05</v>
      </c>
      <c r="C4372" s="17"/>
      <c r="F4372"/>
      <c r="G4372"/>
      <c r="H4372"/>
      <c r="I4372"/>
      <c r="J4372"/>
    </row>
    <row r="4373" spans="1:10" x14ac:dyDescent="0.25">
      <c r="A4373" s="90">
        <v>41501</v>
      </c>
      <c r="B4373" s="17">
        <v>27.14</v>
      </c>
      <c r="C4373" s="17"/>
      <c r="F4373"/>
      <c r="G4373"/>
      <c r="H4373"/>
      <c r="I4373"/>
      <c r="J4373"/>
    </row>
    <row r="4374" spans="1:10" x14ac:dyDescent="0.25">
      <c r="A4374" s="90">
        <v>41502</v>
      </c>
      <c r="B4374" s="17">
        <v>27.32</v>
      </c>
      <c r="C4374" s="17"/>
      <c r="F4374"/>
      <c r="G4374"/>
      <c r="H4374"/>
      <c r="I4374"/>
      <c r="J4374"/>
    </row>
    <row r="4375" spans="1:10" x14ac:dyDescent="0.25">
      <c r="A4375" s="90">
        <v>41505</v>
      </c>
      <c r="B4375" s="17">
        <v>26.91</v>
      </c>
      <c r="C4375" s="17"/>
      <c r="F4375"/>
      <c r="G4375"/>
      <c r="H4375"/>
      <c r="I4375"/>
      <c r="J4375"/>
    </row>
    <row r="4376" spans="1:10" x14ac:dyDescent="0.25">
      <c r="A4376" s="90">
        <v>41506</v>
      </c>
      <c r="B4376" s="17">
        <v>27.12</v>
      </c>
      <c r="C4376" s="17"/>
      <c r="F4376"/>
      <c r="G4376"/>
      <c r="H4376"/>
      <c r="I4376"/>
      <c r="J4376"/>
    </row>
    <row r="4377" spans="1:10" x14ac:dyDescent="0.25">
      <c r="A4377" s="90">
        <v>41507</v>
      </c>
      <c r="B4377" s="17">
        <v>27.06</v>
      </c>
      <c r="C4377" s="17"/>
      <c r="F4377"/>
      <c r="G4377"/>
      <c r="H4377"/>
      <c r="I4377"/>
      <c r="J4377"/>
    </row>
    <row r="4378" spans="1:10" x14ac:dyDescent="0.25">
      <c r="A4378" s="90">
        <v>41508</v>
      </c>
      <c r="B4378" s="17">
        <v>27.9</v>
      </c>
      <c r="C4378" s="17"/>
      <c r="F4378"/>
      <c r="G4378"/>
      <c r="H4378"/>
      <c r="I4378"/>
      <c r="J4378"/>
    </row>
    <row r="4379" spans="1:10" x14ac:dyDescent="0.25">
      <c r="A4379" s="90">
        <v>41509</v>
      </c>
      <c r="B4379" s="17">
        <v>27.99</v>
      </c>
      <c r="C4379" s="17"/>
      <c r="F4379"/>
      <c r="G4379"/>
      <c r="H4379"/>
      <c r="I4379"/>
      <c r="J4379"/>
    </row>
    <row r="4380" spans="1:10" x14ac:dyDescent="0.25">
      <c r="A4380" s="90">
        <v>41512</v>
      </c>
      <c r="B4380" s="17">
        <v>27.7</v>
      </c>
      <c r="C4380" s="17"/>
      <c r="F4380"/>
      <c r="G4380"/>
      <c r="H4380"/>
      <c r="I4380"/>
      <c r="J4380"/>
    </row>
    <row r="4381" spans="1:10" x14ac:dyDescent="0.25">
      <c r="A4381" s="90">
        <v>41513</v>
      </c>
      <c r="B4381" s="17">
        <v>27</v>
      </c>
      <c r="C4381" s="17"/>
      <c r="F4381"/>
      <c r="G4381"/>
      <c r="H4381"/>
      <c r="I4381"/>
      <c r="J4381"/>
    </row>
    <row r="4382" spans="1:10" x14ac:dyDescent="0.25">
      <c r="A4382" s="90">
        <v>41514</v>
      </c>
      <c r="B4382" s="17">
        <v>27.11</v>
      </c>
      <c r="C4382" s="17"/>
      <c r="F4382"/>
      <c r="G4382"/>
      <c r="H4382"/>
      <c r="I4382"/>
      <c r="J4382"/>
    </row>
    <row r="4383" spans="1:10" x14ac:dyDescent="0.25">
      <c r="A4383" s="90">
        <v>41515</v>
      </c>
      <c r="B4383" s="17">
        <v>27.3</v>
      </c>
      <c r="C4383" s="17"/>
      <c r="F4383"/>
      <c r="G4383"/>
      <c r="H4383"/>
      <c r="I4383"/>
      <c r="J4383"/>
    </row>
    <row r="4384" spans="1:10" x14ac:dyDescent="0.25">
      <c r="A4384" s="90">
        <v>41516</v>
      </c>
      <c r="B4384" s="17">
        <v>27.12</v>
      </c>
      <c r="C4384" s="17"/>
      <c r="F4384"/>
      <c r="G4384"/>
      <c r="H4384"/>
      <c r="I4384"/>
      <c r="J4384"/>
    </row>
    <row r="4385" spans="1:10" x14ac:dyDescent="0.25">
      <c r="A4385" s="90">
        <v>41520</v>
      </c>
      <c r="B4385" s="17">
        <v>27.78</v>
      </c>
      <c r="C4385" s="17"/>
      <c r="F4385"/>
      <c r="G4385"/>
      <c r="H4385"/>
      <c r="I4385"/>
      <c r="J4385"/>
    </row>
    <row r="4386" spans="1:10" x14ac:dyDescent="0.25">
      <c r="A4386" s="90">
        <v>41521</v>
      </c>
      <c r="B4386" s="17">
        <v>28.07</v>
      </c>
      <c r="C4386" s="17"/>
      <c r="F4386"/>
      <c r="G4386"/>
      <c r="H4386"/>
      <c r="I4386"/>
      <c r="J4386"/>
    </row>
    <row r="4387" spans="1:10" x14ac:dyDescent="0.25">
      <c r="A4387" s="90">
        <v>41522</v>
      </c>
      <c r="B4387" s="17">
        <v>28.23</v>
      </c>
      <c r="C4387" s="17"/>
      <c r="F4387"/>
      <c r="G4387"/>
      <c r="H4387"/>
      <c r="I4387"/>
      <c r="J4387"/>
    </row>
    <row r="4388" spans="1:10" x14ac:dyDescent="0.25">
      <c r="A4388" s="90">
        <v>41523</v>
      </c>
      <c r="B4388" s="17">
        <v>28.17</v>
      </c>
      <c r="C4388" s="17"/>
      <c r="F4388"/>
      <c r="G4388"/>
      <c r="H4388"/>
      <c r="I4388"/>
      <c r="J4388"/>
    </row>
    <row r="4389" spans="1:10" x14ac:dyDescent="0.25">
      <c r="A4389" s="90">
        <v>41526</v>
      </c>
      <c r="B4389" s="17">
        <v>29.24</v>
      </c>
      <c r="C4389" s="17"/>
      <c r="F4389"/>
      <c r="G4389"/>
      <c r="H4389"/>
      <c r="I4389"/>
      <c r="J4389"/>
    </row>
    <row r="4390" spans="1:10" x14ac:dyDescent="0.25">
      <c r="A4390" s="90">
        <v>41527</v>
      </c>
      <c r="B4390" s="17">
        <v>29.48</v>
      </c>
      <c r="C4390" s="17"/>
      <c r="F4390"/>
      <c r="G4390"/>
      <c r="H4390"/>
      <c r="I4390"/>
      <c r="J4390"/>
    </row>
    <row r="4391" spans="1:10" x14ac:dyDescent="0.25">
      <c r="A4391" s="90">
        <v>41528</v>
      </c>
      <c r="B4391" s="17">
        <v>29.19</v>
      </c>
      <c r="C4391" s="17"/>
      <c r="F4391"/>
      <c r="G4391"/>
      <c r="H4391"/>
      <c r="I4391"/>
      <c r="J4391"/>
    </row>
    <row r="4392" spans="1:10" x14ac:dyDescent="0.25">
      <c r="A4392" s="90">
        <v>41529</v>
      </c>
      <c r="B4392" s="17">
        <v>29.65</v>
      </c>
      <c r="C4392" s="17"/>
      <c r="F4392"/>
      <c r="G4392"/>
      <c r="H4392"/>
      <c r="I4392"/>
      <c r="J4392"/>
    </row>
    <row r="4393" spans="1:10" x14ac:dyDescent="0.25">
      <c r="A4393" s="90">
        <v>41530</v>
      </c>
      <c r="B4393" s="17">
        <v>29.26</v>
      </c>
      <c r="C4393" s="17"/>
      <c r="F4393"/>
      <c r="G4393"/>
      <c r="H4393"/>
      <c r="I4393"/>
      <c r="J4393"/>
    </row>
    <row r="4394" spans="1:10" x14ac:dyDescent="0.25">
      <c r="A4394" s="90">
        <v>41533</v>
      </c>
      <c r="B4394" s="17">
        <v>29.62</v>
      </c>
      <c r="C4394" s="17"/>
      <c r="F4394"/>
      <c r="G4394"/>
      <c r="H4394"/>
      <c r="I4394"/>
      <c r="J4394"/>
    </row>
    <row r="4395" spans="1:10" x14ac:dyDescent="0.25">
      <c r="A4395" s="90">
        <v>41534</v>
      </c>
      <c r="B4395" s="17">
        <v>30</v>
      </c>
      <c r="C4395" s="17"/>
      <c r="F4395"/>
      <c r="G4395"/>
      <c r="H4395"/>
      <c r="I4395"/>
      <c r="J4395"/>
    </row>
    <row r="4396" spans="1:10" x14ac:dyDescent="0.25">
      <c r="A4396" s="90">
        <v>41535</v>
      </c>
      <c r="B4396" s="17">
        <v>30.44</v>
      </c>
      <c r="C4396" s="17"/>
      <c r="F4396"/>
      <c r="G4396"/>
      <c r="H4396"/>
      <c r="I4396"/>
      <c r="J4396"/>
    </row>
    <row r="4397" spans="1:10" x14ac:dyDescent="0.25">
      <c r="A4397" s="90">
        <v>41536</v>
      </c>
      <c r="B4397" s="17">
        <v>31.03</v>
      </c>
      <c r="C4397" s="17"/>
      <c r="F4397"/>
      <c r="G4397"/>
      <c r="H4397"/>
      <c r="I4397"/>
      <c r="J4397"/>
    </row>
    <row r="4398" spans="1:10" x14ac:dyDescent="0.25">
      <c r="A4398" s="90">
        <v>41537</v>
      </c>
      <c r="B4398" s="17">
        <v>30.93</v>
      </c>
      <c r="C4398" s="17"/>
      <c r="F4398"/>
      <c r="G4398"/>
      <c r="H4398"/>
      <c r="I4398"/>
      <c r="J4398"/>
    </row>
    <row r="4399" spans="1:10" x14ac:dyDescent="0.25">
      <c r="A4399" s="90">
        <v>41540</v>
      </c>
      <c r="B4399" s="17">
        <v>30.26</v>
      </c>
      <c r="C4399" s="17"/>
      <c r="F4399"/>
      <c r="G4399"/>
      <c r="H4399"/>
      <c r="I4399"/>
      <c r="J4399"/>
    </row>
    <row r="4400" spans="1:10" x14ac:dyDescent="0.25">
      <c r="A4400" s="90">
        <v>41541</v>
      </c>
      <c r="B4400" s="17">
        <v>31.27</v>
      </c>
      <c r="C4400" s="17"/>
      <c r="F4400"/>
      <c r="G4400"/>
      <c r="H4400"/>
      <c r="I4400"/>
      <c r="J4400"/>
    </row>
    <row r="4401" spans="1:10" x14ac:dyDescent="0.25">
      <c r="A4401" s="90">
        <v>41542</v>
      </c>
      <c r="B4401" s="17">
        <v>31.34</v>
      </c>
      <c r="C4401" s="17"/>
      <c r="F4401"/>
      <c r="G4401"/>
      <c r="H4401"/>
      <c r="I4401"/>
      <c r="J4401"/>
    </row>
    <row r="4402" spans="1:10" x14ac:dyDescent="0.25">
      <c r="A4402" s="90">
        <v>41543</v>
      </c>
      <c r="B4402" s="17">
        <v>32.75</v>
      </c>
      <c r="C4402" s="17"/>
      <c r="F4402"/>
      <c r="G4402"/>
      <c r="H4402"/>
      <c r="I4402"/>
      <c r="J4402"/>
    </row>
    <row r="4403" spans="1:10" x14ac:dyDescent="0.25">
      <c r="A4403" s="90">
        <v>41544</v>
      </c>
      <c r="B4403" s="17">
        <v>33.549999999999997</v>
      </c>
      <c r="C4403" s="17"/>
      <c r="F4403"/>
      <c r="G4403"/>
      <c r="H4403"/>
      <c r="I4403"/>
      <c r="J4403"/>
    </row>
    <row r="4404" spans="1:10" x14ac:dyDescent="0.25">
      <c r="A4404" s="90">
        <v>41547</v>
      </c>
      <c r="B4404" s="17">
        <v>33.17</v>
      </c>
      <c r="C4404" s="17"/>
      <c r="F4404"/>
      <c r="G4404"/>
      <c r="H4404"/>
      <c r="I4404"/>
      <c r="J4404"/>
    </row>
    <row r="4405" spans="1:10" x14ac:dyDescent="0.25">
      <c r="A4405" s="90">
        <v>41548</v>
      </c>
      <c r="B4405" s="17">
        <v>34.31</v>
      </c>
      <c r="C4405" s="17"/>
      <c r="F4405"/>
      <c r="G4405"/>
      <c r="H4405"/>
      <c r="I4405"/>
      <c r="J4405"/>
    </row>
    <row r="4406" spans="1:10" x14ac:dyDescent="0.25">
      <c r="A4406" s="90">
        <v>41549</v>
      </c>
      <c r="B4406" s="17">
        <v>34.14</v>
      </c>
      <c r="C4406" s="17"/>
      <c r="F4406"/>
      <c r="G4406"/>
      <c r="H4406"/>
      <c r="I4406"/>
      <c r="J4406"/>
    </row>
    <row r="4407" spans="1:10" x14ac:dyDescent="0.25">
      <c r="A4407" s="90">
        <v>41550</v>
      </c>
      <c r="B4407" s="17">
        <v>33.880000000000003</v>
      </c>
      <c r="C4407" s="17"/>
      <c r="F4407"/>
      <c r="G4407"/>
      <c r="H4407"/>
      <c r="I4407"/>
      <c r="J4407"/>
    </row>
    <row r="4408" spans="1:10" x14ac:dyDescent="0.25">
      <c r="A4408" s="90">
        <v>41551</v>
      </c>
      <c r="B4408" s="17">
        <v>34.89</v>
      </c>
      <c r="C4408" s="17"/>
      <c r="F4408"/>
      <c r="G4408"/>
      <c r="H4408"/>
      <c r="I4408"/>
      <c r="J4408"/>
    </row>
    <row r="4409" spans="1:10" x14ac:dyDescent="0.25">
      <c r="A4409" s="90">
        <v>41554</v>
      </c>
      <c r="B4409" s="17">
        <v>34.14</v>
      </c>
      <c r="C4409" s="17"/>
      <c r="F4409"/>
      <c r="G4409"/>
      <c r="H4409"/>
      <c r="I4409"/>
      <c r="J4409"/>
    </row>
    <row r="4410" spans="1:10" x14ac:dyDescent="0.25">
      <c r="A4410" s="90">
        <v>41555</v>
      </c>
      <c r="B4410" s="17">
        <v>32.93</v>
      </c>
      <c r="C4410" s="17"/>
      <c r="F4410"/>
      <c r="G4410"/>
      <c r="H4410"/>
      <c r="I4410"/>
      <c r="J4410"/>
    </row>
    <row r="4411" spans="1:10" x14ac:dyDescent="0.25">
      <c r="A4411" s="90">
        <v>41556</v>
      </c>
      <c r="B4411" s="17">
        <v>33.01</v>
      </c>
      <c r="C4411" s="17"/>
      <c r="F4411"/>
      <c r="G4411"/>
      <c r="H4411"/>
      <c r="I4411"/>
      <c r="J4411"/>
    </row>
    <row r="4412" spans="1:10" x14ac:dyDescent="0.25">
      <c r="A4412" s="90">
        <v>41557</v>
      </c>
      <c r="B4412" s="17">
        <v>33.869999999999997</v>
      </c>
      <c r="C4412" s="17"/>
      <c r="F4412"/>
      <c r="G4412"/>
      <c r="H4412"/>
      <c r="I4412"/>
      <c r="J4412"/>
    </row>
    <row r="4413" spans="1:10" x14ac:dyDescent="0.25">
      <c r="A4413" s="90">
        <v>41558</v>
      </c>
      <c r="B4413" s="17">
        <v>34.15</v>
      </c>
      <c r="C4413" s="17"/>
      <c r="F4413"/>
      <c r="G4413"/>
      <c r="H4413"/>
      <c r="I4413"/>
      <c r="J4413"/>
    </row>
    <row r="4414" spans="1:10" x14ac:dyDescent="0.25">
      <c r="A4414" s="90">
        <v>41561</v>
      </c>
      <c r="B4414" s="17">
        <v>34</v>
      </c>
      <c r="C4414" s="17"/>
      <c r="F4414"/>
      <c r="G4414"/>
      <c r="H4414"/>
      <c r="I4414"/>
      <c r="J4414"/>
    </row>
    <row r="4415" spans="1:10" x14ac:dyDescent="0.25">
      <c r="A4415" s="90">
        <v>41562</v>
      </c>
      <c r="B4415" s="17">
        <v>33.380000000000003</v>
      </c>
      <c r="C4415" s="17"/>
      <c r="F4415"/>
      <c r="G4415"/>
      <c r="H4415"/>
      <c r="I4415"/>
      <c r="J4415"/>
    </row>
    <row r="4416" spans="1:10" x14ac:dyDescent="0.25">
      <c r="A4416" s="90">
        <v>41563</v>
      </c>
      <c r="B4416" s="17">
        <v>33.090000000000003</v>
      </c>
      <c r="C4416" s="17"/>
      <c r="F4416"/>
      <c r="G4416"/>
      <c r="H4416"/>
      <c r="I4416"/>
      <c r="J4416"/>
    </row>
    <row r="4417" spans="1:10" x14ac:dyDescent="0.25">
      <c r="A4417" s="90">
        <v>41564</v>
      </c>
      <c r="B4417" s="17">
        <v>32.74</v>
      </c>
      <c r="C4417" s="17"/>
      <c r="F4417"/>
      <c r="G4417"/>
      <c r="H4417"/>
      <c r="I4417"/>
      <c r="J4417"/>
    </row>
    <row r="4418" spans="1:10" x14ac:dyDescent="0.25">
      <c r="A4418" s="90">
        <v>41565</v>
      </c>
      <c r="B4418" s="17">
        <v>33.43</v>
      </c>
      <c r="C4418" s="17"/>
      <c r="F4418"/>
      <c r="G4418"/>
      <c r="H4418"/>
      <c r="I4418"/>
      <c r="J4418"/>
    </row>
    <row r="4419" spans="1:10" x14ac:dyDescent="0.25">
      <c r="A4419" s="90">
        <v>41568</v>
      </c>
      <c r="B4419" s="17">
        <v>34.06</v>
      </c>
      <c r="C4419" s="17"/>
      <c r="F4419"/>
      <c r="G4419"/>
      <c r="H4419"/>
      <c r="I4419"/>
      <c r="J4419"/>
    </row>
    <row r="4420" spans="1:10" x14ac:dyDescent="0.25">
      <c r="A4420" s="90">
        <v>41569</v>
      </c>
      <c r="B4420" s="17">
        <v>33.94</v>
      </c>
      <c r="C4420" s="17"/>
      <c r="F4420"/>
      <c r="G4420"/>
      <c r="H4420"/>
      <c r="I4420"/>
      <c r="J4420"/>
    </row>
    <row r="4421" spans="1:10" x14ac:dyDescent="0.25">
      <c r="A4421" s="90">
        <v>41570</v>
      </c>
      <c r="B4421" s="17">
        <v>33.1</v>
      </c>
      <c r="C4421" s="17"/>
      <c r="F4421"/>
      <c r="G4421"/>
      <c r="H4421"/>
      <c r="I4421"/>
      <c r="J4421"/>
    </row>
    <row r="4422" spans="1:10" x14ac:dyDescent="0.25">
      <c r="A4422" s="90">
        <v>41571</v>
      </c>
      <c r="B4422" s="17">
        <v>33.08</v>
      </c>
      <c r="C4422" s="17"/>
      <c r="F4422"/>
      <c r="G4422"/>
      <c r="H4422"/>
      <c r="I4422"/>
      <c r="J4422"/>
    </row>
    <row r="4423" spans="1:10" x14ac:dyDescent="0.25">
      <c r="A4423" s="90">
        <v>41572</v>
      </c>
      <c r="B4423" s="17">
        <v>32.25</v>
      </c>
      <c r="C4423" s="17"/>
      <c r="F4423"/>
      <c r="G4423"/>
      <c r="H4423"/>
      <c r="I4423"/>
      <c r="J4423"/>
    </row>
    <row r="4424" spans="1:10" x14ac:dyDescent="0.25">
      <c r="A4424" s="90">
        <v>41575</v>
      </c>
      <c r="B4424" s="17">
        <v>32.35</v>
      </c>
      <c r="C4424" s="17"/>
      <c r="F4424"/>
      <c r="G4424"/>
      <c r="H4424"/>
      <c r="I4424"/>
      <c r="J4424"/>
    </row>
    <row r="4425" spans="1:10" x14ac:dyDescent="0.25">
      <c r="A4425" s="90">
        <v>41576</v>
      </c>
      <c r="B4425" s="17">
        <v>33.17</v>
      </c>
      <c r="C4425" s="17"/>
      <c r="F4425"/>
      <c r="G4425"/>
      <c r="H4425"/>
      <c r="I4425"/>
      <c r="J4425"/>
    </row>
    <row r="4426" spans="1:10" x14ac:dyDescent="0.25">
      <c r="A4426" s="90">
        <v>41577</v>
      </c>
      <c r="B4426" s="17">
        <v>32.57</v>
      </c>
      <c r="C4426" s="17"/>
      <c r="F4426"/>
      <c r="G4426"/>
      <c r="H4426"/>
      <c r="I4426"/>
      <c r="J4426"/>
    </row>
    <row r="4427" spans="1:10" x14ac:dyDescent="0.25">
      <c r="A4427" s="90">
        <v>41578</v>
      </c>
      <c r="B4427" s="17">
        <v>32.94</v>
      </c>
      <c r="C4427" s="17"/>
      <c r="F4427"/>
      <c r="G4427"/>
      <c r="H4427"/>
      <c r="I4427"/>
      <c r="J4427"/>
    </row>
    <row r="4428" spans="1:10" x14ac:dyDescent="0.25">
      <c r="A4428" s="90">
        <v>41579</v>
      </c>
      <c r="B4428" s="17">
        <v>33.18</v>
      </c>
      <c r="C4428" s="17"/>
      <c r="F4428"/>
      <c r="G4428"/>
      <c r="H4428"/>
      <c r="I4428"/>
      <c r="J4428"/>
    </row>
    <row r="4429" spans="1:10" x14ac:dyDescent="0.25">
      <c r="A4429" s="90">
        <v>41582</v>
      </c>
      <c r="B4429" s="17">
        <v>33.19</v>
      </c>
      <c r="C4429" s="17"/>
      <c r="F4429"/>
      <c r="G4429"/>
      <c r="H4429"/>
      <c r="I4429"/>
      <c r="J4429"/>
    </row>
    <row r="4430" spans="1:10" x14ac:dyDescent="0.25">
      <c r="A4430" s="90">
        <v>41583</v>
      </c>
      <c r="B4430" s="17">
        <v>32.97</v>
      </c>
      <c r="C4430" s="17"/>
      <c r="F4430"/>
      <c r="G4430"/>
      <c r="H4430"/>
      <c r="I4430"/>
      <c r="J4430"/>
    </row>
    <row r="4431" spans="1:10" x14ac:dyDescent="0.25">
      <c r="A4431" s="90">
        <v>41584</v>
      </c>
      <c r="B4431" s="17">
        <v>32.880000000000003</v>
      </c>
      <c r="C4431" s="17"/>
      <c r="F4431"/>
      <c r="G4431"/>
      <c r="H4431"/>
      <c r="I4431"/>
      <c r="J4431"/>
    </row>
    <row r="4432" spans="1:10" x14ac:dyDescent="0.25">
      <c r="A4432" s="90">
        <v>41585</v>
      </c>
      <c r="B4432" s="17">
        <v>32.11</v>
      </c>
      <c r="C4432" s="17"/>
      <c r="F4432"/>
      <c r="G4432"/>
      <c r="H4432"/>
      <c r="I4432"/>
      <c r="J4432"/>
    </row>
    <row r="4433" spans="1:10" x14ac:dyDescent="0.25">
      <c r="A4433" s="90">
        <v>41586</v>
      </c>
      <c r="B4433" s="17">
        <v>33.119999999999997</v>
      </c>
      <c r="C4433" s="17"/>
      <c r="F4433"/>
      <c r="G4433"/>
      <c r="H4433"/>
      <c r="I4433"/>
      <c r="J4433"/>
    </row>
    <row r="4434" spans="1:10" x14ac:dyDescent="0.25">
      <c r="A4434" s="90">
        <v>41589</v>
      </c>
      <c r="B4434" s="17">
        <v>33.82</v>
      </c>
      <c r="C4434" s="17"/>
      <c r="F4434"/>
      <c r="G4434"/>
      <c r="H4434"/>
      <c r="I4434"/>
      <c r="J4434"/>
    </row>
    <row r="4435" spans="1:10" x14ac:dyDescent="0.25">
      <c r="A4435" s="90">
        <v>41590</v>
      </c>
      <c r="B4435" s="17">
        <v>34.07</v>
      </c>
      <c r="C4435" s="17"/>
      <c r="F4435"/>
      <c r="G4435"/>
      <c r="H4435"/>
      <c r="I4435"/>
      <c r="J4435"/>
    </row>
    <row r="4436" spans="1:10" x14ac:dyDescent="0.25">
      <c r="A4436" s="90">
        <v>41591</v>
      </c>
      <c r="B4436" s="17">
        <v>35.1</v>
      </c>
      <c r="C4436" s="17"/>
      <c r="F4436"/>
      <c r="G4436"/>
      <c r="H4436"/>
      <c r="I4436"/>
      <c r="J4436"/>
    </row>
    <row r="4437" spans="1:10" x14ac:dyDescent="0.25">
      <c r="A4437" s="90">
        <v>41592</v>
      </c>
      <c r="B4437" s="17">
        <v>35.69</v>
      </c>
      <c r="C4437" s="17"/>
      <c r="F4437"/>
      <c r="G4437"/>
      <c r="H4437"/>
      <c r="I4437"/>
      <c r="J4437"/>
    </row>
    <row r="4438" spans="1:10" x14ac:dyDescent="0.25">
      <c r="A4438" s="90">
        <v>41593</v>
      </c>
      <c r="B4438" s="17">
        <v>35.47</v>
      </c>
      <c r="C4438" s="17"/>
      <c r="F4438"/>
      <c r="G4438"/>
      <c r="H4438"/>
      <c r="I4438"/>
      <c r="J4438"/>
    </row>
    <row r="4439" spans="1:10" x14ac:dyDescent="0.25">
      <c r="A4439" s="90">
        <v>41596</v>
      </c>
      <c r="B4439" s="17">
        <v>34.979999999999997</v>
      </c>
      <c r="C4439" s="17"/>
      <c r="F4439"/>
      <c r="G4439"/>
      <c r="H4439"/>
      <c r="I4439"/>
      <c r="J4439"/>
    </row>
    <row r="4440" spans="1:10" x14ac:dyDescent="0.25">
      <c r="A4440" s="90">
        <v>41597</v>
      </c>
      <c r="B4440" s="17">
        <v>34.630000000000003</v>
      </c>
      <c r="C4440" s="17"/>
      <c r="F4440"/>
      <c r="G4440"/>
      <c r="H4440"/>
      <c r="I4440"/>
      <c r="J4440"/>
    </row>
    <row r="4441" spans="1:10" x14ac:dyDescent="0.25">
      <c r="A4441" s="90">
        <v>41598</v>
      </c>
      <c r="B4441" s="17">
        <v>35.619999999999997</v>
      </c>
      <c r="C4441" s="17"/>
      <c r="F4441"/>
      <c r="G4441"/>
      <c r="H4441"/>
      <c r="I4441"/>
      <c r="J4441"/>
    </row>
    <row r="4442" spans="1:10" x14ac:dyDescent="0.25">
      <c r="A4442" s="90">
        <v>41599</v>
      </c>
      <c r="B4442" s="17">
        <v>36.299999999999997</v>
      </c>
      <c r="C4442" s="17"/>
      <c r="F4442"/>
      <c r="G4442"/>
      <c r="H4442"/>
      <c r="I4442"/>
      <c r="J4442"/>
    </row>
    <row r="4443" spans="1:10" x14ac:dyDescent="0.25">
      <c r="A4443" s="90">
        <v>41600</v>
      </c>
      <c r="B4443" s="17">
        <v>36.49</v>
      </c>
      <c r="C4443" s="17"/>
      <c r="F4443"/>
      <c r="G4443"/>
      <c r="H4443"/>
      <c r="I4443"/>
      <c r="J4443"/>
    </row>
    <row r="4444" spans="1:10" x14ac:dyDescent="0.25">
      <c r="A4444" s="90">
        <v>41603</v>
      </c>
      <c r="B4444" s="17">
        <v>36.29</v>
      </c>
      <c r="C4444" s="17"/>
      <c r="F4444"/>
      <c r="G4444"/>
      <c r="H4444"/>
      <c r="I4444"/>
      <c r="J4444"/>
    </row>
    <row r="4445" spans="1:10" x14ac:dyDescent="0.25">
      <c r="A4445" s="90">
        <v>41604</v>
      </c>
      <c r="B4445" s="17">
        <v>36.64</v>
      </c>
      <c r="C4445" s="17"/>
      <c r="F4445"/>
      <c r="G4445"/>
      <c r="H4445"/>
      <c r="I4445"/>
      <c r="J4445"/>
    </row>
    <row r="4446" spans="1:10" x14ac:dyDescent="0.25">
      <c r="A4446" s="90">
        <v>41605</v>
      </c>
      <c r="B4446" s="17">
        <v>36.96</v>
      </c>
      <c r="C4446" s="17"/>
      <c r="F4446"/>
      <c r="G4446"/>
      <c r="H4446"/>
      <c r="I4446"/>
      <c r="J4446"/>
    </row>
    <row r="4447" spans="1:10" x14ac:dyDescent="0.25">
      <c r="A4447" s="90">
        <v>41607</v>
      </c>
      <c r="B4447" s="17">
        <v>36.979999999999997</v>
      </c>
      <c r="C4447" s="17"/>
      <c r="F4447"/>
      <c r="G4447"/>
      <c r="H4447"/>
      <c r="I4447"/>
      <c r="J4447"/>
    </row>
    <row r="4448" spans="1:10" x14ac:dyDescent="0.25">
      <c r="A4448" s="90">
        <v>41610</v>
      </c>
      <c r="B4448" s="17">
        <v>37.01</v>
      </c>
      <c r="C4448" s="17"/>
      <c r="F4448"/>
      <c r="G4448"/>
      <c r="H4448"/>
      <c r="I4448"/>
      <c r="J4448"/>
    </row>
    <row r="4449" spans="1:10" x14ac:dyDescent="0.25">
      <c r="A4449" s="90">
        <v>41611</v>
      </c>
      <c r="B4449" s="17">
        <v>36.56</v>
      </c>
      <c r="C4449" s="17"/>
      <c r="F4449"/>
      <c r="G4449"/>
      <c r="H4449"/>
      <c r="I4449"/>
      <c r="J4449"/>
    </row>
    <row r="4450" spans="1:10" x14ac:dyDescent="0.25">
      <c r="A4450" s="90">
        <v>41612</v>
      </c>
      <c r="B4450" s="17">
        <v>38.130000000000003</v>
      </c>
      <c r="C4450" s="17"/>
      <c r="F4450"/>
      <c r="G4450"/>
      <c r="H4450"/>
      <c r="I4450"/>
      <c r="J4450"/>
    </row>
    <row r="4451" spans="1:10" x14ac:dyDescent="0.25">
      <c r="A4451" s="90">
        <v>41613</v>
      </c>
      <c r="B4451" s="17">
        <v>38.869999999999997</v>
      </c>
      <c r="C4451" s="17"/>
      <c r="F4451"/>
      <c r="G4451"/>
      <c r="H4451"/>
      <c r="I4451"/>
      <c r="J4451"/>
    </row>
    <row r="4452" spans="1:10" x14ac:dyDescent="0.25">
      <c r="A4452" s="90">
        <v>41614</v>
      </c>
      <c r="B4452" s="17">
        <v>38.86</v>
      </c>
      <c r="C4452" s="17"/>
      <c r="F4452"/>
      <c r="G4452"/>
      <c r="H4452"/>
      <c r="I4452"/>
      <c r="J4452"/>
    </row>
    <row r="4453" spans="1:10" x14ac:dyDescent="0.25">
      <c r="A4453" s="90">
        <v>41617</v>
      </c>
      <c r="B4453" s="17">
        <v>38.869999999999997</v>
      </c>
      <c r="C4453" s="17"/>
      <c r="F4453"/>
      <c r="G4453"/>
      <c r="H4453"/>
      <c r="I4453"/>
      <c r="J4453"/>
    </row>
    <row r="4454" spans="1:10" x14ac:dyDescent="0.25">
      <c r="A4454" s="90">
        <v>41618</v>
      </c>
      <c r="B4454" s="17">
        <v>40.22</v>
      </c>
      <c r="C4454" s="17"/>
      <c r="F4454"/>
      <c r="G4454"/>
      <c r="H4454"/>
      <c r="I4454"/>
      <c r="J4454"/>
    </row>
    <row r="4455" spans="1:10" x14ac:dyDescent="0.25">
      <c r="A4455" s="90">
        <v>41619</v>
      </c>
      <c r="B4455" s="17">
        <v>39.159999999999997</v>
      </c>
      <c r="C4455" s="17"/>
      <c r="F4455"/>
      <c r="G4455"/>
      <c r="H4455"/>
      <c r="I4455"/>
      <c r="J4455"/>
    </row>
    <row r="4456" spans="1:10" x14ac:dyDescent="0.25">
      <c r="A4456" s="90">
        <v>41620</v>
      </c>
      <c r="B4456" s="17">
        <v>39.35</v>
      </c>
      <c r="C4456" s="17"/>
      <c r="F4456"/>
      <c r="G4456"/>
      <c r="H4456"/>
      <c r="I4456"/>
      <c r="J4456"/>
    </row>
    <row r="4457" spans="1:10" x14ac:dyDescent="0.25">
      <c r="A4457" s="90">
        <v>41621</v>
      </c>
      <c r="B4457" s="17">
        <v>39.729999999999997</v>
      </c>
      <c r="C4457" s="17"/>
      <c r="F4457"/>
      <c r="G4457"/>
      <c r="H4457"/>
      <c r="I4457"/>
      <c r="J4457"/>
    </row>
    <row r="4458" spans="1:10" x14ac:dyDescent="0.25">
      <c r="A4458" s="90">
        <v>41624</v>
      </c>
      <c r="B4458" s="17">
        <v>39.729999999999997</v>
      </c>
      <c r="C4458" s="17"/>
      <c r="F4458"/>
      <c r="G4458"/>
      <c r="H4458"/>
      <c r="I4458"/>
      <c r="J4458"/>
    </row>
    <row r="4459" spans="1:10" x14ac:dyDescent="0.25">
      <c r="A4459" s="90">
        <v>41625</v>
      </c>
      <c r="B4459" s="17">
        <v>39.51</v>
      </c>
      <c r="C4459" s="17"/>
      <c r="F4459"/>
      <c r="G4459"/>
      <c r="H4459"/>
      <c r="I4459"/>
      <c r="J4459"/>
    </row>
    <row r="4460" spans="1:10" x14ac:dyDescent="0.25">
      <c r="A4460" s="90">
        <v>41626</v>
      </c>
      <c r="B4460" s="17">
        <v>40.04</v>
      </c>
      <c r="C4460" s="17"/>
      <c r="F4460"/>
      <c r="G4460"/>
      <c r="H4460"/>
      <c r="I4460"/>
      <c r="J4460"/>
    </row>
    <row r="4461" spans="1:10" x14ac:dyDescent="0.25">
      <c r="A4461" s="90">
        <v>41627</v>
      </c>
      <c r="B4461" s="17">
        <v>40.200000000000003</v>
      </c>
      <c r="C4461" s="17"/>
      <c r="F4461"/>
      <c r="G4461"/>
      <c r="H4461"/>
      <c r="I4461"/>
      <c r="J4461"/>
    </row>
    <row r="4462" spans="1:10" x14ac:dyDescent="0.25">
      <c r="A4462" s="90">
        <v>41628</v>
      </c>
      <c r="B4462" s="17">
        <v>40.119999999999997</v>
      </c>
      <c r="C4462" s="17"/>
      <c r="F4462"/>
      <c r="G4462"/>
      <c r="H4462"/>
      <c r="I4462"/>
      <c r="J4462"/>
    </row>
    <row r="4463" spans="1:10" x14ac:dyDescent="0.25">
      <c r="A4463" s="90">
        <v>41631</v>
      </c>
      <c r="B4463" s="17">
        <v>40.770000000000003</v>
      </c>
      <c r="C4463" s="17"/>
      <c r="F4463"/>
      <c r="G4463"/>
      <c r="H4463"/>
      <c r="I4463"/>
      <c r="J4463"/>
    </row>
    <row r="4464" spans="1:10" x14ac:dyDescent="0.25">
      <c r="A4464" s="90">
        <v>41632</v>
      </c>
      <c r="B4464" s="17">
        <v>40.85</v>
      </c>
      <c r="C4464" s="17"/>
      <c r="F4464"/>
      <c r="G4464"/>
      <c r="H4464"/>
      <c r="I4464"/>
      <c r="J4464"/>
    </row>
    <row r="4465" spans="1:10" x14ac:dyDescent="0.25">
      <c r="A4465" s="90">
        <v>41634</v>
      </c>
      <c r="B4465" s="17">
        <v>40.65</v>
      </c>
      <c r="C4465" s="17"/>
      <c r="F4465"/>
      <c r="G4465"/>
      <c r="H4465"/>
      <c r="I4465"/>
      <c r="J4465"/>
    </row>
    <row r="4466" spans="1:10" x14ac:dyDescent="0.25">
      <c r="A4466" s="90">
        <v>41635</v>
      </c>
      <c r="B4466" s="17">
        <v>40.49</v>
      </c>
      <c r="C4466" s="17"/>
      <c r="F4466"/>
      <c r="G4466"/>
      <c r="H4466"/>
      <c r="I4466"/>
      <c r="J4466"/>
    </row>
    <row r="4467" spans="1:10" x14ac:dyDescent="0.25">
      <c r="A4467" s="90">
        <v>41638</v>
      </c>
      <c r="B4467" s="17">
        <v>40.200000000000003</v>
      </c>
      <c r="C4467" s="17"/>
      <c r="F4467"/>
      <c r="G4467"/>
      <c r="H4467"/>
      <c r="I4467"/>
      <c r="J4467"/>
    </row>
    <row r="4468" spans="1:10" x14ac:dyDescent="0.25">
      <c r="A4468" s="90">
        <v>41639</v>
      </c>
      <c r="B4468" s="17">
        <v>40.44</v>
      </c>
      <c r="C4468" s="17"/>
      <c r="F4468"/>
      <c r="G4468"/>
      <c r="H4468"/>
      <c r="I4468"/>
      <c r="J4468"/>
    </row>
    <row r="4469" spans="1:10" x14ac:dyDescent="0.25">
      <c r="A4469" s="90">
        <v>41641</v>
      </c>
      <c r="B4469" s="17">
        <v>39.590000000000003</v>
      </c>
      <c r="C4469" s="17"/>
      <c r="F4469"/>
      <c r="G4469"/>
      <c r="H4469"/>
      <c r="I4469"/>
      <c r="J4469"/>
    </row>
    <row r="4470" spans="1:10" x14ac:dyDescent="0.25">
      <c r="A4470" s="90">
        <v>41642</v>
      </c>
      <c r="B4470" s="17">
        <v>40.119999999999997</v>
      </c>
      <c r="C4470" s="17"/>
      <c r="F4470"/>
      <c r="G4470"/>
      <c r="H4470"/>
      <c r="I4470"/>
      <c r="J4470"/>
    </row>
    <row r="4471" spans="1:10" x14ac:dyDescent="0.25">
      <c r="A4471" s="90">
        <v>41645</v>
      </c>
      <c r="B4471" s="17">
        <v>39.93</v>
      </c>
      <c r="C4471" s="17"/>
      <c r="F4471"/>
      <c r="G4471"/>
      <c r="H4471"/>
      <c r="I4471"/>
      <c r="J4471"/>
    </row>
    <row r="4472" spans="1:10" x14ac:dyDescent="0.25">
      <c r="A4472" s="90">
        <v>41646</v>
      </c>
      <c r="B4472" s="17">
        <v>40.92</v>
      </c>
      <c r="C4472" s="17"/>
      <c r="F4472"/>
      <c r="G4472"/>
      <c r="H4472"/>
      <c r="I4472"/>
      <c r="J4472"/>
    </row>
    <row r="4473" spans="1:10" x14ac:dyDescent="0.25">
      <c r="A4473" s="90">
        <v>41647</v>
      </c>
      <c r="B4473" s="17">
        <v>41.02</v>
      </c>
      <c r="C4473" s="17"/>
      <c r="F4473"/>
      <c r="G4473"/>
      <c r="H4473"/>
      <c r="I4473"/>
      <c r="J4473"/>
    </row>
    <row r="4474" spans="1:10" x14ac:dyDescent="0.25">
      <c r="A4474" s="90">
        <v>41648</v>
      </c>
      <c r="B4474" s="17">
        <v>40.92</v>
      </c>
      <c r="C4474" s="17"/>
      <c r="F4474"/>
      <c r="G4474"/>
      <c r="H4474"/>
      <c r="I4474"/>
      <c r="J4474"/>
    </row>
    <row r="4475" spans="1:10" x14ac:dyDescent="0.25">
      <c r="A4475" s="90">
        <v>41649</v>
      </c>
      <c r="B4475" s="17">
        <v>41.23</v>
      </c>
      <c r="C4475" s="17"/>
      <c r="F4475"/>
      <c r="G4475"/>
      <c r="H4475"/>
      <c r="I4475"/>
      <c r="J4475"/>
    </row>
    <row r="4476" spans="1:10" x14ac:dyDescent="0.25">
      <c r="A4476" s="90">
        <v>41652</v>
      </c>
      <c r="B4476" s="17">
        <v>39.99</v>
      </c>
      <c r="C4476" s="17"/>
      <c r="F4476"/>
      <c r="G4476"/>
      <c r="H4476"/>
      <c r="I4476"/>
      <c r="J4476"/>
    </row>
    <row r="4477" spans="1:10" x14ac:dyDescent="0.25">
      <c r="A4477" s="90">
        <v>41653</v>
      </c>
      <c r="B4477" s="17">
        <v>41.14</v>
      </c>
      <c r="C4477" s="17"/>
      <c r="F4477"/>
      <c r="G4477"/>
      <c r="H4477"/>
      <c r="I4477"/>
      <c r="J4477"/>
    </row>
    <row r="4478" spans="1:10" x14ac:dyDescent="0.25">
      <c r="A4478" s="90">
        <v>41654</v>
      </c>
      <c r="B4478" s="17">
        <v>41.07</v>
      </c>
      <c r="C4478" s="17"/>
      <c r="F4478"/>
      <c r="G4478"/>
      <c r="H4478"/>
      <c r="I4478"/>
      <c r="J4478"/>
    </row>
    <row r="4479" spans="1:10" x14ac:dyDescent="0.25">
      <c r="A4479" s="90">
        <v>41655</v>
      </c>
      <c r="B4479" s="17">
        <v>40.340000000000003</v>
      </c>
      <c r="C4479" s="17"/>
      <c r="F4479"/>
      <c r="G4479"/>
      <c r="H4479"/>
      <c r="I4479"/>
      <c r="J4479"/>
    </row>
    <row r="4480" spans="1:10" x14ac:dyDescent="0.25">
      <c r="A4480" s="90">
        <v>41656</v>
      </c>
      <c r="B4480" s="17">
        <v>40.01</v>
      </c>
      <c r="C4480" s="17"/>
      <c r="F4480"/>
      <c r="G4480"/>
      <c r="H4480"/>
      <c r="I4480"/>
      <c r="J4480"/>
    </row>
    <row r="4481" spans="1:10" x14ac:dyDescent="0.25">
      <c r="A4481" s="90">
        <v>41660</v>
      </c>
      <c r="B4481" s="17">
        <v>39.520000000000003</v>
      </c>
      <c r="C4481" s="17"/>
      <c r="F4481"/>
      <c r="G4481"/>
      <c r="H4481"/>
      <c r="I4481"/>
      <c r="J4481"/>
    </row>
    <row r="4482" spans="1:10" x14ac:dyDescent="0.25">
      <c r="A4482" s="90">
        <v>41661</v>
      </c>
      <c r="B4482" s="17">
        <v>40.18</v>
      </c>
      <c r="C4482" s="17"/>
      <c r="F4482"/>
      <c r="G4482"/>
      <c r="H4482"/>
      <c r="I4482"/>
      <c r="J4482"/>
    </row>
    <row r="4483" spans="1:10" x14ac:dyDescent="0.25">
      <c r="A4483" s="90">
        <v>41662</v>
      </c>
      <c r="B4483" s="17">
        <v>39.39</v>
      </c>
      <c r="C4483" s="17"/>
      <c r="F4483"/>
      <c r="G4483"/>
      <c r="H4483"/>
      <c r="I4483"/>
      <c r="J4483"/>
    </row>
    <row r="4484" spans="1:10" x14ac:dyDescent="0.25">
      <c r="A4484" s="90">
        <v>41663</v>
      </c>
      <c r="B4484" s="17">
        <v>37.909999999999997</v>
      </c>
      <c r="C4484" s="17"/>
      <c r="F4484"/>
      <c r="G4484"/>
      <c r="H4484"/>
      <c r="I4484"/>
      <c r="J4484"/>
    </row>
    <row r="4485" spans="1:10" x14ac:dyDescent="0.25">
      <c r="A4485" s="90">
        <v>41666</v>
      </c>
      <c r="B4485" s="17">
        <v>36.65</v>
      </c>
      <c r="C4485" s="17"/>
      <c r="F4485"/>
      <c r="G4485"/>
      <c r="H4485"/>
      <c r="I4485"/>
      <c r="J4485"/>
    </row>
    <row r="4486" spans="1:10" x14ac:dyDescent="0.25">
      <c r="A4486" s="90">
        <v>41667</v>
      </c>
      <c r="B4486" s="17">
        <v>38.22</v>
      </c>
      <c r="C4486" s="17"/>
      <c r="F4486"/>
      <c r="G4486"/>
      <c r="H4486"/>
      <c r="I4486"/>
      <c r="J4486"/>
    </row>
    <row r="4487" spans="1:10" x14ac:dyDescent="0.25">
      <c r="A4487" s="90">
        <v>41668</v>
      </c>
      <c r="B4487" s="17">
        <v>34.89</v>
      </c>
      <c r="C4487" s="17"/>
      <c r="F4487"/>
      <c r="G4487"/>
      <c r="H4487"/>
      <c r="I4487"/>
      <c r="J4487"/>
    </row>
    <row r="4488" spans="1:10" x14ac:dyDescent="0.25">
      <c r="A4488" s="90">
        <v>41669</v>
      </c>
      <c r="B4488" s="17">
        <v>35.31</v>
      </c>
      <c r="C4488" s="17"/>
      <c r="F4488"/>
      <c r="G4488"/>
      <c r="H4488"/>
      <c r="I4488"/>
      <c r="J4488"/>
    </row>
    <row r="4489" spans="1:10" x14ac:dyDescent="0.25">
      <c r="A4489" s="90">
        <v>41670</v>
      </c>
      <c r="B4489" s="17">
        <v>36.01</v>
      </c>
      <c r="C4489" s="17"/>
      <c r="F4489"/>
      <c r="G4489"/>
      <c r="H4489"/>
      <c r="I4489"/>
      <c r="J4489"/>
    </row>
    <row r="4490" spans="1:10" x14ac:dyDescent="0.25">
      <c r="A4490" s="90">
        <v>41673</v>
      </c>
      <c r="B4490" s="17">
        <v>34.9</v>
      </c>
      <c r="C4490" s="17"/>
      <c r="F4490"/>
      <c r="G4490"/>
      <c r="H4490"/>
      <c r="I4490"/>
      <c r="J4490"/>
    </row>
    <row r="4491" spans="1:10" x14ac:dyDescent="0.25">
      <c r="A4491" s="90">
        <v>41674</v>
      </c>
      <c r="B4491" s="17">
        <v>35.659999999999997</v>
      </c>
      <c r="C4491" s="17"/>
      <c r="F4491"/>
      <c r="G4491"/>
      <c r="H4491"/>
      <c r="I4491"/>
      <c r="J4491"/>
    </row>
    <row r="4492" spans="1:10" x14ac:dyDescent="0.25">
      <c r="A4492" s="90">
        <v>41675</v>
      </c>
      <c r="B4492" s="17">
        <v>35.49</v>
      </c>
      <c r="C4492" s="17"/>
      <c r="F4492"/>
      <c r="G4492"/>
      <c r="H4492"/>
      <c r="I4492"/>
      <c r="J4492"/>
    </row>
    <row r="4493" spans="1:10" x14ac:dyDescent="0.25">
      <c r="A4493" s="90">
        <v>41676</v>
      </c>
      <c r="B4493" s="17">
        <v>36.24</v>
      </c>
      <c r="C4493" s="17"/>
      <c r="F4493"/>
      <c r="G4493"/>
      <c r="H4493"/>
      <c r="I4493"/>
      <c r="J4493"/>
    </row>
    <row r="4494" spans="1:10" x14ac:dyDescent="0.25">
      <c r="A4494" s="90">
        <v>41677</v>
      </c>
      <c r="B4494" s="17">
        <v>37.229999999999997</v>
      </c>
      <c r="C4494" s="17"/>
      <c r="F4494"/>
      <c r="G4494"/>
      <c r="H4494"/>
      <c r="I4494"/>
      <c r="J4494"/>
    </row>
    <row r="4495" spans="1:10" x14ac:dyDescent="0.25">
      <c r="A4495" s="90">
        <v>41680</v>
      </c>
      <c r="B4495" s="17">
        <v>37.76</v>
      </c>
      <c r="C4495" s="17"/>
      <c r="F4495"/>
      <c r="G4495"/>
      <c r="H4495"/>
      <c r="I4495"/>
      <c r="J4495"/>
    </row>
    <row r="4496" spans="1:10" x14ac:dyDescent="0.25">
      <c r="A4496" s="90">
        <v>41681</v>
      </c>
      <c r="B4496" s="17">
        <v>38.5</v>
      </c>
      <c r="C4496" s="17"/>
      <c r="F4496"/>
      <c r="G4496"/>
      <c r="H4496"/>
      <c r="I4496"/>
      <c r="J4496"/>
    </row>
    <row r="4497" spans="1:10" x14ac:dyDescent="0.25">
      <c r="A4497" s="90">
        <v>41682</v>
      </c>
      <c r="B4497" s="17">
        <v>38.11</v>
      </c>
      <c r="C4497" s="17"/>
      <c r="F4497"/>
      <c r="G4497"/>
      <c r="H4497"/>
      <c r="I4497"/>
      <c r="J4497"/>
    </row>
    <row r="4498" spans="1:10" x14ac:dyDescent="0.25">
      <c r="A4498" s="90">
        <v>41683</v>
      </c>
      <c r="B4498" s="17">
        <v>38.520000000000003</v>
      </c>
      <c r="C4498" s="17"/>
      <c r="F4498"/>
      <c r="G4498"/>
      <c r="H4498"/>
      <c r="I4498"/>
      <c r="J4498"/>
    </row>
    <row r="4499" spans="1:10" x14ac:dyDescent="0.25">
      <c r="A4499" s="90">
        <v>41684</v>
      </c>
      <c r="B4499" s="17">
        <v>38.229999999999997</v>
      </c>
      <c r="C4499" s="17"/>
      <c r="F4499"/>
      <c r="G4499"/>
      <c r="H4499"/>
      <c r="I4499"/>
      <c r="J4499"/>
    </row>
    <row r="4500" spans="1:10" x14ac:dyDescent="0.25">
      <c r="A4500" s="90">
        <v>41688</v>
      </c>
      <c r="B4500" s="17">
        <v>38.31</v>
      </c>
      <c r="C4500" s="17"/>
      <c r="F4500"/>
      <c r="G4500"/>
      <c r="H4500"/>
      <c r="I4500"/>
      <c r="J4500"/>
    </row>
    <row r="4501" spans="1:10" x14ac:dyDescent="0.25">
      <c r="A4501" s="90">
        <v>41689</v>
      </c>
      <c r="B4501" s="17">
        <v>37.81</v>
      </c>
      <c r="C4501" s="17"/>
      <c r="F4501"/>
      <c r="G4501"/>
      <c r="H4501"/>
      <c r="I4501"/>
      <c r="J4501"/>
    </row>
    <row r="4502" spans="1:10" x14ac:dyDescent="0.25">
      <c r="A4502" s="90">
        <v>41690</v>
      </c>
      <c r="B4502" s="17">
        <v>37.79</v>
      </c>
      <c r="C4502" s="17"/>
      <c r="F4502"/>
      <c r="G4502"/>
      <c r="H4502"/>
      <c r="I4502"/>
      <c r="J4502"/>
    </row>
    <row r="4503" spans="1:10" x14ac:dyDescent="0.25">
      <c r="A4503" s="90">
        <v>41691</v>
      </c>
      <c r="B4503" s="17">
        <v>37.29</v>
      </c>
      <c r="C4503" s="17"/>
      <c r="F4503"/>
      <c r="G4503"/>
      <c r="H4503"/>
      <c r="I4503"/>
      <c r="J4503"/>
    </row>
    <row r="4504" spans="1:10" x14ac:dyDescent="0.25">
      <c r="A4504" s="90">
        <v>41694</v>
      </c>
      <c r="B4504" s="17">
        <v>37.42</v>
      </c>
      <c r="C4504" s="17"/>
      <c r="F4504"/>
      <c r="G4504"/>
      <c r="H4504"/>
      <c r="I4504"/>
      <c r="J4504"/>
    </row>
    <row r="4505" spans="1:10" x14ac:dyDescent="0.25">
      <c r="A4505" s="90">
        <v>41695</v>
      </c>
      <c r="B4505" s="17">
        <v>37.26</v>
      </c>
      <c r="C4505" s="17"/>
      <c r="F4505"/>
      <c r="G4505"/>
      <c r="H4505"/>
      <c r="I4505"/>
      <c r="J4505"/>
    </row>
    <row r="4506" spans="1:10" x14ac:dyDescent="0.25">
      <c r="A4506" s="90">
        <v>41696</v>
      </c>
      <c r="B4506" s="17">
        <v>37.619999999999997</v>
      </c>
      <c r="C4506" s="17"/>
      <c r="F4506"/>
      <c r="G4506"/>
      <c r="H4506"/>
      <c r="I4506"/>
      <c r="J4506"/>
    </row>
    <row r="4507" spans="1:10" x14ac:dyDescent="0.25">
      <c r="A4507" s="90">
        <v>41697</v>
      </c>
      <c r="B4507" s="17">
        <v>38.47</v>
      </c>
      <c r="C4507" s="17"/>
      <c r="F4507"/>
      <c r="G4507"/>
      <c r="H4507"/>
      <c r="I4507"/>
      <c r="J4507"/>
    </row>
    <row r="4508" spans="1:10" x14ac:dyDescent="0.25">
      <c r="A4508" s="90">
        <v>41698</v>
      </c>
      <c r="B4508" s="17">
        <v>38.67</v>
      </c>
      <c r="C4508" s="17"/>
      <c r="F4508"/>
      <c r="G4508"/>
      <c r="H4508"/>
      <c r="I4508"/>
      <c r="J4508"/>
    </row>
    <row r="4509" spans="1:10" x14ac:dyDescent="0.25">
      <c r="A4509" s="90">
        <v>41701</v>
      </c>
      <c r="B4509" s="17">
        <v>38.25</v>
      </c>
      <c r="C4509" s="17"/>
      <c r="F4509"/>
      <c r="G4509"/>
      <c r="H4509"/>
      <c r="I4509"/>
      <c r="J4509"/>
    </row>
    <row r="4510" spans="1:10" x14ac:dyDescent="0.25">
      <c r="A4510" s="90">
        <v>41702</v>
      </c>
      <c r="B4510" s="17">
        <v>39.630000000000003</v>
      </c>
      <c r="C4510" s="17"/>
      <c r="F4510"/>
      <c r="G4510"/>
      <c r="H4510"/>
      <c r="I4510"/>
      <c r="J4510"/>
    </row>
    <row r="4511" spans="1:10" x14ac:dyDescent="0.25">
      <c r="A4511" s="90">
        <v>41703</v>
      </c>
      <c r="B4511" s="17">
        <v>39.5</v>
      </c>
      <c r="C4511" s="17"/>
      <c r="F4511"/>
      <c r="G4511"/>
      <c r="H4511"/>
      <c r="I4511"/>
      <c r="J4511"/>
    </row>
    <row r="4512" spans="1:10" x14ac:dyDescent="0.25">
      <c r="A4512" s="90">
        <v>41704</v>
      </c>
      <c r="B4512" s="17">
        <v>39.659999999999997</v>
      </c>
      <c r="C4512" s="17"/>
      <c r="F4512"/>
      <c r="G4512"/>
      <c r="H4512"/>
      <c r="I4512"/>
      <c r="J4512"/>
    </row>
    <row r="4513" spans="1:10" x14ac:dyDescent="0.25">
      <c r="A4513" s="90">
        <v>41705</v>
      </c>
      <c r="B4513" s="17">
        <v>38.700000000000003</v>
      </c>
      <c r="C4513" s="17"/>
      <c r="F4513"/>
      <c r="G4513"/>
      <c r="H4513"/>
      <c r="I4513"/>
      <c r="J4513"/>
    </row>
    <row r="4514" spans="1:10" x14ac:dyDescent="0.25">
      <c r="A4514" s="90">
        <v>41708</v>
      </c>
      <c r="B4514" s="17">
        <v>38.049999999999997</v>
      </c>
      <c r="C4514" s="17"/>
      <c r="F4514"/>
      <c r="G4514"/>
      <c r="H4514"/>
      <c r="I4514"/>
      <c r="J4514"/>
    </row>
    <row r="4515" spans="1:10" x14ac:dyDescent="0.25">
      <c r="A4515" s="90">
        <v>41709</v>
      </c>
      <c r="B4515" s="17">
        <v>37.56</v>
      </c>
      <c r="C4515" s="17"/>
      <c r="F4515"/>
      <c r="G4515"/>
      <c r="H4515"/>
      <c r="I4515"/>
      <c r="J4515"/>
    </row>
    <row r="4516" spans="1:10" x14ac:dyDescent="0.25">
      <c r="A4516" s="90">
        <v>41710</v>
      </c>
      <c r="B4516" s="17">
        <v>37.5</v>
      </c>
      <c r="C4516" s="17"/>
      <c r="F4516"/>
      <c r="G4516"/>
      <c r="H4516"/>
      <c r="I4516"/>
      <c r="J4516"/>
    </row>
    <row r="4517" spans="1:10" x14ac:dyDescent="0.25">
      <c r="A4517" s="90">
        <v>41711</v>
      </c>
      <c r="B4517" s="17">
        <v>37.229999999999997</v>
      </c>
      <c r="C4517" s="17"/>
      <c r="F4517"/>
      <c r="G4517"/>
      <c r="H4517"/>
      <c r="I4517"/>
      <c r="J4517"/>
    </row>
    <row r="4518" spans="1:10" x14ac:dyDescent="0.25">
      <c r="A4518" s="90">
        <v>41712</v>
      </c>
      <c r="B4518" s="17">
        <v>37.6</v>
      </c>
      <c r="C4518" s="17"/>
      <c r="F4518"/>
      <c r="G4518"/>
      <c r="H4518"/>
      <c r="I4518"/>
      <c r="J4518"/>
    </row>
    <row r="4519" spans="1:10" x14ac:dyDescent="0.25">
      <c r="A4519" s="90">
        <v>41715</v>
      </c>
      <c r="B4519" s="17">
        <v>39.11</v>
      </c>
      <c r="C4519" s="17"/>
      <c r="F4519"/>
      <c r="G4519"/>
      <c r="H4519"/>
      <c r="I4519"/>
      <c r="J4519"/>
    </row>
    <row r="4520" spans="1:10" x14ac:dyDescent="0.25">
      <c r="A4520" s="90">
        <v>41716</v>
      </c>
      <c r="B4520" s="17">
        <v>39.450000000000003</v>
      </c>
      <c r="C4520" s="17"/>
      <c r="F4520"/>
      <c r="G4520"/>
      <c r="H4520"/>
      <c r="I4520"/>
      <c r="J4520"/>
    </row>
    <row r="4521" spans="1:10" x14ac:dyDescent="0.25">
      <c r="A4521" s="90">
        <v>41717</v>
      </c>
      <c r="B4521" s="17">
        <v>38.61</v>
      </c>
      <c r="C4521" s="17"/>
      <c r="F4521"/>
      <c r="G4521"/>
      <c r="H4521"/>
      <c r="I4521"/>
      <c r="J4521"/>
    </row>
    <row r="4522" spans="1:10" x14ac:dyDescent="0.25">
      <c r="A4522" s="90">
        <v>41718</v>
      </c>
      <c r="B4522" s="17">
        <v>37.770000000000003</v>
      </c>
      <c r="C4522" s="17"/>
      <c r="F4522"/>
      <c r="G4522"/>
      <c r="H4522"/>
      <c r="I4522"/>
      <c r="J4522"/>
    </row>
    <row r="4523" spans="1:10" x14ac:dyDescent="0.25">
      <c r="A4523" s="90">
        <v>41719</v>
      </c>
      <c r="B4523" s="17">
        <v>37.94</v>
      </c>
      <c r="C4523" s="17"/>
      <c r="F4523"/>
      <c r="G4523"/>
      <c r="H4523"/>
      <c r="I4523"/>
      <c r="J4523"/>
    </row>
    <row r="4524" spans="1:10" x14ac:dyDescent="0.25">
      <c r="A4524" s="90">
        <v>41722</v>
      </c>
      <c r="B4524" s="17">
        <v>36.68</v>
      </c>
      <c r="C4524" s="17"/>
      <c r="F4524"/>
      <c r="G4524"/>
      <c r="H4524"/>
      <c r="I4524"/>
      <c r="J4524"/>
    </row>
    <row r="4525" spans="1:10" x14ac:dyDescent="0.25">
      <c r="A4525" s="90">
        <v>41723</v>
      </c>
      <c r="B4525" s="17">
        <v>35.93</v>
      </c>
      <c r="C4525" s="17"/>
      <c r="F4525"/>
      <c r="G4525"/>
      <c r="H4525"/>
      <c r="I4525"/>
      <c r="J4525"/>
    </row>
    <row r="4526" spans="1:10" x14ac:dyDescent="0.25">
      <c r="A4526" s="90">
        <v>41724</v>
      </c>
      <c r="B4526" s="17">
        <v>35.450000000000003</v>
      </c>
      <c r="C4526" s="17"/>
      <c r="F4526"/>
      <c r="G4526"/>
      <c r="H4526"/>
      <c r="I4526"/>
      <c r="J4526"/>
    </row>
    <row r="4527" spans="1:10" x14ac:dyDescent="0.25">
      <c r="A4527" s="90">
        <v>41725</v>
      </c>
      <c r="B4527" s="17">
        <v>35.590000000000003</v>
      </c>
      <c r="C4527" s="17"/>
      <c r="F4527"/>
      <c r="G4527"/>
      <c r="H4527"/>
      <c r="I4527"/>
      <c r="J4527"/>
    </row>
    <row r="4528" spans="1:10" x14ac:dyDescent="0.25">
      <c r="A4528" s="90">
        <v>41726</v>
      </c>
      <c r="B4528" s="17">
        <v>35.9</v>
      </c>
      <c r="C4528" s="17"/>
      <c r="F4528"/>
      <c r="G4528"/>
      <c r="H4528"/>
      <c r="I4528"/>
      <c r="J4528"/>
    </row>
    <row r="4529" spans="1:10" x14ac:dyDescent="0.25">
      <c r="A4529" s="90">
        <v>41729</v>
      </c>
      <c r="B4529" s="17">
        <v>35.9</v>
      </c>
      <c r="C4529" s="17"/>
      <c r="F4529"/>
      <c r="G4529"/>
      <c r="H4529"/>
      <c r="I4529"/>
      <c r="J4529"/>
    </row>
    <row r="4530" spans="1:10" x14ac:dyDescent="0.25">
      <c r="A4530" s="90">
        <v>41730</v>
      </c>
      <c r="B4530" s="17">
        <v>36.49</v>
      </c>
      <c r="C4530" s="17"/>
      <c r="F4530"/>
      <c r="G4530"/>
      <c r="H4530"/>
      <c r="I4530"/>
      <c r="J4530"/>
    </row>
    <row r="4531" spans="1:10" x14ac:dyDescent="0.25">
      <c r="A4531" s="90">
        <v>41731</v>
      </c>
      <c r="B4531" s="17">
        <v>36.64</v>
      </c>
      <c r="C4531" s="17"/>
      <c r="F4531"/>
      <c r="G4531"/>
      <c r="H4531"/>
      <c r="I4531"/>
      <c r="J4531"/>
    </row>
    <row r="4532" spans="1:10" x14ac:dyDescent="0.25">
      <c r="A4532" s="90">
        <v>41732</v>
      </c>
      <c r="B4532" s="17">
        <v>35.76</v>
      </c>
      <c r="C4532" s="17"/>
      <c r="F4532"/>
      <c r="G4532"/>
      <c r="H4532"/>
      <c r="I4532"/>
      <c r="J4532"/>
    </row>
    <row r="4533" spans="1:10" x14ac:dyDescent="0.25">
      <c r="A4533" s="90">
        <v>41733</v>
      </c>
      <c r="B4533" s="17">
        <v>34.26</v>
      </c>
      <c r="C4533" s="17"/>
      <c r="F4533"/>
      <c r="G4533"/>
      <c r="H4533"/>
      <c r="I4533"/>
      <c r="J4533"/>
    </row>
    <row r="4534" spans="1:10" x14ac:dyDescent="0.25">
      <c r="A4534" s="90">
        <v>41736</v>
      </c>
      <c r="B4534" s="17">
        <v>33.07</v>
      </c>
      <c r="C4534" s="17"/>
      <c r="F4534"/>
      <c r="G4534"/>
      <c r="H4534"/>
      <c r="I4534"/>
      <c r="J4534"/>
    </row>
    <row r="4535" spans="1:10" x14ac:dyDescent="0.25">
      <c r="A4535" s="90">
        <v>41737</v>
      </c>
      <c r="B4535" s="17">
        <v>33.83</v>
      </c>
      <c r="C4535" s="17"/>
      <c r="F4535"/>
      <c r="G4535"/>
      <c r="H4535"/>
      <c r="I4535"/>
      <c r="J4535"/>
    </row>
    <row r="4536" spans="1:10" x14ac:dyDescent="0.25">
      <c r="A4536" s="90">
        <v>41738</v>
      </c>
      <c r="B4536" s="17">
        <v>34.869999999999997</v>
      </c>
      <c r="C4536" s="17"/>
      <c r="F4536"/>
      <c r="G4536"/>
      <c r="H4536"/>
      <c r="I4536"/>
      <c r="J4536"/>
    </row>
    <row r="4537" spans="1:10" x14ac:dyDescent="0.25">
      <c r="A4537" s="90">
        <v>41739</v>
      </c>
      <c r="B4537" s="17">
        <v>33.4</v>
      </c>
      <c r="C4537" s="17"/>
      <c r="F4537"/>
      <c r="G4537"/>
      <c r="H4537"/>
      <c r="I4537"/>
      <c r="J4537"/>
    </row>
    <row r="4538" spans="1:10" x14ac:dyDescent="0.25">
      <c r="A4538" s="90">
        <v>41740</v>
      </c>
      <c r="B4538" s="17">
        <v>32.869999999999997</v>
      </c>
      <c r="C4538" s="17"/>
      <c r="F4538"/>
      <c r="G4538"/>
      <c r="H4538"/>
      <c r="I4538"/>
      <c r="J4538"/>
    </row>
    <row r="4539" spans="1:10" x14ac:dyDescent="0.25">
      <c r="A4539" s="90">
        <v>41743</v>
      </c>
      <c r="B4539" s="17">
        <v>33.450000000000003</v>
      </c>
      <c r="C4539" s="17"/>
      <c r="F4539"/>
      <c r="G4539"/>
      <c r="H4539"/>
      <c r="I4539"/>
      <c r="J4539"/>
    </row>
    <row r="4540" spans="1:10" x14ac:dyDescent="0.25">
      <c r="A4540" s="90">
        <v>41744</v>
      </c>
      <c r="B4540" s="17">
        <v>34.21</v>
      </c>
      <c r="C4540" s="17"/>
      <c r="F4540"/>
      <c r="G4540"/>
      <c r="H4540"/>
      <c r="I4540"/>
      <c r="J4540"/>
    </row>
    <row r="4541" spans="1:10" x14ac:dyDescent="0.25">
      <c r="A4541" s="90">
        <v>41745</v>
      </c>
      <c r="B4541" s="17">
        <v>36.35</v>
      </c>
      <c r="C4541" s="17"/>
      <c r="F4541"/>
      <c r="G4541"/>
      <c r="H4541"/>
      <c r="I4541"/>
      <c r="J4541"/>
    </row>
    <row r="4542" spans="1:10" x14ac:dyDescent="0.25">
      <c r="A4542" s="90">
        <v>41746</v>
      </c>
      <c r="B4542" s="17">
        <v>36.380000000000003</v>
      </c>
      <c r="C4542" s="17"/>
      <c r="F4542"/>
      <c r="G4542"/>
      <c r="H4542"/>
      <c r="I4542"/>
      <c r="J4542"/>
    </row>
    <row r="4543" spans="1:10" x14ac:dyDescent="0.25">
      <c r="A4543" s="90">
        <v>41750</v>
      </c>
      <c r="B4543" s="17">
        <v>36.4</v>
      </c>
      <c r="C4543" s="17"/>
      <c r="F4543"/>
      <c r="G4543"/>
      <c r="H4543"/>
      <c r="I4543"/>
      <c r="J4543"/>
    </row>
    <row r="4544" spans="1:10" x14ac:dyDescent="0.25">
      <c r="A4544" s="90">
        <v>41751</v>
      </c>
      <c r="B4544" s="17">
        <v>36.14</v>
      </c>
      <c r="C4544" s="17"/>
      <c r="F4544"/>
      <c r="G4544"/>
      <c r="H4544"/>
      <c r="I4544"/>
      <c r="J4544"/>
    </row>
    <row r="4545" spans="1:10" x14ac:dyDescent="0.25">
      <c r="A4545" s="90">
        <v>41752</v>
      </c>
      <c r="B4545" s="17">
        <v>35.44</v>
      </c>
      <c r="C4545" s="17"/>
      <c r="F4545"/>
      <c r="G4545"/>
      <c r="H4545"/>
      <c r="I4545"/>
      <c r="J4545"/>
    </row>
    <row r="4546" spans="1:10" x14ac:dyDescent="0.25">
      <c r="A4546" s="90">
        <v>41753</v>
      </c>
      <c r="B4546" s="17">
        <v>35.24</v>
      </c>
      <c r="C4546" s="17"/>
      <c r="F4546"/>
      <c r="G4546"/>
      <c r="H4546"/>
      <c r="I4546"/>
      <c r="J4546"/>
    </row>
    <row r="4547" spans="1:10" x14ac:dyDescent="0.25">
      <c r="A4547" s="90">
        <v>41754</v>
      </c>
      <c r="B4547" s="17">
        <v>34.479999999999997</v>
      </c>
      <c r="C4547" s="17"/>
      <c r="F4547"/>
      <c r="G4547"/>
      <c r="H4547"/>
      <c r="I4547"/>
      <c r="J4547"/>
    </row>
    <row r="4548" spans="1:10" x14ac:dyDescent="0.25">
      <c r="A4548" s="90">
        <v>41757</v>
      </c>
      <c r="B4548" s="17">
        <v>33.99</v>
      </c>
      <c r="C4548" s="17"/>
      <c r="F4548"/>
      <c r="G4548"/>
      <c r="H4548"/>
      <c r="I4548"/>
      <c r="J4548"/>
    </row>
    <row r="4549" spans="1:10" x14ac:dyDescent="0.25">
      <c r="A4549" s="90">
        <v>41758</v>
      </c>
      <c r="B4549" s="17">
        <v>35.83</v>
      </c>
      <c r="C4549" s="17"/>
      <c r="F4549"/>
      <c r="G4549"/>
      <c r="H4549"/>
      <c r="I4549"/>
      <c r="J4549"/>
    </row>
    <row r="4550" spans="1:10" x14ac:dyDescent="0.25">
      <c r="A4550" s="90">
        <v>41759</v>
      </c>
      <c r="B4550" s="17">
        <v>35.950000000000003</v>
      </c>
      <c r="C4550" s="17"/>
      <c r="F4550"/>
      <c r="G4550"/>
      <c r="H4550"/>
      <c r="I4550"/>
      <c r="J4550"/>
    </row>
    <row r="4551" spans="1:10" x14ac:dyDescent="0.25">
      <c r="A4551" s="90">
        <v>41760</v>
      </c>
      <c r="B4551" s="17">
        <v>36.51</v>
      </c>
      <c r="C4551" s="17"/>
      <c r="F4551"/>
      <c r="G4551"/>
      <c r="H4551"/>
      <c r="I4551"/>
      <c r="J4551"/>
    </row>
    <row r="4552" spans="1:10" x14ac:dyDescent="0.25">
      <c r="A4552" s="90">
        <v>41761</v>
      </c>
      <c r="B4552" s="17">
        <v>36.869999999999997</v>
      </c>
      <c r="C4552" s="17"/>
      <c r="F4552"/>
      <c r="G4552"/>
      <c r="H4552"/>
      <c r="I4552"/>
      <c r="J4552"/>
    </row>
    <row r="4553" spans="1:10" x14ac:dyDescent="0.25">
      <c r="A4553" s="90">
        <v>41764</v>
      </c>
      <c r="B4553" s="17">
        <v>36.909999999999997</v>
      </c>
      <c r="C4553" s="17"/>
      <c r="F4553"/>
      <c r="G4553"/>
      <c r="H4553"/>
      <c r="I4553"/>
      <c r="J4553"/>
    </row>
    <row r="4554" spans="1:10" x14ac:dyDescent="0.25">
      <c r="A4554" s="90">
        <v>41765</v>
      </c>
      <c r="B4554" s="17">
        <v>36.49</v>
      </c>
      <c r="C4554" s="17"/>
      <c r="F4554"/>
      <c r="G4554"/>
      <c r="H4554"/>
      <c r="I4554"/>
      <c r="J4554"/>
    </row>
    <row r="4555" spans="1:10" x14ac:dyDescent="0.25">
      <c r="A4555" s="90">
        <v>41766</v>
      </c>
      <c r="B4555" s="17">
        <v>34.07</v>
      </c>
      <c r="C4555" s="17"/>
      <c r="F4555"/>
      <c r="G4555"/>
      <c r="H4555"/>
      <c r="I4555"/>
      <c r="J4555"/>
    </row>
    <row r="4556" spans="1:10" x14ac:dyDescent="0.25">
      <c r="A4556" s="90">
        <v>41767</v>
      </c>
      <c r="B4556" s="17">
        <v>33.92</v>
      </c>
      <c r="C4556" s="17"/>
      <c r="F4556"/>
      <c r="G4556"/>
      <c r="H4556"/>
      <c r="I4556"/>
      <c r="J4556"/>
    </row>
    <row r="4557" spans="1:10" x14ac:dyDescent="0.25">
      <c r="A4557" s="90">
        <v>41768</v>
      </c>
      <c r="B4557" s="17">
        <v>33.76</v>
      </c>
      <c r="C4557" s="17"/>
      <c r="F4557"/>
      <c r="G4557"/>
      <c r="H4557"/>
      <c r="I4557"/>
      <c r="J4557"/>
    </row>
    <row r="4558" spans="1:10" x14ac:dyDescent="0.25">
      <c r="A4558" s="90">
        <v>41771</v>
      </c>
      <c r="B4558" s="17">
        <v>34.450000000000003</v>
      </c>
      <c r="C4558" s="17"/>
      <c r="F4558"/>
      <c r="G4558"/>
      <c r="H4558"/>
      <c r="I4558"/>
      <c r="J4558"/>
    </row>
    <row r="4559" spans="1:10" x14ac:dyDescent="0.25">
      <c r="A4559" s="90">
        <v>41772</v>
      </c>
      <c r="B4559" s="17">
        <v>34.4</v>
      </c>
      <c r="C4559" s="17"/>
      <c r="F4559"/>
      <c r="G4559"/>
      <c r="H4559"/>
      <c r="I4559"/>
      <c r="J4559"/>
    </row>
    <row r="4560" spans="1:10" x14ac:dyDescent="0.25">
      <c r="A4560" s="90">
        <v>41773</v>
      </c>
      <c r="B4560" s="17">
        <v>34.17</v>
      </c>
      <c r="C4560" s="17"/>
      <c r="F4560"/>
      <c r="G4560"/>
      <c r="H4560"/>
      <c r="I4560"/>
      <c r="J4560"/>
    </row>
    <row r="4561" spans="1:10" x14ac:dyDescent="0.25">
      <c r="A4561" s="90">
        <v>41774</v>
      </c>
      <c r="B4561" s="17">
        <v>33.799999999999997</v>
      </c>
      <c r="C4561" s="17"/>
      <c r="F4561"/>
      <c r="G4561"/>
      <c r="H4561"/>
      <c r="I4561"/>
      <c r="J4561"/>
    </row>
    <row r="4562" spans="1:10" x14ac:dyDescent="0.25">
      <c r="A4562" s="90">
        <v>41775</v>
      </c>
      <c r="B4562" s="17">
        <v>33.409999999999997</v>
      </c>
      <c r="C4562" s="17"/>
      <c r="F4562"/>
      <c r="G4562"/>
      <c r="H4562"/>
      <c r="I4562"/>
      <c r="J4562"/>
    </row>
    <row r="4563" spans="1:10" x14ac:dyDescent="0.25">
      <c r="A4563" s="90">
        <v>41778</v>
      </c>
      <c r="B4563" s="17">
        <v>33.89</v>
      </c>
      <c r="C4563" s="17"/>
      <c r="F4563"/>
      <c r="G4563"/>
      <c r="H4563"/>
      <c r="I4563"/>
      <c r="J4563"/>
    </row>
    <row r="4564" spans="1:10" x14ac:dyDescent="0.25">
      <c r="A4564" s="90">
        <v>41779</v>
      </c>
      <c r="B4564" s="17">
        <v>33.869999999999997</v>
      </c>
      <c r="C4564" s="17"/>
      <c r="F4564"/>
      <c r="G4564"/>
      <c r="H4564"/>
      <c r="I4564"/>
      <c r="J4564"/>
    </row>
    <row r="4565" spans="1:10" x14ac:dyDescent="0.25">
      <c r="A4565" s="90">
        <v>41780</v>
      </c>
      <c r="B4565" s="17">
        <v>34.36</v>
      </c>
      <c r="C4565" s="17"/>
      <c r="F4565"/>
      <c r="G4565"/>
      <c r="H4565"/>
      <c r="I4565"/>
      <c r="J4565"/>
    </row>
    <row r="4566" spans="1:10" x14ac:dyDescent="0.25">
      <c r="A4566" s="90">
        <v>41781</v>
      </c>
      <c r="B4566" s="17">
        <v>34.700000000000003</v>
      </c>
      <c r="C4566" s="17"/>
      <c r="F4566"/>
      <c r="G4566"/>
      <c r="H4566"/>
      <c r="I4566"/>
      <c r="J4566"/>
    </row>
    <row r="4567" spans="1:10" x14ac:dyDescent="0.25">
      <c r="A4567" s="90">
        <v>41782</v>
      </c>
      <c r="B4567" s="17">
        <v>35.020000000000003</v>
      </c>
      <c r="C4567" s="17"/>
      <c r="F4567"/>
      <c r="G4567"/>
      <c r="H4567"/>
      <c r="I4567"/>
      <c r="J4567"/>
    </row>
    <row r="4568" spans="1:10" x14ac:dyDescent="0.25">
      <c r="A4568" s="90">
        <v>41786</v>
      </c>
      <c r="B4568" s="17">
        <v>35.119999999999997</v>
      </c>
      <c r="C4568" s="17"/>
      <c r="F4568"/>
      <c r="G4568"/>
      <c r="H4568"/>
      <c r="I4568"/>
      <c r="J4568"/>
    </row>
    <row r="4569" spans="1:10" x14ac:dyDescent="0.25">
      <c r="A4569" s="90">
        <v>41787</v>
      </c>
      <c r="B4569" s="17">
        <v>34.78</v>
      </c>
      <c r="C4569" s="17"/>
      <c r="F4569"/>
      <c r="G4569"/>
      <c r="H4569"/>
      <c r="I4569"/>
      <c r="J4569"/>
    </row>
    <row r="4570" spans="1:10" x14ac:dyDescent="0.25">
      <c r="A4570" s="90">
        <v>41788</v>
      </c>
      <c r="B4570" s="17">
        <v>34.9</v>
      </c>
      <c r="C4570" s="17"/>
      <c r="F4570"/>
      <c r="G4570"/>
      <c r="H4570"/>
      <c r="I4570"/>
      <c r="J4570"/>
    </row>
    <row r="4571" spans="1:10" x14ac:dyDescent="0.25">
      <c r="A4571" s="90">
        <v>41789</v>
      </c>
      <c r="B4571" s="17">
        <v>34.65</v>
      </c>
      <c r="C4571" s="17"/>
      <c r="F4571"/>
      <c r="G4571"/>
      <c r="H4571"/>
      <c r="I4571"/>
      <c r="J4571"/>
    </row>
    <row r="4572" spans="1:10" x14ac:dyDescent="0.25">
      <c r="A4572" s="90">
        <v>41792</v>
      </c>
      <c r="B4572" s="17">
        <v>34.869999999999997</v>
      </c>
      <c r="C4572" s="17"/>
      <c r="F4572"/>
      <c r="G4572"/>
      <c r="H4572"/>
      <c r="I4572"/>
      <c r="J4572"/>
    </row>
    <row r="4573" spans="1:10" x14ac:dyDescent="0.25">
      <c r="A4573" s="90">
        <v>41793</v>
      </c>
      <c r="B4573" s="17">
        <v>34.65</v>
      </c>
      <c r="C4573" s="17"/>
      <c r="F4573"/>
      <c r="G4573"/>
      <c r="H4573"/>
      <c r="I4573"/>
      <c r="J4573"/>
    </row>
    <row r="4574" spans="1:10" x14ac:dyDescent="0.25">
      <c r="A4574" s="90">
        <v>41794</v>
      </c>
      <c r="B4574" s="17">
        <v>34.729999999999997</v>
      </c>
      <c r="C4574" s="17"/>
      <c r="F4574"/>
      <c r="G4574"/>
      <c r="H4574"/>
      <c r="I4574"/>
      <c r="J4574"/>
    </row>
    <row r="4575" spans="1:10" x14ac:dyDescent="0.25">
      <c r="A4575" s="90">
        <v>41795</v>
      </c>
      <c r="B4575" s="17">
        <v>34.94</v>
      </c>
      <c r="C4575" s="17"/>
      <c r="F4575"/>
      <c r="G4575"/>
      <c r="H4575"/>
      <c r="I4575"/>
      <c r="J4575"/>
    </row>
    <row r="4576" spans="1:10" x14ac:dyDescent="0.25">
      <c r="A4576" s="90">
        <v>41796</v>
      </c>
      <c r="B4576" s="17">
        <v>35.92</v>
      </c>
      <c r="C4576" s="17"/>
      <c r="F4576"/>
      <c r="G4576"/>
      <c r="H4576"/>
      <c r="I4576"/>
      <c r="J4576"/>
    </row>
    <row r="4577" spans="1:10" x14ac:dyDescent="0.25">
      <c r="A4577" s="90">
        <v>41799</v>
      </c>
      <c r="B4577" s="17">
        <v>36.04</v>
      </c>
      <c r="C4577" s="17"/>
      <c r="F4577"/>
      <c r="G4577"/>
      <c r="H4577"/>
      <c r="I4577"/>
      <c r="J4577"/>
    </row>
    <row r="4578" spans="1:10" x14ac:dyDescent="0.25">
      <c r="A4578" s="90">
        <v>41800</v>
      </c>
      <c r="B4578" s="17">
        <v>36.31</v>
      </c>
      <c r="C4578" s="17"/>
      <c r="F4578"/>
      <c r="G4578"/>
      <c r="H4578"/>
      <c r="I4578"/>
      <c r="J4578"/>
    </row>
    <row r="4579" spans="1:10" x14ac:dyDescent="0.25">
      <c r="A4579" s="90">
        <v>41801</v>
      </c>
      <c r="B4579" s="17">
        <v>36.630000000000003</v>
      </c>
      <c r="C4579" s="17"/>
      <c r="F4579"/>
      <c r="G4579"/>
      <c r="H4579"/>
      <c r="I4579"/>
      <c r="J4579"/>
    </row>
    <row r="4580" spans="1:10" x14ac:dyDescent="0.25">
      <c r="A4580" s="90">
        <v>41802</v>
      </c>
      <c r="B4580" s="17">
        <v>36.78</v>
      </c>
      <c r="C4580" s="17"/>
      <c r="F4580"/>
      <c r="G4580"/>
      <c r="H4580"/>
      <c r="I4580"/>
      <c r="J4580"/>
    </row>
    <row r="4581" spans="1:10" x14ac:dyDescent="0.25">
      <c r="A4581" s="90">
        <v>41803</v>
      </c>
      <c r="B4581" s="17">
        <v>36.94</v>
      </c>
      <c r="C4581" s="17"/>
      <c r="F4581"/>
      <c r="G4581"/>
      <c r="H4581"/>
      <c r="I4581"/>
      <c r="J4581"/>
    </row>
    <row r="4582" spans="1:10" x14ac:dyDescent="0.25">
      <c r="A4582" s="90">
        <v>41806</v>
      </c>
      <c r="B4582" s="17">
        <v>34.81</v>
      </c>
      <c r="C4582" s="17"/>
      <c r="F4582"/>
      <c r="G4582"/>
      <c r="H4582"/>
      <c r="I4582"/>
      <c r="J4582"/>
    </row>
    <row r="4583" spans="1:10" x14ac:dyDescent="0.25">
      <c r="A4583" s="90">
        <v>41807</v>
      </c>
      <c r="B4583" s="17">
        <v>34.43</v>
      </c>
      <c r="C4583" s="17"/>
      <c r="F4583"/>
      <c r="G4583"/>
      <c r="H4583"/>
      <c r="I4583"/>
      <c r="J4583"/>
    </row>
    <row r="4584" spans="1:10" x14ac:dyDescent="0.25">
      <c r="A4584" s="90">
        <v>41808</v>
      </c>
      <c r="B4584" s="17">
        <v>34.94</v>
      </c>
      <c r="C4584" s="17"/>
      <c r="F4584"/>
      <c r="G4584"/>
      <c r="H4584"/>
      <c r="I4584"/>
      <c r="J4584"/>
    </row>
    <row r="4585" spans="1:10" x14ac:dyDescent="0.25">
      <c r="A4585" s="90">
        <v>41809</v>
      </c>
      <c r="B4585" s="17">
        <v>34.68</v>
      </c>
      <c r="C4585" s="17"/>
      <c r="F4585"/>
      <c r="G4585"/>
      <c r="H4585"/>
      <c r="I4585"/>
      <c r="J4585"/>
    </row>
    <row r="4586" spans="1:10" x14ac:dyDescent="0.25">
      <c r="A4586" s="90">
        <v>41810</v>
      </c>
      <c r="B4586" s="17">
        <v>34.049999999999997</v>
      </c>
      <c r="C4586" s="17"/>
      <c r="F4586"/>
      <c r="G4586"/>
      <c r="H4586"/>
      <c r="I4586"/>
      <c r="J4586"/>
    </row>
    <row r="4587" spans="1:10" x14ac:dyDescent="0.25">
      <c r="A4587" s="90">
        <v>41813</v>
      </c>
      <c r="B4587" s="17">
        <v>33.64</v>
      </c>
      <c r="C4587" s="17"/>
      <c r="F4587"/>
      <c r="G4587"/>
      <c r="H4587"/>
      <c r="I4587"/>
      <c r="J4587"/>
    </row>
    <row r="4588" spans="1:10" x14ac:dyDescent="0.25">
      <c r="A4588" s="90">
        <v>41814</v>
      </c>
      <c r="B4588" s="17">
        <v>33.479999999999997</v>
      </c>
      <c r="C4588" s="17"/>
      <c r="F4588"/>
      <c r="G4588"/>
      <c r="H4588"/>
      <c r="I4588"/>
      <c r="J4588"/>
    </row>
    <row r="4589" spans="1:10" x14ac:dyDescent="0.25">
      <c r="A4589" s="90">
        <v>41815</v>
      </c>
      <c r="B4589" s="17">
        <v>33.25</v>
      </c>
      <c r="C4589" s="17"/>
      <c r="F4589"/>
      <c r="G4589"/>
      <c r="H4589"/>
      <c r="I4589"/>
      <c r="J4589"/>
    </row>
    <row r="4590" spans="1:10" x14ac:dyDescent="0.25">
      <c r="A4590" s="90">
        <v>41816</v>
      </c>
      <c r="B4590" s="17">
        <v>33.659999999999997</v>
      </c>
      <c r="C4590" s="17"/>
      <c r="F4590"/>
      <c r="G4590"/>
      <c r="H4590"/>
      <c r="I4590"/>
      <c r="J4590"/>
    </row>
    <row r="4591" spans="1:10" x14ac:dyDescent="0.25">
      <c r="A4591" s="90">
        <v>41817</v>
      </c>
      <c r="B4591" s="17">
        <v>34.25</v>
      </c>
      <c r="C4591" s="17"/>
      <c r="F4591"/>
      <c r="G4591"/>
      <c r="H4591"/>
      <c r="I4591"/>
      <c r="J4591"/>
    </row>
    <row r="4592" spans="1:10" x14ac:dyDescent="0.25">
      <c r="A4592" s="90">
        <v>41820</v>
      </c>
      <c r="B4592" s="17">
        <v>35.130000000000003</v>
      </c>
      <c r="C4592" s="17"/>
      <c r="F4592"/>
      <c r="G4592"/>
      <c r="H4592"/>
      <c r="I4592"/>
      <c r="J4592"/>
    </row>
    <row r="4593" spans="1:10" x14ac:dyDescent="0.25">
      <c r="A4593" s="90">
        <v>41821</v>
      </c>
      <c r="B4593" s="17">
        <v>35.35</v>
      </c>
      <c r="C4593" s="17"/>
      <c r="F4593"/>
      <c r="G4593"/>
      <c r="H4593"/>
      <c r="I4593"/>
      <c r="J4593"/>
    </row>
    <row r="4594" spans="1:10" x14ac:dyDescent="0.25">
      <c r="A4594" s="90">
        <v>41822</v>
      </c>
      <c r="B4594" s="17">
        <v>35.880000000000003</v>
      </c>
      <c r="C4594" s="17"/>
      <c r="F4594"/>
      <c r="G4594"/>
      <c r="H4594"/>
      <c r="I4594"/>
      <c r="J4594"/>
    </row>
    <row r="4595" spans="1:10" x14ac:dyDescent="0.25">
      <c r="A4595" s="90">
        <v>41823</v>
      </c>
      <c r="B4595" s="17">
        <v>36.14</v>
      </c>
      <c r="C4595" s="17"/>
      <c r="F4595"/>
      <c r="G4595"/>
      <c r="H4595"/>
      <c r="I4595"/>
      <c r="J4595"/>
    </row>
    <row r="4596" spans="1:10" x14ac:dyDescent="0.25">
      <c r="A4596" s="90">
        <v>41827</v>
      </c>
      <c r="B4596" s="17">
        <v>35.520000000000003</v>
      </c>
      <c r="C4596" s="17"/>
      <c r="F4596"/>
      <c r="G4596"/>
      <c r="H4596"/>
      <c r="I4596"/>
      <c r="J4596"/>
    </row>
    <row r="4597" spans="1:10" x14ac:dyDescent="0.25">
      <c r="A4597" s="90">
        <v>41828</v>
      </c>
      <c r="B4597" s="17">
        <v>34.53</v>
      </c>
      <c r="C4597" s="17"/>
      <c r="F4597"/>
      <c r="G4597"/>
      <c r="H4597"/>
      <c r="I4597"/>
      <c r="J4597"/>
    </row>
    <row r="4598" spans="1:10" x14ac:dyDescent="0.25">
      <c r="A4598" s="90">
        <v>41829</v>
      </c>
      <c r="B4598" s="17">
        <v>34.85</v>
      </c>
      <c r="C4598" s="17"/>
      <c r="F4598"/>
      <c r="G4598"/>
      <c r="H4598"/>
      <c r="I4598"/>
      <c r="J4598"/>
    </row>
    <row r="4599" spans="1:10" x14ac:dyDescent="0.25">
      <c r="A4599" s="90">
        <v>41830</v>
      </c>
      <c r="B4599" s="17">
        <v>34.93</v>
      </c>
      <c r="C4599" s="17"/>
      <c r="F4599"/>
      <c r="G4599"/>
      <c r="H4599"/>
      <c r="I4599"/>
      <c r="J4599"/>
    </row>
    <row r="4600" spans="1:10" x14ac:dyDescent="0.25">
      <c r="A4600" s="90">
        <v>41831</v>
      </c>
      <c r="B4600" s="17">
        <v>35.43</v>
      </c>
      <c r="C4600" s="17"/>
      <c r="F4600"/>
      <c r="G4600"/>
      <c r="H4600"/>
      <c r="I4600"/>
      <c r="J4600"/>
    </row>
    <row r="4601" spans="1:10" x14ac:dyDescent="0.25">
      <c r="A4601" s="90">
        <v>41834</v>
      </c>
      <c r="B4601" s="17">
        <v>35.700000000000003</v>
      </c>
      <c r="C4601" s="17"/>
      <c r="F4601"/>
      <c r="G4601"/>
      <c r="H4601"/>
      <c r="I4601"/>
      <c r="J4601"/>
    </row>
    <row r="4602" spans="1:10" x14ac:dyDescent="0.25">
      <c r="A4602" s="90">
        <v>41835</v>
      </c>
      <c r="B4602" s="17">
        <v>35.61</v>
      </c>
      <c r="C4602" s="17"/>
      <c r="F4602"/>
      <c r="G4602"/>
      <c r="H4602"/>
      <c r="I4602"/>
      <c r="J4602"/>
    </row>
    <row r="4603" spans="1:10" x14ac:dyDescent="0.25">
      <c r="A4603" s="90">
        <v>41836</v>
      </c>
      <c r="B4603" s="17">
        <v>33.79</v>
      </c>
      <c r="C4603" s="17"/>
      <c r="F4603"/>
      <c r="G4603"/>
      <c r="H4603"/>
      <c r="I4603"/>
      <c r="J4603"/>
    </row>
    <row r="4604" spans="1:10" x14ac:dyDescent="0.25">
      <c r="A4604" s="90">
        <v>41837</v>
      </c>
      <c r="B4604" s="17">
        <v>33.21</v>
      </c>
      <c r="C4604" s="17"/>
      <c r="F4604"/>
      <c r="G4604"/>
      <c r="H4604"/>
      <c r="I4604"/>
      <c r="J4604"/>
    </row>
    <row r="4605" spans="1:10" x14ac:dyDescent="0.25">
      <c r="A4605" s="90">
        <v>41838</v>
      </c>
      <c r="B4605" s="17">
        <v>33.33</v>
      </c>
      <c r="C4605" s="17"/>
      <c r="F4605"/>
      <c r="G4605"/>
      <c r="H4605"/>
      <c r="I4605"/>
      <c r="J4605"/>
    </row>
    <row r="4606" spans="1:10" x14ac:dyDescent="0.25">
      <c r="A4606" s="90">
        <v>41841</v>
      </c>
      <c r="B4606" s="17">
        <v>33.28</v>
      </c>
      <c r="C4606" s="17"/>
      <c r="F4606"/>
      <c r="G4606"/>
      <c r="H4606"/>
      <c r="I4606"/>
      <c r="J4606"/>
    </row>
    <row r="4607" spans="1:10" x14ac:dyDescent="0.25">
      <c r="A4607" s="90">
        <v>41842</v>
      </c>
      <c r="B4607" s="17">
        <v>33.6</v>
      </c>
      <c r="C4607" s="17"/>
      <c r="F4607"/>
      <c r="G4607"/>
      <c r="H4607"/>
      <c r="I4607"/>
      <c r="J4607"/>
    </row>
    <row r="4608" spans="1:10" x14ac:dyDescent="0.25">
      <c r="A4608" s="90">
        <v>41843</v>
      </c>
      <c r="B4608" s="17">
        <v>34.71</v>
      </c>
      <c r="C4608" s="17"/>
      <c r="F4608"/>
      <c r="G4608"/>
      <c r="H4608"/>
      <c r="I4608"/>
      <c r="J4608"/>
    </row>
    <row r="4609" spans="1:10" x14ac:dyDescent="0.25">
      <c r="A4609" s="90">
        <v>41844</v>
      </c>
      <c r="B4609" s="17">
        <v>36.17</v>
      </c>
      <c r="C4609" s="17"/>
      <c r="F4609"/>
      <c r="G4609"/>
      <c r="H4609"/>
      <c r="I4609"/>
      <c r="J4609"/>
    </row>
    <row r="4610" spans="1:10" x14ac:dyDescent="0.25">
      <c r="A4610" s="90">
        <v>41845</v>
      </c>
      <c r="B4610" s="17">
        <v>36.119999999999997</v>
      </c>
      <c r="C4610" s="17"/>
      <c r="F4610"/>
      <c r="G4610"/>
      <c r="H4610"/>
      <c r="I4610"/>
      <c r="J4610"/>
    </row>
    <row r="4611" spans="1:10" x14ac:dyDescent="0.25">
      <c r="A4611" s="90">
        <v>41848</v>
      </c>
      <c r="B4611" s="17">
        <v>35.9</v>
      </c>
      <c r="C4611" s="17"/>
      <c r="F4611"/>
      <c r="G4611"/>
      <c r="H4611"/>
      <c r="I4611"/>
      <c r="J4611"/>
    </row>
    <row r="4612" spans="1:10" x14ac:dyDescent="0.25">
      <c r="A4612" s="90">
        <v>41849</v>
      </c>
      <c r="B4612" s="17">
        <v>35.68</v>
      </c>
      <c r="C4612" s="17"/>
      <c r="F4612"/>
      <c r="G4612"/>
      <c r="H4612"/>
      <c r="I4612"/>
      <c r="J4612"/>
    </row>
    <row r="4613" spans="1:10" x14ac:dyDescent="0.25">
      <c r="A4613" s="90">
        <v>41850</v>
      </c>
      <c r="B4613" s="17">
        <v>36.6</v>
      </c>
      <c r="C4613" s="17"/>
      <c r="F4613"/>
      <c r="G4613"/>
      <c r="H4613"/>
      <c r="I4613"/>
      <c r="J4613"/>
    </row>
    <row r="4614" spans="1:10" x14ac:dyDescent="0.25">
      <c r="A4614" s="90">
        <v>41851</v>
      </c>
      <c r="B4614" s="17">
        <v>35.81</v>
      </c>
      <c r="C4614" s="17"/>
      <c r="F4614"/>
      <c r="G4614"/>
      <c r="H4614"/>
      <c r="I4614"/>
      <c r="J4614"/>
    </row>
    <row r="4615" spans="1:10" x14ac:dyDescent="0.25">
      <c r="A4615" s="90">
        <v>41852</v>
      </c>
      <c r="B4615" s="17">
        <v>35.619999999999997</v>
      </c>
      <c r="C4615" s="17"/>
      <c r="F4615"/>
      <c r="G4615"/>
      <c r="H4615"/>
      <c r="I4615"/>
      <c r="J4615"/>
    </row>
    <row r="4616" spans="1:10" x14ac:dyDescent="0.25">
      <c r="A4616" s="90">
        <v>41855</v>
      </c>
      <c r="B4616" s="17">
        <v>36.53</v>
      </c>
      <c r="C4616" s="17"/>
      <c r="F4616"/>
      <c r="G4616"/>
      <c r="H4616"/>
      <c r="I4616"/>
      <c r="J4616"/>
    </row>
    <row r="4617" spans="1:10" x14ac:dyDescent="0.25">
      <c r="A4617" s="90">
        <v>41856</v>
      </c>
      <c r="B4617" s="17">
        <v>35.700000000000003</v>
      </c>
      <c r="C4617" s="17"/>
      <c r="F4617"/>
      <c r="G4617"/>
      <c r="H4617"/>
      <c r="I4617"/>
      <c r="J4617"/>
    </row>
    <row r="4618" spans="1:10" x14ac:dyDescent="0.25">
      <c r="A4618" s="90">
        <v>41857</v>
      </c>
      <c r="B4618" s="17">
        <v>35.79</v>
      </c>
      <c r="C4618" s="17"/>
      <c r="F4618"/>
      <c r="G4618"/>
      <c r="H4618"/>
      <c r="I4618"/>
      <c r="J4618"/>
    </row>
    <row r="4619" spans="1:10" x14ac:dyDescent="0.25">
      <c r="A4619" s="90">
        <v>41858</v>
      </c>
      <c r="B4619" s="17">
        <v>35.659999999999997</v>
      </c>
      <c r="C4619" s="17"/>
      <c r="F4619"/>
      <c r="G4619"/>
      <c r="H4619"/>
      <c r="I4619"/>
      <c r="J4619"/>
    </row>
    <row r="4620" spans="1:10" x14ac:dyDescent="0.25">
      <c r="A4620" s="90">
        <v>41859</v>
      </c>
      <c r="B4620" s="17">
        <v>35.909999999999997</v>
      </c>
      <c r="C4620" s="17"/>
      <c r="F4620"/>
      <c r="G4620"/>
      <c r="H4620"/>
      <c r="I4620"/>
      <c r="J4620"/>
    </row>
    <row r="4621" spans="1:10" x14ac:dyDescent="0.25">
      <c r="A4621" s="90">
        <v>41862</v>
      </c>
      <c r="B4621" s="17">
        <v>35.79</v>
      </c>
      <c r="C4621" s="17"/>
      <c r="F4621"/>
      <c r="G4621"/>
      <c r="H4621"/>
      <c r="I4621"/>
      <c r="J4621"/>
    </row>
    <row r="4622" spans="1:10" x14ac:dyDescent="0.25">
      <c r="A4622" s="90">
        <v>41863</v>
      </c>
      <c r="B4622" s="17">
        <v>35.520000000000003</v>
      </c>
      <c r="C4622" s="17"/>
      <c r="F4622"/>
      <c r="G4622"/>
      <c r="H4622"/>
      <c r="I4622"/>
      <c r="J4622"/>
    </row>
    <row r="4623" spans="1:10" x14ac:dyDescent="0.25">
      <c r="A4623" s="90">
        <v>41864</v>
      </c>
      <c r="B4623" s="17">
        <v>36.19</v>
      </c>
      <c r="C4623" s="17"/>
      <c r="F4623"/>
      <c r="G4623"/>
      <c r="H4623"/>
      <c r="I4623"/>
      <c r="J4623"/>
    </row>
    <row r="4624" spans="1:10" x14ac:dyDescent="0.25">
      <c r="A4624" s="90">
        <v>41865</v>
      </c>
      <c r="B4624" s="17">
        <v>36.36</v>
      </c>
      <c r="C4624" s="17"/>
      <c r="F4624"/>
      <c r="G4624"/>
      <c r="H4624"/>
      <c r="I4624"/>
      <c r="J4624"/>
    </row>
    <row r="4625" spans="1:10" x14ac:dyDescent="0.25">
      <c r="A4625" s="90">
        <v>41866</v>
      </c>
      <c r="B4625" s="17">
        <v>36.47</v>
      </c>
      <c r="C4625" s="17"/>
      <c r="F4625"/>
      <c r="G4625"/>
      <c r="H4625"/>
      <c r="I4625"/>
      <c r="J4625"/>
    </row>
    <row r="4626" spans="1:10" x14ac:dyDescent="0.25">
      <c r="A4626" s="90">
        <v>41869</v>
      </c>
      <c r="B4626" s="17">
        <v>37.380000000000003</v>
      </c>
      <c r="C4626" s="17"/>
      <c r="F4626"/>
      <c r="G4626"/>
      <c r="H4626"/>
      <c r="I4626"/>
      <c r="J4626"/>
    </row>
    <row r="4627" spans="1:10" x14ac:dyDescent="0.25">
      <c r="A4627" s="90">
        <v>41870</v>
      </c>
      <c r="B4627" s="17">
        <v>37.83</v>
      </c>
      <c r="C4627" s="17"/>
      <c r="F4627"/>
      <c r="G4627"/>
      <c r="H4627"/>
      <c r="I4627"/>
      <c r="J4627"/>
    </row>
    <row r="4628" spans="1:10" x14ac:dyDescent="0.25">
      <c r="A4628" s="90">
        <v>41871</v>
      </c>
      <c r="B4628" s="17">
        <v>37.5</v>
      </c>
      <c r="C4628" s="17"/>
      <c r="F4628"/>
      <c r="G4628"/>
      <c r="H4628"/>
      <c r="I4628"/>
      <c r="J4628"/>
    </row>
    <row r="4629" spans="1:10" x14ac:dyDescent="0.25">
      <c r="A4629" s="90">
        <v>41872</v>
      </c>
      <c r="B4629" s="17">
        <v>37.64</v>
      </c>
      <c r="C4629" s="17"/>
      <c r="F4629"/>
      <c r="G4629"/>
      <c r="H4629"/>
      <c r="I4629"/>
      <c r="J4629"/>
    </row>
    <row r="4630" spans="1:10" x14ac:dyDescent="0.25">
      <c r="A4630" s="90">
        <v>41873</v>
      </c>
      <c r="B4630" s="17">
        <v>38.01</v>
      </c>
      <c r="C4630" s="17"/>
      <c r="F4630"/>
      <c r="G4630"/>
      <c r="H4630"/>
      <c r="I4630"/>
      <c r="J4630"/>
    </row>
    <row r="4631" spans="1:10" x14ac:dyDescent="0.25">
      <c r="A4631" s="90">
        <v>41876</v>
      </c>
      <c r="B4631" s="17">
        <v>37.71</v>
      </c>
      <c r="C4631" s="17"/>
      <c r="F4631"/>
      <c r="G4631"/>
      <c r="H4631"/>
      <c r="I4631"/>
      <c r="J4631"/>
    </row>
    <row r="4632" spans="1:10" x14ac:dyDescent="0.25">
      <c r="A4632" s="90">
        <v>41877</v>
      </c>
      <c r="B4632" s="17">
        <v>37.79</v>
      </c>
      <c r="C4632" s="17"/>
      <c r="F4632"/>
      <c r="G4632"/>
      <c r="H4632"/>
      <c r="I4632"/>
      <c r="J4632"/>
    </row>
    <row r="4633" spans="1:10" x14ac:dyDescent="0.25">
      <c r="A4633" s="90">
        <v>41878</v>
      </c>
      <c r="B4633" s="17">
        <v>38.18</v>
      </c>
      <c r="C4633" s="17"/>
      <c r="F4633"/>
      <c r="G4633"/>
      <c r="H4633"/>
      <c r="I4633"/>
      <c r="J4633"/>
    </row>
    <row r="4634" spans="1:10" x14ac:dyDescent="0.25">
      <c r="A4634" s="90">
        <v>41879</v>
      </c>
      <c r="B4634" s="17">
        <v>38.31</v>
      </c>
      <c r="C4634" s="17"/>
      <c r="F4634"/>
      <c r="G4634"/>
      <c r="H4634"/>
      <c r="I4634"/>
      <c r="J4634"/>
    </row>
    <row r="4635" spans="1:10" x14ac:dyDescent="0.25">
      <c r="A4635" s="90">
        <v>41880</v>
      </c>
      <c r="B4635" s="17">
        <v>38.51</v>
      </c>
      <c r="C4635" s="17"/>
      <c r="F4635"/>
      <c r="G4635"/>
      <c r="H4635"/>
      <c r="I4635"/>
      <c r="J4635"/>
    </row>
    <row r="4636" spans="1:10" x14ac:dyDescent="0.25">
      <c r="A4636" s="90">
        <v>41884</v>
      </c>
      <c r="B4636" s="17">
        <v>39.270000000000003</v>
      </c>
      <c r="C4636" s="17"/>
      <c r="F4636"/>
      <c r="G4636"/>
      <c r="H4636"/>
      <c r="I4636"/>
      <c r="J4636"/>
    </row>
    <row r="4637" spans="1:10" x14ac:dyDescent="0.25">
      <c r="A4637" s="90">
        <v>41885</v>
      </c>
      <c r="B4637" s="17">
        <v>38.869999999999997</v>
      </c>
      <c r="C4637" s="17"/>
      <c r="F4637"/>
      <c r="G4637"/>
      <c r="H4637"/>
      <c r="I4637"/>
      <c r="J4637"/>
    </row>
    <row r="4638" spans="1:10" x14ac:dyDescent="0.25">
      <c r="A4638" s="90">
        <v>41886</v>
      </c>
      <c r="B4638" s="17">
        <v>39.19</v>
      </c>
      <c r="C4638" s="17"/>
      <c r="F4638"/>
      <c r="G4638"/>
      <c r="H4638"/>
      <c r="I4638"/>
      <c r="J4638"/>
    </row>
    <row r="4639" spans="1:10" x14ac:dyDescent="0.25">
      <c r="A4639" s="90">
        <v>41887</v>
      </c>
      <c r="B4639" s="17">
        <v>39.590000000000003</v>
      </c>
      <c r="C4639" s="17"/>
      <c r="F4639"/>
      <c r="G4639"/>
      <c r="H4639"/>
      <c r="I4639"/>
      <c r="J4639"/>
    </row>
    <row r="4640" spans="1:10" x14ac:dyDescent="0.25">
      <c r="A4640" s="90">
        <v>41890</v>
      </c>
      <c r="B4640" s="17">
        <v>41.81</v>
      </c>
      <c r="C4640" s="17"/>
      <c r="F4640"/>
      <c r="G4640"/>
      <c r="H4640"/>
      <c r="I4640"/>
      <c r="J4640"/>
    </row>
    <row r="4641" spans="1:10" x14ac:dyDescent="0.25">
      <c r="A4641" s="90">
        <v>41891</v>
      </c>
      <c r="B4641" s="17">
        <v>40.78</v>
      </c>
      <c r="C4641" s="17"/>
      <c r="F4641"/>
      <c r="G4641"/>
      <c r="H4641"/>
      <c r="I4641"/>
      <c r="J4641"/>
    </row>
    <row r="4642" spans="1:10" x14ac:dyDescent="0.25">
      <c r="A4642" s="90">
        <v>41892</v>
      </c>
      <c r="B4642" s="17">
        <v>41.14</v>
      </c>
      <c r="C4642" s="17"/>
      <c r="F4642"/>
      <c r="G4642"/>
      <c r="H4642"/>
      <c r="I4642"/>
      <c r="J4642"/>
    </row>
    <row r="4643" spans="1:10" x14ac:dyDescent="0.25">
      <c r="A4643" s="90">
        <v>41893</v>
      </c>
      <c r="B4643" s="17">
        <v>41.26</v>
      </c>
      <c r="C4643" s="17"/>
      <c r="F4643"/>
      <c r="G4643"/>
      <c r="H4643"/>
      <c r="I4643"/>
      <c r="J4643"/>
    </row>
    <row r="4644" spans="1:10" x14ac:dyDescent="0.25">
      <c r="A4644" s="90">
        <v>41894</v>
      </c>
      <c r="B4644" s="17">
        <v>42.88</v>
      </c>
      <c r="C4644" s="17"/>
      <c r="F4644"/>
      <c r="G4644"/>
      <c r="H4644"/>
      <c r="I4644"/>
      <c r="J4644"/>
    </row>
    <row r="4645" spans="1:10" x14ac:dyDescent="0.25">
      <c r="A4645" s="90">
        <v>41897</v>
      </c>
      <c r="B4645" s="17">
        <v>42.55</v>
      </c>
      <c r="C4645" s="17"/>
      <c r="F4645"/>
      <c r="G4645"/>
      <c r="H4645"/>
      <c r="I4645"/>
      <c r="J4645"/>
    </row>
    <row r="4646" spans="1:10" x14ac:dyDescent="0.25">
      <c r="A4646" s="90">
        <v>41898</v>
      </c>
      <c r="B4646" s="17">
        <v>42.71</v>
      </c>
      <c r="C4646" s="17"/>
      <c r="F4646"/>
      <c r="G4646"/>
      <c r="H4646"/>
      <c r="I4646"/>
      <c r="J4646"/>
    </row>
    <row r="4647" spans="1:10" x14ac:dyDescent="0.25">
      <c r="A4647" s="90">
        <v>41899</v>
      </c>
      <c r="B4647" s="17">
        <v>42.59</v>
      </c>
      <c r="C4647" s="17"/>
      <c r="F4647"/>
      <c r="G4647"/>
      <c r="H4647"/>
      <c r="I4647"/>
      <c r="J4647"/>
    </row>
    <row r="4648" spans="1:10" x14ac:dyDescent="0.25">
      <c r="A4648" s="90">
        <v>41900</v>
      </c>
      <c r="B4648" s="17">
        <v>42.09</v>
      </c>
      <c r="C4648" s="17"/>
      <c r="F4648"/>
      <c r="G4648"/>
      <c r="H4648"/>
      <c r="I4648"/>
      <c r="J4648"/>
    </row>
    <row r="4649" spans="1:10" x14ac:dyDescent="0.25">
      <c r="A4649" s="90">
        <v>41901</v>
      </c>
      <c r="B4649" s="17">
        <v>40.93</v>
      </c>
      <c r="C4649" s="17"/>
      <c r="F4649"/>
      <c r="G4649"/>
      <c r="H4649"/>
      <c r="I4649"/>
      <c r="J4649"/>
    </row>
    <row r="4650" spans="1:10" x14ac:dyDescent="0.25">
      <c r="A4650" s="90">
        <v>41904</v>
      </c>
      <c r="B4650" s="17">
        <v>38.65</v>
      </c>
      <c r="C4650" s="17"/>
      <c r="F4650"/>
      <c r="G4650"/>
      <c r="H4650"/>
      <c r="I4650"/>
      <c r="J4650"/>
    </row>
    <row r="4651" spans="1:10" x14ac:dyDescent="0.25">
      <c r="A4651" s="90">
        <v>41905</v>
      </c>
      <c r="B4651" s="17">
        <v>39.049999999999997</v>
      </c>
      <c r="C4651" s="17"/>
      <c r="F4651"/>
      <c r="G4651"/>
      <c r="H4651"/>
      <c r="I4651"/>
      <c r="J4651"/>
    </row>
    <row r="4652" spans="1:10" x14ac:dyDescent="0.25">
      <c r="A4652" s="90">
        <v>41906</v>
      </c>
      <c r="B4652" s="17">
        <v>39.880000000000003</v>
      </c>
      <c r="C4652" s="17"/>
      <c r="F4652"/>
      <c r="G4652"/>
      <c r="H4652"/>
      <c r="I4652"/>
      <c r="J4652"/>
    </row>
    <row r="4653" spans="1:10" x14ac:dyDescent="0.25">
      <c r="A4653" s="90">
        <v>41907</v>
      </c>
      <c r="B4653" s="17">
        <v>38.950000000000003</v>
      </c>
      <c r="C4653" s="17"/>
      <c r="F4653"/>
      <c r="G4653"/>
      <c r="H4653"/>
      <c r="I4653"/>
      <c r="J4653"/>
    </row>
    <row r="4654" spans="1:10" x14ac:dyDescent="0.25">
      <c r="A4654" s="90">
        <v>41908</v>
      </c>
      <c r="B4654" s="17">
        <v>40.659999999999997</v>
      </c>
      <c r="C4654" s="17"/>
      <c r="F4654"/>
      <c r="G4654"/>
      <c r="H4654"/>
      <c r="I4654"/>
      <c r="J4654"/>
    </row>
    <row r="4655" spans="1:10" x14ac:dyDescent="0.25">
      <c r="A4655" s="90">
        <v>41911</v>
      </c>
      <c r="B4655" s="17">
        <v>40.520000000000003</v>
      </c>
      <c r="C4655" s="17"/>
      <c r="F4655"/>
      <c r="G4655"/>
      <c r="H4655"/>
      <c r="I4655"/>
      <c r="J4655"/>
    </row>
    <row r="4656" spans="1:10" x14ac:dyDescent="0.25">
      <c r="A4656" s="90">
        <v>41912</v>
      </c>
      <c r="B4656" s="17">
        <v>40.75</v>
      </c>
      <c r="C4656" s="17"/>
      <c r="F4656"/>
      <c r="G4656"/>
      <c r="H4656"/>
      <c r="I4656"/>
      <c r="J4656"/>
    </row>
    <row r="4657" spans="1:10" x14ac:dyDescent="0.25">
      <c r="A4657" s="90">
        <v>41913</v>
      </c>
      <c r="B4657" s="17">
        <v>40.32</v>
      </c>
      <c r="C4657" s="17"/>
      <c r="F4657"/>
      <c r="G4657"/>
      <c r="H4657"/>
      <c r="I4657"/>
      <c r="J4657"/>
    </row>
    <row r="4658" spans="1:10" x14ac:dyDescent="0.25">
      <c r="A4658" s="90">
        <v>41914</v>
      </c>
      <c r="B4658" s="17">
        <v>40.5</v>
      </c>
      <c r="C4658" s="17"/>
      <c r="F4658"/>
      <c r="G4658"/>
      <c r="H4658"/>
      <c r="I4658"/>
      <c r="J4658"/>
    </row>
    <row r="4659" spans="1:10" x14ac:dyDescent="0.25">
      <c r="A4659" s="90">
        <v>41915</v>
      </c>
      <c r="B4659" s="17">
        <v>41.03</v>
      </c>
      <c r="C4659" s="17"/>
      <c r="F4659"/>
      <c r="G4659"/>
      <c r="H4659"/>
      <c r="I4659"/>
      <c r="J4659"/>
    </row>
    <row r="4660" spans="1:10" x14ac:dyDescent="0.25">
      <c r="A4660" s="90">
        <v>41918</v>
      </c>
      <c r="B4660" s="17">
        <v>41.52</v>
      </c>
      <c r="C4660" s="17"/>
      <c r="F4660"/>
      <c r="G4660"/>
      <c r="H4660"/>
      <c r="I4660"/>
      <c r="J4660"/>
    </row>
    <row r="4661" spans="1:10" x14ac:dyDescent="0.25">
      <c r="A4661" s="90">
        <v>41919</v>
      </c>
      <c r="B4661" s="17">
        <v>40.93</v>
      </c>
      <c r="C4661" s="17"/>
      <c r="F4661"/>
      <c r="G4661"/>
      <c r="H4661"/>
      <c r="I4661"/>
      <c r="J4661"/>
    </row>
    <row r="4662" spans="1:10" x14ac:dyDescent="0.25">
      <c r="A4662" s="90">
        <v>41920</v>
      </c>
      <c r="B4662" s="17">
        <v>41.08</v>
      </c>
      <c r="C4662" s="17"/>
      <c r="F4662"/>
      <c r="G4662"/>
      <c r="H4662"/>
      <c r="I4662"/>
      <c r="J4662"/>
    </row>
    <row r="4663" spans="1:10" x14ac:dyDescent="0.25">
      <c r="A4663" s="90">
        <v>41921</v>
      </c>
      <c r="B4663" s="17">
        <v>41.1</v>
      </c>
      <c r="C4663" s="17"/>
      <c r="F4663"/>
      <c r="G4663"/>
      <c r="H4663"/>
      <c r="I4663"/>
      <c r="J4663"/>
    </row>
    <row r="4664" spans="1:10" x14ac:dyDescent="0.25">
      <c r="A4664" s="90">
        <v>41922</v>
      </c>
      <c r="B4664" s="17">
        <v>39.6</v>
      </c>
      <c r="C4664" s="17"/>
      <c r="F4664"/>
      <c r="G4664"/>
      <c r="H4664"/>
      <c r="I4664"/>
      <c r="J4664"/>
    </row>
    <row r="4665" spans="1:10" x14ac:dyDescent="0.25">
      <c r="A4665" s="90">
        <v>41925</v>
      </c>
      <c r="B4665" s="17">
        <v>38.380000000000003</v>
      </c>
      <c r="C4665" s="17"/>
      <c r="F4665"/>
      <c r="G4665"/>
      <c r="H4665"/>
      <c r="I4665"/>
      <c r="J4665"/>
    </row>
    <row r="4666" spans="1:10" x14ac:dyDescent="0.25">
      <c r="A4666" s="90">
        <v>41926</v>
      </c>
      <c r="B4666" s="17">
        <v>37.97</v>
      </c>
      <c r="C4666" s="17"/>
      <c r="F4666"/>
      <c r="G4666"/>
      <c r="H4666"/>
      <c r="I4666"/>
      <c r="J4666"/>
    </row>
    <row r="4667" spans="1:10" x14ac:dyDescent="0.25">
      <c r="A4667" s="90">
        <v>41927</v>
      </c>
      <c r="B4667" s="17">
        <v>37.82</v>
      </c>
      <c r="C4667" s="17"/>
      <c r="F4667"/>
      <c r="G4667"/>
      <c r="H4667"/>
      <c r="I4667"/>
      <c r="J4667"/>
    </row>
    <row r="4668" spans="1:10" x14ac:dyDescent="0.25">
      <c r="A4668" s="90">
        <v>41928</v>
      </c>
      <c r="B4668" s="17">
        <v>38.119999999999997</v>
      </c>
      <c r="C4668" s="17"/>
      <c r="F4668"/>
      <c r="G4668"/>
      <c r="H4668"/>
      <c r="I4668"/>
      <c r="J4668"/>
    </row>
    <row r="4669" spans="1:10" x14ac:dyDescent="0.25">
      <c r="A4669" s="90">
        <v>41929</v>
      </c>
      <c r="B4669" s="17">
        <v>38.450000000000003</v>
      </c>
      <c r="C4669" s="17"/>
      <c r="F4669"/>
      <c r="G4669"/>
      <c r="H4669"/>
      <c r="I4669"/>
      <c r="J4669"/>
    </row>
    <row r="4670" spans="1:10" x14ac:dyDescent="0.25">
      <c r="A4670" s="90">
        <v>41932</v>
      </c>
      <c r="B4670" s="17">
        <v>39.28</v>
      </c>
      <c r="C4670" s="17"/>
      <c r="F4670"/>
      <c r="G4670"/>
      <c r="H4670"/>
      <c r="I4670"/>
      <c r="J4670"/>
    </row>
    <row r="4671" spans="1:10" x14ac:dyDescent="0.25">
      <c r="A4671" s="90">
        <v>41933</v>
      </c>
      <c r="B4671" s="17">
        <v>40.18</v>
      </c>
      <c r="C4671" s="17"/>
      <c r="F4671"/>
      <c r="G4671"/>
      <c r="H4671"/>
      <c r="I4671"/>
      <c r="J4671"/>
    </row>
    <row r="4672" spans="1:10" x14ac:dyDescent="0.25">
      <c r="A4672" s="90">
        <v>41934</v>
      </c>
      <c r="B4672" s="17">
        <v>42</v>
      </c>
      <c r="C4672" s="17"/>
      <c r="F4672"/>
      <c r="G4672"/>
      <c r="H4672"/>
      <c r="I4672"/>
      <c r="J4672"/>
    </row>
    <row r="4673" spans="1:10" x14ac:dyDescent="0.25">
      <c r="A4673" s="90">
        <v>41935</v>
      </c>
      <c r="B4673" s="17">
        <v>42.6</v>
      </c>
      <c r="C4673" s="17"/>
      <c r="F4673"/>
      <c r="G4673"/>
      <c r="H4673"/>
      <c r="I4673"/>
      <c r="J4673"/>
    </row>
    <row r="4674" spans="1:10" x14ac:dyDescent="0.25">
      <c r="A4674" s="90">
        <v>41936</v>
      </c>
      <c r="B4674" s="17">
        <v>43.5</v>
      </c>
      <c r="C4674" s="17"/>
      <c r="F4674"/>
      <c r="G4674"/>
      <c r="H4674"/>
      <c r="I4674"/>
      <c r="J4674"/>
    </row>
    <row r="4675" spans="1:10" x14ac:dyDescent="0.25">
      <c r="A4675" s="90">
        <v>41939</v>
      </c>
      <c r="B4675" s="17">
        <v>44.7</v>
      </c>
      <c r="C4675" s="17"/>
      <c r="F4675"/>
      <c r="G4675"/>
      <c r="H4675"/>
      <c r="I4675"/>
      <c r="J4675"/>
    </row>
    <row r="4676" spans="1:10" x14ac:dyDescent="0.25">
      <c r="A4676" s="90">
        <v>41940</v>
      </c>
      <c r="B4676" s="17">
        <v>45.87</v>
      </c>
      <c r="C4676" s="17"/>
      <c r="F4676"/>
      <c r="G4676"/>
      <c r="H4676"/>
      <c r="I4676"/>
      <c r="J4676"/>
    </row>
    <row r="4677" spans="1:10" x14ac:dyDescent="0.25">
      <c r="A4677" s="90">
        <v>41941</v>
      </c>
      <c r="B4677" s="17">
        <v>45.43</v>
      </c>
      <c r="C4677" s="17"/>
      <c r="F4677"/>
      <c r="G4677"/>
      <c r="H4677"/>
      <c r="I4677"/>
      <c r="J4677"/>
    </row>
    <row r="4678" spans="1:10" x14ac:dyDescent="0.25">
      <c r="A4678" s="90">
        <v>41942</v>
      </c>
      <c r="B4678" s="17">
        <v>45.63</v>
      </c>
      <c r="C4678" s="17"/>
      <c r="F4678"/>
      <c r="G4678"/>
      <c r="H4678"/>
      <c r="I4678"/>
      <c r="J4678"/>
    </row>
    <row r="4679" spans="1:10" x14ac:dyDescent="0.25">
      <c r="A4679" s="90">
        <v>41943</v>
      </c>
      <c r="B4679" s="17">
        <v>46.05</v>
      </c>
      <c r="C4679" s="17"/>
      <c r="F4679"/>
      <c r="G4679"/>
      <c r="H4679"/>
      <c r="I4679"/>
      <c r="J4679"/>
    </row>
    <row r="4680" spans="1:10" x14ac:dyDescent="0.25">
      <c r="A4680" s="90">
        <v>41946</v>
      </c>
      <c r="B4680" s="17">
        <v>46.34</v>
      </c>
      <c r="C4680" s="17"/>
      <c r="F4680"/>
      <c r="G4680"/>
      <c r="H4680"/>
      <c r="I4680"/>
      <c r="J4680"/>
    </row>
    <row r="4681" spans="1:10" x14ac:dyDescent="0.25">
      <c r="A4681" s="90">
        <v>41947</v>
      </c>
      <c r="B4681" s="17">
        <v>47.08</v>
      </c>
      <c r="C4681" s="17"/>
      <c r="F4681"/>
      <c r="G4681"/>
      <c r="H4681"/>
      <c r="I4681"/>
      <c r="J4681"/>
    </row>
    <row r="4682" spans="1:10" x14ac:dyDescent="0.25">
      <c r="A4682" s="90">
        <v>41948</v>
      </c>
      <c r="B4682" s="17">
        <v>47.46</v>
      </c>
      <c r="C4682" s="17"/>
      <c r="F4682"/>
      <c r="G4682"/>
      <c r="H4682"/>
      <c r="I4682"/>
      <c r="J4682"/>
    </row>
    <row r="4683" spans="1:10" x14ac:dyDescent="0.25">
      <c r="A4683" s="90">
        <v>41949</v>
      </c>
      <c r="B4683" s="17">
        <v>47.93</v>
      </c>
      <c r="C4683" s="17"/>
      <c r="F4683"/>
      <c r="G4683"/>
      <c r="H4683"/>
      <c r="I4683"/>
      <c r="J4683"/>
    </row>
    <row r="4684" spans="1:10" x14ac:dyDescent="0.25">
      <c r="A4684" s="90">
        <v>41950</v>
      </c>
      <c r="B4684" s="17">
        <v>48.55</v>
      </c>
      <c r="C4684" s="17"/>
      <c r="F4684"/>
      <c r="G4684"/>
      <c r="H4684"/>
      <c r="I4684"/>
      <c r="J4684"/>
    </row>
    <row r="4685" spans="1:10" x14ac:dyDescent="0.25">
      <c r="A4685" s="90">
        <v>41953</v>
      </c>
      <c r="B4685" s="17">
        <v>49.41</v>
      </c>
      <c r="C4685" s="17"/>
      <c r="F4685"/>
      <c r="G4685"/>
      <c r="H4685"/>
      <c r="I4685"/>
      <c r="J4685"/>
    </row>
    <row r="4686" spans="1:10" x14ac:dyDescent="0.25">
      <c r="A4686" s="90">
        <v>41954</v>
      </c>
      <c r="B4686" s="17">
        <v>49.05</v>
      </c>
      <c r="C4686" s="17"/>
      <c r="F4686"/>
      <c r="G4686"/>
      <c r="H4686"/>
      <c r="I4686"/>
      <c r="J4686"/>
    </row>
    <row r="4687" spans="1:10" x14ac:dyDescent="0.25">
      <c r="A4687" s="90">
        <v>41955</v>
      </c>
      <c r="B4687" s="17">
        <v>50.6</v>
      </c>
      <c r="C4687" s="17"/>
      <c r="F4687"/>
      <c r="G4687"/>
      <c r="H4687"/>
      <c r="I4687"/>
      <c r="J4687"/>
    </row>
    <row r="4688" spans="1:10" x14ac:dyDescent="0.25">
      <c r="A4688" s="90">
        <v>41956</v>
      </c>
      <c r="B4688" s="17">
        <v>50.5</v>
      </c>
      <c r="C4688" s="17"/>
      <c r="F4688"/>
      <c r="G4688"/>
      <c r="H4688"/>
      <c r="I4688"/>
      <c r="J4688"/>
    </row>
    <row r="4689" spans="1:10" x14ac:dyDescent="0.25">
      <c r="A4689" s="90">
        <v>41957</v>
      </c>
      <c r="B4689" s="17">
        <v>51.75</v>
      </c>
      <c r="C4689" s="17"/>
      <c r="F4689"/>
      <c r="G4689"/>
      <c r="H4689"/>
      <c r="I4689"/>
      <c r="J4689"/>
    </row>
    <row r="4690" spans="1:10" x14ac:dyDescent="0.25">
      <c r="A4690" s="90">
        <v>41960</v>
      </c>
      <c r="B4690" s="17">
        <v>52.37</v>
      </c>
      <c r="C4690" s="17"/>
      <c r="F4690"/>
      <c r="G4690"/>
      <c r="H4690"/>
      <c r="I4690"/>
      <c r="J4690"/>
    </row>
    <row r="4691" spans="1:10" x14ac:dyDescent="0.25">
      <c r="A4691" s="90">
        <v>41961</v>
      </c>
      <c r="B4691" s="17">
        <v>51.75</v>
      </c>
      <c r="C4691" s="17"/>
      <c r="F4691"/>
      <c r="G4691"/>
      <c r="H4691"/>
      <c r="I4691"/>
      <c r="J4691"/>
    </row>
    <row r="4692" spans="1:10" x14ac:dyDescent="0.25">
      <c r="A4692" s="90">
        <v>41962</v>
      </c>
      <c r="B4692" s="17">
        <v>50.58</v>
      </c>
      <c r="C4692" s="17"/>
      <c r="F4692"/>
      <c r="G4692"/>
      <c r="H4692"/>
      <c r="I4692"/>
      <c r="J4692"/>
    </row>
    <row r="4693" spans="1:10" x14ac:dyDescent="0.25">
      <c r="A4693" s="90">
        <v>41963</v>
      </c>
      <c r="B4693" s="17">
        <v>51.25</v>
      </c>
      <c r="C4693" s="17"/>
      <c r="F4693"/>
      <c r="G4693"/>
      <c r="H4693"/>
      <c r="I4693"/>
      <c r="J4693"/>
    </row>
    <row r="4694" spans="1:10" x14ac:dyDescent="0.25">
      <c r="A4694" s="90">
        <v>41964</v>
      </c>
      <c r="B4694" s="17">
        <v>51.04</v>
      </c>
      <c r="C4694" s="17"/>
      <c r="F4694"/>
      <c r="G4694"/>
      <c r="H4694"/>
      <c r="I4694"/>
      <c r="J4694"/>
    </row>
    <row r="4695" spans="1:10" x14ac:dyDescent="0.25">
      <c r="A4695" s="90">
        <v>41967</v>
      </c>
      <c r="B4695" s="17">
        <v>51.83</v>
      </c>
      <c r="C4695" s="17"/>
      <c r="F4695"/>
      <c r="G4695"/>
      <c r="H4695"/>
      <c r="I4695"/>
      <c r="J4695"/>
    </row>
    <row r="4696" spans="1:10" x14ac:dyDescent="0.25">
      <c r="A4696" s="90">
        <v>41968</v>
      </c>
      <c r="B4696" s="17">
        <v>51.72</v>
      </c>
      <c r="C4696" s="17"/>
      <c r="F4696"/>
      <c r="G4696"/>
      <c r="H4696"/>
      <c r="I4696"/>
      <c r="J4696"/>
    </row>
    <row r="4697" spans="1:10" x14ac:dyDescent="0.25">
      <c r="A4697" s="90">
        <v>41969</v>
      </c>
      <c r="B4697" s="17">
        <v>51.93</v>
      </c>
      <c r="C4697" s="17"/>
      <c r="F4697"/>
      <c r="G4697"/>
      <c r="H4697"/>
      <c r="I4697"/>
      <c r="J4697"/>
    </row>
    <row r="4698" spans="1:10" x14ac:dyDescent="0.25">
      <c r="A4698" s="90">
        <v>41971</v>
      </c>
      <c r="B4698" s="17">
        <v>51.74</v>
      </c>
      <c r="C4698" s="17"/>
      <c r="F4698"/>
      <c r="G4698"/>
      <c r="H4698"/>
      <c r="I4698"/>
      <c r="J4698"/>
    </row>
    <row r="4699" spans="1:10" x14ac:dyDescent="0.25">
      <c r="A4699" s="90">
        <v>41974</v>
      </c>
      <c r="B4699" s="17">
        <v>50.1</v>
      </c>
      <c r="C4699" s="17"/>
      <c r="F4699"/>
      <c r="G4699"/>
      <c r="H4699"/>
      <c r="I4699"/>
      <c r="J4699"/>
    </row>
    <row r="4700" spans="1:10" x14ac:dyDescent="0.25">
      <c r="A4700" s="90">
        <v>41975</v>
      </c>
      <c r="B4700" s="17">
        <v>50.67</v>
      </c>
      <c r="C4700" s="17"/>
      <c r="F4700"/>
      <c r="G4700"/>
      <c r="H4700"/>
      <c r="I4700"/>
      <c r="J4700"/>
    </row>
    <row r="4701" spans="1:10" x14ac:dyDescent="0.25">
      <c r="A4701" s="90">
        <v>41976</v>
      </c>
      <c r="B4701" s="17">
        <v>50.28</v>
      </c>
      <c r="C4701" s="17"/>
      <c r="F4701"/>
      <c r="G4701"/>
      <c r="H4701"/>
      <c r="I4701"/>
      <c r="J4701"/>
    </row>
    <row r="4702" spans="1:10" x14ac:dyDescent="0.25">
      <c r="A4702" s="90">
        <v>41977</v>
      </c>
      <c r="B4702" s="17">
        <v>50.41</v>
      </c>
      <c r="C4702" s="17"/>
      <c r="F4702"/>
      <c r="G4702"/>
      <c r="H4702"/>
      <c r="I4702"/>
      <c r="J4702"/>
    </row>
    <row r="4703" spans="1:10" x14ac:dyDescent="0.25">
      <c r="A4703" s="90">
        <v>41978</v>
      </c>
      <c r="B4703" s="17">
        <v>50.99</v>
      </c>
      <c r="C4703" s="17"/>
      <c r="F4703"/>
      <c r="G4703"/>
      <c r="H4703"/>
      <c r="I4703"/>
      <c r="J4703"/>
    </row>
    <row r="4704" spans="1:10" x14ac:dyDescent="0.25">
      <c r="A4704" s="90">
        <v>41981</v>
      </c>
      <c r="B4704" s="17">
        <v>49.62</v>
      </c>
      <c r="C4704" s="17"/>
      <c r="F4704"/>
      <c r="G4704"/>
      <c r="H4704"/>
      <c r="I4704"/>
      <c r="J4704"/>
    </row>
    <row r="4705" spans="1:10" x14ac:dyDescent="0.25">
      <c r="A4705" s="90">
        <v>41982</v>
      </c>
      <c r="B4705" s="17">
        <v>50.51</v>
      </c>
      <c r="C4705" s="17"/>
      <c r="F4705"/>
      <c r="G4705"/>
      <c r="H4705"/>
      <c r="I4705"/>
      <c r="J4705"/>
    </row>
    <row r="4706" spans="1:10" x14ac:dyDescent="0.25">
      <c r="A4706" s="90">
        <v>41983</v>
      </c>
      <c r="B4706" s="17">
        <v>49.21</v>
      </c>
      <c r="C4706" s="17"/>
      <c r="F4706"/>
      <c r="G4706"/>
      <c r="H4706"/>
      <c r="I4706"/>
      <c r="J4706"/>
    </row>
    <row r="4707" spans="1:10" x14ac:dyDescent="0.25">
      <c r="A4707" s="90">
        <v>41984</v>
      </c>
      <c r="B4707" s="17">
        <v>49.94</v>
      </c>
      <c r="C4707" s="17"/>
      <c r="F4707"/>
      <c r="G4707"/>
      <c r="H4707"/>
      <c r="I4707"/>
      <c r="J4707"/>
    </row>
    <row r="4708" spans="1:10" x14ac:dyDescent="0.25">
      <c r="A4708" s="90">
        <v>41985</v>
      </c>
      <c r="B4708" s="17">
        <v>50.24</v>
      </c>
      <c r="C4708" s="17"/>
      <c r="F4708"/>
      <c r="G4708"/>
      <c r="H4708"/>
      <c r="I4708"/>
      <c r="J4708"/>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00FF"/>
  </sheetPr>
  <dimension ref="A1"/>
  <sheetViews>
    <sheetView showGridLines="0" zoomScaleNormal="100" workbookViewId="0">
      <selection activeCell="B18" sqref="B18"/>
    </sheetView>
  </sheetViews>
  <sheetFormatPr defaultRowHeight="15" x14ac:dyDescent="0.25"/>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A1:F11"/>
  <sheetViews>
    <sheetView workbookViewId="0">
      <selection activeCell="C2" sqref="C2"/>
    </sheetView>
  </sheetViews>
  <sheetFormatPr defaultRowHeight="15" x14ac:dyDescent="0.25"/>
  <cols>
    <col min="1" max="1" width="22.5703125" bestFit="1" customWidth="1"/>
    <col min="2" max="2" width="8.42578125" bestFit="1" customWidth="1"/>
    <col min="3" max="3" width="16.85546875" bestFit="1" customWidth="1"/>
    <col min="4" max="4" width="19.28515625" bestFit="1" customWidth="1"/>
    <col min="5" max="5" width="18.28515625" bestFit="1" customWidth="1"/>
    <col min="6" max="6" width="17.28515625" bestFit="1" customWidth="1"/>
  </cols>
  <sheetData>
    <row r="1" spans="1:6" x14ac:dyDescent="0.25">
      <c r="A1" s="1" t="s">
        <v>779</v>
      </c>
      <c r="B1" s="1" t="s">
        <v>780</v>
      </c>
      <c r="C1" s="1" t="s">
        <v>781</v>
      </c>
      <c r="D1" s="1" t="s">
        <v>782</v>
      </c>
      <c r="E1" s="1" t="s">
        <v>783</v>
      </c>
      <c r="F1" s="1" t="s">
        <v>784</v>
      </c>
    </row>
    <row r="2" spans="1:6" x14ac:dyDescent="0.25">
      <c r="A2" s="9" t="s">
        <v>785</v>
      </c>
      <c r="B2" s="9">
        <v>599</v>
      </c>
      <c r="C2" s="9"/>
      <c r="D2" s="9">
        <v>10.1</v>
      </c>
      <c r="E2" s="9">
        <v>8.5</v>
      </c>
      <c r="F2" s="9" t="s">
        <v>786</v>
      </c>
    </row>
    <row r="3" spans="1:6" x14ac:dyDescent="0.25">
      <c r="A3" s="9" t="s">
        <v>787</v>
      </c>
      <c r="B3" s="9">
        <v>299</v>
      </c>
      <c r="C3" s="9"/>
      <c r="D3" s="9">
        <v>8.9</v>
      </c>
      <c r="E3" s="9">
        <v>9</v>
      </c>
      <c r="F3" s="9" t="s">
        <v>788</v>
      </c>
    </row>
    <row r="4" spans="1:6" x14ac:dyDescent="0.25">
      <c r="A4" s="9" t="s">
        <v>789</v>
      </c>
      <c r="B4" s="9">
        <v>499</v>
      </c>
      <c r="C4" s="9"/>
      <c r="D4" s="9">
        <v>9.6999999999999993</v>
      </c>
      <c r="E4" s="9">
        <v>11</v>
      </c>
      <c r="F4" s="9" t="s">
        <v>790</v>
      </c>
    </row>
    <row r="5" spans="1:6" x14ac:dyDescent="0.25">
      <c r="A5" s="9" t="s">
        <v>791</v>
      </c>
      <c r="B5" s="9">
        <v>860</v>
      </c>
      <c r="C5" s="9"/>
      <c r="D5" s="9">
        <v>11.6</v>
      </c>
      <c r="E5" s="9">
        <v>8</v>
      </c>
      <c r="F5" s="9"/>
    </row>
    <row r="6" spans="1:6" x14ac:dyDescent="0.25">
      <c r="A6" s="9" t="s">
        <v>792</v>
      </c>
      <c r="B6" s="9">
        <v>668</v>
      </c>
      <c r="C6" s="9"/>
      <c r="D6" s="9">
        <v>10.1</v>
      </c>
      <c r="E6" s="9">
        <v>10.5</v>
      </c>
      <c r="F6" s="9"/>
    </row>
    <row r="7" spans="1:6" x14ac:dyDescent="0.25">
      <c r="A7" s="9" t="s">
        <v>793</v>
      </c>
      <c r="B7" s="9">
        <v>899</v>
      </c>
      <c r="C7" s="9"/>
      <c r="D7" s="9">
        <v>10.6</v>
      </c>
      <c r="E7" s="9">
        <v>4</v>
      </c>
      <c r="F7" s="9"/>
    </row>
    <row r="8" spans="1:6" x14ac:dyDescent="0.25">
      <c r="A8" s="9" t="s">
        <v>794</v>
      </c>
      <c r="B8" s="9">
        <v>530</v>
      </c>
      <c r="C8" s="9"/>
      <c r="D8" s="9">
        <v>10.1</v>
      </c>
      <c r="E8" s="9">
        <v>9</v>
      </c>
      <c r="F8" s="9"/>
    </row>
    <row r="9" spans="1:6" x14ac:dyDescent="0.25">
      <c r="A9" s="9" t="s">
        <v>795</v>
      </c>
      <c r="B9" s="9">
        <v>590</v>
      </c>
      <c r="C9" s="9"/>
      <c r="D9" s="9">
        <v>11.6</v>
      </c>
      <c r="E9" s="9">
        <v>7</v>
      </c>
      <c r="F9" s="9"/>
    </row>
    <row r="10" spans="1:6" x14ac:dyDescent="0.25">
      <c r="A10" s="9" t="s">
        <v>796</v>
      </c>
      <c r="B10" s="9">
        <v>525</v>
      </c>
      <c r="C10" s="9"/>
      <c r="D10" s="9">
        <v>10.1</v>
      </c>
      <c r="E10" s="9">
        <v>10</v>
      </c>
      <c r="F10" s="9"/>
    </row>
    <row r="11" spans="1:6" x14ac:dyDescent="0.25">
      <c r="A11" s="9" t="s">
        <v>797</v>
      </c>
      <c r="B11" s="9">
        <v>360</v>
      </c>
      <c r="C11" s="9"/>
      <c r="D11" s="9">
        <v>9.4</v>
      </c>
      <c r="E11" s="9">
        <v>8</v>
      </c>
      <c r="F11" s="9"/>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Topics</vt:lpstr>
      <vt:lpstr>Detailed Topic List</vt:lpstr>
      <vt:lpstr>Keyboards</vt:lpstr>
      <vt:lpstr>Statistics</vt:lpstr>
      <vt:lpstr>Descriptive v Inferential</vt:lpstr>
      <vt:lpstr>Example of Statistics</vt:lpstr>
      <vt:lpstr>Example of Statistics (an)</vt:lpstr>
      <vt:lpstr>Example of Inferential Stats</vt:lpstr>
      <vt:lpstr>Data</vt:lpstr>
      <vt:lpstr>SofM</vt:lpstr>
      <vt:lpstr>SofM-2</vt:lpstr>
      <vt:lpstr>SofM-2 (an)</vt:lpstr>
      <vt:lpstr>CS Data</vt:lpstr>
      <vt:lpstr>TS Data</vt:lpstr>
      <vt:lpstr>Data Diagram</vt:lpstr>
      <vt:lpstr>Entering Data In Excel</vt:lpstr>
      <vt:lpstr>'Example of Statistics (an)'!Print_Area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Tomasz Jasiuta</cp:lastModifiedBy>
  <cp:lastPrinted>2015-01-26T18:33:05Z</cp:lastPrinted>
  <dcterms:created xsi:type="dcterms:W3CDTF">2014-12-20T22:49:35Z</dcterms:created>
  <dcterms:modified xsi:type="dcterms:W3CDTF">2020-07-17T14:00:33Z</dcterms:modified>
</cp:coreProperties>
</file>